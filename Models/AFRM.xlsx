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64BB0A49-3249-4D2A-85AE-20CF667D51D2}" xr6:coauthVersionLast="47" xr6:coauthVersionMax="47" xr10:uidLastSave="{00000000-0000-0000-0000-000000000000}"/>
  <bookViews>
    <workbookView xWindow="5292" yWindow="2940" windowWidth="17280" windowHeight="11508" xr2:uid="{00000000-000D-0000-FFFF-FFFF00000000}"/>
  </bookViews>
  <sheets>
    <sheet name="Main" sheetId="1" r:id="rId1"/>
    <sheet name="Model" sheetId="2" r:id="rId2"/>
    <sheet name="Non-GAAP" sheetId="3" r:id="rId3"/>
    <sheet name="Metric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9" i="2" l="1"/>
  <c r="Q10" i="1"/>
  <c r="Q25" i="1"/>
  <c r="I10" i="1" l="1"/>
  <c r="I9" i="1"/>
  <c r="I8" i="1"/>
  <c r="I14" i="1" s="1"/>
  <c r="AT101" i="2"/>
  <c r="AT105" i="2" s="1"/>
  <c r="AS101" i="2"/>
  <c r="AR101" i="2"/>
  <c r="AQ101" i="2"/>
  <c r="AP101" i="2"/>
  <c r="AO101" i="2"/>
  <c r="AR105" i="2"/>
  <c r="AS105" i="2"/>
  <c r="AQ105" i="2"/>
  <c r="AP105" i="2"/>
  <c r="AO105" i="2"/>
  <c r="AF105" i="2"/>
  <c r="AE105" i="2"/>
  <c r="AD105" i="2"/>
  <c r="AC105" i="2"/>
  <c r="AB105" i="2"/>
  <c r="AA105" i="2"/>
  <c r="Z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Y105" i="2"/>
  <c r="Y101" i="2"/>
  <c r="AF101" i="2"/>
  <c r="AE101" i="2"/>
  <c r="AD101" i="2"/>
  <c r="AC101" i="2"/>
  <c r="AB101" i="2"/>
  <c r="AA101" i="2"/>
  <c r="Z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AF92" i="2"/>
  <c r="AF93" i="2" s="1"/>
  <c r="AE92" i="2"/>
  <c r="AE93" i="2" s="1"/>
  <c r="AD92" i="2"/>
  <c r="AD93" i="2" s="1"/>
  <c r="AC92" i="2"/>
  <c r="AC93" i="2" s="1"/>
  <c r="AB92" i="2"/>
  <c r="AB93" i="2" s="1"/>
  <c r="AA92" i="2"/>
  <c r="AA93" i="2" s="1"/>
  <c r="Z92" i="2"/>
  <c r="Z93" i="2" s="1"/>
  <c r="Y92" i="2"/>
  <c r="X92" i="2"/>
  <c r="W92" i="2"/>
  <c r="V92" i="2"/>
  <c r="V93" i="2" s="1"/>
  <c r="U92" i="2"/>
  <c r="T92" i="2"/>
  <c r="S92" i="2"/>
  <c r="R92" i="2"/>
  <c r="Q92" i="2"/>
  <c r="P92" i="2"/>
  <c r="O92" i="2"/>
  <c r="N92" i="2"/>
  <c r="M92" i="2"/>
  <c r="L92" i="2"/>
  <c r="K92" i="2"/>
  <c r="J92" i="2"/>
  <c r="J93" i="2" s="1"/>
  <c r="I92" i="2"/>
  <c r="I93" i="2" s="1"/>
  <c r="H92" i="2"/>
  <c r="G92" i="2"/>
  <c r="F92" i="2"/>
  <c r="E92" i="2"/>
  <c r="D92" i="2"/>
  <c r="C92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L93" i="2" s="1"/>
  <c r="K85" i="2"/>
  <c r="J85" i="2"/>
  <c r="I85" i="2"/>
  <c r="H85" i="2"/>
  <c r="G85" i="2"/>
  <c r="F85" i="2"/>
  <c r="E85" i="2"/>
  <c r="D85" i="2"/>
  <c r="C85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Z8" i="3"/>
  <c r="AE51" i="3"/>
  <c r="AE57" i="3" s="1"/>
  <c r="AD51" i="3"/>
  <c r="AD57" i="3" s="1"/>
  <c r="AC51" i="3"/>
  <c r="AC57" i="3" s="1"/>
  <c r="AB51" i="3"/>
  <c r="AB57" i="3" s="1"/>
  <c r="S51" i="3"/>
  <c r="S57" i="3" s="1"/>
  <c r="R51" i="3"/>
  <c r="R57" i="3" s="1"/>
  <c r="Q51" i="3"/>
  <c r="Q57" i="3" s="1"/>
  <c r="P51" i="3"/>
  <c r="P57" i="3" s="1"/>
  <c r="O51" i="3"/>
  <c r="O57" i="3" s="1"/>
  <c r="N51" i="3"/>
  <c r="N57" i="3" s="1"/>
  <c r="M51" i="3"/>
  <c r="M57" i="3" s="1"/>
  <c r="L51" i="3"/>
  <c r="L57" i="3" s="1"/>
  <c r="K51" i="3"/>
  <c r="K57" i="3" s="1"/>
  <c r="J51" i="3"/>
  <c r="J57" i="3" s="1"/>
  <c r="I51" i="3"/>
  <c r="I57" i="3" s="1"/>
  <c r="H51" i="3"/>
  <c r="H57" i="3" s="1"/>
  <c r="G51" i="3"/>
  <c r="G57" i="3" s="1"/>
  <c r="F51" i="3"/>
  <c r="F57" i="3" s="1"/>
  <c r="E51" i="3"/>
  <c r="E57" i="3" s="1"/>
  <c r="D51" i="3"/>
  <c r="D57" i="3" s="1"/>
  <c r="T49" i="3"/>
  <c r="AR45" i="3"/>
  <c r="AR49" i="3" s="1"/>
  <c r="AQ45" i="3"/>
  <c r="AQ49" i="3" s="1"/>
  <c r="AP45" i="3"/>
  <c r="AP49" i="3" s="1"/>
  <c r="AO45" i="3"/>
  <c r="AO49" i="3" s="1"/>
  <c r="AN45" i="3"/>
  <c r="AN49" i="3" s="1"/>
  <c r="Z45" i="3"/>
  <c r="Z49" i="3" s="1"/>
  <c r="Y45" i="3"/>
  <c r="Y49" i="3" s="1"/>
  <c r="X45" i="3"/>
  <c r="X49" i="3" s="1"/>
  <c r="W45" i="3"/>
  <c r="W49" i="3" s="1"/>
  <c r="V45" i="3"/>
  <c r="V49" i="3" s="1"/>
  <c r="U45" i="3"/>
  <c r="U49" i="3" s="1"/>
  <c r="T45" i="3"/>
  <c r="S45" i="3"/>
  <c r="S49" i="3" s="1"/>
  <c r="R45" i="3"/>
  <c r="R49" i="3" s="1"/>
  <c r="Q45" i="3"/>
  <c r="Q49" i="3" s="1"/>
  <c r="P45" i="3"/>
  <c r="P49" i="3" s="1"/>
  <c r="O45" i="3"/>
  <c r="O49" i="3" s="1"/>
  <c r="N45" i="3"/>
  <c r="N49" i="3" s="1"/>
  <c r="M45" i="3"/>
  <c r="M49" i="3" s="1"/>
  <c r="L45" i="3"/>
  <c r="L49" i="3" s="1"/>
  <c r="K45" i="3"/>
  <c r="K49" i="3" s="1"/>
  <c r="J45" i="3"/>
  <c r="J49" i="3" s="1"/>
  <c r="I45" i="3"/>
  <c r="I49" i="3" s="1"/>
  <c r="H45" i="3"/>
  <c r="H49" i="3" s="1"/>
  <c r="G45" i="3"/>
  <c r="G49" i="3" s="1"/>
  <c r="F45" i="3"/>
  <c r="F49" i="3" s="1"/>
  <c r="E45" i="3"/>
  <c r="E49" i="3" s="1"/>
  <c r="D45" i="3"/>
  <c r="D49" i="3" s="1"/>
  <c r="W43" i="3"/>
  <c r="V43" i="3"/>
  <c r="U43" i="3"/>
  <c r="AR38" i="3"/>
  <c r="AR43" i="3" s="1"/>
  <c r="AQ38" i="3"/>
  <c r="AQ43" i="3" s="1"/>
  <c r="AP38" i="3"/>
  <c r="AP43" i="3" s="1"/>
  <c r="AO38" i="3"/>
  <c r="AO43" i="3" s="1"/>
  <c r="AN38" i="3"/>
  <c r="AN43" i="3" s="1"/>
  <c r="Z38" i="3"/>
  <c r="Z43" i="3" s="1"/>
  <c r="Y38" i="3"/>
  <c r="Y43" i="3" s="1"/>
  <c r="X38" i="3"/>
  <c r="X43" i="3" s="1"/>
  <c r="W38" i="3"/>
  <c r="V38" i="3"/>
  <c r="U38" i="3"/>
  <c r="T38" i="3"/>
  <c r="T43" i="3" s="1"/>
  <c r="S38" i="3"/>
  <c r="S43" i="3" s="1"/>
  <c r="R38" i="3"/>
  <c r="R43" i="3" s="1"/>
  <c r="Q38" i="3"/>
  <c r="Q43" i="3" s="1"/>
  <c r="P38" i="3"/>
  <c r="P43" i="3" s="1"/>
  <c r="O38" i="3"/>
  <c r="O43" i="3" s="1"/>
  <c r="N38" i="3"/>
  <c r="N43" i="3" s="1"/>
  <c r="M38" i="3"/>
  <c r="M43" i="3" s="1"/>
  <c r="L38" i="3"/>
  <c r="L43" i="3" s="1"/>
  <c r="K38" i="3"/>
  <c r="K43" i="3" s="1"/>
  <c r="J38" i="3"/>
  <c r="J43" i="3" s="1"/>
  <c r="I38" i="3"/>
  <c r="I43" i="3" s="1"/>
  <c r="H38" i="3"/>
  <c r="H43" i="3" s="1"/>
  <c r="G38" i="3"/>
  <c r="G43" i="3" s="1"/>
  <c r="F38" i="3"/>
  <c r="F43" i="3" s="1"/>
  <c r="E38" i="3"/>
  <c r="E43" i="3" s="1"/>
  <c r="D38" i="3"/>
  <c r="D43" i="3" s="1"/>
  <c r="Q36" i="3"/>
  <c r="P36" i="3"/>
  <c r="E36" i="3"/>
  <c r="AR32" i="3"/>
  <c r="AR36" i="3" s="1"/>
  <c r="AQ32" i="3"/>
  <c r="AQ36" i="3" s="1"/>
  <c r="AP32" i="3"/>
  <c r="AP36" i="3" s="1"/>
  <c r="AO32" i="3"/>
  <c r="AO36" i="3" s="1"/>
  <c r="AN32" i="3"/>
  <c r="AN36" i="3" s="1"/>
  <c r="Z32" i="3"/>
  <c r="Z36" i="3" s="1"/>
  <c r="Y32" i="3"/>
  <c r="Y36" i="3" s="1"/>
  <c r="X32" i="3"/>
  <c r="X36" i="3" s="1"/>
  <c r="W32" i="3"/>
  <c r="W36" i="3" s="1"/>
  <c r="V32" i="3"/>
  <c r="V36" i="3" s="1"/>
  <c r="U32" i="3"/>
  <c r="U36" i="3" s="1"/>
  <c r="T32" i="3"/>
  <c r="T36" i="3" s="1"/>
  <c r="S32" i="3"/>
  <c r="S36" i="3" s="1"/>
  <c r="R32" i="3"/>
  <c r="R36" i="3" s="1"/>
  <c r="Q32" i="3"/>
  <c r="P32" i="3"/>
  <c r="O32" i="3"/>
  <c r="O36" i="3" s="1"/>
  <c r="N32" i="3"/>
  <c r="N36" i="3" s="1"/>
  <c r="M32" i="3"/>
  <c r="M36" i="3" s="1"/>
  <c r="L32" i="3"/>
  <c r="L36" i="3" s="1"/>
  <c r="K32" i="3"/>
  <c r="K36" i="3" s="1"/>
  <c r="J32" i="3"/>
  <c r="J36" i="3" s="1"/>
  <c r="I32" i="3"/>
  <c r="I36" i="3" s="1"/>
  <c r="H32" i="3"/>
  <c r="H36" i="3" s="1"/>
  <c r="G32" i="3"/>
  <c r="G36" i="3" s="1"/>
  <c r="F32" i="3"/>
  <c r="F36" i="3" s="1"/>
  <c r="E32" i="3"/>
  <c r="D32" i="3"/>
  <c r="D36" i="3" s="1"/>
  <c r="AR26" i="3"/>
  <c r="AR30" i="3" s="1"/>
  <c r="AQ26" i="3"/>
  <c r="AQ30" i="3" s="1"/>
  <c r="AP26" i="3"/>
  <c r="AP30" i="3" s="1"/>
  <c r="AO26" i="3"/>
  <c r="AO30" i="3" s="1"/>
  <c r="AN26" i="3"/>
  <c r="AN30" i="3" s="1"/>
  <c r="Z26" i="3"/>
  <c r="Z30" i="3" s="1"/>
  <c r="Y26" i="3"/>
  <c r="Y30" i="3" s="1"/>
  <c r="X26" i="3"/>
  <c r="X30" i="3" s="1"/>
  <c r="W26" i="3"/>
  <c r="W30" i="3" s="1"/>
  <c r="V26" i="3"/>
  <c r="V30" i="3" s="1"/>
  <c r="U26" i="3"/>
  <c r="U30" i="3" s="1"/>
  <c r="T26" i="3"/>
  <c r="T30" i="3" s="1"/>
  <c r="S26" i="3"/>
  <c r="S30" i="3" s="1"/>
  <c r="R26" i="3"/>
  <c r="R30" i="3" s="1"/>
  <c r="Q26" i="3"/>
  <c r="Q30" i="3" s="1"/>
  <c r="P26" i="3"/>
  <c r="P30" i="3" s="1"/>
  <c r="O26" i="3"/>
  <c r="O30" i="3" s="1"/>
  <c r="N26" i="3"/>
  <c r="N30" i="3" s="1"/>
  <c r="M26" i="3"/>
  <c r="M30" i="3" s="1"/>
  <c r="L26" i="3"/>
  <c r="L30" i="3" s="1"/>
  <c r="K26" i="3"/>
  <c r="K30" i="3" s="1"/>
  <c r="J26" i="3"/>
  <c r="J30" i="3" s="1"/>
  <c r="I26" i="3"/>
  <c r="I30" i="3" s="1"/>
  <c r="H26" i="3"/>
  <c r="H30" i="3" s="1"/>
  <c r="G26" i="3"/>
  <c r="G30" i="3" s="1"/>
  <c r="F26" i="3"/>
  <c r="F30" i="3" s="1"/>
  <c r="E26" i="3"/>
  <c r="E30" i="3" s="1"/>
  <c r="D26" i="3"/>
  <c r="D30" i="3" s="1"/>
  <c r="AR23" i="3"/>
  <c r="AQ23" i="3"/>
  <c r="AP23" i="3"/>
  <c r="AO23" i="3"/>
  <c r="AN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P22" i="3"/>
  <c r="AR15" i="3"/>
  <c r="AR22" i="3" s="1"/>
  <c r="AQ15" i="3"/>
  <c r="AQ22" i="3" s="1"/>
  <c r="AP15" i="3"/>
  <c r="AP22" i="3" s="1"/>
  <c r="AO15" i="3"/>
  <c r="AO22" i="3" s="1"/>
  <c r="AN15" i="3"/>
  <c r="AN22" i="3" s="1"/>
  <c r="Z15" i="3"/>
  <c r="Z22" i="3" s="1"/>
  <c r="Z24" i="3" s="1"/>
  <c r="Y15" i="3"/>
  <c r="Y22" i="3" s="1"/>
  <c r="Y24" i="3" s="1"/>
  <c r="X15" i="3"/>
  <c r="X22" i="3" s="1"/>
  <c r="X24" i="3" s="1"/>
  <c r="W15" i="3"/>
  <c r="W22" i="3" s="1"/>
  <c r="W24" i="3" s="1"/>
  <c r="V15" i="3"/>
  <c r="V22" i="3" s="1"/>
  <c r="V24" i="3" s="1"/>
  <c r="U15" i="3"/>
  <c r="U22" i="3" s="1"/>
  <c r="U24" i="3" s="1"/>
  <c r="T15" i="3"/>
  <c r="T22" i="3" s="1"/>
  <c r="S15" i="3"/>
  <c r="S22" i="3" s="1"/>
  <c r="R15" i="3"/>
  <c r="R22" i="3" s="1"/>
  <c r="Q15" i="3"/>
  <c r="Q22" i="3" s="1"/>
  <c r="P15" i="3"/>
  <c r="O15" i="3"/>
  <c r="O22" i="3" s="1"/>
  <c r="N15" i="3"/>
  <c r="N22" i="3" s="1"/>
  <c r="N24" i="3" s="1"/>
  <c r="M15" i="3"/>
  <c r="M22" i="3" s="1"/>
  <c r="M24" i="3" s="1"/>
  <c r="L15" i="3"/>
  <c r="L22" i="3" s="1"/>
  <c r="L24" i="3" s="1"/>
  <c r="K15" i="3"/>
  <c r="K22" i="3" s="1"/>
  <c r="K24" i="3" s="1"/>
  <c r="J15" i="3"/>
  <c r="J22" i="3" s="1"/>
  <c r="J24" i="3" s="1"/>
  <c r="I15" i="3"/>
  <c r="I22" i="3" s="1"/>
  <c r="I24" i="3" s="1"/>
  <c r="H15" i="3"/>
  <c r="H22" i="3" s="1"/>
  <c r="G15" i="3"/>
  <c r="G22" i="3" s="1"/>
  <c r="F15" i="3"/>
  <c r="F22" i="3" s="1"/>
  <c r="E15" i="3"/>
  <c r="E22" i="3" s="1"/>
  <c r="D15" i="3"/>
  <c r="D22" i="3" s="1"/>
  <c r="S13" i="3"/>
  <c r="Z12" i="3"/>
  <c r="Z11" i="3"/>
  <c r="Z10" i="3"/>
  <c r="Z9" i="3"/>
  <c r="AR8" i="3"/>
  <c r="AR13" i="3" s="1"/>
  <c r="AQ8" i="3"/>
  <c r="AQ13" i="3" s="1"/>
  <c r="AP8" i="3"/>
  <c r="AP13" i="3" s="1"/>
  <c r="AO8" i="3"/>
  <c r="AO13" i="3" s="1"/>
  <c r="AN8" i="3"/>
  <c r="AN13" i="3" s="1"/>
  <c r="Y8" i="3"/>
  <c r="Y13" i="3" s="1"/>
  <c r="X8" i="3"/>
  <c r="X13" i="3" s="1"/>
  <c r="W8" i="3"/>
  <c r="W13" i="3" s="1"/>
  <c r="V8" i="3"/>
  <c r="V13" i="3" s="1"/>
  <c r="U8" i="3"/>
  <c r="U13" i="3" s="1"/>
  <c r="T8" i="3"/>
  <c r="T13" i="3" s="1"/>
  <c r="S8" i="3"/>
  <c r="R8" i="3"/>
  <c r="R13" i="3" s="1"/>
  <c r="Q8" i="3"/>
  <c r="Q13" i="3" s="1"/>
  <c r="P8" i="3"/>
  <c r="P13" i="3" s="1"/>
  <c r="O8" i="3"/>
  <c r="O13" i="3" s="1"/>
  <c r="N8" i="3"/>
  <c r="N13" i="3" s="1"/>
  <c r="M8" i="3"/>
  <c r="M13" i="3" s="1"/>
  <c r="L8" i="3"/>
  <c r="L13" i="3" s="1"/>
  <c r="K8" i="3"/>
  <c r="K13" i="3" s="1"/>
  <c r="J8" i="3"/>
  <c r="J13" i="3" s="1"/>
  <c r="I8" i="3"/>
  <c r="I13" i="3" s="1"/>
  <c r="H8" i="3"/>
  <c r="H13" i="3" s="1"/>
  <c r="G8" i="3"/>
  <c r="G13" i="3" s="1"/>
  <c r="F8" i="3"/>
  <c r="F13" i="3" s="1"/>
  <c r="E8" i="3"/>
  <c r="E13" i="3" s="1"/>
  <c r="D8" i="3"/>
  <c r="D13" i="3" s="1"/>
  <c r="Z7" i="3"/>
  <c r="Z6" i="3"/>
  <c r="Z5" i="3"/>
  <c r="Z4" i="3"/>
  <c r="AQ46" i="2"/>
  <c r="AP46" i="2"/>
  <c r="AO46" i="2"/>
  <c r="AN46" i="2"/>
  <c r="AQ45" i="2"/>
  <c r="AP45" i="2"/>
  <c r="AO45" i="2"/>
  <c r="AN45" i="2"/>
  <c r="AQ44" i="2"/>
  <c r="AP44" i="2"/>
  <c r="AO44" i="2"/>
  <c r="AN44" i="2"/>
  <c r="AQ42" i="2"/>
  <c r="AP42" i="2"/>
  <c r="AO42" i="2"/>
  <c r="AN42" i="2"/>
  <c r="AQ41" i="2"/>
  <c r="AP41" i="2"/>
  <c r="AO41" i="2"/>
  <c r="AN41" i="2"/>
  <c r="AR46" i="2"/>
  <c r="AR45" i="2"/>
  <c r="AR44" i="2"/>
  <c r="AR42" i="2"/>
  <c r="AR41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6" i="2"/>
  <c r="G45" i="2"/>
  <c r="G44" i="2"/>
  <c r="G42" i="2"/>
  <c r="G41" i="2"/>
  <c r="AM5" i="2"/>
  <c r="AM9" i="2" s="1"/>
  <c r="AM50" i="2" s="1"/>
  <c r="AV29" i="2"/>
  <c r="AU29" i="2"/>
  <c r="AV18" i="2"/>
  <c r="AU18" i="2"/>
  <c r="AV5" i="2"/>
  <c r="AV9" i="2" s="1"/>
  <c r="AU5" i="2"/>
  <c r="AU9" i="2" s="1"/>
  <c r="AT29" i="2"/>
  <c r="AS29" i="2"/>
  <c r="AR29" i="2"/>
  <c r="AQ29" i="2"/>
  <c r="AP29" i="2"/>
  <c r="AO29" i="2"/>
  <c r="AN29" i="2"/>
  <c r="AM29" i="2"/>
  <c r="AT18" i="2"/>
  <c r="AS18" i="2"/>
  <c r="AR18" i="2"/>
  <c r="AQ18" i="2"/>
  <c r="AP18" i="2"/>
  <c r="AO18" i="2"/>
  <c r="AN18" i="2"/>
  <c r="AM18" i="2"/>
  <c r="AT5" i="2"/>
  <c r="AT9" i="2" s="1"/>
  <c r="AS5" i="2"/>
  <c r="AS9" i="2" s="1"/>
  <c r="AR5" i="2"/>
  <c r="AQ5" i="2"/>
  <c r="AP5" i="2"/>
  <c r="AO5" i="2"/>
  <c r="AN5" i="2"/>
  <c r="AN9" i="2" s="1"/>
  <c r="AN54" i="2" s="1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AA5" i="2"/>
  <c r="AA9" i="2" s="1"/>
  <c r="AB5" i="2"/>
  <c r="AB9" i="2" s="1"/>
  <c r="AC5" i="2"/>
  <c r="AC9" i="2" s="1"/>
  <c r="AD5" i="2"/>
  <c r="AD9" i="2" s="1"/>
  <c r="AE5" i="2"/>
  <c r="AE9" i="2" s="1"/>
  <c r="AF5" i="2"/>
  <c r="AF9" i="2" s="1"/>
  <c r="Z5" i="2"/>
  <c r="Y5" i="2"/>
  <c r="X5" i="2"/>
  <c r="X9" i="2" s="1"/>
  <c r="X54" i="2" s="1"/>
  <c r="W5" i="2"/>
  <c r="W9" i="2" s="1"/>
  <c r="V5" i="2"/>
  <c r="U5" i="2"/>
  <c r="U9" i="2" s="1"/>
  <c r="T5" i="2"/>
  <c r="T9" i="2" s="1"/>
  <c r="T51" i="2" s="1"/>
  <c r="S5" i="2"/>
  <c r="R5" i="2"/>
  <c r="Q5" i="2"/>
  <c r="P5" i="2"/>
  <c r="P9" i="2" s="1"/>
  <c r="O5" i="2"/>
  <c r="N5" i="2"/>
  <c r="N9" i="2" s="1"/>
  <c r="M5" i="2"/>
  <c r="L5" i="2"/>
  <c r="L9" i="2" s="1"/>
  <c r="K5" i="2"/>
  <c r="K9" i="2" s="1"/>
  <c r="J5" i="2"/>
  <c r="J9" i="2" s="1"/>
  <c r="I5" i="2"/>
  <c r="I9" i="2" s="1"/>
  <c r="I52" i="2" s="1"/>
  <c r="H5" i="2"/>
  <c r="H9" i="2" s="1"/>
  <c r="H50" i="2" s="1"/>
  <c r="G5" i="2"/>
  <c r="F5" i="2"/>
  <c r="F9" i="2" s="1"/>
  <c r="E5" i="2"/>
  <c r="E9" i="2" s="1"/>
  <c r="E50" i="2" s="1"/>
  <c r="D5" i="2"/>
  <c r="D9" i="2" s="1"/>
  <c r="C5" i="2"/>
  <c r="C9" i="2" s="1"/>
  <c r="Q29" i="1"/>
  <c r="Q26" i="1"/>
  <c r="Q23" i="1"/>
  <c r="Q20" i="1"/>
  <c r="Q17" i="1"/>
  <c r="Q14" i="1"/>
  <c r="Q11" i="1"/>
  <c r="Q8" i="1"/>
  <c r="I12" i="1" l="1"/>
  <c r="U93" i="2"/>
  <c r="C93" i="2"/>
  <c r="M93" i="2"/>
  <c r="E93" i="2"/>
  <c r="Q93" i="2"/>
  <c r="F93" i="2"/>
  <c r="R93" i="2"/>
  <c r="X93" i="2"/>
  <c r="Y93" i="2"/>
  <c r="S93" i="2"/>
  <c r="G93" i="2"/>
  <c r="H93" i="2"/>
  <c r="T93" i="2"/>
  <c r="K93" i="2"/>
  <c r="W93" i="2"/>
  <c r="N93" i="2"/>
  <c r="O93" i="2"/>
  <c r="D93" i="2"/>
  <c r="P93" i="2"/>
  <c r="T54" i="2"/>
  <c r="Y43" i="2"/>
  <c r="M43" i="2"/>
  <c r="Z19" i="2"/>
  <c r="Z21" i="2" s="1"/>
  <c r="Z23" i="2" s="1"/>
  <c r="Z25" i="2" s="1"/>
  <c r="Z33" i="2" s="1"/>
  <c r="H52" i="2"/>
  <c r="H51" i="2"/>
  <c r="W53" i="2"/>
  <c r="W51" i="2"/>
  <c r="O43" i="2"/>
  <c r="AP43" i="2"/>
  <c r="S43" i="2"/>
  <c r="AA19" i="2"/>
  <c r="AA21" i="2" s="1"/>
  <c r="AA23" i="2" s="1"/>
  <c r="AA25" i="2" s="1"/>
  <c r="AA34" i="2" s="1"/>
  <c r="AP9" i="2"/>
  <c r="AP52" i="2" s="1"/>
  <c r="H47" i="2"/>
  <c r="D52" i="2"/>
  <c r="N53" i="2"/>
  <c r="N19" i="2"/>
  <c r="N21" i="2" s="1"/>
  <c r="N54" i="2"/>
  <c r="N51" i="2"/>
  <c r="C54" i="2"/>
  <c r="C19" i="2"/>
  <c r="C58" i="2" s="1"/>
  <c r="C53" i="2"/>
  <c r="R43" i="2"/>
  <c r="I43" i="2"/>
  <c r="AN52" i="2"/>
  <c r="M9" i="2"/>
  <c r="AP54" i="2"/>
  <c r="O9" i="2"/>
  <c r="O47" i="2" s="1"/>
  <c r="G43" i="2"/>
  <c r="W19" i="2"/>
  <c r="W21" i="2" s="1"/>
  <c r="AO43" i="2"/>
  <c r="AN50" i="2"/>
  <c r="Y9" i="2"/>
  <c r="Y53" i="2" s="1"/>
  <c r="W52" i="2"/>
  <c r="AN51" i="2"/>
  <c r="AS19" i="2"/>
  <c r="AS21" i="2" s="1"/>
  <c r="AS23" i="2" s="1"/>
  <c r="AS25" i="2" s="1"/>
  <c r="AS34" i="2" s="1"/>
  <c r="V43" i="2"/>
  <c r="T43" i="2"/>
  <c r="AN53" i="2"/>
  <c r="AO9" i="2"/>
  <c r="AO51" i="2" s="1"/>
  <c r="X43" i="2"/>
  <c r="T50" i="2"/>
  <c r="J54" i="2"/>
  <c r="J50" i="2"/>
  <c r="J53" i="2"/>
  <c r="J52" i="2"/>
  <c r="J51" i="2"/>
  <c r="J47" i="2"/>
  <c r="J19" i="2"/>
  <c r="X51" i="2"/>
  <c r="X53" i="2"/>
  <c r="X50" i="2"/>
  <c r="X47" i="2"/>
  <c r="X52" i="2"/>
  <c r="P19" i="2"/>
  <c r="X19" i="2"/>
  <c r="Y54" i="2"/>
  <c r="J43" i="2"/>
  <c r="D51" i="2"/>
  <c r="D53" i="2"/>
  <c r="D50" i="2"/>
  <c r="D54" i="2"/>
  <c r="F52" i="2"/>
  <c r="F54" i="2"/>
  <c r="F53" i="2"/>
  <c r="L51" i="2"/>
  <c r="L47" i="2"/>
  <c r="L50" i="2"/>
  <c r="L19" i="2"/>
  <c r="L43" i="2"/>
  <c r="I47" i="2"/>
  <c r="K54" i="2"/>
  <c r="K50" i="2"/>
  <c r="K53" i="2"/>
  <c r="K52" i="2"/>
  <c r="K51" i="2"/>
  <c r="K19" i="2"/>
  <c r="AM53" i="2"/>
  <c r="AM51" i="2"/>
  <c r="AN47" i="2"/>
  <c r="AM54" i="2"/>
  <c r="F50" i="2"/>
  <c r="L53" i="2"/>
  <c r="E51" i="2"/>
  <c r="E52" i="2"/>
  <c r="E53" i="2"/>
  <c r="E19" i="2"/>
  <c r="E54" i="2"/>
  <c r="Q43" i="2"/>
  <c r="Q9" i="2"/>
  <c r="AD19" i="2"/>
  <c r="AD21" i="2" s="1"/>
  <c r="AD23" i="2" s="1"/>
  <c r="AD25" i="2" s="1"/>
  <c r="P47" i="2"/>
  <c r="P51" i="2"/>
  <c r="P53" i="2"/>
  <c r="P54" i="2"/>
  <c r="P52" i="2"/>
  <c r="P50" i="2"/>
  <c r="AC19" i="2"/>
  <c r="AC21" i="2" s="1"/>
  <c r="AC23" i="2" s="1"/>
  <c r="AC25" i="2" s="1"/>
  <c r="R9" i="2"/>
  <c r="L52" i="2"/>
  <c r="G9" i="2"/>
  <c r="K47" i="2" s="1"/>
  <c r="K43" i="2"/>
  <c r="S9" i="2"/>
  <c r="W43" i="2"/>
  <c r="AB19" i="2"/>
  <c r="AB21" i="2" s="1"/>
  <c r="AB23" i="2" s="1"/>
  <c r="AB25" i="2" s="1"/>
  <c r="V9" i="2"/>
  <c r="H53" i="2"/>
  <c r="H19" i="2"/>
  <c r="H54" i="2"/>
  <c r="T53" i="2"/>
  <c r="T19" i="2"/>
  <c r="T47" i="2"/>
  <c r="D19" i="2"/>
  <c r="AQ9" i="2"/>
  <c r="AQ19" i="2" s="1"/>
  <c r="AQ43" i="2"/>
  <c r="F51" i="2"/>
  <c r="T52" i="2"/>
  <c r="AM52" i="2"/>
  <c r="F19" i="2"/>
  <c r="AR9" i="2"/>
  <c r="AR43" i="2"/>
  <c r="H43" i="2"/>
  <c r="L54" i="2"/>
  <c r="N43" i="2"/>
  <c r="U43" i="2"/>
  <c r="I50" i="2"/>
  <c r="I51" i="2"/>
  <c r="AF19" i="2"/>
  <c r="AF21" i="2" s="1"/>
  <c r="AF23" i="2" s="1"/>
  <c r="AF25" i="2" s="1"/>
  <c r="P43" i="2"/>
  <c r="AE19" i="2"/>
  <c r="AE21" i="2" s="1"/>
  <c r="AE23" i="2" s="1"/>
  <c r="AE25" i="2" s="1"/>
  <c r="N50" i="2"/>
  <c r="N47" i="2"/>
  <c r="N52" i="2"/>
  <c r="I53" i="2"/>
  <c r="I19" i="2"/>
  <c r="I54" i="2"/>
  <c r="U53" i="2"/>
  <c r="U19" i="2"/>
  <c r="U54" i="2"/>
  <c r="C50" i="2"/>
  <c r="C51" i="2"/>
  <c r="C52" i="2"/>
  <c r="W54" i="2"/>
  <c r="W50" i="2"/>
  <c r="U50" i="2"/>
  <c r="U51" i="2"/>
  <c r="U52" i="2"/>
  <c r="AU19" i="2"/>
  <c r="AU21" i="2" s="1"/>
  <c r="AU23" i="2" s="1"/>
  <c r="AU25" i="2" s="1"/>
  <c r="AU30" i="2" s="1"/>
  <c r="AN43" i="2"/>
  <c r="AV19" i="2"/>
  <c r="AV21" i="2" s="1"/>
  <c r="AV23" i="2" s="1"/>
  <c r="AV25" i="2" s="1"/>
  <c r="AV33" i="2" s="1"/>
  <c r="D24" i="3"/>
  <c r="AO24" i="3"/>
  <c r="F24" i="3"/>
  <c r="AQ24" i="3"/>
  <c r="E24" i="3"/>
  <c r="AP24" i="3"/>
  <c r="G24" i="3"/>
  <c r="AR24" i="3"/>
  <c r="P24" i="3"/>
  <c r="S24" i="3"/>
  <c r="Q24" i="3"/>
  <c r="AN24" i="3"/>
  <c r="Z13" i="3"/>
  <c r="O24" i="3"/>
  <c r="R24" i="3"/>
  <c r="H24" i="3"/>
  <c r="T24" i="3"/>
  <c r="AM19" i="2"/>
  <c r="AN19" i="2"/>
  <c r="AT19" i="2"/>
  <c r="AT21" i="2" s="1"/>
  <c r="AT23" i="2" s="1"/>
  <c r="AT25" i="2" s="1"/>
  <c r="AT30" i="2" s="1"/>
  <c r="N58" i="2" l="1"/>
  <c r="AP53" i="2"/>
  <c r="AP50" i="2"/>
  <c r="AP51" i="2"/>
  <c r="AA33" i="2"/>
  <c r="AP19" i="2"/>
  <c r="AP21" i="2" s="1"/>
  <c r="AU33" i="2"/>
  <c r="N57" i="2"/>
  <c r="AO53" i="2"/>
  <c r="Z30" i="2"/>
  <c r="Z34" i="2"/>
  <c r="Y52" i="2"/>
  <c r="O19" i="2"/>
  <c r="O21" i="2" s="1"/>
  <c r="AT34" i="2"/>
  <c r="O52" i="2"/>
  <c r="AP47" i="2"/>
  <c r="O51" i="2"/>
  <c r="AA30" i="2"/>
  <c r="O50" i="2"/>
  <c r="W58" i="2"/>
  <c r="W57" i="2"/>
  <c r="O54" i="2"/>
  <c r="O53" i="2"/>
  <c r="AT33" i="2"/>
  <c r="M53" i="2"/>
  <c r="M52" i="2"/>
  <c r="M54" i="2"/>
  <c r="M19" i="2"/>
  <c r="M21" i="2" s="1"/>
  <c r="AS33" i="2"/>
  <c r="AS30" i="2"/>
  <c r="M47" i="2"/>
  <c r="Y19" i="2"/>
  <c r="Y58" i="2" s="1"/>
  <c r="M51" i="2"/>
  <c r="C57" i="2"/>
  <c r="Y47" i="2"/>
  <c r="M50" i="2"/>
  <c r="C21" i="2"/>
  <c r="C59" i="2" s="1"/>
  <c r="Y50" i="2"/>
  <c r="AO50" i="2"/>
  <c r="AO52" i="2"/>
  <c r="AO47" i="2"/>
  <c r="AO54" i="2"/>
  <c r="Y51" i="2"/>
  <c r="AO19" i="2"/>
  <c r="AO57" i="2" s="1"/>
  <c r="AR54" i="2"/>
  <c r="AR52" i="2"/>
  <c r="AR50" i="2"/>
  <c r="AR51" i="2"/>
  <c r="AR53" i="2"/>
  <c r="AR47" i="2"/>
  <c r="H57" i="2"/>
  <c r="H58" i="2"/>
  <c r="H21" i="2"/>
  <c r="AC33" i="2"/>
  <c r="AC30" i="2"/>
  <c r="AC34" i="2"/>
  <c r="E58" i="2"/>
  <c r="E57" i="2"/>
  <c r="E21" i="2"/>
  <c r="W23" i="2"/>
  <c r="W59" i="2"/>
  <c r="AN21" i="2"/>
  <c r="AN58" i="2"/>
  <c r="AN57" i="2"/>
  <c r="F58" i="2"/>
  <c r="F21" i="2"/>
  <c r="F57" i="2"/>
  <c r="K21" i="2"/>
  <c r="K57" i="2"/>
  <c r="K58" i="2"/>
  <c r="N59" i="2"/>
  <c r="N23" i="2"/>
  <c r="AR19" i="2"/>
  <c r="U58" i="2"/>
  <c r="U57" i="2"/>
  <c r="U21" i="2"/>
  <c r="P57" i="2"/>
  <c r="P58" i="2"/>
  <c r="P21" i="2"/>
  <c r="AQ21" i="2"/>
  <c r="AQ58" i="2"/>
  <c r="AQ57" i="2"/>
  <c r="O57" i="2"/>
  <c r="J21" i="2"/>
  <c r="J58" i="2"/>
  <c r="J57" i="2"/>
  <c r="AF34" i="2"/>
  <c r="AF33" i="2"/>
  <c r="AF30" i="2"/>
  <c r="V54" i="2"/>
  <c r="V50" i="2"/>
  <c r="V47" i="2"/>
  <c r="V19" i="2"/>
  <c r="V52" i="2"/>
  <c r="V53" i="2"/>
  <c r="V51" i="2"/>
  <c r="I21" i="2"/>
  <c r="I58" i="2"/>
  <c r="I57" i="2"/>
  <c r="AB33" i="2"/>
  <c r="AB34" i="2"/>
  <c r="AB30" i="2"/>
  <c r="AM21" i="2"/>
  <c r="AM58" i="2"/>
  <c r="AM57" i="2"/>
  <c r="AQ53" i="2"/>
  <c r="AQ51" i="2"/>
  <c r="AQ54" i="2"/>
  <c r="AQ47" i="2"/>
  <c r="AQ50" i="2"/>
  <c r="AQ52" i="2"/>
  <c r="M57" i="2"/>
  <c r="D57" i="2"/>
  <c r="D58" i="2"/>
  <c r="D21" i="2"/>
  <c r="S52" i="2"/>
  <c r="S53" i="2"/>
  <c r="S19" i="2"/>
  <c r="S54" i="2"/>
  <c r="S51" i="2"/>
  <c r="S50" i="2"/>
  <c r="W47" i="2"/>
  <c r="S47" i="2"/>
  <c r="AD30" i="2"/>
  <c r="AD34" i="2"/>
  <c r="AD33" i="2"/>
  <c r="AV30" i="2"/>
  <c r="T58" i="2"/>
  <c r="T57" i="2"/>
  <c r="T21" i="2"/>
  <c r="G52" i="2"/>
  <c r="G19" i="2"/>
  <c r="G53" i="2"/>
  <c r="G54" i="2"/>
  <c r="G51" i="2"/>
  <c r="G47" i="2"/>
  <c r="G50" i="2"/>
  <c r="Q51" i="2"/>
  <c r="Q52" i="2"/>
  <c r="Q47" i="2"/>
  <c r="Q53" i="2"/>
  <c r="Q19" i="2"/>
  <c r="Q50" i="2"/>
  <c r="Q54" i="2"/>
  <c r="U47" i="2"/>
  <c r="L57" i="2"/>
  <c r="L58" i="2"/>
  <c r="L21" i="2"/>
  <c r="X57" i="2"/>
  <c r="X58" i="2"/>
  <c r="X21" i="2"/>
  <c r="AE30" i="2"/>
  <c r="AE34" i="2"/>
  <c r="AE33" i="2"/>
  <c r="R47" i="2"/>
  <c r="R52" i="2"/>
  <c r="R54" i="2"/>
  <c r="R53" i="2"/>
  <c r="R50" i="2"/>
  <c r="R51" i="2"/>
  <c r="R19" i="2"/>
  <c r="M58" i="2" l="1"/>
  <c r="AP58" i="2"/>
  <c r="AP57" i="2"/>
  <c r="C23" i="2"/>
  <c r="Y21" i="2"/>
  <c r="Y23" i="2" s="1"/>
  <c r="O58" i="2"/>
  <c r="AO58" i="2"/>
  <c r="AO21" i="2"/>
  <c r="AO23" i="2" s="1"/>
  <c r="Y57" i="2"/>
  <c r="R58" i="2"/>
  <c r="R57" i="2"/>
  <c r="R21" i="2"/>
  <c r="AM23" i="2"/>
  <c r="AM59" i="2"/>
  <c r="L59" i="2"/>
  <c r="L23" i="2"/>
  <c r="J59" i="2"/>
  <c r="J23" i="2"/>
  <c r="G21" i="2"/>
  <c r="G57" i="2"/>
  <c r="G58" i="2"/>
  <c r="C25" i="2"/>
  <c r="C60" i="2"/>
  <c r="Q58" i="2"/>
  <c r="Q57" i="2"/>
  <c r="Q21" i="2"/>
  <c r="S21" i="2"/>
  <c r="S58" i="2"/>
  <c r="S57" i="2"/>
  <c r="W25" i="2"/>
  <c r="W60" i="2"/>
  <c r="AO59" i="2"/>
  <c r="AQ23" i="2"/>
  <c r="AQ59" i="2"/>
  <c r="K59" i="2"/>
  <c r="K23" i="2"/>
  <c r="E23" i="2"/>
  <c r="E59" i="2"/>
  <c r="U23" i="2"/>
  <c r="U59" i="2"/>
  <c r="AR21" i="2"/>
  <c r="AR58" i="2"/>
  <c r="AR57" i="2"/>
  <c r="N25" i="2"/>
  <c r="N60" i="2"/>
  <c r="AN23" i="2"/>
  <c r="AN59" i="2"/>
  <c r="AP23" i="2"/>
  <c r="AP59" i="2"/>
  <c r="P59" i="2"/>
  <c r="P23" i="2"/>
  <c r="V21" i="2"/>
  <c r="V58" i="2"/>
  <c r="V57" i="2"/>
  <c r="F59" i="2"/>
  <c r="F23" i="2"/>
  <c r="M23" i="2"/>
  <c r="M59" i="2"/>
  <c r="H59" i="2"/>
  <c r="H23" i="2"/>
  <c r="O59" i="2"/>
  <c r="O23" i="2"/>
  <c r="I23" i="2"/>
  <c r="I59" i="2"/>
  <c r="T59" i="2"/>
  <c r="T23" i="2"/>
  <c r="X59" i="2"/>
  <c r="X23" i="2"/>
  <c r="D59" i="2"/>
  <c r="D23" i="2"/>
  <c r="Y59" i="2" l="1"/>
  <c r="I60" i="2"/>
  <c r="I25" i="2"/>
  <c r="W34" i="2"/>
  <c r="W30" i="2"/>
  <c r="W33" i="2"/>
  <c r="P60" i="2"/>
  <c r="P25" i="2"/>
  <c r="E60" i="2"/>
  <c r="E25" i="2"/>
  <c r="Q23" i="2"/>
  <c r="Q59" i="2"/>
  <c r="C30" i="2"/>
  <c r="C33" i="2"/>
  <c r="C34" i="2"/>
  <c r="T60" i="2"/>
  <c r="T25" i="2"/>
  <c r="N33" i="2"/>
  <c r="N34" i="2"/>
  <c r="N30" i="2"/>
  <c r="V59" i="2"/>
  <c r="V23" i="2"/>
  <c r="AQ25" i="2"/>
  <c r="AQ60" i="2"/>
  <c r="AO25" i="2"/>
  <c r="AO60" i="2"/>
  <c r="G23" i="2"/>
  <c r="G59" i="2"/>
  <c r="AR23" i="2"/>
  <c r="AR59" i="2"/>
  <c r="J60" i="2"/>
  <c r="J25" i="2"/>
  <c r="O25" i="2"/>
  <c r="O60" i="2"/>
  <c r="Y25" i="2"/>
  <c r="Y60" i="2"/>
  <c r="U60" i="2"/>
  <c r="U25" i="2"/>
  <c r="L25" i="2"/>
  <c r="L60" i="2"/>
  <c r="H60" i="2"/>
  <c r="H25" i="2"/>
  <c r="S23" i="2"/>
  <c r="S59" i="2"/>
  <c r="D25" i="2"/>
  <c r="D60" i="2"/>
  <c r="AP25" i="2"/>
  <c r="AP60" i="2"/>
  <c r="K25" i="2"/>
  <c r="K60" i="2"/>
  <c r="AM25" i="2"/>
  <c r="AM60" i="2"/>
  <c r="M25" i="2"/>
  <c r="M60" i="2"/>
  <c r="R59" i="2"/>
  <c r="R23" i="2"/>
  <c r="X25" i="2"/>
  <c r="X60" i="2"/>
  <c r="F60" i="2"/>
  <c r="F25" i="2"/>
  <c r="AN25" i="2"/>
  <c r="AN60" i="2"/>
  <c r="AM33" i="2" l="1"/>
  <c r="AM34" i="2"/>
  <c r="AM30" i="2"/>
  <c r="L33" i="2"/>
  <c r="L34" i="2"/>
  <c r="L30" i="2"/>
  <c r="G60" i="2"/>
  <c r="G25" i="2"/>
  <c r="I33" i="2"/>
  <c r="I30" i="2"/>
  <c r="I34" i="2"/>
  <c r="U33" i="2"/>
  <c r="U30" i="2"/>
  <c r="U34" i="2"/>
  <c r="AN34" i="2"/>
  <c r="AN33" i="2"/>
  <c r="AN30" i="2"/>
  <c r="K34" i="2"/>
  <c r="K30" i="2"/>
  <c r="K33" i="2"/>
  <c r="AO33" i="2"/>
  <c r="AO30" i="2"/>
  <c r="AO34" i="2"/>
  <c r="F33" i="2"/>
  <c r="F34" i="2"/>
  <c r="F30" i="2"/>
  <c r="AP30" i="2"/>
  <c r="AP33" i="2"/>
  <c r="AP34" i="2"/>
  <c r="Y34" i="2"/>
  <c r="Y30" i="2"/>
  <c r="Y33" i="2"/>
  <c r="AQ33" i="2"/>
  <c r="AQ30" i="2"/>
  <c r="AQ34" i="2"/>
  <c r="Q60" i="2"/>
  <c r="Q25" i="2"/>
  <c r="V60" i="2"/>
  <c r="V25" i="2"/>
  <c r="E33" i="2"/>
  <c r="E34" i="2"/>
  <c r="E30" i="2"/>
  <c r="X33" i="2"/>
  <c r="X34" i="2"/>
  <c r="X30" i="2"/>
  <c r="D34" i="2"/>
  <c r="D30" i="2"/>
  <c r="D33" i="2"/>
  <c r="O34" i="2"/>
  <c r="O30" i="2"/>
  <c r="O33" i="2"/>
  <c r="R60" i="2"/>
  <c r="R25" i="2"/>
  <c r="J33" i="2"/>
  <c r="J34" i="2"/>
  <c r="J30" i="2"/>
  <c r="P33" i="2"/>
  <c r="P30" i="2"/>
  <c r="P34" i="2"/>
  <c r="S60" i="2"/>
  <c r="S25" i="2"/>
  <c r="H34" i="2"/>
  <c r="H33" i="2"/>
  <c r="H30" i="2"/>
  <c r="M34" i="2"/>
  <c r="M30" i="2"/>
  <c r="M33" i="2"/>
  <c r="AR25" i="2"/>
  <c r="AR60" i="2"/>
  <c r="T30" i="2"/>
  <c r="T34" i="2"/>
  <c r="T33" i="2"/>
  <c r="Q33" i="2" l="1"/>
  <c r="Q30" i="2"/>
  <c r="Q34" i="2"/>
  <c r="AR34" i="2"/>
  <c r="AR33" i="2"/>
  <c r="AR30" i="2"/>
  <c r="G33" i="2"/>
  <c r="G34" i="2"/>
  <c r="G30" i="2"/>
  <c r="R30" i="2"/>
  <c r="R34" i="2"/>
  <c r="R33" i="2"/>
  <c r="S30" i="2"/>
  <c r="S34" i="2"/>
  <c r="S33" i="2"/>
  <c r="V33" i="2"/>
  <c r="V34" i="2"/>
  <c r="V30" i="2"/>
</calcChain>
</file>

<file path=xl/sharedStrings.xml><?xml version="1.0" encoding="utf-8"?>
<sst xmlns="http://schemas.openxmlformats.org/spreadsheetml/2006/main" count="310" uniqueCount="204">
  <si>
    <t>P</t>
  </si>
  <si>
    <t>S/O</t>
  </si>
  <si>
    <t>MC</t>
  </si>
  <si>
    <t>Cash</t>
  </si>
  <si>
    <t>Debt</t>
  </si>
  <si>
    <t>EV</t>
  </si>
  <si>
    <t>Actual</t>
  </si>
  <si>
    <t>Beat</t>
  </si>
  <si>
    <t>FY26 R Cons.</t>
  </si>
  <si>
    <t>FY26 EPS Cons.</t>
  </si>
  <si>
    <t>Main</t>
  </si>
  <si>
    <t>Inv</t>
  </si>
  <si>
    <t>Active consumers</t>
  </si>
  <si>
    <t>in millions</t>
  </si>
  <si>
    <t>Gross Merchandise Volume</t>
  </si>
  <si>
    <t>&gt;$33,000</t>
  </si>
  <si>
    <t>In millions</t>
  </si>
  <si>
    <t>Q425 R Cons.</t>
  </si>
  <si>
    <t>Q425 EPS Cons.</t>
  </si>
  <si>
    <t>Q126 R Guid. Cons.</t>
  </si>
  <si>
    <t>Q126 EPS Guid. Cons</t>
  </si>
  <si>
    <t>FY25 R Cons.</t>
  </si>
  <si>
    <t>FY25 EPS Cons.</t>
  </si>
  <si>
    <t>Merchant network revenue</t>
  </si>
  <si>
    <t>Card network revenue</t>
  </si>
  <si>
    <t>Total network revenue</t>
  </si>
  <si>
    <t>Interest income</t>
  </si>
  <si>
    <t>Gain on sales of loans</t>
  </si>
  <si>
    <t>Servicing income</t>
  </si>
  <si>
    <t>Total Revenue, net</t>
  </si>
  <si>
    <t>Loss on loan purchase commitment</t>
  </si>
  <si>
    <t>Provision for credit losses</t>
  </si>
  <si>
    <t>Funding costs</t>
  </si>
  <si>
    <t>Processing and servicing</t>
  </si>
  <si>
    <t>Technology and data analytics</t>
  </si>
  <si>
    <t>Sales and marketing</t>
  </si>
  <si>
    <t>General and administrative</t>
  </si>
  <si>
    <t>Restructuring and other</t>
  </si>
  <si>
    <t>Total Operating Expenses</t>
  </si>
  <si>
    <t>Operating Loss</t>
  </si>
  <si>
    <t>Other income (expense), net</t>
  </si>
  <si>
    <t>Loss Before Income Taxes</t>
  </si>
  <si>
    <t>Income tax expense (benefit)</t>
  </si>
  <si>
    <t>Net Income (Loss)</t>
  </si>
  <si>
    <t>Excess return to preferred stockholders on repurchase</t>
  </si>
  <si>
    <t>Foreign currency translation adjustments</t>
  </si>
  <si>
    <t>Net Other Comprehensive Income (Loss)</t>
  </si>
  <si>
    <t>Comprehensive Income (Loss)</t>
  </si>
  <si>
    <t>Basic</t>
  </si>
  <si>
    <t>Diluted</t>
  </si>
  <si>
    <t>Weighted average common shares outstanding</t>
  </si>
  <si>
    <t>Q4FY20</t>
  </si>
  <si>
    <t>Q1FY20</t>
  </si>
  <si>
    <t>Q2FY20</t>
  </si>
  <si>
    <t>Q3FY20</t>
  </si>
  <si>
    <t>Q1FY21</t>
  </si>
  <si>
    <t>Q2FY21</t>
  </si>
  <si>
    <t>Q3FY21</t>
  </si>
  <si>
    <t>Q4FY21</t>
  </si>
  <si>
    <t>Q1FY22</t>
  </si>
  <si>
    <t>Q2FY22</t>
  </si>
  <si>
    <t>Q3FY22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</si>
  <si>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</si>
  <si>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</si>
  <si>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</si>
  <si>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</si>
  <si>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</si>
  <si>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</si>
  <si>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</si>
  <si>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</si>
  <si>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</si>
  <si>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</si>
  <si>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</si>
  <si>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</si>
  <si>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</si>
  <si>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Q4FY26</t>
  </si>
  <si>
    <t>Q4FY27</t>
  </si>
  <si>
    <t>Q1FY26</t>
  </si>
  <si>
    <t>Q3FY26</t>
  </si>
  <si>
    <t>Q2FY26</t>
  </si>
  <si>
    <t>Q1FY27</t>
  </si>
  <si>
    <t>Q2FY27</t>
  </si>
  <si>
    <t>Q3FY27</t>
  </si>
  <si>
    <t>Unrealized gain (loss) on securities available for sale, net</t>
  </si>
  <si>
    <t>Gain (loss) on cash flow hedges</t>
  </si>
  <si>
    <t>Net Income (Loss) Attributable to Affirm</t>
  </si>
  <si>
    <t>Net income (loss) per share attributable to Affirm: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</si>
  <si>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</si>
  <si>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</si>
  <si>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</si>
  <si>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</si>
  <si>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</si>
  <si>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</si>
  <si>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</si>
  <si>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</si>
  <si>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FY2027</t>
  </si>
  <si>
    <t>FY2028</t>
  </si>
  <si>
    <t>FY2029</t>
  </si>
  <si>
    <t>YoY Revenue</t>
  </si>
  <si>
    <t>(in thousands, except share and per share amounts)</t>
  </si>
  <si>
    <t>Share of the total Revenue</t>
  </si>
  <si>
    <t>Op Margin</t>
  </si>
  <si>
    <t>Interest Margin</t>
  </si>
  <si>
    <t>Tax Margin</t>
  </si>
  <si>
    <t>Net Margin</t>
  </si>
  <si>
    <t>(in thousands, except percent data)</t>
  </si>
  <si>
    <t>Year Ended June 30,</t>
  </si>
  <si>
    <t>Operating expenses (GAAP)</t>
  </si>
  <si>
    <t>Transaction costs</t>
  </si>
  <si>
    <t>Total operating expenses (GAAP)</t>
  </si>
  <si>
    <t>Operating loss</t>
  </si>
  <si>
    <t>Add: Depreciation &amp; amortization</t>
  </si>
  <si>
    <t>Add: Stock-based compensation included in operating expenses</t>
  </si>
  <si>
    <t>Add: Shopify warrant expense</t>
  </si>
  <si>
    <t>Add: Amazon warrant expense</t>
  </si>
  <si>
    <t>Adjusted operating income (loss) (Non-GAAP)</t>
  </si>
  <si>
    <t>Total revenue, net</t>
  </si>
  <si>
    <t>Adjusted operating margin (Non-GAAP)</t>
  </si>
  <si>
    <t>Less: Depreciation and amortization</t>
  </si>
  <si>
    <t>Less: Stock-based compensation</t>
  </si>
  <si>
    <t>Less: Other costs</t>
  </si>
  <si>
    <t>Non-GAAP processing and servicing</t>
  </si>
  <si>
    <t>Non-GAAP technology and data analytics</t>
  </si>
  <si>
    <t>Less: Enterprise warrant and share-based expense</t>
  </si>
  <si>
    <t>Non-GAAP sales and marketing</t>
  </si>
  <si>
    <t>Non-GAAP general and administrative</t>
  </si>
  <si>
    <t>Restructuring</t>
  </si>
  <si>
    <t>Less: Restructuring charges, net</t>
  </si>
  <si>
    <t>Non-GAAP restructuring</t>
  </si>
  <si>
    <r>
      <t xml:space="preserve">Add: Restructuring and other </t>
    </r>
    <r>
      <rPr>
        <vertAlign val="superscript"/>
        <sz val="10"/>
        <color theme="1"/>
        <rFont val="Arial"/>
        <family val="2"/>
      </rPr>
      <t>(3)</t>
    </r>
  </si>
  <si>
    <r>
      <t xml:space="preserve">Add: Other costs </t>
    </r>
    <r>
      <rPr>
        <vertAlign val="superscript"/>
        <sz val="10"/>
        <color theme="1"/>
        <rFont val="Arial"/>
        <family val="2"/>
      </rPr>
      <t>(4)</t>
    </r>
  </si>
  <si>
    <t>Margins</t>
  </si>
  <si>
    <t>Net Cash</t>
  </si>
  <si>
    <t>Cash and cash equivalents</t>
  </si>
  <si>
    <t>Restricted cash</t>
  </si>
  <si>
    <t>Securities available for sale at fair value</t>
  </si>
  <si>
    <t>Loans held for sale</t>
  </si>
  <si>
    <t>Loans held for investment</t>
  </si>
  <si>
    <t>Allowance for credit losses</t>
  </si>
  <si>
    <t>Accounts receivable, net</t>
  </si>
  <si>
    <t>Property, equipment and software, net</t>
  </si>
  <si>
    <t>Goodwill</t>
  </si>
  <si>
    <t>Intangible assets</t>
  </si>
  <si>
    <t>Commercial agreement assets</t>
  </si>
  <si>
    <t>Other assets</t>
  </si>
  <si>
    <t>Total Assets</t>
  </si>
  <si>
    <t>Accounts payable</t>
  </si>
  <si>
    <t>Payable to third-party loan owners</t>
  </si>
  <si>
    <t>Accrued interest payable</t>
  </si>
  <si>
    <t>Accrued expenses and other liabilities</t>
  </si>
  <si>
    <t>Convertible senior notes, net</t>
  </si>
  <si>
    <t>Notes issued by securitization trusts</t>
  </si>
  <si>
    <t>Funding debt</t>
  </si>
  <si>
    <t>Total liabilities</t>
  </si>
  <si>
    <t>Redeemable convertible preferred stock</t>
  </si>
  <si>
    <t>Class A common stock</t>
  </si>
  <si>
    <t>Class B common stock</t>
  </si>
  <si>
    <t>Additional paid in capital</t>
  </si>
  <si>
    <t>Accumulated deficit</t>
  </si>
  <si>
    <t>Accumulated other comprehensive loss</t>
  </si>
  <si>
    <t>Total stockholders’ equity</t>
  </si>
  <si>
    <t>Total liabilities, and stockholders’ equity (deficit)</t>
  </si>
  <si>
    <t>GMV by Product Type (Pi4,0%,IB) (rounded in billions)</t>
  </si>
  <si>
    <t>Interest-Bearing</t>
  </si>
  <si>
    <t>Core 0% APR</t>
  </si>
  <si>
    <t>Total</t>
  </si>
  <si>
    <t xml:space="preserve">Interest-Bearing </t>
  </si>
  <si>
    <t>Transaction Count by POS Mix</t>
  </si>
  <si>
    <t>​</t>
  </si>
  <si>
    <t>POS-Integrated</t>
  </si>
  <si>
    <t xml:space="preserve">Point of Sale (Merchant) </t>
  </si>
  <si>
    <t xml:space="preserve">Affirm </t>
  </si>
  <si>
    <t>Consumer Count</t>
  </si>
  <si>
    <t>Transaction Count</t>
  </si>
  <si>
    <t>Repeat Consumer Transactions</t>
  </si>
  <si>
    <t>First Time Consumer Transactions</t>
  </si>
  <si>
    <t>Average Order Value (in ones)</t>
  </si>
  <si>
    <t>(rounded in millions unless specified otherwise)</t>
  </si>
  <si>
    <t>As of June 30,</t>
  </si>
  <si>
    <t>On Balance Sheet (non-securitized)</t>
  </si>
  <si>
    <t xml:space="preserve">On Balance Sheet (securitized) </t>
  </si>
  <si>
    <t xml:space="preserve">Off Balance Sheet (non-securitized) </t>
  </si>
  <si>
    <t xml:space="preserve">Off Balance Sheet (securitized) </t>
  </si>
  <si>
    <t>Total Platform Portfolio</t>
  </si>
  <si>
    <t>Equity Capital Required (in thousands)</t>
  </si>
  <si>
    <t>Equity Capital Required as a percentage of Total Platform Portfolio</t>
  </si>
  <si>
    <t>Funding Capacity</t>
  </si>
  <si>
    <t>Total Platform Portfolio percentage of Funding Capacity</t>
  </si>
  <si>
    <t>Share-Based Payment Expense Breakdown</t>
  </si>
  <si>
    <t>Employee Stock Compensation Expense in Operating Expenses</t>
  </si>
  <si>
    <t>CEO Value Creation Award</t>
  </si>
  <si>
    <t>Total Stock-Based Compensation in Operating Expenses</t>
  </si>
  <si>
    <t>Shopify Commercial Agreement Asset Amortization</t>
  </si>
  <si>
    <t>Amazon Commercial Agreement Asset Amortization</t>
  </si>
  <si>
    <t>Amazon Enterprise Warrant Vesting Expense</t>
  </si>
  <si>
    <t>Total Stock Based Compensation</t>
  </si>
  <si>
    <r>
      <t xml:space="preserve">Pay in X / Pay in 4 / Split Pay </t>
    </r>
    <r>
      <rPr>
        <vertAlign val="superscript"/>
        <sz val="10"/>
        <color theme="1"/>
        <rFont val="Arial"/>
        <family val="2"/>
      </rPr>
      <t>(1)</t>
    </r>
  </si>
  <si>
    <r>
      <t xml:space="preserve">Affirm Transactions </t>
    </r>
    <r>
      <rPr>
        <vertAlign val="superscript"/>
        <sz val="10"/>
        <color theme="1"/>
        <rFont val="Arial"/>
        <family val="2"/>
      </rPr>
      <t>(2)</t>
    </r>
  </si>
  <si>
    <r>
      <t xml:space="preserve">Active Consumer </t>
    </r>
    <r>
      <rPr>
        <vertAlign val="superscript"/>
        <sz val="10"/>
        <color theme="1"/>
        <rFont val="Arial"/>
        <family val="2"/>
      </rPr>
      <t>(3)</t>
    </r>
  </si>
  <si>
    <t>Q425</t>
  </si>
  <si>
    <t>Q126</t>
  </si>
  <si>
    <t>P/S</t>
  </si>
  <si>
    <t>~$100-105</t>
  </si>
  <si>
    <t>Price 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</si>
</sst>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* #,##0,_);&quot;$&quot;* \(#,##0,\);&quot;$&quot;* &quot;—&quot;_);_(@_)"/>
    <numFmt numFmtId="165" formatCode="* #,##0,_);* \(#,##0,\);* &quot;—&quot;_);_(@_)"/>
    <numFmt numFmtId="166" formatCode="mmmm\ d\,\ yyyy"/>
    <numFmt numFmtId="167" formatCode="yyyy"/>
    <numFmt numFmtId="168" formatCode="&quot;$&quot;* #,##0.0,,,_);&quot;$&quot;* \(#,##0.0,,,\);&quot;$&quot;* &quot;—&quot;_);_(@_)"/>
    <numFmt numFmtId="169" formatCode="#0.#######################_)%;\(#0.#######################\)%;&quot;—&quot;_)\%;_(@_)"/>
    <numFmt numFmtId="170" formatCode="#0_)%;\(#0\)%;&quot;—&quot;_)\%;_(@_)"/>
    <numFmt numFmtId="171" formatCode="* #,##0.0,,;* \(#,##0.0,,\);* &quot;—&quot;;_(@_)"/>
    <numFmt numFmtId="172" formatCode="&quot;$&quot;* #,##0_);&quot;$&quot;* \(#,##0\);&quot;$&quot;* &quot;—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vertAlign val="super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0" borderId="0" applyBorder="0">
      <alignment wrapText="1"/>
    </xf>
  </cellStyleXfs>
  <cellXfs count="46">
    <xf numFmtId="0" fontId="0" fillId="0" borderId="0" xfId="0"/>
    <xf numFmtId="0" fontId="1" fillId="0" borderId="0" xfId="0" applyFont="1"/>
    <xf numFmtId="0" fontId="3" fillId="0" borderId="0" xfId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10" fontId="1" fillId="0" borderId="0" xfId="0" applyNumberFormat="1" applyFont="1"/>
    <xf numFmtId="165" fontId="1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3" fillId="0" borderId="0" xfId="1" applyNumberFormat="1"/>
    <xf numFmtId="165" fontId="1" fillId="0" borderId="0" xfId="0" applyNumberFormat="1" applyFont="1"/>
    <xf numFmtId="165" fontId="2" fillId="0" borderId="0" xfId="0" applyNumberFormat="1" applyFont="1"/>
    <xf numFmtId="4" fontId="1" fillId="0" borderId="0" xfId="0" applyNumberFormat="1" applyFont="1"/>
    <xf numFmtId="165" fontId="2" fillId="0" borderId="0" xfId="0" applyNumberFormat="1" applyFont="1" applyAlignment="1">
      <alignment horizontal="left" indent="1"/>
    </xf>
    <xf numFmtId="10" fontId="2" fillId="0" borderId="0" xfId="0" applyNumberFormat="1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166" fontId="2" fillId="0" borderId="0" xfId="0" applyNumberFormat="1" applyFont="1" applyAlignment="1">
      <alignment horizontal="center" wrapText="1"/>
    </xf>
    <xf numFmtId="167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left" wrapText="1"/>
    </xf>
    <xf numFmtId="165" fontId="1" fillId="0" borderId="0" xfId="0" applyNumberFormat="1" applyFont="1" applyAlignment="1">
      <alignment wrapText="1"/>
    </xf>
    <xf numFmtId="165" fontId="1" fillId="0" borderId="0" xfId="2" applyNumberFormat="1" applyFont="1" applyBorder="1">
      <alignment wrapText="1"/>
    </xf>
    <xf numFmtId="165" fontId="1" fillId="0" borderId="0" xfId="0" applyNumberFormat="1" applyFont="1" applyAlignment="1">
      <alignment horizontal="left" wrapText="1" indent="1"/>
    </xf>
    <xf numFmtId="10" fontId="2" fillId="0" borderId="0" xfId="0" applyNumberFormat="1" applyFont="1" applyAlignment="1">
      <alignment wrapText="1"/>
    </xf>
    <xf numFmtId="168" fontId="1" fillId="0" borderId="0" xfId="0" applyNumberFormat="1" applyFont="1" applyAlignment="1">
      <alignment wrapText="1"/>
    </xf>
    <xf numFmtId="168" fontId="2" fillId="0" borderId="0" xfId="0" applyNumberFormat="1" applyFont="1" applyAlignment="1">
      <alignment wrapText="1"/>
    </xf>
    <xf numFmtId="169" fontId="1" fillId="0" borderId="0" xfId="0" applyNumberFormat="1" applyFont="1" applyAlignment="1">
      <alignment horizontal="right" wrapText="1"/>
    </xf>
    <xf numFmtId="170" fontId="1" fillId="0" borderId="0" xfId="0" applyNumberFormat="1" applyFont="1" applyAlignment="1">
      <alignment horizontal="right" wrapText="1"/>
    </xf>
    <xf numFmtId="0" fontId="1" fillId="2" borderId="0" xfId="0" applyFont="1" applyFill="1" applyAlignment="1">
      <alignment wrapText="1"/>
    </xf>
    <xf numFmtId="171" fontId="1" fillId="0" borderId="0" xfId="0" applyNumberFormat="1" applyFont="1" applyAlignment="1">
      <alignment wrapText="1"/>
    </xf>
    <xf numFmtId="171" fontId="2" fillId="0" borderId="0" xfId="0" applyNumberFormat="1" applyFont="1" applyAlignment="1">
      <alignment wrapText="1"/>
    </xf>
    <xf numFmtId="0" fontId="1" fillId="2" borderId="0" xfId="0" applyFont="1" applyFill="1" applyAlignment="1">
      <alignment horizontal="right" wrapText="1"/>
    </xf>
    <xf numFmtId="0" fontId="1" fillId="0" borderId="0" xfId="0" applyFont="1" applyAlignment="1">
      <alignment horizontal="right" wrapText="1"/>
    </xf>
    <xf numFmtId="172" fontId="1" fillId="0" borderId="0" xfId="0" applyNumberFormat="1" applyFont="1" applyAlignment="1">
      <alignment wrapText="1"/>
    </xf>
    <xf numFmtId="2" fontId="1" fillId="0" borderId="0" xfId="0" applyNumberFormat="1" applyFont="1"/>
    <xf numFmtId="165" fontId="3" fillId="0" borderId="0" xfId="1" applyNumberFormat="1" applyBorder="1"/>
    <xf numFmtId="0" fontId="3" fillId="0" borderId="0" xfId="1" applyBorder="1"/>
    <xf numFmtId="0" fontId="1" fillId="0" borderId="0" xfId="0" applyFont="1" applyAlignment="1">
      <alignment horizontal="right" indent="1"/>
    </xf>
    <xf numFmtId="165" fontId="2" fillId="0" borderId="0" xfId="0" applyNumberFormat="1" applyFont="1" applyAlignment="1">
      <alignment horizontal="center" wrapText="1"/>
    </xf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1" fillId="0" borderId="0" xfId="0" applyFont="1"/>
  </cellXfs>
  <cellStyles count="3">
    <cellStyle name="Hyperlink" xfId="1" builtinId="8"/>
    <cellStyle name="Normal" xfId="0" builtinId="0"/>
    <cellStyle name="Table (Normal)" xfId="2" xr:uid="{25A9C023-B897-4F1D-B2A4-7FA06F7540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ownloads\Affirm%20FQ3'25%20Historical%20Financials.xlsx" TargetMode="External"/><Relationship Id="rId1" Type="http://schemas.openxmlformats.org/officeDocument/2006/relationships/externalLinkPath" Target="/Users/GegaMukhigulashvili/Downloads/Affirm%20FQ3'25%20Historical%20Financi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ed Unaudited Financials"/>
      <sheetName val="GAAP IS"/>
      <sheetName val="Non-GAAP Items"/>
      <sheetName val="Balance Sheet"/>
      <sheetName val="Operating Metrics"/>
      <sheetName val="Portfolio Metrics"/>
      <sheetName val="Share-Based Payment Expense"/>
    </sheetNames>
    <sheetDataSet>
      <sheetData sheetId="0" refreshError="1"/>
      <sheetData sheetId="1">
        <row r="12">
          <cell r="C12">
            <v>87947000</v>
          </cell>
          <cell r="D12">
            <v>129976000</v>
          </cell>
          <cell r="E12">
            <v>138273000</v>
          </cell>
          <cell r="F12">
            <v>153332000</v>
          </cell>
          <cell r="G12">
            <v>173978000</v>
          </cell>
          <cell r="H12">
            <v>204041000</v>
          </cell>
          <cell r="I12">
            <v>230665000</v>
          </cell>
          <cell r="J12">
            <v>261780000</v>
          </cell>
          <cell r="K12">
            <v>269385000</v>
          </cell>
          <cell r="L12">
            <v>361011000</v>
          </cell>
          <cell r="M12">
            <v>354762000</v>
          </cell>
          <cell r="N12">
            <v>364134000</v>
          </cell>
          <cell r="O12">
            <v>361624000</v>
          </cell>
          <cell r="P12">
            <v>399558000</v>
          </cell>
          <cell r="Q12">
            <v>380978000</v>
          </cell>
          <cell r="R12">
            <v>445825000</v>
          </cell>
          <cell r="S12">
            <v>496547000</v>
          </cell>
          <cell r="T12">
            <v>591110000</v>
          </cell>
          <cell r="U12">
            <v>576157000</v>
          </cell>
          <cell r="V12">
            <v>659185000</v>
          </cell>
          <cell r="W12">
            <v>698479000</v>
          </cell>
          <cell r="X12">
            <v>866381000</v>
          </cell>
          <cell r="Y12">
            <v>783135000</v>
          </cell>
          <cell r="AB12">
            <v>509528000</v>
          </cell>
          <cell r="AC12">
            <v>870464000</v>
          </cell>
          <cell r="AD12">
            <v>1349292000</v>
          </cell>
          <cell r="AE12">
            <v>1587985000</v>
          </cell>
          <cell r="AF12">
            <v>2322999000</v>
          </cell>
        </row>
        <row r="14">
          <cell r="Y14">
            <v>57290000</v>
          </cell>
        </row>
        <row r="15">
          <cell r="Y15">
            <v>147252000</v>
          </cell>
        </row>
        <row r="16">
          <cell r="Y16">
            <v>107631000</v>
          </cell>
        </row>
        <row r="17">
          <cell r="C17">
            <v>9695000</v>
          </cell>
          <cell r="D17">
            <v>11652000</v>
          </cell>
          <cell r="E17">
            <v>13678000</v>
          </cell>
          <cell r="F17">
            <v>14806000</v>
          </cell>
          <cell r="G17">
            <v>13498000</v>
          </cell>
          <cell r="H17">
            <v>16802000</v>
          </cell>
          <cell r="I17">
            <v>21368000</v>
          </cell>
          <cell r="J17">
            <v>21910000</v>
          </cell>
          <cell r="K17">
            <v>25201000</v>
          </cell>
          <cell r="L17">
            <v>41849000</v>
          </cell>
          <cell r="M17">
            <v>43371000</v>
          </cell>
          <cell r="N17">
            <v>47393000</v>
          </cell>
          <cell r="O17">
            <v>54359000</v>
          </cell>
          <cell r="P17">
            <v>66508000</v>
          </cell>
          <cell r="Q17">
            <v>65229000</v>
          </cell>
          <cell r="R17">
            <v>71247000</v>
          </cell>
          <cell r="S17">
            <v>75671000</v>
          </cell>
          <cell r="T17">
            <v>90203000</v>
          </cell>
          <cell r="U17">
            <v>88209000</v>
          </cell>
          <cell r="V17">
            <v>89166000</v>
          </cell>
          <cell r="W17">
            <v>95146000</v>
          </cell>
          <cell r="X17">
            <v>115960000</v>
          </cell>
          <cell r="Y17">
            <v>118398000</v>
          </cell>
          <cell r="AB17">
            <v>49831000</v>
          </cell>
          <cell r="AC17">
            <v>73578000</v>
          </cell>
          <cell r="AD17">
            <v>157814000</v>
          </cell>
          <cell r="AE17">
            <v>257343000</v>
          </cell>
          <cell r="AF17">
            <v>343249000</v>
          </cell>
        </row>
        <row r="18">
          <cell r="C18">
            <v>25368000</v>
          </cell>
          <cell r="D18">
            <v>31612000</v>
          </cell>
          <cell r="E18">
            <v>33654000</v>
          </cell>
          <cell r="F18">
            <v>31744000</v>
          </cell>
          <cell r="G18">
            <v>33768000</v>
          </cell>
          <cell r="H18">
            <v>41634000</v>
          </cell>
          <cell r="I18">
            <v>104806000</v>
          </cell>
          <cell r="J18">
            <v>69128000</v>
          </cell>
          <cell r="K18">
            <v>78013000</v>
          </cell>
          <cell r="L18">
            <v>94989000</v>
          </cell>
          <cell r="M18">
            <v>110291000</v>
          </cell>
          <cell r="N18">
            <v>135350000</v>
          </cell>
          <cell r="O18">
            <v>144961000</v>
          </cell>
          <cell r="P18">
            <v>156747000</v>
          </cell>
          <cell r="Q18">
            <v>161792000</v>
          </cell>
          <cell r="R18">
            <v>152318000</v>
          </cell>
          <cell r="S18">
            <v>132965000</v>
          </cell>
          <cell r="T18">
            <v>119833000</v>
          </cell>
          <cell r="U18">
            <v>124828000</v>
          </cell>
          <cell r="V18">
            <v>124231000</v>
          </cell>
          <cell r="W18">
            <v>134290000</v>
          </cell>
          <cell r="X18">
            <v>148213000</v>
          </cell>
          <cell r="Y18">
            <v>152620000</v>
          </cell>
          <cell r="AB18">
            <v>122378000</v>
          </cell>
          <cell r="AC18">
            <v>249336000</v>
          </cell>
          <cell r="AD18">
            <v>418643000</v>
          </cell>
          <cell r="AE18">
            <v>615818000</v>
          </cell>
          <cell r="AF18">
            <v>501857000</v>
          </cell>
        </row>
        <row r="19">
          <cell r="C19">
            <v>5219000</v>
          </cell>
          <cell r="D19">
            <v>7651000</v>
          </cell>
          <cell r="E19">
            <v>7108000</v>
          </cell>
          <cell r="F19">
            <v>5066000</v>
          </cell>
          <cell r="G19">
            <v>22582000</v>
          </cell>
          <cell r="H19">
            <v>39112000</v>
          </cell>
          <cell r="I19">
            <v>58184000</v>
          </cell>
          <cell r="J19">
            <v>62312000</v>
          </cell>
          <cell r="K19">
            <v>63960000</v>
          </cell>
          <cell r="L19">
            <v>143476000</v>
          </cell>
          <cell r="M19">
            <v>156214000</v>
          </cell>
          <cell r="N19">
            <v>168693000</v>
          </cell>
          <cell r="O19">
            <v>163873000</v>
          </cell>
          <cell r="P19">
            <v>188334000</v>
          </cell>
          <cell r="Q19">
            <v>140942000</v>
          </cell>
          <cell r="R19">
            <v>145131000</v>
          </cell>
          <cell r="S19">
            <v>146866000</v>
          </cell>
          <cell r="T19">
            <v>161265000</v>
          </cell>
          <cell r="U19">
            <v>132950000</v>
          </cell>
          <cell r="V19">
            <v>135324000</v>
          </cell>
          <cell r="W19">
            <v>145233000</v>
          </cell>
          <cell r="X19">
            <v>136038000</v>
          </cell>
          <cell r="Y19">
            <v>74022000</v>
          </cell>
          <cell r="AB19">
            <v>25044000</v>
          </cell>
          <cell r="AC19">
            <v>182190000</v>
          </cell>
          <cell r="AD19">
            <v>532343000</v>
          </cell>
          <cell r="AE19">
            <v>638280000</v>
          </cell>
          <cell r="AF19">
            <v>576405000</v>
          </cell>
        </row>
        <row r="20">
          <cell r="C20">
            <v>27704000</v>
          </cell>
          <cell r="D20">
            <v>30688000</v>
          </cell>
          <cell r="E20">
            <v>31399000</v>
          </cell>
          <cell r="F20">
            <v>31439000</v>
          </cell>
          <cell r="G20">
            <v>32273000</v>
          </cell>
          <cell r="H20">
            <v>40916000</v>
          </cell>
          <cell r="I20">
            <v>179999000</v>
          </cell>
          <cell r="J20">
            <v>130561000</v>
          </cell>
          <cell r="K20">
            <v>136204000</v>
          </cell>
          <cell r="L20">
            <v>141292000</v>
          </cell>
          <cell r="M20">
            <v>142466000</v>
          </cell>
          <cell r="N20">
            <v>157531000</v>
          </cell>
          <cell r="O20">
            <v>160972000</v>
          </cell>
          <cell r="P20">
            <v>158639000</v>
          </cell>
          <cell r="Q20">
            <v>139266000</v>
          </cell>
          <cell r="R20">
            <v>127521000</v>
          </cell>
          <cell r="S20">
            <v>140334000</v>
          </cell>
          <cell r="T20">
            <v>132777000</v>
          </cell>
          <cell r="U20">
            <v>128721000</v>
          </cell>
          <cell r="V20">
            <v>123459000</v>
          </cell>
          <cell r="W20">
            <v>138482000</v>
          </cell>
          <cell r="X20">
            <v>139412000</v>
          </cell>
          <cell r="Y20">
            <v>134303000</v>
          </cell>
          <cell r="AB20">
            <v>121230000</v>
          </cell>
          <cell r="AC20">
            <v>383749000</v>
          </cell>
          <cell r="AD20">
            <v>577493000</v>
          </cell>
          <cell r="AE20">
            <v>586398000</v>
          </cell>
          <cell r="AF20">
            <v>525291000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34934000</v>
          </cell>
          <cell r="R21">
            <v>936000</v>
          </cell>
          <cell r="Y21">
            <v>12000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3">
          <cell r="C23">
            <v>-32972000</v>
          </cell>
          <cell r="D23">
            <v>-32633000</v>
          </cell>
          <cell r="E23">
            <v>-81505000</v>
          </cell>
          <cell r="F23">
            <v>39320000</v>
          </cell>
          <cell r="G23">
            <v>-33294000</v>
          </cell>
          <cell r="H23">
            <v>-26772000</v>
          </cell>
          <cell r="I23">
            <v>-209348000</v>
          </cell>
          <cell r="J23">
            <v>-114253000</v>
          </cell>
          <cell r="K23">
            <v>-166071000</v>
          </cell>
          <cell r="L23">
            <v>-196200000</v>
          </cell>
          <cell r="M23">
            <v>-226551000</v>
          </cell>
          <cell r="N23">
            <v>-277226000</v>
          </cell>
          <cell r="O23">
            <v>-287467000</v>
          </cell>
          <cell r="P23">
            <v>-359532000</v>
          </cell>
          <cell r="Q23">
            <v>-310035000</v>
          </cell>
          <cell r="R23">
            <v>-243828000</v>
          </cell>
          <cell r="S23">
            <v>-209447000</v>
          </cell>
          <cell r="T23">
            <v>-172151000</v>
          </cell>
          <cell r="U23">
            <v>-160789000</v>
          </cell>
          <cell r="V23">
            <v>-73460000</v>
          </cell>
          <cell r="W23">
            <v>-132623000</v>
          </cell>
          <cell r="X23">
            <v>-4322000</v>
          </cell>
          <cell r="Y23">
            <v>-8392000</v>
          </cell>
          <cell r="AB23">
            <v>-107790000</v>
          </cell>
          <cell r="AC23">
            <v>-383667000</v>
          </cell>
          <cell r="AD23">
            <v>-866048000</v>
          </cell>
          <cell r="AE23">
            <v>-1200862000</v>
          </cell>
          <cell r="AF23">
            <v>-615847000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Inv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zoomScale="98" workbookViewId="0">
      <selection activeCell="D7" sqref="D7"/>
    </sheetView>
  </sheetViews>
  <sheetFormatPr defaultRowHeight="13.2" x14ac:dyDescent="0.25"/>
  <cols>
    <col min="1" max="7" width="8.88671875" style="1"/>
    <col min="8" max="8" width="9.21875" style="1" bestFit="1" customWidth="1"/>
    <col min="9" max="9" width="12.6640625" style="1" bestFit="1" customWidth="1"/>
    <col min="10" max="15" width="8.88671875" style="1"/>
    <col min="16" max="16" width="17.44140625" style="1" bestFit="1" customWidth="1"/>
    <col min="17" max="16384" width="8.88671875" style="1"/>
  </cols>
  <sheetData>
    <row r="1" spans="1:19" ht="14.4" x14ac:dyDescent="0.3">
      <c r="A1" s="2" t="s">
        <v>11</v>
      </c>
    </row>
    <row r="5" spans="1:19" x14ac:dyDescent="0.25">
      <c r="B5" s="1" t="s">
        <v>13</v>
      </c>
      <c r="D5" s="1" t="s">
        <v>199</v>
      </c>
      <c r="E5" s="1" t="s">
        <v>200</v>
      </c>
      <c r="P5" s="1" t="s">
        <v>16</v>
      </c>
    </row>
    <row r="6" spans="1:19" x14ac:dyDescent="0.25">
      <c r="B6" s="1" t="s">
        <v>12</v>
      </c>
      <c r="D6" s="1">
        <v>21.9</v>
      </c>
      <c r="E6" s="1">
        <v>23</v>
      </c>
      <c r="H6" s="1" t="s">
        <v>0</v>
      </c>
      <c r="I6" s="1">
        <v>88.01</v>
      </c>
      <c r="J6" s="1" t="s">
        <v>74</v>
      </c>
      <c r="P6" s="1" t="s">
        <v>17</v>
      </c>
      <c r="Q6" s="3">
        <v>838.18</v>
      </c>
      <c r="R6" s="3"/>
    </row>
    <row r="7" spans="1:19" x14ac:dyDescent="0.25">
      <c r="B7" s="1" t="s">
        <v>14</v>
      </c>
      <c r="D7" s="4" t="s">
        <v>15</v>
      </c>
      <c r="H7" s="1" t="s">
        <v>1</v>
      </c>
      <c r="I7" s="3">
        <v>326.90684499999998</v>
      </c>
      <c r="P7" s="1" t="s">
        <v>6</v>
      </c>
      <c r="Q7" s="3">
        <v>876.42</v>
      </c>
      <c r="R7" s="3"/>
    </row>
    <row r="8" spans="1:19" x14ac:dyDescent="0.25">
      <c r="H8" s="1" t="s">
        <v>2</v>
      </c>
      <c r="I8" s="3">
        <f>I6*I7</f>
        <v>28771.071428449999</v>
      </c>
      <c r="P8" s="1" t="s">
        <v>7</v>
      </c>
      <c r="Q8" s="5">
        <f>Q7/Q6-1</f>
        <v>4.5622658617480827E-2</v>
      </c>
    </row>
    <row r="9" spans="1:19" x14ac:dyDescent="0.25">
      <c r="H9" s="1" t="s">
        <v>3</v>
      </c>
      <c r="I9" s="3">
        <f>+(Model!Y65+Model!Y67)/1000000</f>
        <v>2131.3180000000002</v>
      </c>
      <c r="J9" s="1" t="s">
        <v>74</v>
      </c>
      <c r="P9" s="1" t="s">
        <v>18</v>
      </c>
      <c r="Q9" s="1">
        <v>0.3</v>
      </c>
      <c r="S9" s="1">
        <v>69.2</v>
      </c>
    </row>
    <row r="10" spans="1:19" x14ac:dyDescent="0.25">
      <c r="H10" s="1" t="s">
        <v>4</v>
      </c>
      <c r="I10" s="3">
        <f>(+Model!Y82+Model!Y79+Model!Y83+Model!Y84)/1000000</f>
        <v>7322.6419999999998</v>
      </c>
      <c r="J10" s="1" t="s">
        <v>74</v>
      </c>
      <c r="P10" s="1" t="s">
        <v>6</v>
      </c>
      <c r="Q10" s="11">
        <f>S9/I7</f>
        <v>0.21168109832634432</v>
      </c>
    </row>
    <row r="11" spans="1:19" x14ac:dyDescent="0.25">
      <c r="I11" s="3"/>
      <c r="P11" s="1" t="s">
        <v>7</v>
      </c>
      <c r="Q11" s="5">
        <f>Q10/Q9-1</f>
        <v>-0.29439633891218553</v>
      </c>
    </row>
    <row r="12" spans="1:19" x14ac:dyDescent="0.25">
      <c r="H12" s="1" t="s">
        <v>5</v>
      </c>
      <c r="I12" s="3">
        <f>+I8+I10-I9</f>
        <v>33962.39542845</v>
      </c>
      <c r="P12" s="1" t="s">
        <v>19</v>
      </c>
      <c r="Q12" s="1">
        <v>858</v>
      </c>
    </row>
    <row r="13" spans="1:19" x14ac:dyDescent="0.25">
      <c r="P13" s="1" t="s">
        <v>6</v>
      </c>
      <c r="Q13" s="1">
        <v>885</v>
      </c>
    </row>
    <row r="14" spans="1:19" x14ac:dyDescent="0.25">
      <c r="H14" s="1" t="s">
        <v>201</v>
      </c>
      <c r="I14" s="38">
        <f>I8/(2493.3+876.42)</f>
        <v>8.5381193180590671</v>
      </c>
      <c r="P14" s="1" t="s">
        <v>7</v>
      </c>
      <c r="Q14" s="5">
        <f>Q13/Q12-1</f>
        <v>3.1468531468531458E-2</v>
      </c>
    </row>
    <row r="15" spans="1:19" x14ac:dyDescent="0.25">
      <c r="H15" s="1" t="s">
        <v>203</v>
      </c>
      <c r="I15" s="41" t="s">
        <v>202</v>
      </c>
      <c r="P15" s="1" t="s">
        <v>20</v>
      </c>
      <c r="Q15" s="1">
        <v>0.11</v>
      </c>
    </row>
    <row r="16" spans="1:19" x14ac:dyDescent="0.25">
      <c r="P16" s="1" t="s">
        <v>6</v>
      </c>
    </row>
    <row r="17" spans="16:17" x14ac:dyDescent="0.25">
      <c r="P17" s="1" t="s">
        <v>7</v>
      </c>
      <c r="Q17" s="5">
        <f>Q16/Q15-1</f>
        <v>-1</v>
      </c>
    </row>
    <row r="18" spans="16:17" x14ac:dyDescent="0.25">
      <c r="P18" s="1" t="s">
        <v>21</v>
      </c>
      <c r="Q18" s="3">
        <v>3180</v>
      </c>
    </row>
    <row r="19" spans="16:17" x14ac:dyDescent="0.25">
      <c r="P19" s="1" t="s">
        <v>6</v>
      </c>
    </row>
    <row r="20" spans="16:17" x14ac:dyDescent="0.25">
      <c r="P20" s="1" t="s">
        <v>7</v>
      </c>
      <c r="Q20" s="5">
        <f>Q19/Q18-1</f>
        <v>-1</v>
      </c>
    </row>
    <row r="21" spans="16:17" x14ac:dyDescent="0.25">
      <c r="P21" s="1" t="s">
        <v>22</v>
      </c>
      <c r="Q21" s="1">
        <v>0.05</v>
      </c>
    </row>
    <row r="22" spans="16:17" x14ac:dyDescent="0.25">
      <c r="P22" s="1" t="s">
        <v>6</v>
      </c>
    </row>
    <row r="23" spans="16:17" x14ac:dyDescent="0.25">
      <c r="P23" s="1" t="s">
        <v>7</v>
      </c>
      <c r="Q23" s="5">
        <f>Q22/Q21-1</f>
        <v>-1</v>
      </c>
    </row>
    <row r="24" spans="16:17" x14ac:dyDescent="0.25">
      <c r="P24" s="1" t="s">
        <v>8</v>
      </c>
      <c r="Q24" s="3">
        <v>3890</v>
      </c>
    </row>
    <row r="25" spans="16:17" x14ac:dyDescent="0.25">
      <c r="P25" s="1" t="s">
        <v>6</v>
      </c>
      <c r="Q25" s="1">
        <f>46000*0.084</f>
        <v>3864.0000000000005</v>
      </c>
    </row>
    <row r="26" spans="16:17" x14ac:dyDescent="0.25">
      <c r="P26" s="1" t="s">
        <v>7</v>
      </c>
      <c r="Q26" s="5">
        <f>Q25/Q24-1</f>
        <v>-6.6838046272492679E-3</v>
      </c>
    </row>
    <row r="27" spans="16:17" x14ac:dyDescent="0.25">
      <c r="P27" s="1" t="s">
        <v>9</v>
      </c>
      <c r="Q27" s="1">
        <v>0.78</v>
      </c>
    </row>
    <row r="28" spans="16:17" x14ac:dyDescent="0.25">
      <c r="P28" s="1" t="s">
        <v>6</v>
      </c>
    </row>
    <row r="29" spans="16:17" x14ac:dyDescent="0.25">
      <c r="P29" s="1" t="s">
        <v>7</v>
      </c>
      <c r="Q29" s="5">
        <f>Q28/Q27-1</f>
        <v>-1</v>
      </c>
    </row>
  </sheetData>
  <hyperlinks>
    <hyperlink ref="A1" r:id="rId1" xr:uid="{5A09EC6F-4BCF-4194-8204-050756FD29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EE4A-2F27-4582-9EF1-04105BA6099B}">
  <dimension ref="A1:AW105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Y60" sqref="X60:Y60"/>
    </sheetView>
  </sheetViews>
  <sheetFormatPr defaultColWidth="9" defaultRowHeight="13.2" x14ac:dyDescent="0.25"/>
  <cols>
    <col min="1" max="1" width="6.21875" style="9" bestFit="1" customWidth="1"/>
    <col min="2" max="2" width="49.33203125" style="9" bestFit="1" customWidth="1"/>
    <col min="3" max="10" width="9.77734375" style="9" bestFit="1" customWidth="1"/>
    <col min="11" max="22" width="10.44140625" style="9" bestFit="1" customWidth="1"/>
    <col min="23" max="25" width="10.77734375" style="9" bestFit="1" customWidth="1"/>
    <col min="26" max="26" width="9" style="9"/>
    <col min="27" max="27" width="9.77734375" style="9" bestFit="1" customWidth="1"/>
    <col min="28" max="28" width="9" style="9" customWidth="1"/>
    <col min="29" max="38" width="9" style="9"/>
    <col min="39" max="39" width="8.88671875" style="9" bestFit="1" customWidth="1"/>
    <col min="40" max="40" width="9.88671875" style="9" bestFit="1" customWidth="1"/>
    <col min="41" max="42" width="9.77734375" style="9" bestFit="1" customWidth="1"/>
    <col min="43" max="43" width="10.44140625" style="9" bestFit="1" customWidth="1"/>
    <col min="44" max="44" width="9.77734375" style="9" bestFit="1" customWidth="1"/>
    <col min="45" max="49" width="8.6640625" style="9" bestFit="1" customWidth="1"/>
    <col min="50" max="16384" width="9" style="9"/>
  </cols>
  <sheetData>
    <row r="1" spans="1:49" ht="14.4" x14ac:dyDescent="0.3">
      <c r="A1" s="8" t="s">
        <v>10</v>
      </c>
    </row>
    <row r="2" spans="1:49" x14ac:dyDescent="0.25">
      <c r="B2" s="9" t="s">
        <v>99</v>
      </c>
      <c r="C2" s="9" t="s">
        <v>52</v>
      </c>
      <c r="D2" s="9" t="s">
        <v>53</v>
      </c>
      <c r="E2" s="9" t="s">
        <v>54</v>
      </c>
      <c r="F2" s="9" t="s">
        <v>51</v>
      </c>
      <c r="G2" s="9" t="s">
        <v>55</v>
      </c>
      <c r="H2" s="9" t="s">
        <v>56</v>
      </c>
      <c r="I2" s="9" t="s">
        <v>57</v>
      </c>
      <c r="J2" s="9" t="s">
        <v>58</v>
      </c>
      <c r="K2" s="9" t="s">
        <v>59</v>
      </c>
      <c r="L2" s="9" t="s">
        <v>60</v>
      </c>
      <c r="M2" s="9" t="s">
        <v>61</v>
      </c>
      <c r="N2" s="9" t="s">
        <v>62</v>
      </c>
      <c r="O2" s="9" t="s">
        <v>63</v>
      </c>
      <c r="P2" s="9" t="s">
        <v>64</v>
      </c>
      <c r="Q2" s="9" t="s">
        <v>65</v>
      </c>
      <c r="R2" s="9" t="s">
        <v>66</v>
      </c>
      <c r="S2" s="9" t="s">
        <v>67</v>
      </c>
      <c r="T2" s="9" t="s">
        <v>68</v>
      </c>
      <c r="U2" s="9" t="s">
        <v>69</v>
      </c>
      <c r="V2" s="9" t="s">
        <v>70</v>
      </c>
      <c r="W2" s="9" t="s">
        <v>71</v>
      </c>
      <c r="X2" s="9" t="s">
        <v>72</v>
      </c>
      <c r="Y2" s="9" t="s">
        <v>73</v>
      </c>
      <c r="Z2" s="9" t="s">
        <v>74</v>
      </c>
      <c r="AA2" s="9" t="s">
        <v>77</v>
      </c>
      <c r="AB2" s="9" t="s">
        <v>79</v>
      </c>
      <c r="AC2" s="9" t="s">
        <v>78</v>
      </c>
      <c r="AD2" s="9" t="s">
        <v>75</v>
      </c>
      <c r="AE2" s="9" t="s">
        <v>80</v>
      </c>
      <c r="AF2" s="9" t="s">
        <v>81</v>
      </c>
      <c r="AG2" s="9" t="s">
        <v>82</v>
      </c>
      <c r="AH2" s="9" t="s">
        <v>76</v>
      </c>
      <c r="AM2" s="9" t="s">
        <v>87</v>
      </c>
      <c r="AN2" s="9" t="s">
        <v>88</v>
      </c>
      <c r="AO2" s="9" t="s">
        <v>89</v>
      </c>
      <c r="AP2" s="9" t="s">
        <v>90</v>
      </c>
      <c r="AQ2" s="9" t="s">
        <v>91</v>
      </c>
      <c r="AR2" s="9" t="s">
        <v>92</v>
      </c>
      <c r="AS2" s="9" t="s">
        <v>93</v>
      </c>
      <c r="AT2" s="9" t="s">
        <v>94</v>
      </c>
      <c r="AU2" s="9" t="s">
        <v>95</v>
      </c>
      <c r="AV2" s="9" t="s">
        <v>96</v>
      </c>
      <c r="AW2" s="9" t="s">
        <v>97</v>
      </c>
    </row>
    <row r="3" spans="1:49" s="6" customFormat="1" x14ac:dyDescent="0.25">
      <c r="A3" s="9"/>
      <c r="B3" s="9" t="s">
        <v>23</v>
      </c>
      <c r="C3" s="6">
        <v>36389000</v>
      </c>
      <c r="D3" s="6">
        <v>67764000</v>
      </c>
      <c r="E3" s="6">
        <v>67350000</v>
      </c>
      <c r="F3" s="6">
        <v>85249000</v>
      </c>
      <c r="G3" s="6">
        <v>93265000</v>
      </c>
      <c r="H3" s="6">
        <v>99630000</v>
      </c>
      <c r="I3" s="6">
        <v>97999000</v>
      </c>
      <c r="J3" s="6">
        <v>88657000</v>
      </c>
      <c r="K3" s="6">
        <v>92244000</v>
      </c>
      <c r="L3" s="6">
        <v>127087000</v>
      </c>
      <c r="M3" s="6">
        <v>121054000</v>
      </c>
      <c r="N3" s="6">
        <v>118126000</v>
      </c>
      <c r="O3" s="6">
        <v>113149000</v>
      </c>
      <c r="P3" s="6">
        <v>134019000</v>
      </c>
      <c r="Q3" s="6">
        <v>119013000</v>
      </c>
      <c r="R3" s="6">
        <v>141419000</v>
      </c>
      <c r="S3" s="6">
        <v>145950000</v>
      </c>
      <c r="T3" s="6">
        <v>188357000</v>
      </c>
      <c r="U3" s="6">
        <v>159292000</v>
      </c>
      <c r="V3" s="6">
        <v>181008000</v>
      </c>
      <c r="W3" s="6">
        <v>184339000</v>
      </c>
      <c r="X3" s="6">
        <v>244895000</v>
      </c>
      <c r="Y3" s="6">
        <v>213973000</v>
      </c>
      <c r="AM3" s="6">
        <v>132363000</v>
      </c>
      <c r="AN3" s="6">
        <v>256752000</v>
      </c>
      <c r="AO3" s="6">
        <v>379551000</v>
      </c>
      <c r="AP3" s="6">
        <v>458511000</v>
      </c>
      <c r="AQ3" s="6">
        <v>507600000</v>
      </c>
      <c r="AR3" s="6">
        <v>674607000</v>
      </c>
    </row>
    <row r="4" spans="1:49" s="6" customFormat="1" x14ac:dyDescent="0.25">
      <c r="A4" s="9"/>
      <c r="B4" s="9" t="s">
        <v>24</v>
      </c>
      <c r="C4" s="6">
        <v>3601000</v>
      </c>
      <c r="D4" s="6">
        <v>7110000</v>
      </c>
      <c r="E4" s="6">
        <v>5930000</v>
      </c>
      <c r="F4" s="6">
        <v>2699000</v>
      </c>
      <c r="G4" s="6">
        <v>5958000</v>
      </c>
      <c r="H4" s="6">
        <v>10820000</v>
      </c>
      <c r="I4" s="6">
        <v>13809000</v>
      </c>
      <c r="J4" s="6">
        <v>19264000</v>
      </c>
      <c r="K4" s="6">
        <v>19395000</v>
      </c>
      <c r="L4" s="6">
        <v>26558000</v>
      </c>
      <c r="M4" s="6">
        <v>23169000</v>
      </c>
      <c r="N4" s="6">
        <v>31574000</v>
      </c>
      <c r="O4" s="6">
        <v>26708000</v>
      </c>
      <c r="P4" s="6">
        <v>29117000</v>
      </c>
      <c r="Q4" s="6">
        <v>29469000</v>
      </c>
      <c r="R4" s="6">
        <v>34044000</v>
      </c>
      <c r="S4" s="6">
        <v>33476000</v>
      </c>
      <c r="T4" s="6">
        <v>39269000</v>
      </c>
      <c r="U4" s="6">
        <v>35676000</v>
      </c>
      <c r="V4" s="6">
        <v>42980000</v>
      </c>
      <c r="W4" s="6">
        <v>47480000</v>
      </c>
      <c r="X4" s="6">
        <v>58142000</v>
      </c>
      <c r="Y4" s="6">
        <v>58572000</v>
      </c>
      <c r="AM4" s="6">
        <v>7911000</v>
      </c>
      <c r="AN4" s="6">
        <v>19340000</v>
      </c>
      <c r="AO4" s="6">
        <v>49851000</v>
      </c>
      <c r="AP4" s="6">
        <v>100696000</v>
      </c>
      <c r="AQ4" s="6">
        <v>119338000</v>
      </c>
      <c r="AR4" s="6">
        <v>151401000</v>
      </c>
    </row>
    <row r="5" spans="1:49" s="7" customFormat="1" x14ac:dyDescent="0.25">
      <c r="A5" s="10"/>
      <c r="B5" s="10" t="s">
        <v>25</v>
      </c>
      <c r="C5" s="7">
        <f>SUM(C3:C4)</f>
        <v>39990000</v>
      </c>
      <c r="D5" s="7">
        <f t="shared" ref="D5:Z5" si="0">SUM(D3:D4)</f>
        <v>74874000</v>
      </c>
      <c r="E5" s="7">
        <f t="shared" si="0"/>
        <v>73280000</v>
      </c>
      <c r="F5" s="7">
        <f t="shared" si="0"/>
        <v>87948000</v>
      </c>
      <c r="G5" s="7">
        <f t="shared" si="0"/>
        <v>99223000</v>
      </c>
      <c r="H5" s="7">
        <f t="shared" si="0"/>
        <v>110450000</v>
      </c>
      <c r="I5" s="7">
        <f t="shared" si="0"/>
        <v>111808000</v>
      </c>
      <c r="J5" s="7">
        <f t="shared" si="0"/>
        <v>107921000</v>
      </c>
      <c r="K5" s="7">
        <f t="shared" si="0"/>
        <v>111639000</v>
      </c>
      <c r="L5" s="7">
        <f t="shared" si="0"/>
        <v>153645000</v>
      </c>
      <c r="M5" s="7">
        <f t="shared" si="0"/>
        <v>144223000</v>
      </c>
      <c r="N5" s="7">
        <f t="shared" si="0"/>
        <v>149700000</v>
      </c>
      <c r="O5" s="7">
        <f t="shared" si="0"/>
        <v>139857000</v>
      </c>
      <c r="P5" s="7">
        <f t="shared" si="0"/>
        <v>163136000</v>
      </c>
      <c r="Q5" s="7">
        <f t="shared" si="0"/>
        <v>148482000</v>
      </c>
      <c r="R5" s="7">
        <f t="shared" si="0"/>
        <v>175463000</v>
      </c>
      <c r="S5" s="7">
        <f t="shared" si="0"/>
        <v>179426000</v>
      </c>
      <c r="T5" s="7">
        <f t="shared" si="0"/>
        <v>227626000</v>
      </c>
      <c r="U5" s="7">
        <f t="shared" si="0"/>
        <v>194968000</v>
      </c>
      <c r="V5" s="7">
        <f t="shared" si="0"/>
        <v>223988000</v>
      </c>
      <c r="W5" s="7">
        <f t="shared" si="0"/>
        <v>231819000</v>
      </c>
      <c r="X5" s="7">
        <f t="shared" si="0"/>
        <v>303037000</v>
      </c>
      <c r="Y5" s="7">
        <f t="shared" si="0"/>
        <v>272545000</v>
      </c>
      <c r="Z5" s="7">
        <f t="shared" si="0"/>
        <v>0</v>
      </c>
      <c r="AA5" s="7">
        <f t="shared" ref="AA5" si="1">SUM(AA3:AA4)</f>
        <v>0</v>
      </c>
      <c r="AB5" s="7">
        <f t="shared" ref="AB5" si="2">SUM(AB3:AB4)</f>
        <v>0</v>
      </c>
      <c r="AC5" s="7">
        <f t="shared" ref="AC5" si="3">SUM(AC3:AC4)</f>
        <v>0</v>
      </c>
      <c r="AD5" s="7">
        <f t="shared" ref="AD5" si="4">SUM(AD3:AD4)</f>
        <v>0</v>
      </c>
      <c r="AE5" s="7">
        <f t="shared" ref="AE5" si="5">SUM(AE3:AE4)</f>
        <v>0</v>
      </c>
      <c r="AF5" s="7">
        <f t="shared" ref="AF5" si="6">SUM(AF3:AF4)</f>
        <v>0</v>
      </c>
      <c r="AM5" s="7">
        <f t="shared" ref="AM5" si="7">SUM(AM3:AM4)</f>
        <v>140274000</v>
      </c>
      <c r="AN5" s="7">
        <f t="shared" ref="AN5" si="8">SUM(AN3:AN4)</f>
        <v>276092000</v>
      </c>
      <c r="AO5" s="7">
        <f t="shared" ref="AO5" si="9">SUM(AO3:AO4)</f>
        <v>429402000</v>
      </c>
      <c r="AP5" s="7">
        <f t="shared" ref="AP5" si="10">SUM(AP3:AP4)</f>
        <v>559207000</v>
      </c>
      <c r="AQ5" s="7">
        <f t="shared" ref="AQ5" si="11">SUM(AQ3:AQ4)</f>
        <v>626938000</v>
      </c>
      <c r="AR5" s="7">
        <f t="shared" ref="AR5" si="12">SUM(AR3:AR4)</f>
        <v>826008000</v>
      </c>
      <c r="AS5" s="7">
        <f t="shared" ref="AS5" si="13">SUM(AS3:AS4)</f>
        <v>0</v>
      </c>
      <c r="AT5" s="7">
        <f t="shared" ref="AT5" si="14">SUM(AT3:AT4)</f>
        <v>0</v>
      </c>
      <c r="AU5" s="7">
        <f t="shared" ref="AU5" si="15">SUM(AU3:AU4)</f>
        <v>0</v>
      </c>
      <c r="AV5" s="7">
        <f t="shared" ref="AV5" si="16">SUM(AV3:AV4)</f>
        <v>0</v>
      </c>
    </row>
    <row r="6" spans="1:49" s="6" customFormat="1" x14ac:dyDescent="0.25">
      <c r="A6" s="9"/>
      <c r="B6" s="9" t="s">
        <v>26</v>
      </c>
      <c r="C6" s="6">
        <v>40168000</v>
      </c>
      <c r="D6" s="6">
        <v>45073000</v>
      </c>
      <c r="E6" s="6">
        <v>52372000</v>
      </c>
      <c r="F6" s="6">
        <v>49117000</v>
      </c>
      <c r="G6" s="6">
        <v>54237000</v>
      </c>
      <c r="H6" s="6">
        <v>73857000</v>
      </c>
      <c r="I6" s="6">
        <v>94530000</v>
      </c>
      <c r="J6" s="6">
        <v>103793000</v>
      </c>
      <c r="K6" s="6">
        <v>117302000</v>
      </c>
      <c r="L6" s="6">
        <v>138355000</v>
      </c>
      <c r="M6" s="6">
        <v>134599000</v>
      </c>
      <c r="N6" s="6">
        <v>137624000</v>
      </c>
      <c r="O6" s="6">
        <v>136802000</v>
      </c>
      <c r="P6" s="6">
        <v>155321000</v>
      </c>
      <c r="Q6" s="6">
        <v>178270000</v>
      </c>
      <c r="R6" s="6">
        <v>214824000</v>
      </c>
      <c r="S6" s="6">
        <v>262679000</v>
      </c>
      <c r="T6" s="6">
        <v>288346000</v>
      </c>
      <c r="U6" s="6">
        <v>315712000</v>
      </c>
      <c r="V6" s="6">
        <v>337618000</v>
      </c>
      <c r="W6" s="6">
        <v>377064000</v>
      </c>
      <c r="X6" s="6">
        <v>409367000</v>
      </c>
      <c r="Y6" s="6">
        <v>402701000</v>
      </c>
      <c r="AM6" s="6">
        <v>119404000</v>
      </c>
      <c r="AN6" s="6">
        <v>186730000</v>
      </c>
      <c r="AO6" s="6">
        <v>326417000</v>
      </c>
      <c r="AP6" s="6">
        <v>527880000</v>
      </c>
      <c r="AQ6" s="6">
        <v>685217000</v>
      </c>
      <c r="AR6" s="6">
        <v>1204355000</v>
      </c>
    </row>
    <row r="7" spans="1:49" s="6" customFormat="1" x14ac:dyDescent="0.25">
      <c r="A7" s="9"/>
      <c r="B7" s="9" t="s">
        <v>27</v>
      </c>
      <c r="C7" s="6">
        <v>5725000</v>
      </c>
      <c r="D7" s="6">
        <v>4738000</v>
      </c>
      <c r="E7" s="6">
        <v>9866000</v>
      </c>
      <c r="F7" s="6">
        <v>11578000</v>
      </c>
      <c r="G7" s="6">
        <v>16434000</v>
      </c>
      <c r="H7" s="6">
        <v>14560000</v>
      </c>
      <c r="I7" s="6">
        <v>16350000</v>
      </c>
      <c r="J7" s="6">
        <v>42582000</v>
      </c>
      <c r="K7" s="6">
        <v>30979000</v>
      </c>
      <c r="L7" s="6">
        <v>57690000</v>
      </c>
      <c r="M7" s="6">
        <v>52484000</v>
      </c>
      <c r="N7" s="6">
        <v>55282000</v>
      </c>
      <c r="O7" s="6">
        <v>63595000</v>
      </c>
      <c r="P7" s="6">
        <v>59607000</v>
      </c>
      <c r="Q7" s="6">
        <v>32813000</v>
      </c>
      <c r="R7" s="6">
        <v>32326000</v>
      </c>
      <c r="S7" s="6">
        <v>34285000</v>
      </c>
      <c r="T7" s="6">
        <v>52702000</v>
      </c>
      <c r="U7" s="6">
        <v>40183000</v>
      </c>
      <c r="V7" s="6">
        <v>69983000</v>
      </c>
      <c r="W7" s="6">
        <v>63613000</v>
      </c>
      <c r="X7" s="6">
        <v>125287000</v>
      </c>
      <c r="Y7" s="6">
        <v>75838000</v>
      </c>
      <c r="AM7" s="6">
        <v>-440000</v>
      </c>
      <c r="AN7" s="6">
        <v>31907000</v>
      </c>
      <c r="AO7" s="6">
        <v>89926000</v>
      </c>
      <c r="AP7" s="6">
        <v>196435000</v>
      </c>
      <c r="AQ7" s="6">
        <v>188341000</v>
      </c>
      <c r="AR7" s="6">
        <v>197153000</v>
      </c>
    </row>
    <row r="8" spans="1:49" s="6" customFormat="1" x14ac:dyDescent="0.25">
      <c r="A8" s="9"/>
      <c r="B8" s="9" t="s">
        <v>28</v>
      </c>
      <c r="C8" s="6">
        <v>2064000</v>
      </c>
      <c r="D8" s="6">
        <v>5291000</v>
      </c>
      <c r="E8" s="6">
        <v>2755000</v>
      </c>
      <c r="F8" s="6">
        <v>4689000</v>
      </c>
      <c r="G8" s="6">
        <v>4084000</v>
      </c>
      <c r="H8" s="6">
        <v>5174000</v>
      </c>
      <c r="I8" s="6">
        <v>7977000</v>
      </c>
      <c r="J8" s="6">
        <v>7484000</v>
      </c>
      <c r="K8" s="6">
        <v>9465000</v>
      </c>
      <c r="L8" s="6">
        <v>11321000</v>
      </c>
      <c r="M8" s="6">
        <v>23456000</v>
      </c>
      <c r="N8" s="6">
        <v>21528000</v>
      </c>
      <c r="O8" s="6">
        <v>21370000</v>
      </c>
      <c r="P8" s="6">
        <v>21494000</v>
      </c>
      <c r="Q8" s="6">
        <v>21413000</v>
      </c>
      <c r="R8" s="6">
        <v>23212000</v>
      </c>
      <c r="S8" s="6">
        <v>20157000</v>
      </c>
      <c r="T8" s="6">
        <v>22436000</v>
      </c>
      <c r="U8" s="6">
        <v>25294000</v>
      </c>
      <c r="V8" s="6">
        <v>27596000</v>
      </c>
      <c r="W8" s="6">
        <v>25983000</v>
      </c>
      <c r="X8" s="6">
        <v>28690000</v>
      </c>
      <c r="Y8" s="6">
        <v>32050000</v>
      </c>
      <c r="AM8" s="6">
        <v>5129000</v>
      </c>
      <c r="AN8" s="6">
        <v>14799000</v>
      </c>
      <c r="AO8" s="6">
        <v>24719000</v>
      </c>
      <c r="AP8" s="6">
        <v>65770000</v>
      </c>
      <c r="AQ8" s="6">
        <v>87489000</v>
      </c>
      <c r="AR8" s="6">
        <v>95483000</v>
      </c>
    </row>
    <row r="9" spans="1:49" s="7" customFormat="1" x14ac:dyDescent="0.25">
      <c r="A9" s="10"/>
      <c r="B9" s="10" t="s">
        <v>29</v>
      </c>
      <c r="C9" s="7">
        <f>SUM(C6:C8)+C5</f>
        <v>87947000</v>
      </c>
      <c r="D9" s="7">
        <f t="shared" ref="D9:AF9" si="17">SUM(D6:D8)+D5</f>
        <v>129976000</v>
      </c>
      <c r="E9" s="7">
        <f t="shared" si="17"/>
        <v>138273000</v>
      </c>
      <c r="F9" s="7">
        <f t="shared" si="17"/>
        <v>153332000</v>
      </c>
      <c r="G9" s="7">
        <f t="shared" si="17"/>
        <v>173978000</v>
      </c>
      <c r="H9" s="7">
        <f t="shared" si="17"/>
        <v>204041000</v>
      </c>
      <c r="I9" s="7">
        <f t="shared" si="17"/>
        <v>230665000</v>
      </c>
      <c r="J9" s="7">
        <f t="shared" si="17"/>
        <v>261780000</v>
      </c>
      <c r="K9" s="7">
        <f t="shared" si="17"/>
        <v>269385000</v>
      </c>
      <c r="L9" s="7">
        <f t="shared" si="17"/>
        <v>361011000</v>
      </c>
      <c r="M9" s="7">
        <f t="shared" si="17"/>
        <v>354762000</v>
      </c>
      <c r="N9" s="7">
        <f t="shared" si="17"/>
        <v>364134000</v>
      </c>
      <c r="O9" s="7">
        <f t="shared" si="17"/>
        <v>361624000</v>
      </c>
      <c r="P9" s="7">
        <f t="shared" si="17"/>
        <v>399558000</v>
      </c>
      <c r="Q9" s="7">
        <f t="shared" si="17"/>
        <v>380978000</v>
      </c>
      <c r="R9" s="7">
        <f t="shared" si="17"/>
        <v>445825000</v>
      </c>
      <c r="S9" s="7">
        <f t="shared" si="17"/>
        <v>496547000</v>
      </c>
      <c r="T9" s="7">
        <f t="shared" si="17"/>
        <v>591110000</v>
      </c>
      <c r="U9" s="7">
        <f t="shared" si="17"/>
        <v>576157000</v>
      </c>
      <c r="V9" s="7">
        <f t="shared" si="17"/>
        <v>659185000</v>
      </c>
      <c r="W9" s="7">
        <f t="shared" si="17"/>
        <v>698479000</v>
      </c>
      <c r="X9" s="7">
        <f t="shared" si="17"/>
        <v>866381000</v>
      </c>
      <c r="Y9" s="7">
        <f t="shared" si="17"/>
        <v>783134000</v>
      </c>
      <c r="Z9" s="7">
        <f t="shared" si="17"/>
        <v>0</v>
      </c>
      <c r="AA9" s="7">
        <f t="shared" si="17"/>
        <v>0</v>
      </c>
      <c r="AB9" s="7">
        <f t="shared" si="17"/>
        <v>0</v>
      </c>
      <c r="AC9" s="7">
        <f t="shared" si="17"/>
        <v>0</v>
      </c>
      <c r="AD9" s="7">
        <f t="shared" si="17"/>
        <v>0</v>
      </c>
      <c r="AE9" s="7">
        <f t="shared" si="17"/>
        <v>0</v>
      </c>
      <c r="AF9" s="7">
        <f t="shared" si="17"/>
        <v>0</v>
      </c>
      <c r="AM9" s="7">
        <f t="shared" ref="AM9" si="18">SUM(AM6:AM8)+AM5</f>
        <v>264367000</v>
      </c>
      <c r="AN9" s="7">
        <f t="shared" ref="AN9" si="19">SUM(AN6:AN8)+AN5</f>
        <v>509528000</v>
      </c>
      <c r="AO9" s="7">
        <f t="shared" ref="AO9" si="20">SUM(AO6:AO8)+AO5</f>
        <v>870464000</v>
      </c>
      <c r="AP9" s="7">
        <f t="shared" ref="AP9" si="21">SUM(AP6:AP8)+AP5</f>
        <v>1349292000</v>
      </c>
      <c r="AQ9" s="7">
        <f t="shared" ref="AQ9" si="22">SUM(AQ6:AQ8)+AQ5</f>
        <v>1587985000</v>
      </c>
      <c r="AR9" s="7">
        <f t="shared" ref="AR9" si="23">SUM(AR6:AR8)+AR5</f>
        <v>2322999000</v>
      </c>
      <c r="AS9" s="7">
        <f t="shared" ref="AS9" si="24">SUM(AS6:AS8)+AS5</f>
        <v>0</v>
      </c>
      <c r="AT9" s="7">
        <f t="shared" ref="AT9" si="25">SUM(AT6:AT8)+AT5</f>
        <v>0</v>
      </c>
      <c r="AU9" s="7">
        <f t="shared" ref="AU9" si="26">SUM(AU6:AU8)+AU5</f>
        <v>0</v>
      </c>
      <c r="AV9" s="7">
        <f t="shared" ref="AV9" si="27">SUM(AV6:AV8)+AV5</f>
        <v>0</v>
      </c>
    </row>
    <row r="10" spans="1:49" s="6" customFormat="1" x14ac:dyDescent="0.25">
      <c r="A10" s="9"/>
      <c r="B10" s="9" t="s">
        <v>30</v>
      </c>
      <c r="C10" s="6">
        <v>19961000</v>
      </c>
      <c r="D10" s="6">
        <v>42661000</v>
      </c>
      <c r="E10" s="6">
        <v>43519000</v>
      </c>
      <c r="F10" s="6">
        <v>55311000</v>
      </c>
      <c r="G10" s="6">
        <v>65868000</v>
      </c>
      <c r="H10" s="6">
        <v>67768000</v>
      </c>
      <c r="I10" s="6">
        <v>62054000</v>
      </c>
      <c r="J10" s="6">
        <v>51010000</v>
      </c>
      <c r="K10" s="6">
        <v>51678000</v>
      </c>
      <c r="L10" s="6">
        <v>65265000</v>
      </c>
      <c r="M10" s="6">
        <v>46853000</v>
      </c>
      <c r="N10" s="6">
        <v>40285000</v>
      </c>
      <c r="O10" s="6">
        <v>35610000</v>
      </c>
      <c r="P10" s="6">
        <v>38422000</v>
      </c>
      <c r="Q10" s="6">
        <v>31224000</v>
      </c>
      <c r="R10" s="6">
        <v>35009000</v>
      </c>
      <c r="S10" s="6">
        <v>34866000</v>
      </c>
      <c r="T10" s="6">
        <v>53630000</v>
      </c>
      <c r="U10" s="6">
        <v>44143000</v>
      </c>
      <c r="V10" s="6">
        <v>47756000</v>
      </c>
      <c r="W10" s="6">
        <v>54237000</v>
      </c>
      <c r="X10" s="6">
        <v>70278000</v>
      </c>
      <c r="Y10" s="6">
        <v>57290000</v>
      </c>
      <c r="AM10" s="6">
        <v>73383000</v>
      </c>
      <c r="AN10" s="6">
        <v>161452000</v>
      </c>
      <c r="AO10" s="6">
        <v>246700000</v>
      </c>
      <c r="AP10" s="6">
        <v>204081000</v>
      </c>
      <c r="AQ10" s="6">
        <v>140265000</v>
      </c>
      <c r="AR10" s="6">
        <v>180395000</v>
      </c>
    </row>
    <row r="11" spans="1:49" s="6" customFormat="1" x14ac:dyDescent="0.25">
      <c r="A11" s="9"/>
      <c r="B11" s="9" t="s">
        <v>31</v>
      </c>
      <c r="C11" s="6">
        <v>24844000</v>
      </c>
      <c r="D11" s="6">
        <v>30178000</v>
      </c>
      <c r="E11" s="6">
        <v>82216000</v>
      </c>
      <c r="F11" s="6">
        <v>-32171000</v>
      </c>
      <c r="G11" s="6">
        <v>28931000</v>
      </c>
      <c r="H11" s="6">
        <v>12521000</v>
      </c>
      <c r="I11" s="6">
        <v>-1063000</v>
      </c>
      <c r="J11" s="6">
        <v>25489000</v>
      </c>
      <c r="K11" s="6">
        <v>63647000</v>
      </c>
      <c r="L11" s="6">
        <v>52640000</v>
      </c>
      <c r="M11" s="6">
        <v>66294000</v>
      </c>
      <c r="N11" s="6">
        <v>72691000</v>
      </c>
      <c r="O11" s="6">
        <v>64250000</v>
      </c>
      <c r="P11" s="6">
        <v>106689000</v>
      </c>
      <c r="Q11" s="6">
        <v>66438000</v>
      </c>
      <c r="R11" s="6">
        <v>94483000</v>
      </c>
      <c r="S11" s="6">
        <v>99696000</v>
      </c>
      <c r="T11" s="6">
        <v>120880000</v>
      </c>
      <c r="U11" s="6">
        <v>122443000</v>
      </c>
      <c r="V11" s="6">
        <v>117609000</v>
      </c>
      <c r="W11" s="6">
        <v>159824000</v>
      </c>
      <c r="X11" s="6">
        <v>152980000</v>
      </c>
      <c r="Y11" s="6">
        <v>147252000</v>
      </c>
      <c r="AM11" s="6">
        <v>78025000</v>
      </c>
      <c r="AN11" s="6">
        <v>105067000</v>
      </c>
      <c r="AO11" s="6">
        <v>65878000</v>
      </c>
      <c r="AP11" s="6">
        <v>255272000</v>
      </c>
      <c r="AQ11" s="6">
        <v>331860000</v>
      </c>
      <c r="AR11" s="6">
        <v>460628000</v>
      </c>
    </row>
    <row r="12" spans="1:49" s="6" customFormat="1" x14ac:dyDescent="0.25">
      <c r="A12" s="9"/>
      <c r="B12" s="9" t="s">
        <v>32</v>
      </c>
      <c r="C12" s="6">
        <v>8128000</v>
      </c>
      <c r="D12" s="6">
        <v>8167000</v>
      </c>
      <c r="E12" s="6">
        <v>8204000</v>
      </c>
      <c r="F12" s="6">
        <v>7817000</v>
      </c>
      <c r="G12" s="6">
        <v>10352000</v>
      </c>
      <c r="H12" s="6">
        <v>12060000</v>
      </c>
      <c r="I12" s="6">
        <v>14665000</v>
      </c>
      <c r="J12" s="6">
        <v>15623000</v>
      </c>
      <c r="K12" s="6">
        <v>16753000</v>
      </c>
      <c r="L12" s="6">
        <v>17700000</v>
      </c>
      <c r="M12" s="6">
        <v>15824000</v>
      </c>
      <c r="N12" s="6">
        <v>19417000</v>
      </c>
      <c r="O12" s="6">
        <v>25066000</v>
      </c>
      <c r="P12" s="6">
        <v>43751000</v>
      </c>
      <c r="Q12" s="6">
        <v>51188000</v>
      </c>
      <c r="R12" s="6">
        <v>63008000</v>
      </c>
      <c r="S12" s="6">
        <v>73931000</v>
      </c>
      <c r="T12" s="6">
        <v>84617000</v>
      </c>
      <c r="U12" s="6">
        <v>90449000</v>
      </c>
      <c r="V12" s="6">
        <v>95256000</v>
      </c>
      <c r="W12" s="6">
        <v>104145000</v>
      </c>
      <c r="X12" s="6">
        <v>107762000</v>
      </c>
      <c r="Y12" s="6">
        <v>107631000</v>
      </c>
      <c r="AM12" s="6">
        <v>25895000</v>
      </c>
      <c r="AN12" s="6">
        <v>32316000</v>
      </c>
      <c r="AO12" s="6">
        <v>52700000</v>
      </c>
      <c r="AP12" s="6">
        <v>69694000</v>
      </c>
      <c r="AQ12" s="6">
        <v>183013000</v>
      </c>
      <c r="AR12" s="6">
        <v>344253000</v>
      </c>
    </row>
    <row r="13" spans="1:49" s="6" customFormat="1" x14ac:dyDescent="0.25">
      <c r="A13" s="9"/>
      <c r="B13" s="9" t="s">
        <v>33</v>
      </c>
      <c r="C13" s="6">
        <v>9695000</v>
      </c>
      <c r="D13" s="6">
        <v>11652000</v>
      </c>
      <c r="E13" s="6">
        <v>13678000</v>
      </c>
      <c r="F13" s="6">
        <v>14806000</v>
      </c>
      <c r="G13" s="6">
        <v>13498000</v>
      </c>
      <c r="H13" s="6">
        <v>16802000</v>
      </c>
      <c r="I13" s="6">
        <v>21368000</v>
      </c>
      <c r="J13" s="6">
        <v>21910000</v>
      </c>
      <c r="K13" s="6">
        <v>25201000</v>
      </c>
      <c r="L13" s="6">
        <v>41849000</v>
      </c>
      <c r="M13" s="6">
        <v>43371000</v>
      </c>
      <c r="N13" s="6">
        <v>47393000</v>
      </c>
      <c r="O13" s="6">
        <v>54359000</v>
      </c>
      <c r="P13" s="6">
        <v>66508000</v>
      </c>
      <c r="Q13" s="6">
        <v>65229000</v>
      </c>
      <c r="R13" s="6">
        <v>71247000</v>
      </c>
      <c r="S13" s="6">
        <v>75671000</v>
      </c>
      <c r="T13" s="6">
        <v>90203000</v>
      </c>
      <c r="U13" s="6">
        <v>88209000</v>
      </c>
      <c r="V13" s="6">
        <v>89166000</v>
      </c>
      <c r="W13" s="6">
        <v>95146000</v>
      </c>
      <c r="X13" s="6">
        <v>115960000</v>
      </c>
      <c r="Y13" s="6">
        <v>118398000</v>
      </c>
      <c r="AM13" s="6">
        <v>32669000</v>
      </c>
      <c r="AN13" s="6">
        <v>49831000</v>
      </c>
      <c r="AO13" s="6">
        <v>73578000</v>
      </c>
      <c r="AP13" s="6">
        <v>157814000</v>
      </c>
      <c r="AQ13" s="6">
        <v>257343000</v>
      </c>
      <c r="AR13" s="6">
        <v>343249000</v>
      </c>
    </row>
    <row r="14" spans="1:49" s="6" customFormat="1" x14ac:dyDescent="0.25">
      <c r="A14" s="9"/>
      <c r="B14" s="9" t="s">
        <v>34</v>
      </c>
      <c r="C14" s="6">
        <v>25368000</v>
      </c>
      <c r="D14" s="6">
        <v>31612000</v>
      </c>
      <c r="E14" s="6">
        <v>33654000</v>
      </c>
      <c r="F14" s="6">
        <v>31744000</v>
      </c>
      <c r="G14" s="6">
        <v>33768000</v>
      </c>
      <c r="H14" s="6">
        <v>41634000</v>
      </c>
      <c r="I14" s="6">
        <v>104806000</v>
      </c>
      <c r="J14" s="6">
        <v>69128000</v>
      </c>
      <c r="K14" s="6">
        <v>78013000</v>
      </c>
      <c r="L14" s="6">
        <v>94989000</v>
      </c>
      <c r="M14" s="6">
        <v>110291000</v>
      </c>
      <c r="N14" s="6">
        <v>135350000</v>
      </c>
      <c r="O14" s="6">
        <v>144961000</v>
      </c>
      <c r="P14" s="6">
        <v>156747000</v>
      </c>
      <c r="Q14" s="6">
        <v>161792000</v>
      </c>
      <c r="R14" s="6">
        <v>152318000</v>
      </c>
      <c r="S14" s="6">
        <v>132965000</v>
      </c>
      <c r="T14" s="6">
        <v>119833000</v>
      </c>
      <c r="U14" s="6">
        <v>124828000</v>
      </c>
      <c r="V14" s="6">
        <v>124231000</v>
      </c>
      <c r="W14" s="6">
        <v>134290000</v>
      </c>
      <c r="X14" s="6">
        <v>148213000</v>
      </c>
      <c r="Y14" s="6">
        <v>152620000</v>
      </c>
      <c r="AM14" s="6">
        <v>76071000</v>
      </c>
      <c r="AN14" s="6">
        <v>122378000</v>
      </c>
      <c r="AO14" s="6">
        <v>249336000</v>
      </c>
      <c r="AP14" s="6">
        <v>418643000</v>
      </c>
      <c r="AQ14" s="6">
        <v>615818000</v>
      </c>
      <c r="AR14" s="6">
        <v>501857000</v>
      </c>
    </row>
    <row r="15" spans="1:49" s="6" customFormat="1" x14ac:dyDescent="0.25">
      <c r="A15" s="9"/>
      <c r="B15" s="9" t="s">
        <v>35</v>
      </c>
      <c r="C15" s="6">
        <v>5219000</v>
      </c>
      <c r="D15" s="6">
        <v>7651000</v>
      </c>
      <c r="E15" s="6">
        <v>7108000</v>
      </c>
      <c r="F15" s="6">
        <v>5066000</v>
      </c>
      <c r="G15" s="6">
        <v>22582000</v>
      </c>
      <c r="H15" s="6">
        <v>39112000</v>
      </c>
      <c r="I15" s="6">
        <v>58184000</v>
      </c>
      <c r="J15" s="6">
        <v>62312000</v>
      </c>
      <c r="K15" s="6">
        <v>63960000</v>
      </c>
      <c r="L15" s="6">
        <v>143476000</v>
      </c>
      <c r="M15" s="6">
        <v>156214000</v>
      </c>
      <c r="N15" s="6">
        <v>168693000</v>
      </c>
      <c r="O15" s="6">
        <v>163873000</v>
      </c>
      <c r="P15" s="6">
        <v>188334000</v>
      </c>
      <c r="Q15" s="6">
        <v>140942000</v>
      </c>
      <c r="R15" s="6">
        <v>145131000</v>
      </c>
      <c r="S15" s="6">
        <v>146866000</v>
      </c>
      <c r="T15" s="6">
        <v>161265000</v>
      </c>
      <c r="U15" s="6">
        <v>132950000</v>
      </c>
      <c r="V15" s="6">
        <v>135324000</v>
      </c>
      <c r="W15" s="6">
        <v>145233000</v>
      </c>
      <c r="X15" s="6">
        <v>136038000</v>
      </c>
      <c r="Y15" s="6">
        <v>74022000</v>
      </c>
      <c r="AM15" s="6">
        <v>16863000</v>
      </c>
      <c r="AN15" s="6">
        <v>25044000</v>
      </c>
      <c r="AO15" s="6">
        <v>182190000</v>
      </c>
      <c r="AP15" s="6">
        <v>532343000</v>
      </c>
      <c r="AQ15" s="6">
        <v>638280000</v>
      </c>
      <c r="AR15" s="6">
        <v>576405000</v>
      </c>
    </row>
    <row r="16" spans="1:49" s="6" customFormat="1" x14ac:dyDescent="0.25">
      <c r="A16" s="9"/>
      <c r="B16" s="9" t="s">
        <v>36</v>
      </c>
      <c r="C16" s="6">
        <v>27704000</v>
      </c>
      <c r="D16" s="6">
        <v>30688000</v>
      </c>
      <c r="E16" s="6">
        <v>31399000</v>
      </c>
      <c r="F16" s="6">
        <v>31439000</v>
      </c>
      <c r="G16" s="6">
        <v>32273000</v>
      </c>
      <c r="H16" s="6">
        <v>40916000</v>
      </c>
      <c r="I16" s="6">
        <v>179999000</v>
      </c>
      <c r="J16" s="6">
        <v>130561000</v>
      </c>
      <c r="K16" s="6">
        <v>136204000</v>
      </c>
      <c r="L16" s="6">
        <v>141292000</v>
      </c>
      <c r="M16" s="6">
        <v>142466000</v>
      </c>
      <c r="N16" s="6">
        <v>157531000</v>
      </c>
      <c r="O16" s="6">
        <v>160972000</v>
      </c>
      <c r="P16" s="6">
        <v>158639000</v>
      </c>
      <c r="Q16" s="6">
        <v>139266000</v>
      </c>
      <c r="R16" s="6">
        <v>127521000</v>
      </c>
      <c r="S16" s="6">
        <v>140334000</v>
      </c>
      <c r="T16" s="6">
        <v>132777000</v>
      </c>
      <c r="U16" s="6">
        <v>128721000</v>
      </c>
      <c r="V16" s="6">
        <v>123459000</v>
      </c>
      <c r="W16" s="6">
        <v>138482000</v>
      </c>
      <c r="X16" s="6">
        <v>139412000</v>
      </c>
      <c r="Y16" s="6">
        <v>134303000</v>
      </c>
      <c r="AM16" s="6">
        <v>88902000</v>
      </c>
      <c r="AN16" s="6">
        <v>121230000</v>
      </c>
      <c r="AO16" s="6">
        <v>383749000</v>
      </c>
      <c r="AP16" s="6">
        <v>577493000</v>
      </c>
      <c r="AQ16" s="6">
        <v>586398000</v>
      </c>
      <c r="AR16" s="6">
        <v>525291000</v>
      </c>
    </row>
    <row r="17" spans="1:48" s="6" customFormat="1" x14ac:dyDescent="0.25">
      <c r="A17" s="9"/>
      <c r="B17" s="9" t="s">
        <v>37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34934000</v>
      </c>
      <c r="R17" s="6">
        <v>936000</v>
      </c>
      <c r="S17" s="6">
        <v>1665000</v>
      </c>
      <c r="T17" s="6">
        <v>56000</v>
      </c>
      <c r="U17" s="6">
        <v>5203000</v>
      </c>
      <c r="V17" s="6">
        <v>-156000</v>
      </c>
      <c r="W17" s="6">
        <v>-255000</v>
      </c>
      <c r="X17" s="6">
        <v>60000</v>
      </c>
      <c r="Y17" s="6">
        <v>12000</v>
      </c>
      <c r="AM17" s="6">
        <v>0</v>
      </c>
      <c r="AN17" s="6">
        <v>0</v>
      </c>
      <c r="AO17" s="6">
        <v>0</v>
      </c>
      <c r="AP17" s="6">
        <v>0</v>
      </c>
      <c r="AQ17" s="6">
        <v>35870000</v>
      </c>
      <c r="AR17" s="6">
        <v>6768000</v>
      </c>
    </row>
    <row r="18" spans="1:48" s="7" customFormat="1" x14ac:dyDescent="0.25">
      <c r="A18" s="10"/>
      <c r="B18" s="10" t="s">
        <v>38</v>
      </c>
      <c r="C18" s="7">
        <f>SUM(C10:C17)</f>
        <v>120919000</v>
      </c>
      <c r="D18" s="7">
        <f t="shared" ref="D18:AF18" si="28">SUM(D10:D17)</f>
        <v>162609000</v>
      </c>
      <c r="E18" s="7">
        <f t="shared" si="28"/>
        <v>219778000</v>
      </c>
      <c r="F18" s="7">
        <f t="shared" si="28"/>
        <v>114012000</v>
      </c>
      <c r="G18" s="7">
        <f t="shared" si="28"/>
        <v>207272000</v>
      </c>
      <c r="H18" s="7">
        <f t="shared" si="28"/>
        <v>230813000</v>
      </c>
      <c r="I18" s="7">
        <f t="shared" si="28"/>
        <v>440013000</v>
      </c>
      <c r="J18" s="7">
        <f t="shared" si="28"/>
        <v>376033000</v>
      </c>
      <c r="K18" s="7">
        <f t="shared" si="28"/>
        <v>435456000</v>
      </c>
      <c r="L18" s="7">
        <f t="shared" si="28"/>
        <v>557211000</v>
      </c>
      <c r="M18" s="7">
        <f t="shared" si="28"/>
        <v>581313000</v>
      </c>
      <c r="N18" s="7">
        <f t="shared" si="28"/>
        <v>641360000</v>
      </c>
      <c r="O18" s="7">
        <f t="shared" si="28"/>
        <v>649091000</v>
      </c>
      <c r="P18" s="7">
        <f t="shared" si="28"/>
        <v>759090000</v>
      </c>
      <c r="Q18" s="7">
        <f t="shared" si="28"/>
        <v>691013000</v>
      </c>
      <c r="R18" s="7">
        <f t="shared" si="28"/>
        <v>689653000</v>
      </c>
      <c r="S18" s="7">
        <f t="shared" si="28"/>
        <v>705994000</v>
      </c>
      <c r="T18" s="7">
        <f t="shared" si="28"/>
        <v>763261000</v>
      </c>
      <c r="U18" s="7">
        <f t="shared" si="28"/>
        <v>736946000</v>
      </c>
      <c r="V18" s="7">
        <f t="shared" si="28"/>
        <v>732645000</v>
      </c>
      <c r="W18" s="7">
        <f t="shared" si="28"/>
        <v>831102000</v>
      </c>
      <c r="X18" s="7">
        <f t="shared" si="28"/>
        <v>870703000</v>
      </c>
      <c r="Y18" s="7">
        <f t="shared" si="28"/>
        <v>791528000</v>
      </c>
      <c r="Z18" s="7">
        <f t="shared" si="28"/>
        <v>0</v>
      </c>
      <c r="AA18" s="7">
        <f t="shared" si="28"/>
        <v>0</v>
      </c>
      <c r="AB18" s="7">
        <f t="shared" si="28"/>
        <v>0</v>
      </c>
      <c r="AC18" s="7">
        <f t="shared" si="28"/>
        <v>0</v>
      </c>
      <c r="AD18" s="7">
        <f t="shared" si="28"/>
        <v>0</v>
      </c>
      <c r="AE18" s="7">
        <f t="shared" si="28"/>
        <v>0</v>
      </c>
      <c r="AF18" s="7">
        <f t="shared" si="28"/>
        <v>0</v>
      </c>
      <c r="AM18" s="7">
        <f t="shared" ref="AM18" si="29">SUM(AM10:AM17)</f>
        <v>391808000</v>
      </c>
      <c r="AN18" s="7">
        <f t="shared" ref="AN18" si="30">SUM(AN10:AN17)</f>
        <v>617318000</v>
      </c>
      <c r="AO18" s="7">
        <f t="shared" ref="AO18" si="31">SUM(AO10:AO17)</f>
        <v>1254131000</v>
      </c>
      <c r="AP18" s="7">
        <f t="shared" ref="AP18" si="32">SUM(AP10:AP17)</f>
        <v>2215340000</v>
      </c>
      <c r="AQ18" s="7">
        <f t="shared" ref="AQ18" si="33">SUM(AQ10:AQ17)</f>
        <v>2788847000</v>
      </c>
      <c r="AR18" s="7">
        <f t="shared" ref="AR18" si="34">SUM(AR10:AR17)</f>
        <v>2938846000</v>
      </c>
      <c r="AS18" s="7">
        <f t="shared" ref="AS18" si="35">SUM(AS10:AS17)</f>
        <v>0</v>
      </c>
      <c r="AT18" s="7">
        <f t="shared" ref="AT18" si="36">SUM(AT10:AT17)</f>
        <v>0</v>
      </c>
      <c r="AU18" s="7">
        <f t="shared" ref="AU18" si="37">SUM(AU10:AU17)</f>
        <v>0</v>
      </c>
      <c r="AV18" s="7">
        <f t="shared" ref="AV18" si="38">SUM(AV10:AV17)</f>
        <v>0</v>
      </c>
    </row>
    <row r="19" spans="1:48" s="7" customFormat="1" x14ac:dyDescent="0.25">
      <c r="A19" s="10"/>
      <c r="B19" s="10" t="s">
        <v>39</v>
      </c>
      <c r="C19" s="7">
        <f>C9-C18</f>
        <v>-32972000</v>
      </c>
      <c r="D19" s="7">
        <f t="shared" ref="D19:AF19" si="39">D9-D18</f>
        <v>-32633000</v>
      </c>
      <c r="E19" s="7">
        <f t="shared" si="39"/>
        <v>-81505000</v>
      </c>
      <c r="F19" s="7">
        <f t="shared" si="39"/>
        <v>39320000</v>
      </c>
      <c r="G19" s="7">
        <f t="shared" si="39"/>
        <v>-33294000</v>
      </c>
      <c r="H19" s="7">
        <f t="shared" si="39"/>
        <v>-26772000</v>
      </c>
      <c r="I19" s="7">
        <f t="shared" si="39"/>
        <v>-209348000</v>
      </c>
      <c r="J19" s="7">
        <f t="shared" si="39"/>
        <v>-114253000</v>
      </c>
      <c r="K19" s="7">
        <f t="shared" si="39"/>
        <v>-166071000</v>
      </c>
      <c r="L19" s="7">
        <f t="shared" si="39"/>
        <v>-196200000</v>
      </c>
      <c r="M19" s="7">
        <f t="shared" si="39"/>
        <v>-226551000</v>
      </c>
      <c r="N19" s="7">
        <f t="shared" si="39"/>
        <v>-277226000</v>
      </c>
      <c r="O19" s="7">
        <f t="shared" si="39"/>
        <v>-287467000</v>
      </c>
      <c r="P19" s="7">
        <f t="shared" si="39"/>
        <v>-359532000</v>
      </c>
      <c r="Q19" s="7">
        <f t="shared" si="39"/>
        <v>-310035000</v>
      </c>
      <c r="R19" s="7">
        <f t="shared" si="39"/>
        <v>-243828000</v>
      </c>
      <c r="S19" s="7">
        <f t="shared" si="39"/>
        <v>-209447000</v>
      </c>
      <c r="T19" s="7">
        <f t="shared" si="39"/>
        <v>-172151000</v>
      </c>
      <c r="U19" s="7">
        <f t="shared" si="39"/>
        <v>-160789000</v>
      </c>
      <c r="V19" s="7">
        <f t="shared" si="39"/>
        <v>-73460000</v>
      </c>
      <c r="W19" s="7">
        <f t="shared" si="39"/>
        <v>-132623000</v>
      </c>
      <c r="X19" s="7">
        <f t="shared" si="39"/>
        <v>-4322000</v>
      </c>
      <c r="Y19" s="7">
        <f t="shared" si="39"/>
        <v>-8394000</v>
      </c>
      <c r="Z19" s="7">
        <f t="shared" si="39"/>
        <v>0</v>
      </c>
      <c r="AA19" s="7">
        <f t="shared" si="39"/>
        <v>0</v>
      </c>
      <c r="AB19" s="7">
        <f t="shared" si="39"/>
        <v>0</v>
      </c>
      <c r="AC19" s="7">
        <f t="shared" si="39"/>
        <v>0</v>
      </c>
      <c r="AD19" s="7">
        <f t="shared" si="39"/>
        <v>0</v>
      </c>
      <c r="AE19" s="7">
        <f t="shared" si="39"/>
        <v>0</v>
      </c>
      <c r="AF19" s="7">
        <f t="shared" si="39"/>
        <v>0</v>
      </c>
      <c r="AM19" s="7">
        <f t="shared" ref="AM19" si="40">AM9-AM18</f>
        <v>-127441000</v>
      </c>
      <c r="AN19" s="7">
        <f t="shared" ref="AN19" si="41">AN9-AN18</f>
        <v>-107790000</v>
      </c>
      <c r="AO19" s="7">
        <f t="shared" ref="AO19" si="42">AO9-AO18</f>
        <v>-383667000</v>
      </c>
      <c r="AP19" s="7">
        <f t="shared" ref="AP19" si="43">AP9-AP18</f>
        <v>-866048000</v>
      </c>
      <c r="AQ19" s="7">
        <f t="shared" ref="AQ19" si="44">AQ9-AQ18</f>
        <v>-1200862000</v>
      </c>
      <c r="AR19" s="7">
        <f t="shared" ref="AR19" si="45">AR9-AR18</f>
        <v>-615847000</v>
      </c>
      <c r="AS19" s="7">
        <f t="shared" ref="AS19" si="46">AS9-AS18</f>
        <v>0</v>
      </c>
      <c r="AT19" s="7">
        <f t="shared" ref="AT19" si="47">AT9-AT18</f>
        <v>0</v>
      </c>
      <c r="AU19" s="7">
        <f t="shared" ref="AU19" si="48">AU9-AU18</f>
        <v>0</v>
      </c>
      <c r="AV19" s="7">
        <f t="shared" ref="AV19" si="49">AV9-AV18</f>
        <v>0</v>
      </c>
    </row>
    <row r="20" spans="1:48" s="6" customFormat="1" x14ac:dyDescent="0.25">
      <c r="A20" s="9"/>
      <c r="B20" s="9" t="s">
        <v>40</v>
      </c>
      <c r="C20" s="6">
        <v>2273000</v>
      </c>
      <c r="D20" s="6">
        <v>1730000</v>
      </c>
      <c r="E20" s="6">
        <v>-4022000</v>
      </c>
      <c r="F20" s="6">
        <v>-4413000</v>
      </c>
      <c r="G20" s="6">
        <v>29445000</v>
      </c>
      <c r="H20" s="6">
        <v>240000</v>
      </c>
      <c r="I20" s="6">
        <v>-77773000</v>
      </c>
      <c r="J20" s="6">
        <v>-11615000</v>
      </c>
      <c r="K20" s="6">
        <v>-140373000</v>
      </c>
      <c r="L20" s="6">
        <v>36741000</v>
      </c>
      <c r="M20" s="6">
        <v>172139000</v>
      </c>
      <c r="N20" s="6">
        <v>72710000</v>
      </c>
      <c r="O20" s="6">
        <v>36018000</v>
      </c>
      <c r="P20" s="6">
        <v>35527000</v>
      </c>
      <c r="Q20" s="6">
        <v>103522000</v>
      </c>
      <c r="R20" s="6">
        <v>36550000</v>
      </c>
      <c r="S20" s="6">
        <v>38707000</v>
      </c>
      <c r="T20" s="6">
        <v>4549000</v>
      </c>
      <c r="U20" s="6">
        <v>27743000</v>
      </c>
      <c r="V20" s="6">
        <v>29321000</v>
      </c>
      <c r="W20" s="6">
        <v>34303000</v>
      </c>
      <c r="X20" s="6">
        <v>87181000</v>
      </c>
      <c r="Y20" s="6">
        <v>13738000</v>
      </c>
      <c r="AM20" s="6">
        <v>7022000</v>
      </c>
      <c r="AN20" s="6">
        <v>-4432000</v>
      </c>
      <c r="AO20" s="6">
        <v>-59703000</v>
      </c>
      <c r="AP20" s="6">
        <v>141217000</v>
      </c>
      <c r="AQ20" s="6">
        <v>211617000</v>
      </c>
      <c r="AR20" s="6">
        <v>100320000</v>
      </c>
    </row>
    <row r="21" spans="1:48" s="7" customFormat="1" x14ac:dyDescent="0.25">
      <c r="A21" s="10"/>
      <c r="B21" s="10" t="s">
        <v>41</v>
      </c>
      <c r="C21" s="7">
        <f>C19+C20</f>
        <v>-30699000</v>
      </c>
      <c r="D21" s="7">
        <f t="shared" ref="D21:AF21" si="50">D19+D20</f>
        <v>-30903000</v>
      </c>
      <c r="E21" s="7">
        <f t="shared" si="50"/>
        <v>-85527000</v>
      </c>
      <c r="F21" s="7">
        <f t="shared" si="50"/>
        <v>34907000</v>
      </c>
      <c r="G21" s="7">
        <f t="shared" si="50"/>
        <v>-3849000</v>
      </c>
      <c r="H21" s="7">
        <f t="shared" si="50"/>
        <v>-26532000</v>
      </c>
      <c r="I21" s="7">
        <f t="shared" si="50"/>
        <v>-287121000</v>
      </c>
      <c r="J21" s="7">
        <f t="shared" si="50"/>
        <v>-125868000</v>
      </c>
      <c r="K21" s="7">
        <f t="shared" si="50"/>
        <v>-306444000</v>
      </c>
      <c r="L21" s="7">
        <f t="shared" si="50"/>
        <v>-159459000</v>
      </c>
      <c r="M21" s="7">
        <f t="shared" si="50"/>
        <v>-54412000</v>
      </c>
      <c r="N21" s="7">
        <f t="shared" si="50"/>
        <v>-204516000</v>
      </c>
      <c r="O21" s="7">
        <f t="shared" si="50"/>
        <v>-251449000</v>
      </c>
      <c r="P21" s="7">
        <f t="shared" si="50"/>
        <v>-324005000</v>
      </c>
      <c r="Q21" s="7">
        <f t="shared" si="50"/>
        <v>-206513000</v>
      </c>
      <c r="R21" s="7">
        <f t="shared" si="50"/>
        <v>-207278000</v>
      </c>
      <c r="S21" s="7">
        <f t="shared" si="50"/>
        <v>-170740000</v>
      </c>
      <c r="T21" s="7">
        <f t="shared" si="50"/>
        <v>-167602000</v>
      </c>
      <c r="U21" s="7">
        <f t="shared" si="50"/>
        <v>-133046000</v>
      </c>
      <c r="V21" s="7">
        <f t="shared" si="50"/>
        <v>-44139000</v>
      </c>
      <c r="W21" s="7">
        <f t="shared" si="50"/>
        <v>-98320000</v>
      </c>
      <c r="X21" s="7">
        <f t="shared" si="50"/>
        <v>82859000</v>
      </c>
      <c r="Y21" s="7">
        <f t="shared" si="50"/>
        <v>5344000</v>
      </c>
      <c r="Z21" s="7">
        <f t="shared" si="50"/>
        <v>0</v>
      </c>
      <c r="AA21" s="7">
        <f t="shared" si="50"/>
        <v>0</v>
      </c>
      <c r="AB21" s="7">
        <f t="shared" si="50"/>
        <v>0</v>
      </c>
      <c r="AC21" s="7">
        <f t="shared" si="50"/>
        <v>0</v>
      </c>
      <c r="AD21" s="7">
        <f t="shared" si="50"/>
        <v>0</v>
      </c>
      <c r="AE21" s="7">
        <f t="shared" si="50"/>
        <v>0</v>
      </c>
      <c r="AF21" s="7">
        <f t="shared" si="50"/>
        <v>0</v>
      </c>
      <c r="AM21" s="7">
        <f t="shared" ref="AM21" si="51">AM19+AM20</f>
        <v>-120419000</v>
      </c>
      <c r="AN21" s="7">
        <f t="shared" ref="AN21" si="52">AN19+AN20</f>
        <v>-112222000</v>
      </c>
      <c r="AO21" s="7">
        <f t="shared" ref="AO21" si="53">AO19+AO20</f>
        <v>-443370000</v>
      </c>
      <c r="AP21" s="7">
        <f t="shared" ref="AP21" si="54">AP19+AP20</f>
        <v>-724831000</v>
      </c>
      <c r="AQ21" s="7">
        <f t="shared" ref="AQ21" si="55">AQ19+AQ20</f>
        <v>-989245000</v>
      </c>
      <c r="AR21" s="7">
        <f t="shared" ref="AR21" si="56">AR19+AR20</f>
        <v>-515527000</v>
      </c>
      <c r="AS21" s="7">
        <f t="shared" ref="AS21" si="57">AS19+AS20</f>
        <v>0</v>
      </c>
      <c r="AT21" s="7">
        <f t="shared" ref="AT21" si="58">AT19+AT20</f>
        <v>0</v>
      </c>
      <c r="AU21" s="7">
        <f t="shared" ref="AU21" si="59">AU19+AU20</f>
        <v>0</v>
      </c>
      <c r="AV21" s="7">
        <f t="shared" ref="AV21" si="60">AV19+AV20</f>
        <v>0</v>
      </c>
    </row>
    <row r="22" spans="1:48" s="6" customFormat="1" x14ac:dyDescent="0.25">
      <c r="A22" s="9"/>
      <c r="B22" s="9" t="s">
        <v>42</v>
      </c>
      <c r="C22" s="6">
        <v>96000</v>
      </c>
      <c r="D22" s="6">
        <v>93000</v>
      </c>
      <c r="E22" s="6">
        <v>93000</v>
      </c>
      <c r="F22" s="6">
        <v>94000</v>
      </c>
      <c r="G22" s="6">
        <v>97000</v>
      </c>
      <c r="H22" s="6">
        <v>78000</v>
      </c>
      <c r="I22" s="6">
        <v>-70000</v>
      </c>
      <c r="J22" s="6">
        <v>-2448000</v>
      </c>
      <c r="K22" s="6">
        <v>171000</v>
      </c>
      <c r="L22" s="6">
        <v>276000</v>
      </c>
      <c r="M22" s="6">
        <v>259000</v>
      </c>
      <c r="N22" s="6">
        <v>-18120000</v>
      </c>
      <c r="O22" s="6">
        <v>-180000</v>
      </c>
      <c r="P22" s="6">
        <v>-1568000</v>
      </c>
      <c r="Q22" s="6">
        <v>-836000</v>
      </c>
      <c r="R22" s="6">
        <v>-1316000</v>
      </c>
      <c r="S22" s="6">
        <v>1043000</v>
      </c>
      <c r="T22" s="6">
        <v>-700000</v>
      </c>
      <c r="U22" s="6">
        <v>890000</v>
      </c>
      <c r="V22" s="6">
        <v>997000</v>
      </c>
      <c r="W22" s="6">
        <v>1902000</v>
      </c>
      <c r="X22" s="6">
        <v>2499000</v>
      </c>
      <c r="Y22" s="6">
        <v>2541000</v>
      </c>
      <c r="AM22" s="6">
        <v>36000</v>
      </c>
      <c r="AN22" s="6">
        <v>376000</v>
      </c>
      <c r="AO22" s="6">
        <v>-2343000</v>
      </c>
      <c r="AP22" s="6">
        <v>-17414000</v>
      </c>
      <c r="AQ22" s="6">
        <v>-3900000</v>
      </c>
      <c r="AR22" s="6">
        <v>2230000</v>
      </c>
    </row>
    <row r="23" spans="1:48" s="7" customFormat="1" x14ac:dyDescent="0.25">
      <c r="A23" s="10"/>
      <c r="B23" s="10" t="s">
        <v>43</v>
      </c>
      <c r="C23" s="7">
        <f>C21-C22</f>
        <v>-30795000</v>
      </c>
      <c r="D23" s="7">
        <f t="shared" ref="D23:AF23" si="61">D21-D22</f>
        <v>-30996000</v>
      </c>
      <c r="E23" s="7">
        <f t="shared" si="61"/>
        <v>-85620000</v>
      </c>
      <c r="F23" s="7">
        <f t="shared" si="61"/>
        <v>34813000</v>
      </c>
      <c r="G23" s="7">
        <f t="shared" si="61"/>
        <v>-3946000</v>
      </c>
      <c r="H23" s="7">
        <f t="shared" si="61"/>
        <v>-26610000</v>
      </c>
      <c r="I23" s="7">
        <f t="shared" si="61"/>
        <v>-287051000</v>
      </c>
      <c r="J23" s="7">
        <f t="shared" si="61"/>
        <v>-123420000</v>
      </c>
      <c r="K23" s="7">
        <f t="shared" si="61"/>
        <v>-306615000</v>
      </c>
      <c r="L23" s="7">
        <f t="shared" si="61"/>
        <v>-159735000</v>
      </c>
      <c r="M23" s="7">
        <f t="shared" si="61"/>
        <v>-54671000</v>
      </c>
      <c r="N23" s="7">
        <f t="shared" si="61"/>
        <v>-186396000</v>
      </c>
      <c r="O23" s="7">
        <f t="shared" si="61"/>
        <v>-251269000</v>
      </c>
      <c r="P23" s="7">
        <f t="shared" si="61"/>
        <v>-322437000</v>
      </c>
      <c r="Q23" s="7">
        <f t="shared" si="61"/>
        <v>-205677000</v>
      </c>
      <c r="R23" s="7">
        <f t="shared" si="61"/>
        <v>-205962000</v>
      </c>
      <c r="S23" s="7">
        <f t="shared" si="61"/>
        <v>-171783000</v>
      </c>
      <c r="T23" s="7">
        <f t="shared" si="61"/>
        <v>-166902000</v>
      </c>
      <c r="U23" s="7">
        <f t="shared" si="61"/>
        <v>-133936000</v>
      </c>
      <c r="V23" s="7">
        <f t="shared" si="61"/>
        <v>-45136000</v>
      </c>
      <c r="W23" s="7">
        <f t="shared" si="61"/>
        <v>-100222000</v>
      </c>
      <c r="X23" s="7">
        <f t="shared" si="61"/>
        <v>80360000</v>
      </c>
      <c r="Y23" s="7">
        <f t="shared" si="61"/>
        <v>2803000</v>
      </c>
      <c r="Z23" s="7">
        <f t="shared" si="61"/>
        <v>0</v>
      </c>
      <c r="AA23" s="7">
        <f t="shared" si="61"/>
        <v>0</v>
      </c>
      <c r="AB23" s="7">
        <f t="shared" si="61"/>
        <v>0</v>
      </c>
      <c r="AC23" s="7">
        <f t="shared" si="61"/>
        <v>0</v>
      </c>
      <c r="AD23" s="7">
        <f t="shared" si="61"/>
        <v>0</v>
      </c>
      <c r="AE23" s="7">
        <f t="shared" si="61"/>
        <v>0</v>
      </c>
      <c r="AF23" s="7">
        <f t="shared" si="61"/>
        <v>0</v>
      </c>
      <c r="AM23" s="7">
        <f t="shared" ref="AM23" si="62">AM21-AM22</f>
        <v>-120455000</v>
      </c>
      <c r="AN23" s="7">
        <f t="shared" ref="AN23" si="63">AN21-AN22</f>
        <v>-112598000</v>
      </c>
      <c r="AO23" s="7">
        <f t="shared" ref="AO23" si="64">AO21-AO22</f>
        <v>-441027000</v>
      </c>
      <c r="AP23" s="7">
        <f t="shared" ref="AP23" si="65">AP21-AP22</f>
        <v>-707417000</v>
      </c>
      <c r="AQ23" s="7">
        <f t="shared" ref="AQ23" si="66">AQ21-AQ22</f>
        <v>-985345000</v>
      </c>
      <c r="AR23" s="7">
        <f t="shared" ref="AR23" si="67">AR21-AR22</f>
        <v>-517757000</v>
      </c>
      <c r="AS23" s="7">
        <f t="shared" ref="AS23" si="68">AS21-AS22</f>
        <v>0</v>
      </c>
      <c r="AT23" s="7">
        <f t="shared" ref="AT23" si="69">AT21-AT22</f>
        <v>0</v>
      </c>
      <c r="AU23" s="7">
        <f t="shared" ref="AU23" si="70">AU21-AU22</f>
        <v>0</v>
      </c>
      <c r="AV23" s="7">
        <f t="shared" ref="AV23" si="71">AV21-AV22</f>
        <v>0</v>
      </c>
    </row>
    <row r="24" spans="1:48" s="6" customFormat="1" x14ac:dyDescent="0.25">
      <c r="A24" s="9"/>
      <c r="B24" s="9" t="s">
        <v>44</v>
      </c>
      <c r="C24" s="6">
        <v>0</v>
      </c>
      <c r="D24" s="6">
        <v>-13205000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AM24" s="6">
        <v>-14113000</v>
      </c>
      <c r="AN24" s="6">
        <v>-13205000</v>
      </c>
      <c r="AO24" s="6">
        <v>0</v>
      </c>
      <c r="AP24" s="6">
        <v>0</v>
      </c>
      <c r="AQ24" s="6">
        <v>0</v>
      </c>
      <c r="AR24" s="6">
        <v>0</v>
      </c>
    </row>
    <row r="25" spans="1:48" s="7" customFormat="1" x14ac:dyDescent="0.25">
      <c r="A25" s="10"/>
      <c r="B25" s="10" t="s">
        <v>85</v>
      </c>
      <c r="C25" s="7">
        <f>C23+C24</f>
        <v>-30795000</v>
      </c>
      <c r="D25" s="7">
        <f t="shared" ref="D25:AF25" si="72">D23+D24</f>
        <v>-44201000</v>
      </c>
      <c r="E25" s="7">
        <f t="shared" si="72"/>
        <v>-85620000</v>
      </c>
      <c r="F25" s="7">
        <f t="shared" si="72"/>
        <v>34813000</v>
      </c>
      <c r="G25" s="7">
        <f t="shared" si="72"/>
        <v>-3946000</v>
      </c>
      <c r="H25" s="7">
        <f t="shared" si="72"/>
        <v>-26610000</v>
      </c>
      <c r="I25" s="7">
        <f t="shared" si="72"/>
        <v>-287051000</v>
      </c>
      <c r="J25" s="7">
        <f t="shared" si="72"/>
        <v>-123420000</v>
      </c>
      <c r="K25" s="7">
        <f t="shared" si="72"/>
        <v>-306615000</v>
      </c>
      <c r="L25" s="7">
        <f t="shared" si="72"/>
        <v>-159735000</v>
      </c>
      <c r="M25" s="7">
        <f t="shared" si="72"/>
        <v>-54671000</v>
      </c>
      <c r="N25" s="7">
        <f t="shared" si="72"/>
        <v>-186396000</v>
      </c>
      <c r="O25" s="7">
        <f t="shared" si="72"/>
        <v>-251269000</v>
      </c>
      <c r="P25" s="7">
        <f t="shared" si="72"/>
        <v>-322437000</v>
      </c>
      <c r="Q25" s="7">
        <f t="shared" si="72"/>
        <v>-205677000</v>
      </c>
      <c r="R25" s="7">
        <f t="shared" si="72"/>
        <v>-205962000</v>
      </c>
      <c r="S25" s="7">
        <f t="shared" si="72"/>
        <v>-171783000</v>
      </c>
      <c r="T25" s="7">
        <f t="shared" si="72"/>
        <v>-166902000</v>
      </c>
      <c r="U25" s="7">
        <f t="shared" si="72"/>
        <v>-133936000</v>
      </c>
      <c r="V25" s="7">
        <f t="shared" si="72"/>
        <v>-45136000</v>
      </c>
      <c r="W25" s="7">
        <f t="shared" si="72"/>
        <v>-100222000</v>
      </c>
      <c r="X25" s="7">
        <f t="shared" si="72"/>
        <v>80360000</v>
      </c>
      <c r="Y25" s="7">
        <f t="shared" si="72"/>
        <v>2803000</v>
      </c>
      <c r="Z25" s="7">
        <f t="shared" si="72"/>
        <v>0</v>
      </c>
      <c r="AA25" s="7">
        <f t="shared" si="72"/>
        <v>0</v>
      </c>
      <c r="AB25" s="7">
        <f t="shared" si="72"/>
        <v>0</v>
      </c>
      <c r="AC25" s="7">
        <f t="shared" si="72"/>
        <v>0</v>
      </c>
      <c r="AD25" s="7">
        <f t="shared" si="72"/>
        <v>0</v>
      </c>
      <c r="AE25" s="7">
        <f t="shared" si="72"/>
        <v>0</v>
      </c>
      <c r="AF25" s="7">
        <f t="shared" si="72"/>
        <v>0</v>
      </c>
      <c r="AM25" s="7">
        <f t="shared" ref="AM25" si="73">AM23+AM24</f>
        <v>-134568000</v>
      </c>
      <c r="AN25" s="7">
        <f t="shared" ref="AN25" si="74">AN23+AN24</f>
        <v>-125803000</v>
      </c>
      <c r="AO25" s="7">
        <f t="shared" ref="AO25" si="75">AO23+AO24</f>
        <v>-441027000</v>
      </c>
      <c r="AP25" s="7">
        <f t="shared" ref="AP25" si="76">AP23+AP24</f>
        <v>-707417000</v>
      </c>
      <c r="AQ25" s="7">
        <f t="shared" ref="AQ25" si="77">AQ23+AQ24</f>
        <v>-985345000</v>
      </c>
      <c r="AR25" s="7">
        <f t="shared" ref="AR25" si="78">AR23+AR24</f>
        <v>-517757000</v>
      </c>
      <c r="AS25" s="7">
        <f t="shared" ref="AS25" si="79">AS23+AS24</f>
        <v>0</v>
      </c>
      <c r="AT25" s="7">
        <f t="shared" ref="AT25" si="80">AT23+AT24</f>
        <v>0</v>
      </c>
      <c r="AU25" s="7">
        <f t="shared" ref="AU25" si="81">AU23+AU24</f>
        <v>0</v>
      </c>
      <c r="AV25" s="7">
        <f t="shared" ref="AV25" si="82">AV23+AV24</f>
        <v>0</v>
      </c>
    </row>
    <row r="26" spans="1:48" s="6" customFormat="1" x14ac:dyDescent="0.25">
      <c r="A26" s="9"/>
      <c r="B26" s="9" t="s">
        <v>45</v>
      </c>
      <c r="C26" s="6">
        <v>25000</v>
      </c>
      <c r="D26" s="6">
        <v>-15000</v>
      </c>
      <c r="E26" s="6">
        <v>-874000</v>
      </c>
      <c r="F26" s="6">
        <v>562000</v>
      </c>
      <c r="G26" s="6">
        <v>405000</v>
      </c>
      <c r="H26" s="6">
        <v>1814000</v>
      </c>
      <c r="I26" s="6">
        <v>2829000</v>
      </c>
      <c r="J26" s="6">
        <v>1998000</v>
      </c>
      <c r="K26" s="6">
        <v>-3802000</v>
      </c>
      <c r="L26" s="6">
        <v>2341000</v>
      </c>
      <c r="M26" s="6">
        <v>5406000</v>
      </c>
      <c r="N26" s="6">
        <v>-9845000</v>
      </c>
      <c r="O26" s="6">
        <v>-21546000</v>
      </c>
      <c r="P26" s="6">
        <v>4522000</v>
      </c>
      <c r="Q26" s="6">
        <v>31000</v>
      </c>
      <c r="R26" s="6">
        <v>8850000</v>
      </c>
      <c r="S26" s="6">
        <v>-11898000</v>
      </c>
      <c r="T26" s="6">
        <v>13824000</v>
      </c>
      <c r="U26" s="6">
        <v>-10879000</v>
      </c>
      <c r="V26" s="6">
        <v>-4702000</v>
      </c>
      <c r="W26" s="6">
        <v>8346000</v>
      </c>
      <c r="X26" s="6">
        <v>-35469000</v>
      </c>
      <c r="Y26" s="6">
        <v>3550000</v>
      </c>
      <c r="AM26" s="6">
        <v>0</v>
      </c>
      <c r="AN26" s="6">
        <v>-302000</v>
      </c>
      <c r="AO26" s="6">
        <v>7046000</v>
      </c>
      <c r="AP26" s="6">
        <v>-5900000</v>
      </c>
      <c r="AQ26" s="6">
        <v>-8143000</v>
      </c>
      <c r="AR26" s="6">
        <v>-13655000</v>
      </c>
    </row>
    <row r="27" spans="1:48" s="6" customFormat="1" x14ac:dyDescent="0.25">
      <c r="A27" s="9"/>
      <c r="B27" s="9" t="s">
        <v>83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29000</v>
      </c>
      <c r="K27" s="6">
        <v>-279000</v>
      </c>
      <c r="L27" s="6">
        <v>-657000</v>
      </c>
      <c r="M27" s="6">
        <v>-2105000</v>
      </c>
      <c r="N27" s="6">
        <v>-4981000</v>
      </c>
      <c r="O27" s="6">
        <v>-5528000</v>
      </c>
      <c r="P27" s="6">
        <v>3069000</v>
      </c>
      <c r="Q27" s="6">
        <v>4520000</v>
      </c>
      <c r="R27" s="6">
        <v>-2943000</v>
      </c>
      <c r="S27" s="6">
        <v>1353000</v>
      </c>
      <c r="T27" s="6">
        <v>4853000</v>
      </c>
      <c r="U27" s="6">
        <v>-30000</v>
      </c>
      <c r="V27" s="6">
        <v>681000</v>
      </c>
      <c r="W27" s="6">
        <v>5589000</v>
      </c>
      <c r="X27" s="6">
        <v>-2873000</v>
      </c>
      <c r="Y27" s="6">
        <v>778000</v>
      </c>
      <c r="AM27" s="6">
        <v>0</v>
      </c>
      <c r="AN27" s="6">
        <v>0</v>
      </c>
      <c r="AO27" s="6">
        <v>29000</v>
      </c>
      <c r="AP27" s="6">
        <v>-8022000</v>
      </c>
      <c r="AQ27" s="6">
        <v>-882000</v>
      </c>
      <c r="AR27" s="6">
        <v>6857000</v>
      </c>
    </row>
    <row r="28" spans="1:48" s="6" customFormat="1" x14ac:dyDescent="0.25">
      <c r="A28" s="9"/>
      <c r="B28" s="9" t="s">
        <v>84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-257000</v>
      </c>
      <c r="R28" s="6">
        <v>1008000</v>
      </c>
      <c r="S28" s="6">
        <v>763000</v>
      </c>
      <c r="T28" s="6">
        <v>-614000</v>
      </c>
      <c r="U28" s="6">
        <v>750000</v>
      </c>
      <c r="V28" s="6">
        <v>-243000</v>
      </c>
      <c r="W28" s="6">
        <v>-1492000</v>
      </c>
      <c r="X28" s="6">
        <v>-89000</v>
      </c>
      <c r="Y28" s="6">
        <v>-1279000</v>
      </c>
      <c r="AM28" s="6">
        <v>0</v>
      </c>
      <c r="AN28" s="6">
        <v>0</v>
      </c>
      <c r="AO28" s="6">
        <v>0</v>
      </c>
      <c r="AP28" s="6">
        <v>0</v>
      </c>
      <c r="AQ28" s="6">
        <v>751000</v>
      </c>
      <c r="AR28" s="6">
        <v>656000</v>
      </c>
    </row>
    <row r="29" spans="1:48" s="7" customFormat="1" x14ac:dyDescent="0.25">
      <c r="A29" s="10"/>
      <c r="B29" s="10" t="s">
        <v>46</v>
      </c>
      <c r="C29" s="7">
        <f>SUM(C26:C28)</f>
        <v>25000</v>
      </c>
      <c r="D29" s="7">
        <f t="shared" ref="D29:AF29" si="83">SUM(D26:D28)</f>
        <v>-15000</v>
      </c>
      <c r="E29" s="7">
        <f t="shared" si="83"/>
        <v>-874000</v>
      </c>
      <c r="F29" s="7">
        <f t="shared" si="83"/>
        <v>562000</v>
      </c>
      <c r="G29" s="7">
        <f t="shared" si="83"/>
        <v>405000</v>
      </c>
      <c r="H29" s="7">
        <f t="shared" si="83"/>
        <v>1814000</v>
      </c>
      <c r="I29" s="7">
        <f t="shared" si="83"/>
        <v>2829000</v>
      </c>
      <c r="J29" s="7">
        <f t="shared" si="83"/>
        <v>2027000</v>
      </c>
      <c r="K29" s="7">
        <f t="shared" si="83"/>
        <v>-4081000</v>
      </c>
      <c r="L29" s="7">
        <f t="shared" si="83"/>
        <v>1684000</v>
      </c>
      <c r="M29" s="7">
        <f t="shared" si="83"/>
        <v>3301000</v>
      </c>
      <c r="N29" s="7">
        <f t="shared" si="83"/>
        <v>-14826000</v>
      </c>
      <c r="O29" s="7">
        <f t="shared" si="83"/>
        <v>-27074000</v>
      </c>
      <c r="P29" s="7">
        <f t="shared" si="83"/>
        <v>7591000</v>
      </c>
      <c r="Q29" s="7">
        <f t="shared" si="83"/>
        <v>4294000</v>
      </c>
      <c r="R29" s="7">
        <f t="shared" si="83"/>
        <v>6915000</v>
      </c>
      <c r="S29" s="7">
        <f t="shared" si="83"/>
        <v>-9782000</v>
      </c>
      <c r="T29" s="7">
        <f t="shared" si="83"/>
        <v>18063000</v>
      </c>
      <c r="U29" s="7">
        <f t="shared" si="83"/>
        <v>-10159000</v>
      </c>
      <c r="V29" s="7">
        <f t="shared" si="83"/>
        <v>-4264000</v>
      </c>
      <c r="W29" s="7">
        <f t="shared" si="83"/>
        <v>12443000</v>
      </c>
      <c r="X29" s="7">
        <f t="shared" si="83"/>
        <v>-38431000</v>
      </c>
      <c r="Y29" s="7">
        <f t="shared" si="83"/>
        <v>3049000</v>
      </c>
      <c r="Z29" s="7">
        <f t="shared" si="83"/>
        <v>0</v>
      </c>
      <c r="AA29" s="7">
        <f t="shared" si="83"/>
        <v>0</v>
      </c>
      <c r="AB29" s="7">
        <f t="shared" si="83"/>
        <v>0</v>
      </c>
      <c r="AC29" s="7">
        <f t="shared" si="83"/>
        <v>0</v>
      </c>
      <c r="AD29" s="7">
        <f t="shared" si="83"/>
        <v>0</v>
      </c>
      <c r="AE29" s="7">
        <f t="shared" si="83"/>
        <v>0</v>
      </c>
      <c r="AF29" s="7">
        <f t="shared" si="83"/>
        <v>0</v>
      </c>
      <c r="AM29" s="7">
        <f t="shared" ref="AM29" si="84">SUM(AM26:AM28)</f>
        <v>0</v>
      </c>
      <c r="AN29" s="7">
        <f t="shared" ref="AN29" si="85">SUM(AN26:AN28)</f>
        <v>-302000</v>
      </c>
      <c r="AO29" s="7">
        <f t="shared" ref="AO29" si="86">SUM(AO26:AO28)</f>
        <v>7075000</v>
      </c>
      <c r="AP29" s="7">
        <f t="shared" ref="AP29" si="87">SUM(AP26:AP28)</f>
        <v>-13922000</v>
      </c>
      <c r="AQ29" s="7">
        <f t="shared" ref="AQ29" si="88">SUM(AQ26:AQ28)</f>
        <v>-8274000</v>
      </c>
      <c r="AR29" s="7">
        <f t="shared" ref="AR29" si="89">SUM(AR26:AR28)</f>
        <v>-6142000</v>
      </c>
      <c r="AS29" s="7">
        <f t="shared" ref="AS29" si="90">SUM(AS26:AS28)</f>
        <v>0</v>
      </c>
      <c r="AT29" s="7">
        <f t="shared" ref="AT29" si="91">SUM(AT26:AT28)</f>
        <v>0</v>
      </c>
      <c r="AU29" s="7">
        <f t="shared" ref="AU29" si="92">SUM(AU26:AU28)</f>
        <v>0</v>
      </c>
      <c r="AV29" s="7">
        <f t="shared" ref="AV29" si="93">SUM(AV26:AV28)</f>
        <v>0</v>
      </c>
    </row>
    <row r="30" spans="1:48" s="7" customFormat="1" x14ac:dyDescent="0.25">
      <c r="A30" s="10"/>
      <c r="B30" s="10" t="s">
        <v>47</v>
      </c>
      <c r="C30" s="7">
        <f>C25+C29</f>
        <v>-30770000</v>
      </c>
      <c r="D30" s="7">
        <f t="shared" ref="D30:AF30" si="94">D25+D29</f>
        <v>-44216000</v>
      </c>
      <c r="E30" s="7">
        <f t="shared" si="94"/>
        <v>-86494000</v>
      </c>
      <c r="F30" s="7">
        <f t="shared" si="94"/>
        <v>35375000</v>
      </c>
      <c r="G30" s="7">
        <f t="shared" si="94"/>
        <v>-3541000</v>
      </c>
      <c r="H30" s="7">
        <f t="shared" si="94"/>
        <v>-24796000</v>
      </c>
      <c r="I30" s="7">
        <f t="shared" si="94"/>
        <v>-284222000</v>
      </c>
      <c r="J30" s="7">
        <f t="shared" si="94"/>
        <v>-121393000</v>
      </c>
      <c r="K30" s="7">
        <f t="shared" si="94"/>
        <v>-310696000</v>
      </c>
      <c r="L30" s="7">
        <f t="shared" si="94"/>
        <v>-158051000</v>
      </c>
      <c r="M30" s="7">
        <f t="shared" si="94"/>
        <v>-51370000</v>
      </c>
      <c r="N30" s="7">
        <f t="shared" si="94"/>
        <v>-201222000</v>
      </c>
      <c r="O30" s="7">
        <f t="shared" si="94"/>
        <v>-278343000</v>
      </c>
      <c r="P30" s="7">
        <f t="shared" si="94"/>
        <v>-314846000</v>
      </c>
      <c r="Q30" s="7">
        <f t="shared" si="94"/>
        <v>-201383000</v>
      </c>
      <c r="R30" s="7">
        <f t="shared" si="94"/>
        <v>-199047000</v>
      </c>
      <c r="S30" s="7">
        <f t="shared" si="94"/>
        <v>-181565000</v>
      </c>
      <c r="T30" s="7">
        <f t="shared" si="94"/>
        <v>-148839000</v>
      </c>
      <c r="U30" s="7">
        <f t="shared" si="94"/>
        <v>-144095000</v>
      </c>
      <c r="V30" s="7">
        <f t="shared" si="94"/>
        <v>-49400000</v>
      </c>
      <c r="W30" s="7">
        <f t="shared" si="94"/>
        <v>-87779000</v>
      </c>
      <c r="X30" s="7">
        <f t="shared" si="94"/>
        <v>41929000</v>
      </c>
      <c r="Y30" s="7">
        <f t="shared" si="94"/>
        <v>5852000</v>
      </c>
      <c r="Z30" s="7">
        <f t="shared" si="94"/>
        <v>0</v>
      </c>
      <c r="AA30" s="7">
        <f t="shared" si="94"/>
        <v>0</v>
      </c>
      <c r="AB30" s="7">
        <f t="shared" si="94"/>
        <v>0</v>
      </c>
      <c r="AC30" s="7">
        <f t="shared" si="94"/>
        <v>0</v>
      </c>
      <c r="AD30" s="7">
        <f t="shared" si="94"/>
        <v>0</v>
      </c>
      <c r="AE30" s="7">
        <f t="shared" si="94"/>
        <v>0</v>
      </c>
      <c r="AF30" s="7">
        <f t="shared" si="94"/>
        <v>0</v>
      </c>
      <c r="AM30" s="7">
        <f t="shared" ref="AM30" si="95">AM25+AM29</f>
        <v>-134568000</v>
      </c>
      <c r="AN30" s="7">
        <f t="shared" ref="AN30" si="96">AN25+AN29</f>
        <v>-126105000</v>
      </c>
      <c r="AO30" s="7">
        <f t="shared" ref="AO30" si="97">AO25+AO29</f>
        <v>-433952000</v>
      </c>
      <c r="AP30" s="7">
        <f t="shared" ref="AP30" si="98">AP25+AP29</f>
        <v>-721339000</v>
      </c>
      <c r="AQ30" s="7">
        <f t="shared" ref="AQ30" si="99">AQ25+AQ29</f>
        <v>-993619000</v>
      </c>
      <c r="AR30" s="7">
        <f t="shared" ref="AR30" si="100">AR25+AR29</f>
        <v>-523899000</v>
      </c>
      <c r="AS30" s="7">
        <f t="shared" ref="AS30" si="101">AS25+AS29</f>
        <v>0</v>
      </c>
      <c r="AT30" s="7">
        <f t="shared" ref="AT30" si="102">AT25+AT29</f>
        <v>0</v>
      </c>
      <c r="AU30" s="7">
        <f t="shared" ref="AU30" si="103">AU25+AU29</f>
        <v>0</v>
      </c>
      <c r="AV30" s="7">
        <f t="shared" ref="AV30" si="104">AV25+AV29</f>
        <v>0</v>
      </c>
    </row>
    <row r="32" spans="1:48" x14ac:dyDescent="0.25">
      <c r="B32" s="9" t="s">
        <v>86</v>
      </c>
    </row>
    <row r="33" spans="2:48" s="11" customFormat="1" x14ac:dyDescent="0.25">
      <c r="B33" s="11" t="s">
        <v>48</v>
      </c>
      <c r="C33" s="11">
        <f t="shared" ref="C33" si="105">C$25/C36</f>
        <v>-0.63622061937001828</v>
      </c>
      <c r="D33" s="11">
        <f>D$25/D36</f>
        <v>-0.9193245064509018</v>
      </c>
      <c r="E33" s="11">
        <f t="shared" ref="E33:H33" si="106">E$25/E36</f>
        <v>-1.8049752301828288</v>
      </c>
      <c r="F33" s="11">
        <f t="shared" si="106"/>
        <v>0.73209936817340948</v>
      </c>
      <c r="G33" s="11">
        <f t="shared" si="106"/>
        <v>-6.0915720430126115E-2</v>
      </c>
      <c r="H33" s="11">
        <f t="shared" si="106"/>
        <v>-0.37583938345053353</v>
      </c>
      <c r="I33" s="11">
        <f>I$25/I36</f>
        <v>-1.2303437676951041</v>
      </c>
      <c r="J33" s="11">
        <f t="shared" ref="J33:AF33" si="107">J$25/J36</f>
        <v>-0.46175965064481528</v>
      </c>
      <c r="K33" s="11">
        <f t="shared" si="107"/>
        <v>-1.128599099823925</v>
      </c>
      <c r="L33" s="11">
        <f t="shared" si="107"/>
        <v>-0.56737397098000508</v>
      </c>
      <c r="M33" s="11">
        <f t="shared" si="107"/>
        <v>-0.19139704403227792</v>
      </c>
      <c r="N33" s="11">
        <f t="shared" si="107"/>
        <v>-0.64696702137360074</v>
      </c>
      <c r="O33" s="11">
        <f t="shared" si="107"/>
        <v>-0.86367727798581417</v>
      </c>
      <c r="P33" s="11">
        <f t="shared" si="107"/>
        <v>-1.0979070514560461</v>
      </c>
      <c r="Q33" s="11">
        <f t="shared" si="107"/>
        <v>-0.69203814616467307</v>
      </c>
      <c r="R33" s="11">
        <f t="shared" si="107"/>
        <v>-0.6873562309418686</v>
      </c>
      <c r="S33" s="11">
        <f t="shared" si="107"/>
        <v>-0.56537383680017816</v>
      </c>
      <c r="T33" s="11">
        <f t="shared" si="107"/>
        <v>-0.54264437586146197</v>
      </c>
      <c r="U33" s="11">
        <f t="shared" si="107"/>
        <v>-0.42842146241571516</v>
      </c>
      <c r="V33" s="11">
        <f t="shared" si="107"/>
        <v>-0.14307007932633012</v>
      </c>
      <c r="W33" s="11">
        <f t="shared" si="107"/>
        <v>-0.314931230519577</v>
      </c>
      <c r="X33" s="11">
        <f t="shared" si="107"/>
        <v>0.2493465868966929</v>
      </c>
      <c r="Y33" s="11">
        <f t="shared" si="107"/>
        <v>8.6497938165959864E-3</v>
      </c>
      <c r="Z33" s="11" t="e">
        <f t="shared" si="107"/>
        <v>#DIV/0!</v>
      </c>
      <c r="AA33" s="11" t="e">
        <f t="shared" si="107"/>
        <v>#DIV/0!</v>
      </c>
      <c r="AB33" s="11" t="e">
        <f t="shared" si="107"/>
        <v>#DIV/0!</v>
      </c>
      <c r="AC33" s="11" t="e">
        <f t="shared" si="107"/>
        <v>#DIV/0!</v>
      </c>
      <c r="AD33" s="11" t="e">
        <f t="shared" si="107"/>
        <v>#DIV/0!</v>
      </c>
      <c r="AE33" s="11" t="e">
        <f t="shared" si="107"/>
        <v>#DIV/0!</v>
      </c>
      <c r="AF33" s="11" t="e">
        <f t="shared" si="107"/>
        <v>#DIV/0!</v>
      </c>
      <c r="AM33" s="11">
        <f t="shared" ref="AM33:AT33" si="108">AM$25/AM36</f>
        <v>-2.8422656613552237</v>
      </c>
      <c r="AN33" s="11">
        <f t="shared" si="108"/>
        <v>-2.6287426300841346</v>
      </c>
      <c r="AO33" s="11">
        <f t="shared" si="108"/>
        <v>-2.7848253083422709</v>
      </c>
      <c r="AP33" s="11">
        <f t="shared" si="108"/>
        <v>-2.5112064331373931</v>
      </c>
      <c r="AQ33" s="11">
        <f t="shared" si="108"/>
        <v>-3.3362681536350629</v>
      </c>
      <c r="AR33" s="11">
        <f t="shared" si="108"/>
        <v>-1.670953970531367</v>
      </c>
      <c r="AS33" s="11" t="e">
        <f t="shared" si="108"/>
        <v>#DIV/0!</v>
      </c>
      <c r="AT33" s="11" t="e">
        <f t="shared" si="108"/>
        <v>#DIV/0!</v>
      </c>
      <c r="AU33" s="11" t="e">
        <f t="shared" ref="AU33:AV33" si="109">AU$25/AU36</f>
        <v>#DIV/0!</v>
      </c>
      <c r="AV33" s="11" t="e">
        <f t="shared" si="109"/>
        <v>#DIV/0!</v>
      </c>
    </row>
    <row r="34" spans="2:48" s="11" customFormat="1" x14ac:dyDescent="0.25">
      <c r="B34" s="11" t="s">
        <v>49</v>
      </c>
      <c r="C34" s="11">
        <f t="shared" ref="C34:D34" si="110">C$25/C37</f>
        <v>-0.63622061937001828</v>
      </c>
      <c r="D34" s="11">
        <f t="shared" si="110"/>
        <v>-0.9193245064509018</v>
      </c>
      <c r="E34" s="11">
        <f t="shared" ref="E34:I34" si="111">E$25/E37</f>
        <v>-1.8049752301828288</v>
      </c>
      <c r="F34" s="11">
        <f t="shared" si="111"/>
        <v>0.17473066793100339</v>
      </c>
      <c r="G34" s="11">
        <f t="shared" si="111"/>
        <v>-5.7811607384057141E-2</v>
      </c>
      <c r="H34" s="11">
        <f t="shared" si="111"/>
        <v>-0.37583938345053353</v>
      </c>
      <c r="I34" s="11">
        <f t="shared" si="111"/>
        <v>-1.2303437676951041</v>
      </c>
      <c r="J34" s="11">
        <f t="shared" ref="J34:AF34" si="112">J$25/J37</f>
        <v>-0.46175965064481528</v>
      </c>
      <c r="K34" s="11">
        <f t="shared" si="112"/>
        <v>-1.128599099823925</v>
      </c>
      <c r="L34" s="11">
        <f t="shared" si="112"/>
        <v>-0.56737397098000508</v>
      </c>
      <c r="M34" s="11">
        <f t="shared" si="112"/>
        <v>-0.19139704403227792</v>
      </c>
      <c r="N34" s="11">
        <f t="shared" si="112"/>
        <v>-0.64696702137360074</v>
      </c>
      <c r="O34" s="11">
        <f t="shared" si="112"/>
        <v>-0.86367727798581417</v>
      </c>
      <c r="P34" s="11">
        <f t="shared" si="112"/>
        <v>-1.0979070514560461</v>
      </c>
      <c r="Q34" s="11">
        <f t="shared" si="112"/>
        <v>-0.69203814616467307</v>
      </c>
      <c r="R34" s="11">
        <f t="shared" si="112"/>
        <v>-0.6873562309418686</v>
      </c>
      <c r="S34" s="11">
        <f t="shared" si="112"/>
        <v>-0.56537383680017816</v>
      </c>
      <c r="T34" s="11">
        <f t="shared" si="112"/>
        <v>-0.54264437586146197</v>
      </c>
      <c r="U34" s="11">
        <f t="shared" si="112"/>
        <v>-0.42842146241571516</v>
      </c>
      <c r="V34" s="11">
        <f t="shared" si="112"/>
        <v>-0.14307007932633012</v>
      </c>
      <c r="W34" s="11">
        <f t="shared" si="112"/>
        <v>-0.314931230519577</v>
      </c>
      <c r="X34" s="11">
        <f t="shared" si="112"/>
        <v>0.23279489847071713</v>
      </c>
      <c r="Y34" s="11">
        <f t="shared" si="112"/>
        <v>8.1429455719010582E-3</v>
      </c>
      <c r="Z34" s="11" t="e">
        <f t="shared" si="112"/>
        <v>#DIV/0!</v>
      </c>
      <c r="AA34" s="11" t="e">
        <f t="shared" si="112"/>
        <v>#DIV/0!</v>
      </c>
      <c r="AB34" s="11" t="e">
        <f t="shared" si="112"/>
        <v>#DIV/0!</v>
      </c>
      <c r="AC34" s="11" t="e">
        <f t="shared" si="112"/>
        <v>#DIV/0!</v>
      </c>
      <c r="AD34" s="11" t="e">
        <f t="shared" si="112"/>
        <v>#DIV/0!</v>
      </c>
      <c r="AE34" s="11" t="e">
        <f t="shared" si="112"/>
        <v>#DIV/0!</v>
      </c>
      <c r="AF34" s="11" t="e">
        <f t="shared" si="112"/>
        <v>#DIV/0!</v>
      </c>
      <c r="AM34" s="11">
        <f t="shared" ref="AM34:AT34" si="113">AM$25/AM37</f>
        <v>-2.8422656613552237</v>
      </c>
      <c r="AN34" s="11">
        <f t="shared" si="113"/>
        <v>-2.6287426300841346</v>
      </c>
      <c r="AO34" s="11">
        <f t="shared" si="113"/>
        <v>-2.7694940333020122</v>
      </c>
      <c r="AP34" s="11">
        <f t="shared" si="113"/>
        <v>-2.5112064331373931</v>
      </c>
      <c r="AQ34" s="11">
        <f t="shared" si="113"/>
        <v>-3.3362681536350629</v>
      </c>
      <c r="AR34" s="11">
        <f t="shared" si="113"/>
        <v>-1.670953970531367</v>
      </c>
      <c r="AS34" s="11" t="e">
        <f t="shared" si="113"/>
        <v>#DIV/0!</v>
      </c>
      <c r="AT34" s="11" t="e">
        <f t="shared" si="113"/>
        <v>#DIV/0!</v>
      </c>
    </row>
    <row r="35" spans="2:48" x14ac:dyDescent="0.25">
      <c r="B35" s="9" t="s">
        <v>50</v>
      </c>
    </row>
    <row r="36" spans="2:48" x14ac:dyDescent="0.25">
      <c r="B36" s="11" t="s">
        <v>48</v>
      </c>
      <c r="C36" s="9">
        <v>48403021</v>
      </c>
      <c r="D36" s="9">
        <v>48079867</v>
      </c>
      <c r="E36" s="9">
        <v>47435554</v>
      </c>
      <c r="F36" s="9">
        <v>47552288</v>
      </c>
      <c r="G36" s="9">
        <v>64778024</v>
      </c>
      <c r="H36" s="9">
        <v>70801521</v>
      </c>
      <c r="I36" s="9">
        <v>233309590</v>
      </c>
      <c r="J36" s="9">
        <v>267281907</v>
      </c>
      <c r="K36" s="9">
        <v>271677516</v>
      </c>
      <c r="L36" s="9">
        <v>281533888</v>
      </c>
      <c r="M36" s="9">
        <v>285641820</v>
      </c>
      <c r="N36" s="9">
        <v>288107421</v>
      </c>
      <c r="O36" s="9">
        <v>290929270</v>
      </c>
      <c r="P36" s="9">
        <v>293683331</v>
      </c>
      <c r="Q36" s="9">
        <v>297204715</v>
      </c>
      <c r="R36" s="9">
        <v>299643752</v>
      </c>
      <c r="S36" s="9">
        <v>303839670</v>
      </c>
      <c r="T36" s="9">
        <v>307571602</v>
      </c>
      <c r="U36" s="9">
        <v>312626728</v>
      </c>
      <c r="V36" s="9">
        <v>315481757</v>
      </c>
      <c r="W36" s="9">
        <v>318234555</v>
      </c>
      <c r="X36" s="9">
        <v>322282334</v>
      </c>
      <c r="Y36" s="9">
        <v>324053967</v>
      </c>
      <c r="AM36" s="9">
        <v>47345328</v>
      </c>
      <c r="AN36" s="9">
        <v>47856720</v>
      </c>
      <c r="AO36" s="9">
        <v>158367923</v>
      </c>
      <c r="AP36" s="9">
        <v>281704041</v>
      </c>
      <c r="AQ36" s="9">
        <v>295343466</v>
      </c>
      <c r="AR36" s="9">
        <v>309857129</v>
      </c>
    </row>
    <row r="37" spans="2:48" x14ac:dyDescent="0.25">
      <c r="B37" s="11" t="s">
        <v>49</v>
      </c>
      <c r="C37" s="9">
        <v>48403021</v>
      </c>
      <c r="D37" s="9">
        <v>48079867</v>
      </c>
      <c r="E37" s="9">
        <v>47435554</v>
      </c>
      <c r="F37" s="9">
        <v>199238064</v>
      </c>
      <c r="G37" s="9">
        <v>68256189</v>
      </c>
      <c r="H37" s="9">
        <v>70801521</v>
      </c>
      <c r="I37" s="9">
        <v>233309590</v>
      </c>
      <c r="J37" s="9">
        <v>267281907</v>
      </c>
      <c r="K37" s="9">
        <v>271677516</v>
      </c>
      <c r="L37" s="9">
        <v>281533888</v>
      </c>
      <c r="M37" s="9">
        <v>285641820</v>
      </c>
      <c r="N37" s="9">
        <v>288107421</v>
      </c>
      <c r="O37" s="9">
        <v>290929270</v>
      </c>
      <c r="P37" s="9">
        <v>293683331</v>
      </c>
      <c r="Q37" s="9">
        <v>297204715</v>
      </c>
      <c r="R37" s="9">
        <v>299643752</v>
      </c>
      <c r="S37" s="9">
        <v>303839670</v>
      </c>
      <c r="T37" s="9">
        <v>307571602</v>
      </c>
      <c r="U37" s="9">
        <v>312626728</v>
      </c>
      <c r="V37" s="9">
        <v>315481757</v>
      </c>
      <c r="W37" s="9">
        <v>318234555</v>
      </c>
      <c r="X37" s="9">
        <v>345196568</v>
      </c>
      <c r="Y37" s="9">
        <v>344224332</v>
      </c>
      <c r="AM37" s="9">
        <v>47345328</v>
      </c>
      <c r="AN37" s="9">
        <v>47856720</v>
      </c>
      <c r="AO37" s="9">
        <v>159244611</v>
      </c>
      <c r="AP37" s="9">
        <v>281704041</v>
      </c>
      <c r="AQ37" s="9">
        <v>295343466</v>
      </c>
      <c r="AR37" s="9">
        <v>309857129</v>
      </c>
    </row>
    <row r="40" spans="2:48" x14ac:dyDescent="0.25">
      <c r="B40" s="12" t="s">
        <v>98</v>
      </c>
    </row>
    <row r="41" spans="2:48" s="5" customFormat="1" x14ac:dyDescent="0.25">
      <c r="B41" s="5" t="s">
        <v>23</v>
      </c>
      <c r="G41" s="5">
        <f>G3/C3-1</f>
        <v>1.5629998076341751</v>
      </c>
      <c r="H41" s="5">
        <f t="shared" ref="H41:Y47" si="114">H3/D3-1</f>
        <v>0.47024969010093853</v>
      </c>
      <c r="I41" s="5">
        <f t="shared" si="114"/>
        <v>0.45507052709725326</v>
      </c>
      <c r="J41" s="5">
        <f t="shared" si="114"/>
        <v>3.9977008527959379E-2</v>
      </c>
      <c r="K41" s="5">
        <f t="shared" si="114"/>
        <v>-1.0947300702299878E-2</v>
      </c>
      <c r="L41" s="5">
        <f t="shared" si="114"/>
        <v>0.27558968182274413</v>
      </c>
      <c r="M41" s="5">
        <f t="shared" si="114"/>
        <v>0.23525750262757783</v>
      </c>
      <c r="N41" s="5">
        <f t="shared" si="114"/>
        <v>0.33239338123329243</v>
      </c>
      <c r="O41" s="5">
        <f t="shared" si="114"/>
        <v>0.2266272061055461</v>
      </c>
      <c r="P41" s="5">
        <f t="shared" si="114"/>
        <v>5.4545311479537562E-2</v>
      </c>
      <c r="Q41" s="5">
        <f t="shared" si="114"/>
        <v>-1.6860244188543927E-2</v>
      </c>
      <c r="R41" s="5">
        <f t="shared" si="114"/>
        <v>0.19718774867514344</v>
      </c>
      <c r="S41" s="5">
        <f t="shared" si="114"/>
        <v>0.28989208919212728</v>
      </c>
      <c r="T41" s="5">
        <f t="shared" si="114"/>
        <v>0.40544997351121848</v>
      </c>
      <c r="U41" s="5">
        <f t="shared" si="114"/>
        <v>0.33844201893910753</v>
      </c>
      <c r="V41" s="5">
        <f t="shared" si="114"/>
        <v>0.2799411677355943</v>
      </c>
      <c r="W41" s="5">
        <f t="shared" si="114"/>
        <v>0.26302843439534085</v>
      </c>
      <c r="X41" s="5">
        <f t="shared" si="114"/>
        <v>0.30016405018130454</v>
      </c>
      <c r="Y41" s="5">
        <f t="shared" si="114"/>
        <v>0.34327524295005407</v>
      </c>
      <c r="AN41" s="5">
        <f t="shared" ref="AN41:AQ47" si="115">AN3/AM3-1</f>
        <v>0.93975657850003391</v>
      </c>
      <c r="AO41" s="5">
        <f t="shared" si="115"/>
        <v>0.47827865021499338</v>
      </c>
      <c r="AP41" s="5">
        <f t="shared" si="115"/>
        <v>0.20803528379585345</v>
      </c>
      <c r="AQ41" s="5">
        <f t="shared" si="115"/>
        <v>0.10706177169140974</v>
      </c>
      <c r="AR41" s="5">
        <f>AR3/AQ3-1</f>
        <v>0.32901300236406628</v>
      </c>
    </row>
    <row r="42" spans="2:48" s="5" customFormat="1" x14ac:dyDescent="0.25">
      <c r="B42" s="5" t="s">
        <v>24</v>
      </c>
      <c r="G42" s="5">
        <f t="shared" ref="G42:G47" si="116">G4/C4-1</f>
        <v>0.65454040544293246</v>
      </c>
      <c r="H42" s="5">
        <f t="shared" si="114"/>
        <v>0.52180028129395217</v>
      </c>
      <c r="I42" s="5">
        <f t="shared" si="114"/>
        <v>1.3286677908937605</v>
      </c>
      <c r="J42" s="5">
        <f t="shared" si="114"/>
        <v>6.1374583178955167</v>
      </c>
      <c r="K42" s="5">
        <f t="shared" si="114"/>
        <v>2.2552870090634443</v>
      </c>
      <c r="L42" s="5">
        <f t="shared" si="114"/>
        <v>1.4545286506469499</v>
      </c>
      <c r="M42" s="5">
        <f t="shared" si="114"/>
        <v>0.67781881381707576</v>
      </c>
      <c r="N42" s="5">
        <f t="shared" si="114"/>
        <v>0.63901578073089693</v>
      </c>
      <c r="O42" s="5">
        <f t="shared" si="114"/>
        <v>0.37705594225315808</v>
      </c>
      <c r="P42" s="5">
        <f t="shared" si="114"/>
        <v>9.635514722494154E-2</v>
      </c>
      <c r="Q42" s="5">
        <f t="shared" si="114"/>
        <v>0.27191505891492951</v>
      </c>
      <c r="R42" s="5">
        <f t="shared" si="114"/>
        <v>7.822892253119651E-2</v>
      </c>
      <c r="S42" s="5">
        <f t="shared" si="114"/>
        <v>0.25340721881084316</v>
      </c>
      <c r="T42" s="5">
        <f t="shared" si="114"/>
        <v>0.34866229350551214</v>
      </c>
      <c r="U42" s="5">
        <f t="shared" si="114"/>
        <v>0.21062811768298895</v>
      </c>
      <c r="V42" s="5">
        <f t="shared" si="114"/>
        <v>0.26248384443661155</v>
      </c>
      <c r="W42" s="5">
        <f t="shared" si="114"/>
        <v>0.41832954952802015</v>
      </c>
      <c r="X42" s="5">
        <f t="shared" si="114"/>
        <v>0.48060811327000952</v>
      </c>
      <c r="Y42" s="5">
        <f t="shared" si="114"/>
        <v>0.64177598385469214</v>
      </c>
      <c r="AN42" s="5">
        <f t="shared" si="115"/>
        <v>1.4446972569839462</v>
      </c>
      <c r="AO42" s="5">
        <f t="shared" si="115"/>
        <v>1.5776111685625644</v>
      </c>
      <c r="AP42" s="5">
        <f t="shared" si="115"/>
        <v>1.0199394194700209</v>
      </c>
      <c r="AQ42" s="5">
        <f t="shared" si="115"/>
        <v>0.18513148486533715</v>
      </c>
      <c r="AR42" s="5">
        <f t="shared" ref="AR42:AR47" si="117">AR4/AQ4-1</f>
        <v>0.26867385074326711</v>
      </c>
    </row>
    <row r="43" spans="2:48" s="5" customFormat="1" x14ac:dyDescent="0.25">
      <c r="B43" s="13" t="s">
        <v>25</v>
      </c>
      <c r="G43" s="5">
        <f t="shared" si="116"/>
        <v>1.4811952988247064</v>
      </c>
      <c r="H43" s="5">
        <f t="shared" si="114"/>
        <v>0.47514491011566107</v>
      </c>
      <c r="I43" s="5">
        <f t="shared" si="114"/>
        <v>0.52576419213973802</v>
      </c>
      <c r="J43" s="5">
        <f t="shared" si="114"/>
        <v>0.22710010460726804</v>
      </c>
      <c r="K43" s="5">
        <f t="shared" si="114"/>
        <v>0.12513227779849423</v>
      </c>
      <c r="L43" s="5">
        <f t="shared" si="114"/>
        <v>0.39108193752829346</v>
      </c>
      <c r="M43" s="5">
        <f t="shared" si="114"/>
        <v>0.28991664281625651</v>
      </c>
      <c r="N43" s="5">
        <f t="shared" si="114"/>
        <v>0.38712576792283238</v>
      </c>
      <c r="O43" s="5">
        <f t="shared" si="114"/>
        <v>0.25276113186252114</v>
      </c>
      <c r="P43" s="5">
        <f t="shared" si="114"/>
        <v>6.1772267239415646E-2</v>
      </c>
      <c r="Q43" s="5">
        <f t="shared" si="114"/>
        <v>2.9530657384744474E-2</v>
      </c>
      <c r="R43" s="5">
        <f t="shared" si="114"/>
        <v>0.17209752839011361</v>
      </c>
      <c r="S43" s="5">
        <f t="shared" si="114"/>
        <v>0.28292470165955219</v>
      </c>
      <c r="T43" s="5">
        <f t="shared" si="114"/>
        <v>0.39531433895645351</v>
      </c>
      <c r="U43" s="5">
        <f t="shared" si="114"/>
        <v>0.31307498552013047</v>
      </c>
      <c r="V43" s="5">
        <f t="shared" si="114"/>
        <v>0.27655403133424139</v>
      </c>
      <c r="W43" s="5">
        <f t="shared" si="114"/>
        <v>0.29200338858359443</v>
      </c>
      <c r="X43" s="5">
        <f t="shared" si="114"/>
        <v>0.33129343748077988</v>
      </c>
      <c r="Y43" s="5">
        <f t="shared" si="114"/>
        <v>0.39789606499528118</v>
      </c>
      <c r="AN43" s="5">
        <f t="shared" si="115"/>
        <v>0.96823359995437497</v>
      </c>
      <c r="AO43" s="5">
        <f t="shared" si="115"/>
        <v>0.55528591918635817</v>
      </c>
      <c r="AP43" s="5">
        <f t="shared" si="115"/>
        <v>0.30229249048676987</v>
      </c>
      <c r="AQ43" s="5">
        <f t="shared" si="115"/>
        <v>0.12111972847264063</v>
      </c>
      <c r="AR43" s="5">
        <f t="shared" si="117"/>
        <v>0.31752741100395898</v>
      </c>
    </row>
    <row r="44" spans="2:48" s="5" customFormat="1" x14ac:dyDescent="0.25">
      <c r="B44" s="5" t="s">
        <v>26</v>
      </c>
      <c r="G44" s="5">
        <f t="shared" si="116"/>
        <v>0.3502539334793866</v>
      </c>
      <c r="H44" s="5">
        <f t="shared" si="114"/>
        <v>0.63860847957757416</v>
      </c>
      <c r="I44" s="5">
        <f t="shared" si="114"/>
        <v>0.80497212250821049</v>
      </c>
      <c r="J44" s="5">
        <f t="shared" si="114"/>
        <v>1.1131787364863488</v>
      </c>
      <c r="K44" s="5">
        <f t="shared" si="114"/>
        <v>1.1627671147002969</v>
      </c>
      <c r="L44" s="5">
        <f t="shared" si="114"/>
        <v>0.87328215335039339</v>
      </c>
      <c r="M44" s="5">
        <f t="shared" si="114"/>
        <v>0.42387601819528187</v>
      </c>
      <c r="N44" s="5">
        <f t="shared" si="114"/>
        <v>0.32594683649186362</v>
      </c>
      <c r="O44" s="5">
        <f t="shared" si="114"/>
        <v>0.16623757480690871</v>
      </c>
      <c r="P44" s="5">
        <f t="shared" si="114"/>
        <v>0.12262657656029785</v>
      </c>
      <c r="Q44" s="5">
        <f t="shared" si="114"/>
        <v>0.3244526333776625</v>
      </c>
      <c r="R44" s="5">
        <f t="shared" si="114"/>
        <v>0.56094867174330054</v>
      </c>
      <c r="S44" s="5">
        <f t="shared" si="114"/>
        <v>0.92014005643192354</v>
      </c>
      <c r="T44" s="5">
        <f t="shared" si="114"/>
        <v>0.85645212173498764</v>
      </c>
      <c r="U44" s="5">
        <f t="shared" si="114"/>
        <v>0.77097660851517369</v>
      </c>
      <c r="V44" s="5">
        <f t="shared" si="114"/>
        <v>0.57160280043198153</v>
      </c>
      <c r="W44" s="5">
        <f t="shared" si="114"/>
        <v>0.43545544181301121</v>
      </c>
      <c r="X44" s="5">
        <f t="shared" si="114"/>
        <v>0.41970757354012189</v>
      </c>
      <c r="Y44" s="5">
        <f t="shared" si="114"/>
        <v>0.27553276403811067</v>
      </c>
      <c r="AN44" s="5">
        <f t="shared" si="115"/>
        <v>0.56385045727111316</v>
      </c>
      <c r="AO44" s="5">
        <f t="shared" si="115"/>
        <v>0.74806940502329566</v>
      </c>
      <c r="AP44" s="5">
        <f t="shared" si="115"/>
        <v>0.6171951828489326</v>
      </c>
      <c r="AQ44" s="5">
        <f t="shared" si="115"/>
        <v>0.29805448207926033</v>
      </c>
      <c r="AR44" s="5">
        <f t="shared" si="117"/>
        <v>0.75762568646136907</v>
      </c>
    </row>
    <row r="45" spans="2:48" s="5" customFormat="1" x14ac:dyDescent="0.25">
      <c r="B45" s="5" t="s">
        <v>27</v>
      </c>
      <c r="G45" s="5">
        <f t="shared" si="116"/>
        <v>1.8705676855895197</v>
      </c>
      <c r="H45" s="5">
        <f t="shared" si="114"/>
        <v>2.073026593499367</v>
      </c>
      <c r="I45" s="5">
        <f t="shared" si="114"/>
        <v>0.65720656801135213</v>
      </c>
      <c r="J45" s="5">
        <f t="shared" si="114"/>
        <v>2.6778372775954398</v>
      </c>
      <c r="K45" s="5">
        <f t="shared" si="114"/>
        <v>0.88505537300718018</v>
      </c>
      <c r="L45" s="5">
        <f t="shared" si="114"/>
        <v>2.9622252747252746</v>
      </c>
      <c r="M45" s="5">
        <f t="shared" si="114"/>
        <v>2.2100305810397551</v>
      </c>
      <c r="N45" s="5">
        <f t="shared" si="114"/>
        <v>0.29824808604574704</v>
      </c>
      <c r="O45" s="5">
        <f t="shared" si="114"/>
        <v>1.0528422479744344</v>
      </c>
      <c r="P45" s="5">
        <f t="shared" si="114"/>
        <v>3.3229329173166899E-2</v>
      </c>
      <c r="Q45" s="5">
        <f t="shared" si="114"/>
        <v>-0.37479993902903741</v>
      </c>
      <c r="R45" s="5">
        <f t="shared" si="114"/>
        <v>-0.41525270431605221</v>
      </c>
      <c r="S45" s="5">
        <f t="shared" si="114"/>
        <v>-0.46088528972403486</v>
      </c>
      <c r="T45" s="5">
        <f t="shared" si="114"/>
        <v>-0.11584209908232257</v>
      </c>
      <c r="U45" s="5">
        <f t="shared" si="114"/>
        <v>0.22460610124036196</v>
      </c>
      <c r="V45" s="5">
        <f t="shared" si="114"/>
        <v>1.1649136917651428</v>
      </c>
      <c r="W45" s="5">
        <f t="shared" si="114"/>
        <v>0.85541782120460841</v>
      </c>
      <c r="X45" s="5">
        <f t="shared" si="114"/>
        <v>1.3772722097833099</v>
      </c>
      <c r="Y45" s="5">
        <f t="shared" si="114"/>
        <v>0.88731553144364539</v>
      </c>
      <c r="AN45" s="5">
        <f t="shared" si="115"/>
        <v>-73.515909090909091</v>
      </c>
      <c r="AO45" s="5">
        <f t="shared" si="115"/>
        <v>1.8183784122606323</v>
      </c>
      <c r="AP45" s="5">
        <f t="shared" si="115"/>
        <v>1.1844071792362607</v>
      </c>
      <c r="AQ45" s="5">
        <f t="shared" si="115"/>
        <v>-4.1204469671901611E-2</v>
      </c>
      <c r="AR45" s="5">
        <f t="shared" si="117"/>
        <v>4.6787475908060427E-2</v>
      </c>
    </row>
    <row r="46" spans="2:48" s="5" customFormat="1" x14ac:dyDescent="0.25">
      <c r="B46" s="5" t="s">
        <v>28</v>
      </c>
      <c r="G46" s="5">
        <f t="shared" si="116"/>
        <v>0.97868217054263562</v>
      </c>
      <c r="H46" s="5">
        <f t="shared" si="114"/>
        <v>-2.2113022113022129E-2</v>
      </c>
      <c r="I46" s="5">
        <f t="shared" si="114"/>
        <v>1.8954627949183305</v>
      </c>
      <c r="J46" s="5">
        <f t="shared" si="114"/>
        <v>0.59607592237150775</v>
      </c>
      <c r="K46" s="5">
        <f t="shared" si="114"/>
        <v>1.3175808031341822</v>
      </c>
      <c r="L46" s="5">
        <f t="shared" si="114"/>
        <v>1.1880556629300347</v>
      </c>
      <c r="M46" s="5">
        <f t="shared" si="114"/>
        <v>1.9404538046884792</v>
      </c>
      <c r="N46" s="5">
        <f t="shared" si="114"/>
        <v>1.876536611437734</v>
      </c>
      <c r="O46" s="5">
        <f t="shared" si="114"/>
        <v>1.2577918647649233</v>
      </c>
      <c r="P46" s="5">
        <f t="shared" si="114"/>
        <v>0.89859553043017404</v>
      </c>
      <c r="Q46" s="5">
        <f t="shared" si="114"/>
        <v>-8.7099249658935896E-2</v>
      </c>
      <c r="R46" s="5">
        <f t="shared" si="114"/>
        <v>7.8223708658491375E-2</v>
      </c>
      <c r="S46" s="5">
        <f t="shared" si="114"/>
        <v>-5.676181562938698E-2</v>
      </c>
      <c r="T46" s="5">
        <f t="shared" si="114"/>
        <v>4.3826184051363182E-2</v>
      </c>
      <c r="U46" s="5">
        <f t="shared" si="114"/>
        <v>0.1812450380609909</v>
      </c>
      <c r="V46" s="5">
        <f t="shared" si="114"/>
        <v>0.18886782698604176</v>
      </c>
      <c r="W46" s="5">
        <f t="shared" si="114"/>
        <v>0.28903110581931846</v>
      </c>
      <c r="X46" s="5">
        <f t="shared" si="114"/>
        <v>0.27874844000713139</v>
      </c>
      <c r="Y46" s="5">
        <f t="shared" si="114"/>
        <v>0.26709891673914754</v>
      </c>
      <c r="AN46" s="5">
        <f t="shared" si="115"/>
        <v>1.8853577695457204</v>
      </c>
      <c r="AO46" s="5">
        <f t="shared" si="115"/>
        <v>0.67031556186228802</v>
      </c>
      <c r="AP46" s="5">
        <f t="shared" si="115"/>
        <v>1.6607063392532062</v>
      </c>
      <c r="AQ46" s="5">
        <f t="shared" si="115"/>
        <v>0.33022654705792909</v>
      </c>
      <c r="AR46" s="5">
        <f t="shared" si="117"/>
        <v>9.1371486701185223E-2</v>
      </c>
    </row>
    <row r="47" spans="2:48" s="5" customFormat="1" x14ac:dyDescent="0.25">
      <c r="B47" s="13" t="s">
        <v>29</v>
      </c>
      <c r="G47" s="5">
        <f t="shared" si="116"/>
        <v>0.97821415170500425</v>
      </c>
      <c r="H47" s="5">
        <f t="shared" si="114"/>
        <v>0.5698359697174864</v>
      </c>
      <c r="I47" s="5">
        <f t="shared" si="114"/>
        <v>0.66818540134371851</v>
      </c>
      <c r="J47" s="5">
        <f t="shared" si="114"/>
        <v>0.70727571544100387</v>
      </c>
      <c r="K47" s="5">
        <f t="shared" si="114"/>
        <v>0.54838542804262613</v>
      </c>
      <c r="L47" s="5">
        <f t="shared" si="114"/>
        <v>0.76930616885821967</v>
      </c>
      <c r="M47" s="5">
        <f t="shared" si="114"/>
        <v>0.53799666182559114</v>
      </c>
      <c r="N47" s="5">
        <f t="shared" si="114"/>
        <v>0.39099243639697456</v>
      </c>
      <c r="O47" s="5">
        <f t="shared" si="114"/>
        <v>0.34240585036286353</v>
      </c>
      <c r="P47" s="5">
        <f t="shared" si="114"/>
        <v>0.10677513981568421</v>
      </c>
      <c r="Q47" s="5">
        <f t="shared" si="114"/>
        <v>7.3897429826193406E-2</v>
      </c>
      <c r="R47" s="5">
        <f t="shared" si="114"/>
        <v>0.22434323628114927</v>
      </c>
      <c r="S47" s="5">
        <f t="shared" si="114"/>
        <v>0.37310300201314073</v>
      </c>
      <c r="T47" s="5">
        <f t="shared" si="114"/>
        <v>0.47940974777128731</v>
      </c>
      <c r="U47" s="5">
        <f t="shared" si="114"/>
        <v>0.51231042212411215</v>
      </c>
      <c r="V47" s="5">
        <f t="shared" si="114"/>
        <v>0.47857343127908925</v>
      </c>
      <c r="W47" s="5">
        <f t="shared" si="114"/>
        <v>0.40667248014790136</v>
      </c>
      <c r="X47" s="5">
        <f t="shared" si="114"/>
        <v>0.46568489790394341</v>
      </c>
      <c r="Y47" s="5">
        <f t="shared" si="114"/>
        <v>0.35923715237339815</v>
      </c>
      <c r="AN47" s="5">
        <f t="shared" si="115"/>
        <v>0.92735099312697877</v>
      </c>
      <c r="AO47" s="5">
        <f t="shared" si="115"/>
        <v>0.70837323954718867</v>
      </c>
      <c r="AP47" s="5">
        <f t="shared" si="115"/>
        <v>0.55008363355635614</v>
      </c>
      <c r="AQ47" s="5">
        <f t="shared" si="115"/>
        <v>0.17690240511320021</v>
      </c>
      <c r="AR47" s="5">
        <f t="shared" si="117"/>
        <v>0.46285953582684969</v>
      </c>
    </row>
    <row r="49" spans="2:44" x14ac:dyDescent="0.25">
      <c r="B49" s="12" t="s">
        <v>100</v>
      </c>
    </row>
    <row r="50" spans="2:44" s="5" customFormat="1" x14ac:dyDescent="0.25">
      <c r="B50" s="5" t="s">
        <v>23</v>
      </c>
      <c r="C50" s="5">
        <f t="shared" ref="C50:X51" si="118">C3/C$9</f>
        <v>0.41376056033747599</v>
      </c>
      <c r="D50" s="5">
        <f t="shared" si="118"/>
        <v>0.52135778913030095</v>
      </c>
      <c r="E50" s="5">
        <f t="shared" si="118"/>
        <v>0.48707990714022259</v>
      </c>
      <c r="F50" s="5">
        <f t="shared" si="118"/>
        <v>0.55597657370933662</v>
      </c>
      <c r="G50" s="5">
        <f t="shared" si="118"/>
        <v>0.53607352653783813</v>
      </c>
      <c r="H50" s="5">
        <f t="shared" si="118"/>
        <v>0.48828421738768191</v>
      </c>
      <c r="I50" s="5">
        <f t="shared" si="118"/>
        <v>0.42485422582533111</v>
      </c>
      <c r="J50" s="5">
        <f t="shared" si="118"/>
        <v>0.33866987546795019</v>
      </c>
      <c r="K50" s="5">
        <f t="shared" si="118"/>
        <v>0.3424244111587505</v>
      </c>
      <c r="L50" s="5">
        <f t="shared" si="118"/>
        <v>0.35203082454551249</v>
      </c>
      <c r="M50" s="5">
        <f t="shared" si="118"/>
        <v>0.34122594866417488</v>
      </c>
      <c r="N50" s="5">
        <f t="shared" si="118"/>
        <v>0.32440255510334109</v>
      </c>
      <c r="O50" s="5">
        <f t="shared" si="118"/>
        <v>0.31289129040107955</v>
      </c>
      <c r="P50" s="5">
        <f t="shared" si="118"/>
        <v>0.33541813704143081</v>
      </c>
      <c r="Q50" s="5">
        <f t="shared" si="118"/>
        <v>0.31238811689913853</v>
      </c>
      <c r="R50" s="5">
        <f t="shared" si="118"/>
        <v>0.31720742443783995</v>
      </c>
      <c r="S50" s="5">
        <f t="shared" si="118"/>
        <v>0.29392987974955037</v>
      </c>
      <c r="T50" s="5">
        <f t="shared" si="118"/>
        <v>0.3186496591159006</v>
      </c>
      <c r="U50" s="5">
        <f t="shared" si="118"/>
        <v>0.27647325295015074</v>
      </c>
      <c r="V50" s="5">
        <f t="shared" si="118"/>
        <v>0.27459362697876921</v>
      </c>
      <c r="W50" s="5">
        <f t="shared" si="118"/>
        <v>0.26391487789897766</v>
      </c>
      <c r="X50" s="5">
        <f t="shared" si="118"/>
        <v>0.28266432435614353</v>
      </c>
      <c r="Y50" s="5">
        <f>Y3/Y$9</f>
        <v>0.27322654871324703</v>
      </c>
      <c r="AM50" s="5">
        <f t="shared" ref="AM50:AR51" si="119">AM3/AM$9</f>
        <v>0.50067898035685243</v>
      </c>
      <c r="AN50" s="5">
        <f t="shared" si="119"/>
        <v>0.50390165015465294</v>
      </c>
      <c r="AO50" s="5">
        <f t="shared" si="119"/>
        <v>0.43603296632600547</v>
      </c>
      <c r="AP50" s="5">
        <f t="shared" si="119"/>
        <v>0.33981599238711857</v>
      </c>
      <c r="AQ50" s="5">
        <f t="shared" si="119"/>
        <v>0.31965037453124556</v>
      </c>
      <c r="AR50" s="5">
        <f t="shared" si="119"/>
        <v>0.29040348273933825</v>
      </c>
    </row>
    <row r="51" spans="2:44" s="5" customFormat="1" x14ac:dyDescent="0.25">
      <c r="B51" s="5" t="s">
        <v>24</v>
      </c>
      <c r="C51" s="5">
        <f t="shared" si="118"/>
        <v>4.0945114671336144E-2</v>
      </c>
      <c r="D51" s="5">
        <f t="shared" si="118"/>
        <v>5.4702406598141198E-2</v>
      </c>
      <c r="E51" s="5">
        <f t="shared" si="118"/>
        <v>4.2886174451989903E-2</v>
      </c>
      <c r="F51" s="5">
        <f t="shared" si="118"/>
        <v>1.760232697675632E-2</v>
      </c>
      <c r="G51" s="5">
        <f t="shared" si="118"/>
        <v>3.4245709227603491E-2</v>
      </c>
      <c r="H51" s="5">
        <f t="shared" si="118"/>
        <v>5.3028557985894995E-2</v>
      </c>
      <c r="I51" s="5">
        <f t="shared" si="118"/>
        <v>5.9866039494505016E-2</v>
      </c>
      <c r="J51" s="5">
        <f t="shared" si="118"/>
        <v>7.3588509435403779E-2</v>
      </c>
      <c r="K51" s="5">
        <f t="shared" si="118"/>
        <v>7.1997327245392276E-2</v>
      </c>
      <c r="L51" s="5">
        <f t="shared" si="118"/>
        <v>7.3565625424156053E-2</v>
      </c>
      <c r="M51" s="5">
        <f t="shared" si="118"/>
        <v>6.5308573071524004E-2</v>
      </c>
      <c r="N51" s="5">
        <f t="shared" si="118"/>
        <v>8.6709837587261834E-2</v>
      </c>
      <c r="O51" s="5">
        <f t="shared" si="118"/>
        <v>7.3855717540871182E-2</v>
      </c>
      <c r="P51" s="5">
        <f t="shared" si="118"/>
        <v>7.2873024692284974E-2</v>
      </c>
      <c r="Q51" s="5">
        <f t="shared" si="118"/>
        <v>7.7350923150418138E-2</v>
      </c>
      <c r="R51" s="5">
        <f t="shared" si="118"/>
        <v>7.6361801155161779E-2</v>
      </c>
      <c r="S51" s="5">
        <f t="shared" si="118"/>
        <v>6.7417585847865363E-2</v>
      </c>
      <c r="T51" s="5">
        <f t="shared" si="118"/>
        <v>6.6432643670382832E-2</v>
      </c>
      <c r="U51" s="5">
        <f t="shared" si="118"/>
        <v>6.1920622330371759E-2</v>
      </c>
      <c r="V51" s="5">
        <f t="shared" si="118"/>
        <v>6.5201726374234853E-2</v>
      </c>
      <c r="W51" s="5">
        <f t="shared" si="118"/>
        <v>6.7976274161427902E-2</v>
      </c>
      <c r="X51" s="5">
        <f t="shared" si="118"/>
        <v>6.7109043250025105E-2</v>
      </c>
      <c r="Y51" s="5">
        <f>Y4/Y$9</f>
        <v>7.4791798083086669E-2</v>
      </c>
      <c r="AM51" s="5">
        <f t="shared" si="119"/>
        <v>2.9924309766347541E-2</v>
      </c>
      <c r="AN51" s="5">
        <f t="shared" si="119"/>
        <v>3.7956697178565257E-2</v>
      </c>
      <c r="AO51" s="5">
        <f t="shared" si="119"/>
        <v>5.7269456289978676E-2</v>
      </c>
      <c r="AP51" s="5">
        <f t="shared" si="119"/>
        <v>7.4628768272545901E-2</v>
      </c>
      <c r="AQ51" s="5">
        <f t="shared" si="119"/>
        <v>7.5150583916094929E-2</v>
      </c>
      <c r="AR51" s="5">
        <f t="shared" si="119"/>
        <v>6.5174802055446429E-2</v>
      </c>
    </row>
    <row r="52" spans="2:44" s="5" customFormat="1" x14ac:dyDescent="0.25">
      <c r="B52" s="5" t="s">
        <v>26</v>
      </c>
      <c r="C52" s="5">
        <f t="shared" ref="C52:X52" si="120">C6/C$9</f>
        <v>0.45672962124916144</v>
      </c>
      <c r="D52" s="5">
        <f t="shared" si="120"/>
        <v>0.34677940542869451</v>
      </c>
      <c r="E52" s="5">
        <f t="shared" si="120"/>
        <v>0.37875796431696718</v>
      </c>
      <c r="F52" s="5">
        <f t="shared" si="120"/>
        <v>0.32033104635692483</v>
      </c>
      <c r="G52" s="5">
        <f t="shared" si="120"/>
        <v>0.31174631275218706</v>
      </c>
      <c r="H52" s="5">
        <f t="shared" si="120"/>
        <v>0.36197136849946826</v>
      </c>
      <c r="I52" s="5">
        <f t="shared" si="120"/>
        <v>0.4098150998200854</v>
      </c>
      <c r="J52" s="5">
        <f t="shared" si="120"/>
        <v>0.39648941859576742</v>
      </c>
      <c r="K52" s="5">
        <f t="shared" si="120"/>
        <v>0.43544369582567699</v>
      </c>
      <c r="L52" s="5">
        <f t="shared" si="120"/>
        <v>0.38324316987571017</v>
      </c>
      <c r="M52" s="5">
        <f t="shared" si="120"/>
        <v>0.37940647532712074</v>
      </c>
      <c r="N52" s="5">
        <f t="shared" si="120"/>
        <v>0.37794877709854063</v>
      </c>
      <c r="O52" s="5">
        <f t="shared" si="120"/>
        <v>0.37829900670309491</v>
      </c>
      <c r="P52" s="5">
        <f t="shared" si="120"/>
        <v>0.38873204891405</v>
      </c>
      <c r="Q52" s="5">
        <f t="shared" si="120"/>
        <v>0.46792728189029287</v>
      </c>
      <c r="R52" s="5">
        <f t="shared" si="120"/>
        <v>0.48185723097627992</v>
      </c>
      <c r="S52" s="5">
        <f t="shared" si="120"/>
        <v>0.52901135239967212</v>
      </c>
      <c r="T52" s="5">
        <f t="shared" si="120"/>
        <v>0.48780430038402328</v>
      </c>
      <c r="U52" s="5">
        <f t="shared" si="120"/>
        <v>0.54796175348038811</v>
      </c>
      <c r="V52" s="5">
        <f t="shared" si="120"/>
        <v>0.51217488262020527</v>
      </c>
      <c r="W52" s="5">
        <f t="shared" si="120"/>
        <v>0.53983584331096568</v>
      </c>
      <c r="X52" s="5">
        <f t="shared" si="120"/>
        <v>0.47250228248311077</v>
      </c>
      <c r="Y52" s="5">
        <f>Y6/Y$9</f>
        <v>0.51421723485380533</v>
      </c>
      <c r="AM52" s="5">
        <f t="shared" ref="AM52:AR52" si="121">AM6/AM$9</f>
        <v>0.4516600029504439</v>
      </c>
      <c r="AN52" s="5">
        <f t="shared" si="121"/>
        <v>0.36647642524061486</v>
      </c>
      <c r="AO52" s="5">
        <f t="shared" si="121"/>
        <v>0.37499195831188881</v>
      </c>
      <c r="AP52" s="5">
        <f t="shared" si="121"/>
        <v>0.39122739925827765</v>
      </c>
      <c r="AQ52" s="5">
        <f t="shared" si="121"/>
        <v>0.43150092727576145</v>
      </c>
      <c r="AR52" s="5">
        <f t="shared" si="121"/>
        <v>0.51844835060195893</v>
      </c>
    </row>
    <row r="53" spans="2:44" s="5" customFormat="1" x14ac:dyDescent="0.25">
      <c r="B53" s="5" t="s">
        <v>27</v>
      </c>
      <c r="C53" s="5">
        <f t="shared" ref="C53:X53" si="122">C7/C$9</f>
        <v>6.5096023741571626E-2</v>
      </c>
      <c r="D53" s="5">
        <f t="shared" si="122"/>
        <v>3.6452883609281714E-2</v>
      </c>
      <c r="E53" s="5">
        <f t="shared" si="122"/>
        <v>7.1351601541877308E-2</v>
      </c>
      <c r="F53" s="5">
        <f t="shared" si="122"/>
        <v>7.5509352255237E-2</v>
      </c>
      <c r="G53" s="5">
        <f t="shared" si="122"/>
        <v>9.4460219108163102E-2</v>
      </c>
      <c r="H53" s="5">
        <f t="shared" si="122"/>
        <v>7.1358207419097139E-2</v>
      </c>
      <c r="I53" s="5">
        <f t="shared" si="122"/>
        <v>7.0882015043461297E-2</v>
      </c>
      <c r="J53" s="5">
        <f t="shared" si="122"/>
        <v>0.16266330506532203</v>
      </c>
      <c r="K53" s="5">
        <f t="shared" si="122"/>
        <v>0.11499897915622621</v>
      </c>
      <c r="L53" s="5">
        <f t="shared" si="122"/>
        <v>0.1598012248934243</v>
      </c>
      <c r="M53" s="5">
        <f t="shared" si="122"/>
        <v>0.14794143679424515</v>
      </c>
      <c r="N53" s="5">
        <f t="shared" si="122"/>
        <v>0.15181773742633206</v>
      </c>
      <c r="O53" s="5">
        <f t="shared" si="122"/>
        <v>0.17585945623078114</v>
      </c>
      <c r="P53" s="5">
        <f t="shared" si="122"/>
        <v>0.14918234649287462</v>
      </c>
      <c r="Q53" s="5">
        <f t="shared" si="122"/>
        <v>8.6128332869614521E-2</v>
      </c>
      <c r="R53" s="5">
        <f t="shared" si="122"/>
        <v>7.2508271182638931E-2</v>
      </c>
      <c r="S53" s="5">
        <f t="shared" si="122"/>
        <v>6.9046837459495275E-2</v>
      </c>
      <c r="T53" s="5">
        <f t="shared" si="122"/>
        <v>8.9157686386628549E-2</v>
      </c>
      <c r="U53" s="5">
        <f t="shared" si="122"/>
        <v>6.9743142928056071E-2</v>
      </c>
      <c r="V53" s="5">
        <f t="shared" si="122"/>
        <v>0.10616594734406881</v>
      </c>
      <c r="W53" s="5">
        <f t="shared" si="122"/>
        <v>9.107360421716329E-2</v>
      </c>
      <c r="X53" s="5">
        <f t="shared" si="122"/>
        <v>0.14460958862209583</v>
      </c>
      <c r="Y53" s="5">
        <f>Y7/Y$9</f>
        <v>9.6839110548130977E-2</v>
      </c>
      <c r="AM53" s="5">
        <f t="shared" ref="AM53:AR53" si="123">AM7/AM$9</f>
        <v>-1.6643529638721928E-3</v>
      </c>
      <c r="AN53" s="5">
        <f t="shared" si="123"/>
        <v>6.2620699941907026E-2</v>
      </c>
      <c r="AO53" s="5">
        <f t="shared" si="123"/>
        <v>0.10330812072641718</v>
      </c>
      <c r="AP53" s="5">
        <f t="shared" si="123"/>
        <v>0.14558375800049211</v>
      </c>
      <c r="AQ53" s="5">
        <f t="shared" si="123"/>
        <v>0.11860376514891513</v>
      </c>
      <c r="AR53" s="5">
        <f t="shared" si="123"/>
        <v>8.4870032229889036E-2</v>
      </c>
    </row>
    <row r="54" spans="2:44" s="5" customFormat="1" x14ac:dyDescent="0.25">
      <c r="B54" s="5" t="s">
        <v>28</v>
      </c>
      <c r="C54" s="5">
        <f t="shared" ref="C54:X54" si="124">C8/C$9</f>
        <v>2.3468680000454819E-2</v>
      </c>
      <c r="D54" s="5">
        <f t="shared" si="124"/>
        <v>4.0707515233581584E-2</v>
      </c>
      <c r="E54" s="5">
        <f t="shared" si="124"/>
        <v>1.9924352548943033E-2</v>
      </c>
      <c r="F54" s="5">
        <f t="shared" si="124"/>
        <v>3.0580700701745234E-2</v>
      </c>
      <c r="G54" s="5">
        <f t="shared" si="124"/>
        <v>2.3474232374208231E-2</v>
      </c>
      <c r="H54" s="5">
        <f t="shared" si="124"/>
        <v>2.5357648707857734E-2</v>
      </c>
      <c r="I54" s="5">
        <f t="shared" si="124"/>
        <v>3.4582619816617172E-2</v>
      </c>
      <c r="J54" s="5">
        <f t="shared" si="124"/>
        <v>2.8588891435556575E-2</v>
      </c>
      <c r="K54" s="5">
        <f t="shared" si="124"/>
        <v>3.5135586613954009E-2</v>
      </c>
      <c r="L54" s="5">
        <f t="shared" si="124"/>
        <v>3.1359155261197029E-2</v>
      </c>
      <c r="M54" s="5">
        <f t="shared" si="124"/>
        <v>6.6117566142935263E-2</v>
      </c>
      <c r="N54" s="5">
        <f t="shared" si="124"/>
        <v>5.9121092784524376E-2</v>
      </c>
      <c r="O54" s="5">
        <f t="shared" si="124"/>
        <v>5.9094529124173172E-2</v>
      </c>
      <c r="P54" s="5">
        <f t="shared" si="124"/>
        <v>5.3794442859359595E-2</v>
      </c>
      <c r="Q54" s="5">
        <f t="shared" si="124"/>
        <v>5.6205345190535938E-2</v>
      </c>
      <c r="R54" s="5">
        <f t="shared" si="124"/>
        <v>5.20652722480794E-2</v>
      </c>
      <c r="S54" s="5">
        <f t="shared" si="124"/>
        <v>4.0594344543416837E-2</v>
      </c>
      <c r="T54" s="5">
        <f t="shared" si="124"/>
        <v>3.7955710443064741E-2</v>
      </c>
      <c r="U54" s="5">
        <f t="shared" si="124"/>
        <v>4.3901228311033276E-2</v>
      </c>
      <c r="V54" s="5">
        <f t="shared" si="124"/>
        <v>4.1863816682721842E-2</v>
      </c>
      <c r="W54" s="5">
        <f t="shared" si="124"/>
        <v>3.7199400411465487E-2</v>
      </c>
      <c r="X54" s="5">
        <f t="shared" si="124"/>
        <v>3.3114761288624749E-2</v>
      </c>
      <c r="Y54" s="5">
        <f>Y8/Y$9</f>
        <v>4.0925307801729975E-2</v>
      </c>
      <c r="AM54" s="5">
        <f t="shared" ref="AM54:AR54" si="125">AM8/AM$9</f>
        <v>1.9401059890228358E-2</v>
      </c>
      <c r="AN54" s="5">
        <f t="shared" si="125"/>
        <v>2.9044527484259942E-2</v>
      </c>
      <c r="AO54" s="5">
        <f t="shared" si="125"/>
        <v>2.8397498345709874E-2</v>
      </c>
      <c r="AP54" s="5">
        <f t="shared" si="125"/>
        <v>4.8744082081565741E-2</v>
      </c>
      <c r="AQ54" s="5">
        <f t="shared" si="125"/>
        <v>5.5094349127982944E-2</v>
      </c>
      <c r="AR54" s="5">
        <f t="shared" si="125"/>
        <v>4.1103332373367357E-2</v>
      </c>
    </row>
    <row r="56" spans="2:44" x14ac:dyDescent="0.25">
      <c r="B56" s="12" t="s">
        <v>131</v>
      </c>
    </row>
    <row r="57" spans="2:44" s="5" customFormat="1" x14ac:dyDescent="0.25">
      <c r="B57" s="5" t="s">
        <v>101</v>
      </c>
      <c r="C57" s="5">
        <f>C19/C9</f>
        <v>-0.37490761481346718</v>
      </c>
      <c r="D57" s="5">
        <f t="shared" ref="D57:Y57" si="126">D19/D9</f>
        <v>-0.25106942820212963</v>
      </c>
      <c r="E57" s="5">
        <f t="shared" si="126"/>
        <v>-0.58944985644341263</v>
      </c>
      <c r="F57" s="5">
        <f t="shared" si="126"/>
        <v>0.25643701249576084</v>
      </c>
      <c r="G57" s="5">
        <f t="shared" si="126"/>
        <v>-0.19136902366965938</v>
      </c>
      <c r="H57" s="5">
        <f t="shared" si="126"/>
        <v>-0.131208923696708</v>
      </c>
      <c r="I57" s="5">
        <f t="shared" si="126"/>
        <v>-0.9075845923742224</v>
      </c>
      <c r="J57" s="5">
        <f t="shared" si="126"/>
        <v>-0.43644663457865385</v>
      </c>
      <c r="K57" s="5">
        <f t="shared" si="126"/>
        <v>-0.61648198674759169</v>
      </c>
      <c r="L57" s="5">
        <f t="shared" si="126"/>
        <v>-0.5434737445673401</v>
      </c>
      <c r="M57" s="5">
        <f t="shared" si="126"/>
        <v>-0.6385999627919563</v>
      </c>
      <c r="N57" s="5">
        <f t="shared" si="126"/>
        <v>-0.76132962041446284</v>
      </c>
      <c r="O57" s="5">
        <f t="shared" si="126"/>
        <v>-0.7949334114992368</v>
      </c>
      <c r="P57" s="5">
        <f t="shared" si="126"/>
        <v>-0.89982430585797302</v>
      </c>
      <c r="Q57" s="5">
        <f t="shared" si="126"/>
        <v>-0.8137871478143095</v>
      </c>
      <c r="R57" s="5">
        <f t="shared" si="126"/>
        <v>-0.54691414792799864</v>
      </c>
      <c r="S57" s="5">
        <f t="shared" si="126"/>
        <v>-0.42180699913603342</v>
      </c>
      <c r="T57" s="5">
        <f t="shared" si="126"/>
        <v>-0.29123344216812436</v>
      </c>
      <c r="U57" s="5">
        <f t="shared" si="126"/>
        <v>-0.2790715030798897</v>
      </c>
      <c r="V57" s="5">
        <f t="shared" si="126"/>
        <v>-0.11144064261170991</v>
      </c>
      <c r="W57" s="5">
        <f t="shared" si="126"/>
        <v>-0.18987399764345098</v>
      </c>
      <c r="X57" s="5">
        <f t="shared" si="126"/>
        <v>-4.9885673854805218E-3</v>
      </c>
      <c r="Y57" s="5">
        <f t="shared" si="126"/>
        <v>-1.0718472189944504E-2</v>
      </c>
      <c r="AM57" s="5">
        <f t="shared" ref="AM57:AR57" si="127">AM19/AM9</f>
        <v>-0.48206092288371849</v>
      </c>
      <c r="AN57" s="5">
        <f t="shared" si="127"/>
        <v>-0.21154872744971817</v>
      </c>
      <c r="AO57" s="5">
        <f t="shared" si="127"/>
        <v>-0.44076147893537237</v>
      </c>
      <c r="AP57" s="5">
        <f t="shared" si="127"/>
        <v>-0.64185365361982427</v>
      </c>
      <c r="AQ57" s="5">
        <f t="shared" si="127"/>
        <v>-0.75621747056804689</v>
      </c>
      <c r="AR57" s="5">
        <f t="shared" si="127"/>
        <v>-0.26510859453663133</v>
      </c>
    </row>
    <row r="58" spans="2:44" s="5" customFormat="1" x14ac:dyDescent="0.25">
      <c r="B58" s="5" t="s">
        <v>102</v>
      </c>
      <c r="C58" s="5">
        <f>C20/C19</f>
        <v>-6.8937280116462454E-2</v>
      </c>
      <c r="D58" s="5">
        <f t="shared" ref="D58:Y58" si="128">D20/D19</f>
        <v>-5.3013820365887289E-2</v>
      </c>
      <c r="E58" s="5">
        <f t="shared" si="128"/>
        <v>4.9346665848720939E-2</v>
      </c>
      <c r="F58" s="5">
        <f t="shared" si="128"/>
        <v>-0.11223296032553408</v>
      </c>
      <c r="G58" s="5">
        <f t="shared" si="128"/>
        <v>-0.88439358442962701</v>
      </c>
      <c r="H58" s="5">
        <f t="shared" si="128"/>
        <v>-8.9645898700134469E-3</v>
      </c>
      <c r="I58" s="5">
        <f t="shared" si="128"/>
        <v>0.37150104132831457</v>
      </c>
      <c r="J58" s="5">
        <f t="shared" si="128"/>
        <v>0.10166035027526629</v>
      </c>
      <c r="K58" s="5">
        <f t="shared" si="128"/>
        <v>0.84525895550698193</v>
      </c>
      <c r="L58" s="5">
        <f t="shared" si="128"/>
        <v>-0.18726299694189602</v>
      </c>
      <c r="M58" s="5">
        <f t="shared" si="128"/>
        <v>-0.75982449867800184</v>
      </c>
      <c r="N58" s="5">
        <f t="shared" si="128"/>
        <v>-0.2622769870069907</v>
      </c>
      <c r="O58" s="5">
        <f t="shared" si="128"/>
        <v>-0.12529438161597678</v>
      </c>
      <c r="P58" s="5">
        <f t="shared" si="128"/>
        <v>-9.8814570052178946E-2</v>
      </c>
      <c r="Q58" s="5">
        <f t="shared" si="128"/>
        <v>-0.33390423661844632</v>
      </c>
      <c r="R58" s="5">
        <f t="shared" si="128"/>
        <v>-0.14990074970881112</v>
      </c>
      <c r="S58" s="5">
        <f t="shared" si="128"/>
        <v>-0.18480570263598906</v>
      </c>
      <c r="T58" s="5">
        <f t="shared" si="128"/>
        <v>-2.642447618660362E-2</v>
      </c>
      <c r="U58" s="5">
        <f t="shared" si="128"/>
        <v>-0.17254289783505092</v>
      </c>
      <c r="V58" s="5">
        <f t="shared" si="128"/>
        <v>-0.39914239041655325</v>
      </c>
      <c r="W58" s="5">
        <f t="shared" si="128"/>
        <v>-0.25865046032739419</v>
      </c>
      <c r="X58" s="5">
        <f t="shared" si="128"/>
        <v>-20.171448403516891</v>
      </c>
      <c r="Y58" s="5">
        <f t="shared" si="128"/>
        <v>-1.6366452227781749</v>
      </c>
      <c r="AM58" s="5">
        <f t="shared" ref="AM58:AR58" si="129">AM20/AM19</f>
        <v>-5.5100007062091477E-2</v>
      </c>
      <c r="AN58" s="5">
        <f t="shared" si="129"/>
        <v>4.1116986733463215E-2</v>
      </c>
      <c r="AO58" s="5">
        <f t="shared" si="129"/>
        <v>0.15561150685359962</v>
      </c>
      <c r="AP58" s="5">
        <f t="shared" si="129"/>
        <v>-0.16305909141294708</v>
      </c>
      <c r="AQ58" s="5">
        <f t="shared" si="129"/>
        <v>-0.17622091464298145</v>
      </c>
      <c r="AR58" s="5">
        <f t="shared" si="129"/>
        <v>-0.16289760281368587</v>
      </c>
    </row>
    <row r="59" spans="2:44" s="5" customFormat="1" x14ac:dyDescent="0.25">
      <c r="B59" s="5" t="s">
        <v>103</v>
      </c>
      <c r="C59" s="5">
        <f>C22/C21</f>
        <v>-3.1271376917814914E-3</v>
      </c>
      <c r="D59" s="5">
        <f t="shared" ref="D59:Y59" si="130">D22/D21</f>
        <v>-3.0094165614988834E-3</v>
      </c>
      <c r="E59" s="5">
        <f t="shared" si="130"/>
        <v>-1.0873759163772844E-3</v>
      </c>
      <c r="F59" s="5">
        <f t="shared" si="130"/>
        <v>2.6928696250035811E-3</v>
      </c>
      <c r="G59" s="5">
        <f t="shared" si="130"/>
        <v>-2.5201351000259806E-2</v>
      </c>
      <c r="H59" s="5">
        <f t="shared" si="130"/>
        <v>-2.939846223428313E-3</v>
      </c>
      <c r="I59" s="5">
        <f t="shared" si="130"/>
        <v>2.437996524113527E-4</v>
      </c>
      <c r="J59" s="5">
        <f t="shared" si="130"/>
        <v>1.9448946515397084E-2</v>
      </c>
      <c r="K59" s="5">
        <f t="shared" si="130"/>
        <v>-5.5801386223910401E-4</v>
      </c>
      <c r="L59" s="5">
        <f t="shared" si="130"/>
        <v>-1.7308524448290783E-3</v>
      </c>
      <c r="M59" s="5">
        <f t="shared" si="130"/>
        <v>-4.7599794163052265E-3</v>
      </c>
      <c r="N59" s="5">
        <f t="shared" si="130"/>
        <v>8.8599424983864347E-2</v>
      </c>
      <c r="O59" s="5">
        <f t="shared" si="130"/>
        <v>7.1585092802118916E-4</v>
      </c>
      <c r="P59" s="5">
        <f t="shared" si="130"/>
        <v>4.8394314902547803E-3</v>
      </c>
      <c r="Q59" s="5">
        <f t="shared" si="130"/>
        <v>4.0481713015645508E-3</v>
      </c>
      <c r="R59" s="5">
        <f t="shared" si="130"/>
        <v>6.3489612983529363E-3</v>
      </c>
      <c r="S59" s="5">
        <f t="shared" si="130"/>
        <v>-6.10870329155441E-3</v>
      </c>
      <c r="T59" s="5">
        <f t="shared" si="130"/>
        <v>4.1765611388885574E-3</v>
      </c>
      <c r="U59" s="5">
        <f t="shared" si="130"/>
        <v>-6.6894156908137038E-3</v>
      </c>
      <c r="V59" s="5">
        <f t="shared" si="130"/>
        <v>-2.2587734203312265E-2</v>
      </c>
      <c r="W59" s="5">
        <f t="shared" si="130"/>
        <v>-1.9344995931651749E-2</v>
      </c>
      <c r="X59" s="5">
        <f t="shared" si="130"/>
        <v>3.0159668835008872E-2</v>
      </c>
      <c r="Y59" s="5">
        <f t="shared" si="130"/>
        <v>0.47548652694610777</v>
      </c>
      <c r="AM59" s="5">
        <f t="shared" ref="AM59:AR59" si="131">AM22/AM21</f>
        <v>-2.9895614479442614E-4</v>
      </c>
      <c r="AN59" s="5">
        <f t="shared" si="131"/>
        <v>-3.3505016841617508E-3</v>
      </c>
      <c r="AO59" s="5">
        <f t="shared" si="131"/>
        <v>5.2845253400094728E-3</v>
      </c>
      <c r="AP59" s="5">
        <f t="shared" si="131"/>
        <v>2.4024910634340972E-2</v>
      </c>
      <c r="AQ59" s="5">
        <f t="shared" si="131"/>
        <v>3.9424005175664268E-3</v>
      </c>
      <c r="AR59" s="5">
        <f t="shared" si="131"/>
        <v>-4.3256706244289827E-3</v>
      </c>
    </row>
    <row r="60" spans="2:44" s="5" customFormat="1" x14ac:dyDescent="0.25">
      <c r="B60" s="5" t="s">
        <v>104</v>
      </c>
      <c r="C60" s="5">
        <f>C23/C9</f>
        <v>-0.35015407006492549</v>
      </c>
      <c r="D60" s="5">
        <f t="shared" ref="D60:Y60" si="132">D23/D9</f>
        <v>-0.23847479534683327</v>
      </c>
      <c r="E60" s="5">
        <f t="shared" si="132"/>
        <v>-0.61920982404373959</v>
      </c>
      <c r="F60" s="5">
        <f t="shared" si="132"/>
        <v>0.22704327863720555</v>
      </c>
      <c r="G60" s="5">
        <f t="shared" si="132"/>
        <v>-2.2681028635804526E-2</v>
      </c>
      <c r="H60" s="5">
        <f t="shared" si="132"/>
        <v>-0.13041496561965488</v>
      </c>
      <c r="I60" s="5">
        <f t="shared" si="132"/>
        <v>-1.2444497431339823</v>
      </c>
      <c r="J60" s="5">
        <f t="shared" si="132"/>
        <v>-0.47146458858583545</v>
      </c>
      <c r="K60" s="5">
        <f t="shared" si="132"/>
        <v>-1.1382036861740632</v>
      </c>
      <c r="L60" s="5">
        <f t="shared" si="132"/>
        <v>-0.44246574204110123</v>
      </c>
      <c r="M60" s="5">
        <f t="shared" si="132"/>
        <v>-0.15410613312587029</v>
      </c>
      <c r="N60" s="5">
        <f t="shared" si="132"/>
        <v>-0.51188848061427938</v>
      </c>
      <c r="O60" s="5">
        <f t="shared" si="132"/>
        <v>-0.69483496670574962</v>
      </c>
      <c r="P60" s="5">
        <f t="shared" si="132"/>
        <v>-0.80698421756040428</v>
      </c>
      <c r="Q60" s="5">
        <f t="shared" si="132"/>
        <v>-0.5398658190236707</v>
      </c>
      <c r="R60" s="5">
        <f t="shared" si="132"/>
        <v>-0.46197947625189256</v>
      </c>
      <c r="S60" s="5">
        <f t="shared" si="132"/>
        <v>-0.34595516637901347</v>
      </c>
      <c r="T60" s="5">
        <f t="shared" si="132"/>
        <v>-0.28235353825853055</v>
      </c>
      <c r="U60" s="5">
        <f t="shared" si="132"/>
        <v>-0.23246441508130597</v>
      </c>
      <c r="V60" s="5">
        <f t="shared" si="132"/>
        <v>-6.8472431866623176E-2</v>
      </c>
      <c r="W60" s="5">
        <f t="shared" si="132"/>
        <v>-0.14348606042558187</v>
      </c>
      <c r="X60" s="5">
        <f t="shared" si="132"/>
        <v>9.2753649953080691E-2</v>
      </c>
      <c r="Y60" s="5">
        <f t="shared" si="132"/>
        <v>3.5792086667160408E-3</v>
      </c>
      <c r="AM60" s="5">
        <f t="shared" ref="AM60:AR60" si="133">AM23/AM9</f>
        <v>-0.45563553696187498</v>
      </c>
      <c r="AN60" s="5">
        <f t="shared" si="133"/>
        <v>-0.22098491152596128</v>
      </c>
      <c r="AO60" s="5">
        <f t="shared" si="133"/>
        <v>-0.50665736894346003</v>
      </c>
      <c r="AP60" s="5">
        <f t="shared" si="133"/>
        <v>-0.52428755228668067</v>
      </c>
      <c r="AQ60" s="5">
        <f t="shared" si="133"/>
        <v>-0.62050019364162756</v>
      </c>
      <c r="AR60" s="5">
        <f t="shared" si="133"/>
        <v>-0.22288300597632629</v>
      </c>
    </row>
    <row r="64" spans="2:44" x14ac:dyDescent="0.25">
      <c r="B64" s="12" t="s">
        <v>132</v>
      </c>
    </row>
    <row r="65" spans="2:32" x14ac:dyDescent="0.25">
      <c r="B65" s="9" t="s">
        <v>133</v>
      </c>
      <c r="C65" s="9">
        <v>292033000</v>
      </c>
      <c r="D65" s="9">
        <v>176285000</v>
      </c>
      <c r="E65" s="9">
        <v>192046000</v>
      </c>
      <c r="F65" s="9">
        <v>267059000</v>
      </c>
      <c r="G65" s="9">
        <v>684423000</v>
      </c>
      <c r="H65" s="9">
        <v>520741000</v>
      </c>
      <c r="I65" s="9">
        <v>1623672000</v>
      </c>
      <c r="J65" s="9">
        <v>1466558000</v>
      </c>
      <c r="K65" s="9">
        <v>1439531000</v>
      </c>
      <c r="L65" s="9">
        <v>2567401000</v>
      </c>
      <c r="M65" s="9">
        <v>2261937000</v>
      </c>
      <c r="N65" s="9">
        <v>1255171000</v>
      </c>
      <c r="O65" s="9">
        <v>1530132000</v>
      </c>
      <c r="P65" s="9">
        <v>1440333000</v>
      </c>
      <c r="Q65" s="9">
        <v>972477000</v>
      </c>
      <c r="R65" s="9">
        <v>892027000</v>
      </c>
      <c r="S65" s="9">
        <v>1079261000</v>
      </c>
      <c r="T65" s="9">
        <v>1036719000</v>
      </c>
      <c r="U65" s="9">
        <v>1272760000</v>
      </c>
      <c r="V65" s="9">
        <v>1013106000</v>
      </c>
      <c r="W65" s="9">
        <v>1046160000</v>
      </c>
      <c r="X65" s="9">
        <v>1200381000</v>
      </c>
      <c r="Y65" s="9">
        <v>1351148000</v>
      </c>
    </row>
    <row r="66" spans="2:32" x14ac:dyDescent="0.25">
      <c r="B66" s="9" t="s">
        <v>134</v>
      </c>
      <c r="C66" s="9">
        <v>41887000</v>
      </c>
      <c r="D66" s="9">
        <v>78491000</v>
      </c>
      <c r="E66" s="9">
        <v>64485000</v>
      </c>
      <c r="F66" s="9">
        <v>61069000</v>
      </c>
      <c r="G66" s="9">
        <v>101451000</v>
      </c>
      <c r="H66" s="9">
        <v>116049000</v>
      </c>
      <c r="I66" s="9">
        <v>183330000</v>
      </c>
      <c r="J66" s="9">
        <v>226074000</v>
      </c>
      <c r="K66" s="9">
        <v>236282000</v>
      </c>
      <c r="L66" s="9">
        <v>247402000</v>
      </c>
      <c r="M66" s="9">
        <v>413628000</v>
      </c>
      <c r="N66" s="9">
        <v>295636000</v>
      </c>
      <c r="O66" s="9">
        <v>383406000</v>
      </c>
      <c r="P66" s="9">
        <v>424460000</v>
      </c>
      <c r="Q66" s="9">
        <v>409015000</v>
      </c>
      <c r="R66" s="9">
        <v>367917000</v>
      </c>
      <c r="S66" s="9">
        <v>409231000</v>
      </c>
      <c r="T66" s="9">
        <v>411259000</v>
      </c>
      <c r="U66" s="9">
        <v>346931000</v>
      </c>
      <c r="V66" s="9">
        <v>282293000</v>
      </c>
      <c r="W66" s="9">
        <v>338462000</v>
      </c>
      <c r="X66" s="9">
        <v>536776000</v>
      </c>
      <c r="Y66" s="9">
        <v>384811000</v>
      </c>
    </row>
    <row r="67" spans="2:32" x14ac:dyDescent="0.25">
      <c r="B67" s="9" t="s">
        <v>135</v>
      </c>
      <c r="J67" s="9">
        <v>16170000</v>
      </c>
      <c r="K67" s="9">
        <v>456266000</v>
      </c>
      <c r="L67" s="9">
        <v>475379000</v>
      </c>
      <c r="M67" s="9">
        <v>617023000</v>
      </c>
      <c r="N67" s="9">
        <v>1595373000</v>
      </c>
      <c r="O67" s="9">
        <v>1237291000</v>
      </c>
      <c r="P67" s="9">
        <v>914923000</v>
      </c>
      <c r="Q67" s="9">
        <v>1059031000</v>
      </c>
      <c r="R67" s="9">
        <v>1174653000</v>
      </c>
      <c r="S67" s="9">
        <v>1021630000</v>
      </c>
      <c r="T67" s="9">
        <v>914069000</v>
      </c>
      <c r="U67" s="9">
        <v>781402000</v>
      </c>
      <c r="V67" s="9">
        <v>1131628000</v>
      </c>
      <c r="W67" s="9">
        <v>1073685000</v>
      </c>
      <c r="X67" s="9">
        <v>666684000</v>
      </c>
      <c r="Y67" s="9">
        <v>780170000</v>
      </c>
    </row>
    <row r="68" spans="2:32" x14ac:dyDescent="0.25">
      <c r="B68" s="9" t="s">
        <v>136</v>
      </c>
      <c r="C68" s="9">
        <v>0</v>
      </c>
      <c r="D68" s="9">
        <v>6255000</v>
      </c>
      <c r="E68" s="9">
        <v>8979000</v>
      </c>
      <c r="F68" s="9">
        <v>4459000</v>
      </c>
      <c r="G68" s="9">
        <v>4085000</v>
      </c>
      <c r="H68" s="9">
        <v>12302000</v>
      </c>
      <c r="I68" s="9">
        <v>12774000</v>
      </c>
      <c r="J68" s="9">
        <v>13030000</v>
      </c>
      <c r="K68" s="9">
        <v>1808000</v>
      </c>
      <c r="L68" s="9">
        <v>27394000</v>
      </c>
      <c r="M68" s="9">
        <v>3618000</v>
      </c>
      <c r="N68" s="9">
        <v>2670000</v>
      </c>
      <c r="O68" s="9">
        <v>7112000</v>
      </c>
      <c r="P68" s="9">
        <v>344000</v>
      </c>
      <c r="Q68" s="9">
        <v>122000</v>
      </c>
      <c r="R68" s="9">
        <v>76000</v>
      </c>
      <c r="S68" s="9">
        <v>145000</v>
      </c>
      <c r="T68" s="9">
        <v>29000</v>
      </c>
      <c r="U68" s="9">
        <v>127000</v>
      </c>
      <c r="V68" s="9">
        <v>36000</v>
      </c>
      <c r="W68" s="9">
        <v>0</v>
      </c>
      <c r="X68" s="9">
        <v>0</v>
      </c>
      <c r="Y68" s="9">
        <v>1000</v>
      </c>
    </row>
    <row r="69" spans="2:32" x14ac:dyDescent="0.25">
      <c r="B69" s="9" t="s">
        <v>137</v>
      </c>
      <c r="C69" s="9">
        <v>808683000</v>
      </c>
      <c r="D69" s="9">
        <v>1012987000</v>
      </c>
      <c r="E69" s="9">
        <v>989597000</v>
      </c>
      <c r="F69" s="9">
        <v>1034312000</v>
      </c>
      <c r="G69" s="9">
        <v>1414157000</v>
      </c>
      <c r="H69" s="9">
        <v>1888432000</v>
      </c>
      <c r="I69" s="9">
        <v>2195394000</v>
      </c>
      <c r="J69" s="9">
        <v>2022320000</v>
      </c>
      <c r="K69" s="9">
        <v>2244826000</v>
      </c>
      <c r="L69" s="9">
        <v>2425519000</v>
      </c>
      <c r="M69" s="9">
        <v>2502860000</v>
      </c>
      <c r="N69" s="9">
        <v>2503561000</v>
      </c>
      <c r="O69" s="9">
        <v>2681637000</v>
      </c>
      <c r="P69" s="9">
        <v>3655504000</v>
      </c>
      <c r="Q69" s="9">
        <v>3775542000</v>
      </c>
      <c r="R69" s="9">
        <v>4402962000</v>
      </c>
      <c r="S69" s="9">
        <v>4549422000</v>
      </c>
      <c r="T69" s="9">
        <v>5238812000</v>
      </c>
      <c r="U69" s="9">
        <v>5461407000</v>
      </c>
      <c r="V69" s="9">
        <v>5670056000</v>
      </c>
      <c r="W69" s="9">
        <v>6310834000</v>
      </c>
      <c r="X69" s="9">
        <v>6796167000</v>
      </c>
      <c r="Y69" s="9">
        <v>6630446000</v>
      </c>
    </row>
    <row r="70" spans="2:32" x14ac:dyDescent="0.25">
      <c r="B70" s="9" t="s">
        <v>138</v>
      </c>
      <c r="C70" s="9">
        <v>-76060000</v>
      </c>
      <c r="D70" s="9">
        <v>-85855000</v>
      </c>
      <c r="E70" s="9">
        <v>-144930000</v>
      </c>
      <c r="F70" s="9">
        <v>-95137000</v>
      </c>
      <c r="G70" s="9">
        <v>-123021000</v>
      </c>
      <c r="H70" s="9">
        <v>-124992000</v>
      </c>
      <c r="I70" s="9">
        <v>-113754000</v>
      </c>
      <c r="J70" s="9">
        <v>-117760000</v>
      </c>
      <c r="K70" s="9">
        <v>-152021000</v>
      </c>
      <c r="L70" s="9">
        <v>-158289000</v>
      </c>
      <c r="M70" s="9">
        <v>-159475000</v>
      </c>
      <c r="N70" s="9">
        <v>-155392000</v>
      </c>
      <c r="O70" s="9">
        <v>-153025000</v>
      </c>
      <c r="P70" s="9">
        <v>-182100000</v>
      </c>
      <c r="Q70" s="9">
        <v>-176336000</v>
      </c>
      <c r="R70" s="9">
        <v>-204531000</v>
      </c>
      <c r="S70" s="9">
        <v>-232068000</v>
      </c>
      <c r="T70" s="9">
        <v>-262204000</v>
      </c>
      <c r="U70" s="9">
        <v>-289088000</v>
      </c>
      <c r="V70" s="9">
        <v>-309097000</v>
      </c>
      <c r="W70" s="9">
        <v>-350606000</v>
      </c>
      <c r="X70" s="9">
        <v>-363831000</v>
      </c>
      <c r="Y70" s="9">
        <v>-374987000</v>
      </c>
    </row>
    <row r="71" spans="2:32" x14ac:dyDescent="0.25">
      <c r="B71" s="9" t="s">
        <v>139</v>
      </c>
      <c r="C71" s="9">
        <v>45085000</v>
      </c>
      <c r="D71" s="9">
        <v>46160000</v>
      </c>
      <c r="E71" s="9">
        <v>44014000</v>
      </c>
      <c r="F71" s="9">
        <v>59001000</v>
      </c>
      <c r="G71" s="9">
        <v>49026000</v>
      </c>
      <c r="H71" s="9">
        <v>67046000</v>
      </c>
      <c r="I71" s="9">
        <v>66080000</v>
      </c>
      <c r="J71" s="9">
        <v>91575000</v>
      </c>
      <c r="K71" s="9">
        <v>100951000</v>
      </c>
      <c r="L71" s="9">
        <v>134571000</v>
      </c>
      <c r="M71" s="9">
        <v>124614000</v>
      </c>
      <c r="N71" s="9">
        <v>142052000</v>
      </c>
      <c r="O71" s="9">
        <v>147757000</v>
      </c>
      <c r="P71" s="9">
        <v>201622000</v>
      </c>
      <c r="Q71" s="9">
        <v>135816000</v>
      </c>
      <c r="R71" s="9">
        <v>199085000</v>
      </c>
      <c r="S71" s="9">
        <v>236234000</v>
      </c>
      <c r="T71" s="9">
        <v>307286000</v>
      </c>
      <c r="U71" s="9">
        <v>293388000</v>
      </c>
      <c r="V71" s="9">
        <v>353028000</v>
      </c>
      <c r="W71" s="9">
        <v>308394000</v>
      </c>
      <c r="X71" s="9">
        <v>203626000</v>
      </c>
      <c r="Y71" s="9">
        <v>220279000</v>
      </c>
    </row>
    <row r="72" spans="2:32" x14ac:dyDescent="0.25">
      <c r="B72" s="9" t="s">
        <v>140</v>
      </c>
      <c r="C72" s="9">
        <v>37842000</v>
      </c>
      <c r="D72" s="9">
        <v>44286000</v>
      </c>
      <c r="E72" s="9">
        <v>47278000</v>
      </c>
      <c r="F72" s="9">
        <v>48140000</v>
      </c>
      <c r="G72" s="9">
        <v>49562000</v>
      </c>
      <c r="H72" s="9">
        <v>49358000</v>
      </c>
      <c r="I72" s="9">
        <v>55120000</v>
      </c>
      <c r="J72" s="9">
        <v>62499000</v>
      </c>
      <c r="K72" s="9">
        <v>84925000</v>
      </c>
      <c r="L72" s="9">
        <v>113573000</v>
      </c>
      <c r="M72" s="9">
        <v>141658000</v>
      </c>
      <c r="N72" s="9">
        <v>171482000</v>
      </c>
      <c r="O72" s="9">
        <v>208460000</v>
      </c>
      <c r="P72" s="9">
        <v>248939000</v>
      </c>
      <c r="Q72" s="9">
        <v>277156000</v>
      </c>
      <c r="R72" s="9">
        <v>290135000</v>
      </c>
      <c r="S72" s="9">
        <v>338749000</v>
      </c>
      <c r="T72" s="9">
        <v>369854000</v>
      </c>
      <c r="U72" s="9">
        <v>401535000</v>
      </c>
      <c r="V72" s="9">
        <v>427686000</v>
      </c>
      <c r="W72" s="9">
        <v>473019000</v>
      </c>
      <c r="X72" s="9">
        <v>506334000</v>
      </c>
      <c r="Y72" s="9">
        <v>543327000</v>
      </c>
    </row>
    <row r="73" spans="2:32" x14ac:dyDescent="0.25">
      <c r="B73" s="9" t="s">
        <v>141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279198000</v>
      </c>
      <c r="J73" s="9">
        <v>516515000</v>
      </c>
      <c r="K73" s="9">
        <v>540770000</v>
      </c>
      <c r="L73" s="9">
        <v>541399000</v>
      </c>
      <c r="M73" s="9">
        <v>547393000</v>
      </c>
      <c r="N73" s="9">
        <v>539534000</v>
      </c>
      <c r="O73" s="9">
        <v>525000000</v>
      </c>
      <c r="P73" s="9">
        <v>527630000</v>
      </c>
      <c r="Q73" s="9">
        <v>537126000</v>
      </c>
      <c r="R73" s="9">
        <v>542571000</v>
      </c>
      <c r="S73" s="9">
        <v>536418000</v>
      </c>
      <c r="T73" s="9">
        <v>541156000</v>
      </c>
      <c r="U73" s="9">
        <v>535818000</v>
      </c>
      <c r="V73" s="9">
        <v>533439000</v>
      </c>
      <c r="W73" s="9">
        <v>536745000</v>
      </c>
      <c r="X73" s="9">
        <v>521699000</v>
      </c>
      <c r="Y73" s="9">
        <v>522346000</v>
      </c>
    </row>
    <row r="74" spans="2:32" x14ac:dyDescent="0.25">
      <c r="B74" s="9" t="s">
        <v>142</v>
      </c>
      <c r="J74" s="9">
        <v>67930000</v>
      </c>
      <c r="K74" s="9">
        <v>71378000</v>
      </c>
      <c r="L74" s="9">
        <v>66190000</v>
      </c>
      <c r="M74" s="9">
        <v>60890000</v>
      </c>
      <c r="N74" s="9">
        <v>78942000</v>
      </c>
      <c r="O74" s="9">
        <v>71037000</v>
      </c>
      <c r="P74" s="9">
        <v>63755000</v>
      </c>
      <c r="Q74" s="9">
        <v>48267000</v>
      </c>
      <c r="R74" s="9">
        <v>34434000</v>
      </c>
      <c r="S74" s="9">
        <v>19828000</v>
      </c>
      <c r="T74" s="9">
        <v>17407000</v>
      </c>
      <c r="U74" s="9">
        <v>15288000</v>
      </c>
      <c r="V74" s="9">
        <v>13502000</v>
      </c>
      <c r="W74" s="9">
        <v>13459000</v>
      </c>
      <c r="X74" s="9">
        <v>12193000</v>
      </c>
      <c r="Y74" s="9">
        <v>12416000</v>
      </c>
    </row>
    <row r="75" spans="2:32" x14ac:dyDescent="0.25">
      <c r="B75" s="9" t="s">
        <v>143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246383000</v>
      </c>
      <c r="J75" s="9">
        <v>227377000</v>
      </c>
      <c r="K75" s="9">
        <v>207431000</v>
      </c>
      <c r="L75" s="9">
        <v>316047000</v>
      </c>
      <c r="M75" s="9">
        <v>287129000</v>
      </c>
      <c r="N75" s="9">
        <v>263196000</v>
      </c>
      <c r="O75" s="9">
        <v>241639000</v>
      </c>
      <c r="P75" s="9">
        <v>220082000</v>
      </c>
      <c r="Q75" s="9">
        <v>198994000</v>
      </c>
      <c r="R75" s="9">
        <v>177672000</v>
      </c>
      <c r="S75" s="9">
        <v>156115000</v>
      </c>
      <c r="T75" s="9">
        <v>134558000</v>
      </c>
      <c r="U75" s="9">
        <v>118703000</v>
      </c>
      <c r="V75" s="9">
        <v>104602000</v>
      </c>
      <c r="W75" s="9">
        <v>90346000</v>
      </c>
      <c r="X75" s="9">
        <v>76091000</v>
      </c>
      <c r="Y75" s="9">
        <v>65178000</v>
      </c>
    </row>
    <row r="76" spans="2:32" x14ac:dyDescent="0.25">
      <c r="B76" s="9" t="s">
        <v>144</v>
      </c>
      <c r="C76" s="9">
        <v>41878000</v>
      </c>
      <c r="D76" s="9">
        <v>48176000</v>
      </c>
      <c r="E76" s="9">
        <v>16287000</v>
      </c>
      <c r="F76" s="9">
        <v>23348000</v>
      </c>
      <c r="G76" s="9">
        <v>136899000</v>
      </c>
      <c r="H76" s="9">
        <v>257964000</v>
      </c>
      <c r="I76" s="9">
        <v>219868000</v>
      </c>
      <c r="J76" s="9">
        <v>274679000</v>
      </c>
      <c r="K76" s="9">
        <v>169952000</v>
      </c>
      <c r="L76" s="9">
        <v>195863000</v>
      </c>
      <c r="M76" s="9">
        <v>230451000</v>
      </c>
      <c r="N76" s="9">
        <v>281567000</v>
      </c>
      <c r="O76" s="9">
        <v>284614000</v>
      </c>
      <c r="P76" s="9">
        <v>289259000</v>
      </c>
      <c r="Q76" s="9">
        <v>270639000</v>
      </c>
      <c r="R76" s="9">
        <v>278614000</v>
      </c>
      <c r="S76" s="9">
        <v>292184000</v>
      </c>
      <c r="T76" s="9">
        <v>356044000</v>
      </c>
      <c r="U76" s="9">
        <v>263155000</v>
      </c>
      <c r="V76" s="9">
        <v>299340000</v>
      </c>
      <c r="W76" s="9">
        <v>298661000</v>
      </c>
      <c r="X76" s="9">
        <v>324957000</v>
      </c>
      <c r="Y76" s="9">
        <v>301052000</v>
      </c>
    </row>
    <row r="77" spans="2:32" s="10" customFormat="1" x14ac:dyDescent="0.25">
      <c r="B77" s="12" t="s">
        <v>145</v>
      </c>
      <c r="C77" s="10">
        <f>SUM(C65:C76)</f>
        <v>1191348000</v>
      </c>
      <c r="D77" s="10">
        <f t="shared" ref="D77:AE77" si="134">SUM(D65:D76)</f>
        <v>1326785000</v>
      </c>
      <c r="E77" s="10">
        <f t="shared" si="134"/>
        <v>1217756000</v>
      </c>
      <c r="F77" s="10">
        <f t="shared" si="134"/>
        <v>1402251000</v>
      </c>
      <c r="G77" s="10">
        <f t="shared" si="134"/>
        <v>2316582000</v>
      </c>
      <c r="H77" s="10">
        <f t="shared" si="134"/>
        <v>2786900000</v>
      </c>
      <c r="I77" s="10">
        <f t="shared" si="134"/>
        <v>4768065000</v>
      </c>
      <c r="J77" s="10">
        <f t="shared" si="134"/>
        <v>4866967000</v>
      </c>
      <c r="K77" s="10">
        <f t="shared" si="134"/>
        <v>5402099000</v>
      </c>
      <c r="L77" s="10">
        <f t="shared" si="134"/>
        <v>6952449000</v>
      </c>
      <c r="M77" s="10">
        <f t="shared" si="134"/>
        <v>7031726000</v>
      </c>
      <c r="N77" s="10">
        <f t="shared" si="134"/>
        <v>6973792000</v>
      </c>
      <c r="O77" s="10">
        <f t="shared" si="134"/>
        <v>7165060000</v>
      </c>
      <c r="P77" s="10">
        <f t="shared" si="134"/>
        <v>7804751000</v>
      </c>
      <c r="Q77" s="10">
        <f t="shared" si="134"/>
        <v>7507849000</v>
      </c>
      <c r="R77" s="10">
        <f t="shared" si="134"/>
        <v>8155615000</v>
      </c>
      <c r="S77" s="10">
        <f t="shared" si="134"/>
        <v>8407149000</v>
      </c>
      <c r="T77" s="10">
        <f t="shared" si="134"/>
        <v>9064989000</v>
      </c>
      <c r="U77" s="10">
        <f t="shared" si="134"/>
        <v>9201426000</v>
      </c>
      <c r="V77" s="10">
        <f t="shared" si="134"/>
        <v>9519619000</v>
      </c>
      <c r="W77" s="10">
        <f t="shared" si="134"/>
        <v>10139159000</v>
      </c>
      <c r="X77" s="10">
        <f t="shared" si="134"/>
        <v>10481077000</v>
      </c>
      <c r="Y77" s="10">
        <f t="shared" si="134"/>
        <v>10436187000</v>
      </c>
      <c r="Z77" s="10">
        <f t="shared" si="134"/>
        <v>0</v>
      </c>
      <c r="AA77" s="10">
        <f t="shared" si="134"/>
        <v>0</v>
      </c>
      <c r="AB77" s="10">
        <f t="shared" si="134"/>
        <v>0</v>
      </c>
      <c r="AC77" s="10">
        <f t="shared" si="134"/>
        <v>0</v>
      </c>
      <c r="AD77" s="10">
        <f t="shared" si="134"/>
        <v>0</v>
      </c>
      <c r="AE77" s="10">
        <f t="shared" si="134"/>
        <v>0</v>
      </c>
      <c r="AF77" s="10">
        <f t="shared" ref="AF77" si="135">SUM(AF65:AF76)</f>
        <v>0</v>
      </c>
    </row>
    <row r="78" spans="2:32" x14ac:dyDescent="0.25">
      <c r="B78" s="9" t="s">
        <v>146</v>
      </c>
      <c r="C78" s="9">
        <v>8667000</v>
      </c>
      <c r="D78" s="9">
        <v>12837000</v>
      </c>
      <c r="E78" s="9">
        <v>12410000</v>
      </c>
      <c r="F78" s="9">
        <v>18361000</v>
      </c>
      <c r="G78" s="9">
        <v>24471000</v>
      </c>
      <c r="H78" s="9">
        <v>26224000</v>
      </c>
      <c r="I78" s="9">
        <v>29005000</v>
      </c>
      <c r="J78" s="9">
        <v>57758000</v>
      </c>
      <c r="K78" s="9">
        <v>425854000</v>
      </c>
      <c r="L78" s="9">
        <v>45589000</v>
      </c>
      <c r="M78" s="9">
        <v>48985000</v>
      </c>
      <c r="N78" s="9">
        <v>33072000</v>
      </c>
      <c r="O78" s="9">
        <v>34534000</v>
      </c>
      <c r="P78" s="9">
        <v>28974000</v>
      </c>
      <c r="Q78" s="9">
        <v>30022000</v>
      </c>
      <c r="R78" s="9">
        <v>28602000</v>
      </c>
      <c r="S78" s="9">
        <v>27345000</v>
      </c>
      <c r="T78" s="9">
        <v>59805000</v>
      </c>
      <c r="U78" s="9">
        <v>35224000</v>
      </c>
      <c r="V78" s="9">
        <v>41019000</v>
      </c>
      <c r="W78" s="9">
        <v>57561000</v>
      </c>
      <c r="X78" s="9">
        <v>50626000</v>
      </c>
      <c r="Y78" s="9">
        <v>41057000</v>
      </c>
    </row>
    <row r="79" spans="2:32" x14ac:dyDescent="0.25">
      <c r="B79" s="9" t="s">
        <v>147</v>
      </c>
      <c r="C79" s="9">
        <v>19859000</v>
      </c>
      <c r="D79" s="9">
        <v>23589000</v>
      </c>
      <c r="E79" s="9">
        <v>22960000</v>
      </c>
      <c r="F79" s="9">
        <v>24998000</v>
      </c>
      <c r="G79" s="9">
        <v>21205000</v>
      </c>
      <c r="H79" s="9">
        <v>33043000</v>
      </c>
      <c r="I79" s="9">
        <v>36523000</v>
      </c>
      <c r="J79" s="9">
        <v>50079000</v>
      </c>
      <c r="K79" s="9">
        <v>38462000</v>
      </c>
      <c r="L79" s="9">
        <v>71515000</v>
      </c>
      <c r="M79" s="9">
        <v>35962000</v>
      </c>
      <c r="N79" s="9">
        <v>71383000</v>
      </c>
      <c r="O79" s="9">
        <v>90811000</v>
      </c>
      <c r="P79" s="9">
        <v>127378000</v>
      </c>
      <c r="Q79" s="9">
        <v>44187000</v>
      </c>
      <c r="R79" s="9">
        <v>53852000</v>
      </c>
      <c r="S79" s="9">
        <v>109498000</v>
      </c>
      <c r="T79" s="9">
        <v>134567000</v>
      </c>
      <c r="U79" s="9">
        <v>129730000</v>
      </c>
      <c r="V79" s="9">
        <v>159643000</v>
      </c>
      <c r="W79" s="9">
        <v>152035000</v>
      </c>
      <c r="X79" s="9">
        <v>157245000</v>
      </c>
      <c r="Y79" s="9">
        <v>176996000</v>
      </c>
    </row>
    <row r="80" spans="2:32" x14ac:dyDescent="0.25">
      <c r="B80" s="9" t="s">
        <v>148</v>
      </c>
      <c r="C80" s="9">
        <v>2392000</v>
      </c>
      <c r="D80" s="9">
        <v>2688000</v>
      </c>
      <c r="E80" s="9">
        <v>2224000</v>
      </c>
      <c r="F80" s="9">
        <v>1860000</v>
      </c>
      <c r="G80" s="9">
        <v>2132000</v>
      </c>
      <c r="H80" s="9">
        <v>3133000</v>
      </c>
      <c r="I80" s="9">
        <v>3891000</v>
      </c>
      <c r="J80" s="9">
        <v>2751000</v>
      </c>
      <c r="K80" s="9">
        <v>3304000</v>
      </c>
      <c r="L80" s="9">
        <v>2621000</v>
      </c>
      <c r="M80" s="9">
        <v>2992000</v>
      </c>
      <c r="N80" s="9">
        <v>6659000</v>
      </c>
      <c r="O80" s="9">
        <v>5292000</v>
      </c>
      <c r="P80" s="9">
        <v>11971000</v>
      </c>
      <c r="Q80" s="9">
        <v>13826000</v>
      </c>
      <c r="R80" s="9">
        <v>13498000</v>
      </c>
      <c r="S80" s="9">
        <v>19589000</v>
      </c>
      <c r="T80" s="9">
        <v>22181000</v>
      </c>
      <c r="U80" s="9">
        <v>22816000</v>
      </c>
      <c r="V80" s="9">
        <v>24327000</v>
      </c>
      <c r="W80" s="9">
        <v>24484000</v>
      </c>
      <c r="X80" s="9">
        <v>25357000</v>
      </c>
      <c r="Y80" s="9">
        <v>23944000</v>
      </c>
    </row>
    <row r="81" spans="2:32" x14ac:dyDescent="0.25">
      <c r="B81" s="9" t="s">
        <v>149</v>
      </c>
      <c r="C81" s="9">
        <v>14716000</v>
      </c>
      <c r="D81" s="9">
        <v>21479000</v>
      </c>
      <c r="E81" s="9">
        <v>21929000</v>
      </c>
      <c r="F81" s="9">
        <v>27810000</v>
      </c>
      <c r="G81" s="9">
        <v>90562000</v>
      </c>
      <c r="H81" s="9">
        <v>117132000</v>
      </c>
      <c r="I81" s="9">
        <v>291428000</v>
      </c>
      <c r="J81" s="9">
        <v>323577000</v>
      </c>
      <c r="K81" s="9">
        <v>450662000</v>
      </c>
      <c r="L81" s="9">
        <v>436533000</v>
      </c>
      <c r="M81" s="9">
        <v>313307000</v>
      </c>
      <c r="N81" s="9">
        <v>237598000</v>
      </c>
      <c r="O81" s="9">
        <v>249812000</v>
      </c>
      <c r="P81" s="9">
        <v>220619000</v>
      </c>
      <c r="Q81" s="9">
        <v>192360000</v>
      </c>
      <c r="R81" s="9">
        <v>180883000</v>
      </c>
      <c r="S81" s="9">
        <v>160328000</v>
      </c>
      <c r="T81" s="9">
        <v>150272000</v>
      </c>
      <c r="U81" s="9">
        <v>150162000</v>
      </c>
      <c r="V81" s="9">
        <v>147429000</v>
      </c>
      <c r="W81" s="9">
        <v>137464000</v>
      </c>
      <c r="X81" s="9">
        <v>155568000</v>
      </c>
      <c r="Y81" s="9">
        <v>173629000</v>
      </c>
    </row>
    <row r="82" spans="2:32" x14ac:dyDescent="0.25">
      <c r="B82" s="9" t="s">
        <v>150</v>
      </c>
      <c r="C82" s="9">
        <v>0</v>
      </c>
      <c r="D82" s="9">
        <v>0</v>
      </c>
      <c r="E82" s="9">
        <v>0</v>
      </c>
      <c r="F82" s="9">
        <v>74222000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1704607000</v>
      </c>
      <c r="M82" s="9">
        <v>1705624000</v>
      </c>
      <c r="N82" s="9">
        <v>1706668000</v>
      </c>
      <c r="O82" s="9">
        <v>1707724000</v>
      </c>
      <c r="P82" s="9">
        <v>1708779000</v>
      </c>
      <c r="Q82" s="9">
        <v>1413345000</v>
      </c>
      <c r="R82" s="9">
        <v>1414208000</v>
      </c>
      <c r="S82" s="9">
        <v>1415080000</v>
      </c>
      <c r="T82" s="9">
        <v>1415952000</v>
      </c>
      <c r="U82" s="9">
        <v>1385891000</v>
      </c>
      <c r="V82" s="9">
        <v>1341430000</v>
      </c>
      <c r="W82" s="9">
        <v>1202519000</v>
      </c>
      <c r="X82" s="9">
        <v>1151048000</v>
      </c>
      <c r="Y82" s="9">
        <v>1152019000</v>
      </c>
    </row>
    <row r="83" spans="2:32" x14ac:dyDescent="0.25">
      <c r="B83" s="9" t="s">
        <v>151</v>
      </c>
      <c r="C83" s="9">
        <v>0</v>
      </c>
      <c r="D83" s="9">
        <v>0</v>
      </c>
      <c r="E83" s="9">
        <v>0</v>
      </c>
      <c r="F83" s="9">
        <v>0</v>
      </c>
      <c r="G83" s="9">
        <v>498921000</v>
      </c>
      <c r="H83" s="9">
        <v>818446000</v>
      </c>
      <c r="I83" s="9">
        <v>1241126000</v>
      </c>
      <c r="J83" s="9">
        <v>1176673000</v>
      </c>
      <c r="K83" s="9">
        <v>1621638000</v>
      </c>
      <c r="L83" s="9">
        <v>1577264000</v>
      </c>
      <c r="M83" s="9">
        <v>1447568000</v>
      </c>
      <c r="N83" s="9">
        <v>1627580000</v>
      </c>
      <c r="O83" s="9">
        <v>1720812000</v>
      </c>
      <c r="P83" s="9">
        <v>1314212000</v>
      </c>
      <c r="Q83" s="9">
        <v>1788853000</v>
      </c>
      <c r="R83" s="9">
        <v>2165577000</v>
      </c>
      <c r="S83" s="9">
        <v>2398758000</v>
      </c>
      <c r="T83" s="9">
        <v>2740656000</v>
      </c>
      <c r="U83" s="9">
        <v>3240871000</v>
      </c>
      <c r="V83" s="9">
        <v>3236873000</v>
      </c>
      <c r="W83" s="9">
        <v>3985484000</v>
      </c>
      <c r="X83" s="9">
        <v>3988887000</v>
      </c>
      <c r="Y83" s="9">
        <v>4084934000</v>
      </c>
    </row>
    <row r="84" spans="2:32" x14ac:dyDescent="0.25">
      <c r="B84" s="9" t="s">
        <v>152</v>
      </c>
      <c r="C84" s="9">
        <v>617142000</v>
      </c>
      <c r="D84" s="9">
        <v>799178000</v>
      </c>
      <c r="E84" s="9">
        <v>769099000</v>
      </c>
      <c r="F84" s="9">
        <v>817926000</v>
      </c>
      <c r="G84" s="9">
        <v>698892000</v>
      </c>
      <c r="H84" s="9">
        <v>804960000</v>
      </c>
      <c r="I84" s="9">
        <v>760395000</v>
      </c>
      <c r="J84" s="9">
        <v>680602000</v>
      </c>
      <c r="K84" s="9">
        <v>484821000</v>
      </c>
      <c r="L84" s="9">
        <v>645998000</v>
      </c>
      <c r="M84" s="9">
        <v>901233000</v>
      </c>
      <c r="N84" s="9">
        <v>672577000</v>
      </c>
      <c r="O84" s="9">
        <v>792637000</v>
      </c>
      <c r="P84" s="9">
        <v>1882670000</v>
      </c>
      <c r="Q84" s="9">
        <v>1514120000</v>
      </c>
      <c r="R84" s="9">
        <v>1764812000</v>
      </c>
      <c r="S84" s="9">
        <v>1709751000</v>
      </c>
      <c r="T84" s="9">
        <v>1906672000</v>
      </c>
      <c r="U84" s="9">
        <v>1613272000</v>
      </c>
      <c r="V84" s="9">
        <v>1836909000</v>
      </c>
      <c r="W84" s="9">
        <v>1744040000</v>
      </c>
      <c r="X84" s="9">
        <v>2166806000</v>
      </c>
      <c r="Y84" s="9">
        <v>1908693000</v>
      </c>
    </row>
    <row r="85" spans="2:32" s="10" customFormat="1" x14ac:dyDescent="0.25">
      <c r="B85" s="12" t="s">
        <v>153</v>
      </c>
      <c r="C85" s="10">
        <f>SUM(C78:C84)</f>
        <v>662776000</v>
      </c>
      <c r="D85" s="10">
        <f t="shared" ref="D85:Y85" si="136">SUM(D78:D84)</f>
        <v>859771000</v>
      </c>
      <c r="E85" s="10">
        <f t="shared" si="136"/>
        <v>828622000</v>
      </c>
      <c r="F85" s="10">
        <f t="shared" si="136"/>
        <v>965177000</v>
      </c>
      <c r="G85" s="10">
        <f t="shared" si="136"/>
        <v>1336183000</v>
      </c>
      <c r="H85" s="10">
        <f t="shared" si="136"/>
        <v>1802938000</v>
      </c>
      <c r="I85" s="10">
        <f t="shared" si="136"/>
        <v>2362368000</v>
      </c>
      <c r="J85" s="10">
        <f t="shared" si="136"/>
        <v>2291440000</v>
      </c>
      <c r="K85" s="10">
        <f t="shared" si="136"/>
        <v>3024741000</v>
      </c>
      <c r="L85" s="10">
        <f t="shared" si="136"/>
        <v>4484127000</v>
      </c>
      <c r="M85" s="10">
        <f t="shared" si="136"/>
        <v>4455671000</v>
      </c>
      <c r="N85" s="10">
        <f t="shared" si="136"/>
        <v>4355537000</v>
      </c>
      <c r="O85" s="10">
        <f t="shared" si="136"/>
        <v>4601622000</v>
      </c>
      <c r="P85" s="10">
        <f t="shared" si="136"/>
        <v>5294603000</v>
      </c>
      <c r="Q85" s="10">
        <f t="shared" si="136"/>
        <v>4996713000</v>
      </c>
      <c r="R85" s="10">
        <f t="shared" si="136"/>
        <v>5621432000</v>
      </c>
      <c r="S85" s="10">
        <f t="shared" si="136"/>
        <v>5840349000</v>
      </c>
      <c r="T85" s="10">
        <f t="shared" si="136"/>
        <v>6430105000</v>
      </c>
      <c r="U85" s="10">
        <f t="shared" si="136"/>
        <v>6577966000</v>
      </c>
      <c r="V85" s="10">
        <f t="shared" si="136"/>
        <v>6787630000</v>
      </c>
      <c r="W85" s="10">
        <f t="shared" si="136"/>
        <v>7303587000</v>
      </c>
      <c r="X85" s="10">
        <f t="shared" si="136"/>
        <v>7695537000</v>
      </c>
      <c r="Y85" s="10">
        <f t="shared" si="136"/>
        <v>7561272000</v>
      </c>
    </row>
    <row r="86" spans="2:32" x14ac:dyDescent="0.25">
      <c r="B86" s="9" t="s">
        <v>154</v>
      </c>
      <c r="C86" s="9">
        <v>813555000</v>
      </c>
      <c r="D86" s="9">
        <v>804170000</v>
      </c>
      <c r="E86" s="9">
        <v>804170000</v>
      </c>
      <c r="F86" s="9">
        <v>804170000</v>
      </c>
      <c r="G86" s="9">
        <v>1327163000</v>
      </c>
      <c r="H86" s="9">
        <v>1327271000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</row>
    <row r="87" spans="2:32" x14ac:dyDescent="0.25">
      <c r="B87" s="9" t="s">
        <v>155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2000</v>
      </c>
      <c r="J87" s="9">
        <v>2000</v>
      </c>
      <c r="K87" s="9">
        <v>2000</v>
      </c>
      <c r="L87" s="9">
        <v>2000</v>
      </c>
      <c r="M87" s="9">
        <v>2000</v>
      </c>
      <c r="N87" s="9">
        <v>2000</v>
      </c>
      <c r="O87" s="9">
        <v>2000</v>
      </c>
      <c r="P87" s="9">
        <v>2000</v>
      </c>
      <c r="Q87" s="9">
        <v>2000</v>
      </c>
      <c r="R87" s="9">
        <v>2000</v>
      </c>
      <c r="S87" s="9">
        <v>2000</v>
      </c>
      <c r="T87" s="9">
        <v>2000</v>
      </c>
      <c r="U87" s="9">
        <v>2000</v>
      </c>
      <c r="V87" s="9">
        <v>2000</v>
      </c>
      <c r="W87" s="9">
        <v>2000</v>
      </c>
      <c r="X87" s="9">
        <v>2000</v>
      </c>
      <c r="Y87" s="9">
        <v>2000</v>
      </c>
    </row>
    <row r="88" spans="2:32" x14ac:dyDescent="0.25">
      <c r="B88" s="9" t="s">
        <v>156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1000</v>
      </c>
      <c r="J88" s="9">
        <v>1000</v>
      </c>
      <c r="K88" s="9">
        <v>1000</v>
      </c>
      <c r="L88" s="9">
        <v>1000</v>
      </c>
      <c r="M88" s="9">
        <v>1000</v>
      </c>
      <c r="N88" s="9">
        <v>1000</v>
      </c>
      <c r="O88" s="9">
        <v>1000</v>
      </c>
      <c r="P88" s="9">
        <v>1000</v>
      </c>
      <c r="Q88" s="9">
        <v>1000</v>
      </c>
      <c r="R88" s="9">
        <v>1000</v>
      </c>
      <c r="S88" s="9">
        <v>1000</v>
      </c>
      <c r="T88" s="9">
        <v>1000</v>
      </c>
      <c r="U88" s="9">
        <v>1000</v>
      </c>
      <c r="V88" s="9">
        <v>1000</v>
      </c>
      <c r="W88" s="9">
        <v>1000</v>
      </c>
      <c r="X88" s="9">
        <v>1000</v>
      </c>
      <c r="Y88" s="9">
        <v>1000</v>
      </c>
    </row>
    <row r="89" spans="2:32" x14ac:dyDescent="0.25">
      <c r="B89" s="9" t="s">
        <v>157</v>
      </c>
      <c r="C89" s="9">
        <v>64890000</v>
      </c>
      <c r="D89" s="9">
        <v>59195000</v>
      </c>
      <c r="E89" s="9">
        <v>67809000</v>
      </c>
      <c r="F89" s="9">
        <v>80373000</v>
      </c>
      <c r="G89" s="9">
        <v>114226000</v>
      </c>
      <c r="H89" s="9">
        <v>142477000</v>
      </c>
      <c r="I89" s="9">
        <v>3175713000</v>
      </c>
      <c r="J89" s="9">
        <v>3467236000</v>
      </c>
      <c r="K89" s="9">
        <v>3579763000</v>
      </c>
      <c r="L89" s="9">
        <v>3828778000</v>
      </c>
      <c r="M89" s="9">
        <v>3987881000</v>
      </c>
      <c r="N89" s="9">
        <v>4231303000</v>
      </c>
      <c r="O89" s="9">
        <v>4454829000</v>
      </c>
      <c r="P89" s="9">
        <v>4716385000</v>
      </c>
      <c r="Q89" s="9">
        <v>4918756000</v>
      </c>
      <c r="R89" s="9">
        <v>5140850000</v>
      </c>
      <c r="S89" s="9">
        <v>5355032000</v>
      </c>
      <c r="T89" s="9">
        <v>5571955000</v>
      </c>
      <c r="U89" s="9">
        <v>5704626000</v>
      </c>
      <c r="V89" s="9">
        <v>5862555000</v>
      </c>
      <c r="W89" s="9">
        <v>6053917000</v>
      </c>
      <c r="X89" s="9">
        <v>5961956000</v>
      </c>
      <c r="Y89" s="9">
        <v>6045479000</v>
      </c>
    </row>
    <row r="90" spans="2:32" x14ac:dyDescent="0.25">
      <c r="B90" s="9" t="s">
        <v>158</v>
      </c>
      <c r="C90" s="9">
        <v>-349898000</v>
      </c>
      <c r="D90" s="9">
        <v>-396361000</v>
      </c>
      <c r="E90" s="9">
        <v>-481981000</v>
      </c>
      <c r="F90" s="9">
        <v>-447167000</v>
      </c>
      <c r="G90" s="9">
        <v>-461093000</v>
      </c>
      <c r="H90" s="9">
        <v>-487703000</v>
      </c>
      <c r="I90" s="9">
        <v>-774765000</v>
      </c>
      <c r="J90" s="9">
        <v>-898485000</v>
      </c>
      <c r="K90" s="9">
        <v>-1205100000</v>
      </c>
      <c r="L90" s="9">
        <v>-1364835000</v>
      </c>
      <c r="M90" s="9">
        <v>-1419506000</v>
      </c>
      <c r="N90" s="9">
        <v>-1605902000</v>
      </c>
      <c r="O90" s="9">
        <v>-1857171000</v>
      </c>
      <c r="P90" s="9">
        <v>-2179608000</v>
      </c>
      <c r="Q90" s="9">
        <v>-2385285000</v>
      </c>
      <c r="R90" s="9">
        <v>-2591247000</v>
      </c>
      <c r="S90" s="9">
        <v>-2763030000</v>
      </c>
      <c r="T90" s="9">
        <v>-2929932000</v>
      </c>
      <c r="U90" s="9">
        <v>-3063868000</v>
      </c>
      <c r="V90" s="9">
        <v>-3109004000</v>
      </c>
      <c r="W90" s="9">
        <v>-3209226000</v>
      </c>
      <c r="X90" s="9">
        <v>-3128866000</v>
      </c>
      <c r="Y90" s="9">
        <v>-3126062000</v>
      </c>
    </row>
    <row r="91" spans="2:32" x14ac:dyDescent="0.25">
      <c r="B91" s="9" t="s">
        <v>159</v>
      </c>
      <c r="C91" s="9">
        <v>25000</v>
      </c>
      <c r="D91" s="9">
        <v>10000</v>
      </c>
      <c r="E91" s="9">
        <v>-864000</v>
      </c>
      <c r="F91" s="9">
        <v>-302000</v>
      </c>
      <c r="G91" s="9">
        <v>103000</v>
      </c>
      <c r="H91" s="9">
        <v>1917000</v>
      </c>
      <c r="I91" s="9">
        <v>4746000</v>
      </c>
      <c r="J91" s="9">
        <v>6773000</v>
      </c>
      <c r="K91" s="9">
        <v>2692000</v>
      </c>
      <c r="L91" s="9">
        <v>4376000</v>
      </c>
      <c r="M91" s="9">
        <v>7677000</v>
      </c>
      <c r="N91" s="9">
        <v>-7149000</v>
      </c>
      <c r="O91" s="9">
        <v>-34223000</v>
      </c>
      <c r="P91" s="9">
        <v>-26632000</v>
      </c>
      <c r="Q91" s="9">
        <v>-22338000</v>
      </c>
      <c r="R91" s="9">
        <v>-15423000</v>
      </c>
      <c r="S91" s="9">
        <v>-25205000</v>
      </c>
      <c r="T91" s="9">
        <v>-7142000</v>
      </c>
      <c r="U91" s="9">
        <v>-17301000</v>
      </c>
      <c r="V91" s="9">
        <v>-21565000</v>
      </c>
      <c r="W91" s="9">
        <v>-9122000</v>
      </c>
      <c r="X91" s="9">
        <v>-47553000</v>
      </c>
      <c r="Y91" s="9">
        <v>-44504000</v>
      </c>
    </row>
    <row r="92" spans="2:32" x14ac:dyDescent="0.25">
      <c r="B92" s="12" t="s">
        <v>160</v>
      </c>
      <c r="C92" s="10">
        <f>SUM(C86:C91)</f>
        <v>528572000</v>
      </c>
      <c r="D92" s="10">
        <f t="shared" ref="D92:AF92" si="137">SUM(D86:D91)</f>
        <v>467014000</v>
      </c>
      <c r="E92" s="10">
        <f t="shared" si="137"/>
        <v>389134000</v>
      </c>
      <c r="F92" s="10">
        <f t="shared" si="137"/>
        <v>437074000</v>
      </c>
      <c r="G92" s="10">
        <f t="shared" si="137"/>
        <v>980399000</v>
      </c>
      <c r="H92" s="10">
        <f t="shared" si="137"/>
        <v>983962000</v>
      </c>
      <c r="I92" s="10">
        <f t="shared" si="137"/>
        <v>2405697000</v>
      </c>
      <c r="J92" s="10">
        <f t="shared" si="137"/>
        <v>2575527000</v>
      </c>
      <c r="K92" s="10">
        <f t="shared" si="137"/>
        <v>2377358000</v>
      </c>
      <c r="L92" s="10">
        <f t="shared" si="137"/>
        <v>2468322000</v>
      </c>
      <c r="M92" s="10">
        <f t="shared" si="137"/>
        <v>2576055000</v>
      </c>
      <c r="N92" s="10">
        <f t="shared" si="137"/>
        <v>2618255000</v>
      </c>
      <c r="O92" s="10">
        <f t="shared" si="137"/>
        <v>2563438000</v>
      </c>
      <c r="P92" s="10">
        <f t="shared" si="137"/>
        <v>2510148000</v>
      </c>
      <c r="Q92" s="10">
        <f t="shared" si="137"/>
        <v>2511136000</v>
      </c>
      <c r="R92" s="10">
        <f t="shared" si="137"/>
        <v>2534183000</v>
      </c>
      <c r="S92" s="10">
        <f t="shared" si="137"/>
        <v>2566800000</v>
      </c>
      <c r="T92" s="10">
        <f t="shared" si="137"/>
        <v>2634884000</v>
      </c>
      <c r="U92" s="10">
        <f t="shared" si="137"/>
        <v>2623460000</v>
      </c>
      <c r="V92" s="10">
        <f t="shared" si="137"/>
        <v>2731989000</v>
      </c>
      <c r="W92" s="10">
        <f t="shared" si="137"/>
        <v>2835572000</v>
      </c>
      <c r="X92" s="10">
        <f t="shared" si="137"/>
        <v>2785540000</v>
      </c>
      <c r="Y92" s="10">
        <f t="shared" si="137"/>
        <v>2874916000</v>
      </c>
      <c r="Z92" s="10">
        <f t="shared" si="137"/>
        <v>0</v>
      </c>
      <c r="AA92" s="10">
        <f t="shared" si="137"/>
        <v>0</v>
      </c>
      <c r="AB92" s="10">
        <f t="shared" si="137"/>
        <v>0</v>
      </c>
      <c r="AC92" s="10">
        <f t="shared" si="137"/>
        <v>0</v>
      </c>
      <c r="AD92" s="10">
        <f t="shared" si="137"/>
        <v>0</v>
      </c>
      <c r="AE92" s="10">
        <f t="shared" si="137"/>
        <v>0</v>
      </c>
      <c r="AF92" s="10">
        <f t="shared" si="137"/>
        <v>0</v>
      </c>
    </row>
    <row r="93" spans="2:32" x14ac:dyDescent="0.25">
      <c r="B93" s="12" t="s">
        <v>161</v>
      </c>
      <c r="C93" s="10">
        <f>C85+C92</f>
        <v>1191348000</v>
      </c>
      <c r="D93" s="10">
        <f t="shared" ref="D93:AF93" si="138">D85+D92</f>
        <v>1326785000</v>
      </c>
      <c r="E93" s="10">
        <f t="shared" si="138"/>
        <v>1217756000</v>
      </c>
      <c r="F93" s="10">
        <f t="shared" si="138"/>
        <v>1402251000</v>
      </c>
      <c r="G93" s="10">
        <f t="shared" si="138"/>
        <v>2316582000</v>
      </c>
      <c r="H93" s="10">
        <f t="shared" si="138"/>
        <v>2786900000</v>
      </c>
      <c r="I93" s="10">
        <f t="shared" si="138"/>
        <v>4768065000</v>
      </c>
      <c r="J93" s="10">
        <f t="shared" si="138"/>
        <v>4866967000</v>
      </c>
      <c r="K93" s="10">
        <f t="shared" si="138"/>
        <v>5402099000</v>
      </c>
      <c r="L93" s="10">
        <f t="shared" si="138"/>
        <v>6952449000</v>
      </c>
      <c r="M93" s="10">
        <f t="shared" si="138"/>
        <v>7031726000</v>
      </c>
      <c r="N93" s="10">
        <f t="shared" si="138"/>
        <v>6973792000</v>
      </c>
      <c r="O93" s="10">
        <f t="shared" si="138"/>
        <v>7165060000</v>
      </c>
      <c r="P93" s="10">
        <f t="shared" si="138"/>
        <v>7804751000</v>
      </c>
      <c r="Q93" s="10">
        <f t="shared" si="138"/>
        <v>7507849000</v>
      </c>
      <c r="R93" s="10">
        <f t="shared" si="138"/>
        <v>8155615000</v>
      </c>
      <c r="S93" s="10">
        <f t="shared" si="138"/>
        <v>8407149000</v>
      </c>
      <c r="T93" s="10">
        <f t="shared" si="138"/>
        <v>9064989000</v>
      </c>
      <c r="U93" s="10">
        <f t="shared" si="138"/>
        <v>9201426000</v>
      </c>
      <c r="V93" s="10">
        <f t="shared" si="138"/>
        <v>9519619000</v>
      </c>
      <c r="W93" s="10">
        <f t="shared" si="138"/>
        <v>10139159000</v>
      </c>
      <c r="X93" s="10">
        <f t="shared" si="138"/>
        <v>10481077000</v>
      </c>
      <c r="Y93" s="10">
        <f t="shared" si="138"/>
        <v>10436188000</v>
      </c>
      <c r="Z93" s="10">
        <f t="shared" si="138"/>
        <v>0</v>
      </c>
      <c r="AA93" s="10">
        <f t="shared" si="138"/>
        <v>0</v>
      </c>
      <c r="AB93" s="10">
        <f t="shared" si="138"/>
        <v>0</v>
      </c>
      <c r="AC93" s="10">
        <f t="shared" si="138"/>
        <v>0</v>
      </c>
      <c r="AD93" s="10">
        <f t="shared" si="138"/>
        <v>0</v>
      </c>
      <c r="AE93" s="10">
        <f t="shared" si="138"/>
        <v>0</v>
      </c>
      <c r="AF93" s="10">
        <f t="shared" si="138"/>
        <v>0</v>
      </c>
    </row>
    <row r="98" spans="2:46" x14ac:dyDescent="0.25">
      <c r="B98" s="9" t="s">
        <v>188</v>
      </c>
    </row>
    <row r="99" spans="2:46" x14ac:dyDescent="0.25">
      <c r="B99" s="9" t="s">
        <v>189</v>
      </c>
      <c r="G99" s="9">
        <v>6203000</v>
      </c>
      <c r="H99" s="9">
        <v>6521000</v>
      </c>
      <c r="I99" s="9">
        <v>141188000</v>
      </c>
      <c r="J99" s="9">
        <v>65139000</v>
      </c>
      <c r="K99" s="9">
        <v>50923000</v>
      </c>
      <c r="L99" s="9">
        <v>46271000</v>
      </c>
      <c r="M99" s="9">
        <v>69415000</v>
      </c>
      <c r="N99" s="9">
        <v>83688000</v>
      </c>
      <c r="O99" s="9">
        <v>92327000</v>
      </c>
      <c r="P99" s="9">
        <v>94294000</v>
      </c>
      <c r="Q99" s="9">
        <v>86534000</v>
      </c>
      <c r="R99" s="9">
        <v>83689000</v>
      </c>
      <c r="S99" s="9">
        <v>92797000</v>
      </c>
      <c r="T99" s="9">
        <v>70664000</v>
      </c>
      <c r="U99" s="9">
        <v>63775000</v>
      </c>
      <c r="V99" s="9">
        <v>52675000</v>
      </c>
      <c r="W99" s="9">
        <v>81882000</v>
      </c>
      <c r="X99" s="9">
        <v>73747000</v>
      </c>
      <c r="Y99" s="9">
        <v>69248000</v>
      </c>
      <c r="AO99" s="9">
        <v>219051000</v>
      </c>
      <c r="AP99" s="9">
        <v>250297000</v>
      </c>
      <c r="AQ99" s="9">
        <v>356844000</v>
      </c>
      <c r="AR99" s="9">
        <v>279911000</v>
      </c>
    </row>
    <row r="100" spans="2:46" x14ac:dyDescent="0.25">
      <c r="B100" s="9" t="s">
        <v>190</v>
      </c>
      <c r="G100" s="9">
        <v>0</v>
      </c>
      <c r="H100" s="9">
        <v>0</v>
      </c>
      <c r="I100" s="9">
        <v>61101000</v>
      </c>
      <c r="J100" s="9">
        <v>41807000</v>
      </c>
      <c r="K100" s="9">
        <v>42266000</v>
      </c>
      <c r="L100" s="9">
        <v>42266000</v>
      </c>
      <c r="M100" s="9">
        <v>28972000</v>
      </c>
      <c r="N100" s="9">
        <v>27182000</v>
      </c>
      <c r="O100" s="9">
        <v>27481000</v>
      </c>
      <c r="P100" s="9">
        <v>27481000</v>
      </c>
      <c r="Q100" s="9">
        <v>20255000</v>
      </c>
      <c r="R100" s="9">
        <v>19648000</v>
      </c>
      <c r="S100" s="9">
        <v>19562000</v>
      </c>
      <c r="T100" s="9">
        <v>19500000</v>
      </c>
      <c r="U100" s="9">
        <v>13300000</v>
      </c>
      <c r="V100" s="9">
        <v>12238000</v>
      </c>
      <c r="W100" s="9">
        <v>12351000</v>
      </c>
      <c r="X100" s="9">
        <v>12351000</v>
      </c>
      <c r="Y100" s="9">
        <v>6359000</v>
      </c>
      <c r="AO100" s="9">
        <v>102908000</v>
      </c>
      <c r="AP100" s="9">
        <v>140686000</v>
      </c>
      <c r="AQ100" s="9">
        <v>94865000</v>
      </c>
      <c r="AR100" s="9">
        <v>64600000</v>
      </c>
    </row>
    <row r="101" spans="2:46" s="10" customFormat="1" x14ac:dyDescent="0.25">
      <c r="B101" s="10" t="s">
        <v>191</v>
      </c>
      <c r="G101" s="10">
        <f t="shared" ref="G101:Y101" si="139">SUM(G99:G100)</f>
        <v>6203000</v>
      </c>
      <c r="H101" s="10">
        <f t="shared" si="139"/>
        <v>6521000</v>
      </c>
      <c r="I101" s="10">
        <f t="shared" si="139"/>
        <v>202289000</v>
      </c>
      <c r="J101" s="10">
        <f t="shared" si="139"/>
        <v>106946000</v>
      </c>
      <c r="K101" s="10">
        <f t="shared" si="139"/>
        <v>93189000</v>
      </c>
      <c r="L101" s="10">
        <f t="shared" si="139"/>
        <v>88537000</v>
      </c>
      <c r="M101" s="10">
        <f t="shared" si="139"/>
        <v>98387000</v>
      </c>
      <c r="N101" s="10">
        <f t="shared" si="139"/>
        <v>110870000</v>
      </c>
      <c r="O101" s="10">
        <f t="shared" si="139"/>
        <v>119808000</v>
      </c>
      <c r="P101" s="10">
        <f t="shared" si="139"/>
        <v>121775000</v>
      </c>
      <c r="Q101" s="10">
        <f t="shared" si="139"/>
        <v>106789000</v>
      </c>
      <c r="R101" s="10">
        <f t="shared" si="139"/>
        <v>103337000</v>
      </c>
      <c r="S101" s="10">
        <f t="shared" si="139"/>
        <v>112359000</v>
      </c>
      <c r="T101" s="10">
        <f t="shared" si="139"/>
        <v>90164000</v>
      </c>
      <c r="U101" s="10">
        <f t="shared" si="139"/>
        <v>77075000</v>
      </c>
      <c r="V101" s="10">
        <f t="shared" si="139"/>
        <v>64913000</v>
      </c>
      <c r="W101" s="10">
        <f t="shared" si="139"/>
        <v>94233000</v>
      </c>
      <c r="X101" s="10">
        <f t="shared" si="139"/>
        <v>86098000</v>
      </c>
      <c r="Y101" s="10">
        <f t="shared" si="139"/>
        <v>75607000</v>
      </c>
      <c r="Z101" s="10">
        <f t="shared" ref="Z101:AF101" si="140">SUM(Z99:Z100)</f>
        <v>0</v>
      </c>
      <c r="AA101" s="10">
        <f t="shared" si="140"/>
        <v>0</v>
      </c>
      <c r="AB101" s="10">
        <f t="shared" si="140"/>
        <v>0</v>
      </c>
      <c r="AC101" s="10">
        <f t="shared" si="140"/>
        <v>0</v>
      </c>
      <c r="AD101" s="10">
        <f t="shared" si="140"/>
        <v>0</v>
      </c>
      <c r="AE101" s="10">
        <f t="shared" si="140"/>
        <v>0</v>
      </c>
      <c r="AF101" s="10">
        <f t="shared" si="140"/>
        <v>0</v>
      </c>
      <c r="AO101" s="10">
        <f t="shared" ref="AO101" si="141">SUM(AO99:AO100)</f>
        <v>321959000</v>
      </c>
      <c r="AP101" s="10">
        <f t="shared" ref="AP101" si="142">SUM(AP99:AP100)</f>
        <v>390983000</v>
      </c>
      <c r="AQ101" s="10">
        <f t="shared" ref="AQ101" si="143">SUM(AQ99:AQ100)</f>
        <v>451709000</v>
      </c>
      <c r="AR101" s="10">
        <f t="shared" ref="AR101" si="144">SUM(AR99:AR100)</f>
        <v>344511000</v>
      </c>
      <c r="AS101" s="10">
        <f t="shared" ref="AS101" si="145">SUM(AS99:AS100)</f>
        <v>0</v>
      </c>
      <c r="AT101" s="10">
        <f t="shared" ref="AT101" si="146">SUM(AT99:AT100)</f>
        <v>0</v>
      </c>
    </row>
    <row r="102" spans="2:46" x14ac:dyDescent="0.25">
      <c r="B102" s="9" t="s">
        <v>192</v>
      </c>
      <c r="G102" s="9">
        <v>14261000</v>
      </c>
      <c r="H102" s="9">
        <v>17039000</v>
      </c>
      <c r="I102" s="9">
        <v>16668000</v>
      </c>
      <c r="J102" s="9">
        <v>16853000</v>
      </c>
      <c r="K102" s="9">
        <v>17038521.82</v>
      </c>
      <c r="L102" s="9">
        <v>17038521.82</v>
      </c>
      <c r="M102" s="9">
        <v>16668119.17</v>
      </c>
      <c r="N102" s="9">
        <v>11546122.23</v>
      </c>
      <c r="O102" s="9">
        <v>9034000</v>
      </c>
      <c r="P102" s="9">
        <v>9034000</v>
      </c>
      <c r="Q102" s="9">
        <v>8838000</v>
      </c>
      <c r="R102" s="9">
        <v>8936000</v>
      </c>
      <c r="S102" s="9">
        <v>9034000</v>
      </c>
      <c r="T102" s="9">
        <v>9034000</v>
      </c>
      <c r="U102" s="9">
        <v>8936024.7200000007</v>
      </c>
      <c r="V102" s="9">
        <v>8936024.7300000004</v>
      </c>
      <c r="W102" s="9">
        <v>9034000</v>
      </c>
      <c r="X102" s="9">
        <v>9034000</v>
      </c>
      <c r="Y102" s="9">
        <v>5805000</v>
      </c>
      <c r="AO102" s="9">
        <v>64821000</v>
      </c>
      <c r="AP102" s="9">
        <v>62291285.039999999</v>
      </c>
      <c r="AQ102" s="9">
        <v>35842296.979999997</v>
      </c>
      <c r="AR102" s="9">
        <v>35940049.450000003</v>
      </c>
    </row>
    <row r="103" spans="2:46" x14ac:dyDescent="0.25">
      <c r="B103" s="9" t="s">
        <v>193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5800000</v>
      </c>
      <c r="M103" s="9">
        <v>10201782.689999999</v>
      </c>
      <c r="N103" s="9">
        <v>10315135.83</v>
      </c>
      <c r="O103" s="9">
        <v>10400000</v>
      </c>
      <c r="P103" s="9">
        <v>10500000</v>
      </c>
      <c r="Q103" s="9">
        <v>10200000</v>
      </c>
      <c r="R103" s="9">
        <v>10300000</v>
      </c>
      <c r="S103" s="9">
        <v>10429000</v>
      </c>
      <c r="T103" s="9">
        <v>10400000</v>
      </c>
      <c r="U103" s="9">
        <v>6900000</v>
      </c>
      <c r="V103" s="9">
        <v>5171500</v>
      </c>
      <c r="W103" s="9">
        <v>5221000</v>
      </c>
      <c r="X103" s="9">
        <v>5221000</v>
      </c>
      <c r="Y103" s="9">
        <v>5108000</v>
      </c>
      <c r="AO103" s="9">
        <v>0</v>
      </c>
      <c r="AP103" s="9">
        <v>26316918.52</v>
      </c>
      <c r="AQ103" s="9">
        <v>41400000</v>
      </c>
      <c r="AR103" s="9">
        <v>32900511.030000001</v>
      </c>
    </row>
    <row r="104" spans="2:46" x14ac:dyDescent="0.25">
      <c r="B104" s="9" t="s">
        <v>194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64900000</v>
      </c>
      <c r="M104" s="9">
        <v>92169107.260000005</v>
      </c>
      <c r="N104" s="9">
        <v>97656096.950000003</v>
      </c>
      <c r="O104" s="9">
        <v>108700000</v>
      </c>
      <c r="P104" s="9">
        <v>128100000</v>
      </c>
      <c r="Q104" s="9">
        <v>93900000</v>
      </c>
      <c r="R104" s="9">
        <v>91200000</v>
      </c>
      <c r="S104" s="9">
        <v>95910000</v>
      </c>
      <c r="T104" s="9">
        <v>114700000</v>
      </c>
      <c r="U104" s="9">
        <v>95973000</v>
      </c>
      <c r="V104" s="9">
        <v>100125000</v>
      </c>
      <c r="W104" s="9">
        <v>107263000</v>
      </c>
      <c r="X104" s="9">
        <v>86776000</v>
      </c>
      <c r="Y104" s="9">
        <v>36062000</v>
      </c>
      <c r="AO104" s="9">
        <v>0</v>
      </c>
      <c r="AP104" s="9">
        <v>254725204.21000001</v>
      </c>
      <c r="AQ104" s="9">
        <v>421900000</v>
      </c>
      <c r="AR104" s="9">
        <v>406708000</v>
      </c>
    </row>
    <row r="105" spans="2:46" s="10" customFormat="1" x14ac:dyDescent="0.25">
      <c r="B105" s="10" t="s">
        <v>195</v>
      </c>
      <c r="G105" s="10">
        <f t="shared" ref="G105:X105" si="147">SUM(G102:G104)+G101</f>
        <v>20464000</v>
      </c>
      <c r="H105" s="10">
        <f t="shared" si="147"/>
        <v>23560000</v>
      </c>
      <c r="I105" s="10">
        <f t="shared" si="147"/>
        <v>218957000</v>
      </c>
      <c r="J105" s="10">
        <f t="shared" si="147"/>
        <v>123799000</v>
      </c>
      <c r="K105" s="10">
        <f t="shared" si="147"/>
        <v>110227521.81999999</v>
      </c>
      <c r="L105" s="10">
        <f t="shared" si="147"/>
        <v>176275521.81999999</v>
      </c>
      <c r="M105" s="10">
        <f t="shared" si="147"/>
        <v>217426009.12</v>
      </c>
      <c r="N105" s="10">
        <f t="shared" si="147"/>
        <v>230387355.00999999</v>
      </c>
      <c r="O105" s="10">
        <f t="shared" si="147"/>
        <v>247942000</v>
      </c>
      <c r="P105" s="10">
        <f t="shared" si="147"/>
        <v>269409000</v>
      </c>
      <c r="Q105" s="10">
        <f t="shared" si="147"/>
        <v>219727000</v>
      </c>
      <c r="R105" s="10">
        <f t="shared" si="147"/>
        <v>213773000</v>
      </c>
      <c r="S105" s="10">
        <f t="shared" si="147"/>
        <v>227732000</v>
      </c>
      <c r="T105" s="10">
        <f t="shared" si="147"/>
        <v>224298000</v>
      </c>
      <c r="U105" s="10">
        <f t="shared" si="147"/>
        <v>188884024.72</v>
      </c>
      <c r="V105" s="10">
        <f t="shared" si="147"/>
        <v>179145524.73000002</v>
      </c>
      <c r="W105" s="10">
        <f t="shared" si="147"/>
        <v>215751000</v>
      </c>
      <c r="X105" s="10">
        <f t="shared" si="147"/>
        <v>187129000</v>
      </c>
      <c r="Y105" s="10">
        <f>SUM(Y102:Y104)+Y101</f>
        <v>122582000</v>
      </c>
      <c r="Z105" s="10">
        <f t="shared" ref="Z105:AF105" si="148">SUM(Z102:Z104)+Z101</f>
        <v>0</v>
      </c>
      <c r="AA105" s="10">
        <f t="shared" si="148"/>
        <v>0</v>
      </c>
      <c r="AB105" s="10">
        <f t="shared" si="148"/>
        <v>0</v>
      </c>
      <c r="AC105" s="10">
        <f t="shared" si="148"/>
        <v>0</v>
      </c>
      <c r="AD105" s="10">
        <f t="shared" si="148"/>
        <v>0</v>
      </c>
      <c r="AE105" s="10">
        <f t="shared" si="148"/>
        <v>0</v>
      </c>
      <c r="AF105" s="10">
        <f t="shared" si="148"/>
        <v>0</v>
      </c>
      <c r="AO105" s="10">
        <f t="shared" ref="AO105" si="149">SUM(AO102:AO104)+AO101</f>
        <v>386780000</v>
      </c>
      <c r="AP105" s="10">
        <f t="shared" ref="AP105" si="150">SUM(AP102:AP104)+AP101</f>
        <v>734316407.76999998</v>
      </c>
      <c r="AQ105" s="10">
        <f t="shared" ref="AQ105" si="151">SUM(AQ102:AQ104)+AQ101</f>
        <v>950851296.98000002</v>
      </c>
      <c r="AR105" s="10">
        <f t="shared" ref="AR105" si="152">SUM(AR102:AR104)+AR101</f>
        <v>820059560.48000002</v>
      </c>
      <c r="AS105" s="10">
        <f t="shared" ref="AS105" si="153">SUM(AS102:AS104)+AS101</f>
        <v>0</v>
      </c>
      <c r="AT105" s="10">
        <f t="shared" ref="AT105" si="154">SUM(AT102:AT104)+AT101</f>
        <v>0</v>
      </c>
    </row>
  </sheetData>
  <phoneticPr fontId="4" type="noConversion"/>
  <hyperlinks>
    <hyperlink ref="A1" location="Main!A1" display="Main" xr:uid="{A559DCB6-9670-4E76-A2D7-E0CD42C35950}"/>
  </hyperlink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first="1" negative="1" xr2:uid="{4217A609-C70D-4300-A8C0-9ADE8F7F5A36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Model!C57:Y57</xm:f>
              <xm:sqref>AB57</xm:sqref>
            </x14:sparkline>
            <x14:sparkline>
              <xm:f>Model!C58:Y58</xm:f>
              <xm:sqref>AB58</xm:sqref>
            </x14:sparkline>
            <x14:sparkline>
              <xm:f>Model!C59:Y59</xm:f>
              <xm:sqref>AB59</xm:sqref>
            </x14:sparkline>
            <x14:sparkline>
              <xm:f>Model!C60:Y60</xm:f>
              <xm:sqref>AB60</xm:sqref>
            </x14:sparkline>
          </x14:sparklines>
        </x14:sparklineGroup>
        <x14:sparklineGroup displayEmptyCellsAs="gap" xr2:uid="{C2ABD97A-BFF4-48CF-B77D-00B75351175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Model!C50:Y50</xm:f>
              <xm:sqref>AB50</xm:sqref>
            </x14:sparkline>
            <x14:sparkline>
              <xm:f>Model!C51:Y51</xm:f>
              <xm:sqref>AB51</xm:sqref>
            </x14:sparkline>
            <x14:sparkline>
              <xm:f>Model!C52:Y52</xm:f>
              <xm:sqref>AB52</xm:sqref>
            </x14:sparkline>
            <x14:sparkline>
              <xm:f>Model!C53:Y53</xm:f>
              <xm:sqref>AB53</xm:sqref>
            </x14:sparkline>
            <x14:sparkline>
              <xm:f>Model!C54:Y54</xm:f>
              <xm:sqref>AB54</xm:sqref>
            </x14:sparkline>
          </x14:sparklines>
        </x14:sparklineGroup>
        <x14:sparklineGroup type="column" displayEmptyCellsAs="gap" xr2:uid="{FCF1A790-7E48-4FC5-A9A9-3C553B11917F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Model!G41:Y41</xm:f>
              <xm:sqref>AB41</xm:sqref>
            </x14:sparkline>
            <x14:sparkline>
              <xm:f>Model!G42:Y42</xm:f>
              <xm:sqref>AB42</xm:sqref>
            </x14:sparkline>
            <x14:sparkline>
              <xm:f>Model!G43:Y43</xm:f>
              <xm:sqref>AB43</xm:sqref>
            </x14:sparkline>
            <x14:sparkline>
              <xm:f>Model!G44:Y44</xm:f>
              <xm:sqref>AB44</xm:sqref>
            </x14:sparkline>
            <x14:sparkline>
              <xm:f>Model!G45:Y45</xm:f>
              <xm:sqref>AB45</xm:sqref>
            </x14:sparkline>
            <x14:sparkline>
              <xm:f>Model!G46:Y46</xm:f>
              <xm:sqref>AB46</xm:sqref>
            </x14:sparkline>
            <x14:sparkline>
              <xm:f>Model!G47:Y47</xm:f>
              <xm:sqref>AB47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B097-34BF-4823-96D8-D9AE30810123}">
  <dimension ref="A1:AX65"/>
  <sheetViews>
    <sheetView zoomScaleNormal="100" workbookViewId="0">
      <pane xSplit="3" ySplit="2" topLeftCell="M3" activePane="bottomRight" state="frozen"/>
      <selection pane="topRight" activeCell="D1" sqref="D1"/>
      <selection pane="bottomLeft" activeCell="A3" sqref="A3"/>
      <selection pane="bottomRight"/>
    </sheetView>
  </sheetViews>
  <sheetFormatPr defaultColWidth="12.77734375" defaultRowHeight="13.2" x14ac:dyDescent="0.25"/>
  <cols>
    <col min="1" max="1" width="9.77734375" style="9" customWidth="1"/>
    <col min="2" max="2" width="55.88671875" style="9" bestFit="1" customWidth="1"/>
    <col min="3" max="3" width="1.44140625" style="9" hidden="1" customWidth="1"/>
    <col min="4" max="36" width="11.77734375" style="9" bestFit="1" customWidth="1"/>
    <col min="37" max="39" width="12.77734375" style="9"/>
    <col min="40" max="40" width="8.88671875" style="9" bestFit="1" customWidth="1"/>
    <col min="41" max="42" width="9.6640625" style="9" bestFit="1" customWidth="1"/>
    <col min="43" max="43" width="10.44140625" style="9" bestFit="1" customWidth="1"/>
    <col min="44" max="44" width="9.6640625" style="9" bestFit="1" customWidth="1"/>
    <col min="45" max="50" width="8.6640625" style="9" bestFit="1" customWidth="1"/>
    <col min="51" max="16384" width="12.77734375" style="9"/>
  </cols>
  <sheetData>
    <row r="1" spans="1:50" ht="14.4" x14ac:dyDescent="0.3">
      <c r="A1" s="39" t="s">
        <v>10</v>
      </c>
      <c r="D1" s="21"/>
      <c r="AB1" s="42"/>
      <c r="AC1" s="43"/>
      <c r="AD1" s="43"/>
      <c r="AE1" s="43"/>
      <c r="AF1" s="43"/>
    </row>
    <row r="2" spans="1:50" x14ac:dyDescent="0.25">
      <c r="B2" s="23" t="s">
        <v>105</v>
      </c>
      <c r="D2" s="9" t="s">
        <v>52</v>
      </c>
      <c r="E2" s="9" t="s">
        <v>53</v>
      </c>
      <c r="F2" s="9" t="s">
        <v>54</v>
      </c>
      <c r="G2" s="9" t="s">
        <v>51</v>
      </c>
      <c r="H2" s="9" t="s">
        <v>55</v>
      </c>
      <c r="I2" s="9" t="s">
        <v>56</v>
      </c>
      <c r="J2" s="9" t="s">
        <v>57</v>
      </c>
      <c r="K2" s="9" t="s">
        <v>58</v>
      </c>
      <c r="L2" s="9" t="s">
        <v>59</v>
      </c>
      <c r="M2" s="9" t="s">
        <v>60</v>
      </c>
      <c r="N2" s="9" t="s">
        <v>61</v>
      </c>
      <c r="O2" s="9" t="s">
        <v>62</v>
      </c>
      <c r="P2" s="9" t="s">
        <v>63</v>
      </c>
      <c r="Q2" s="9" t="s">
        <v>64</v>
      </c>
      <c r="R2" s="9" t="s">
        <v>65</v>
      </c>
      <c r="S2" s="9" t="s">
        <v>66</v>
      </c>
      <c r="T2" s="9" t="s">
        <v>67</v>
      </c>
      <c r="U2" s="9" t="s">
        <v>68</v>
      </c>
      <c r="V2" s="9" t="s">
        <v>69</v>
      </c>
      <c r="W2" s="9" t="s">
        <v>70</v>
      </c>
      <c r="X2" s="9" t="s">
        <v>71</v>
      </c>
      <c r="Y2" s="9" t="s">
        <v>72</v>
      </c>
      <c r="Z2" s="9" t="s">
        <v>73</v>
      </c>
      <c r="AA2" s="9" t="s">
        <v>74</v>
      </c>
      <c r="AB2" s="9" t="s">
        <v>77</v>
      </c>
      <c r="AC2" s="9" t="s">
        <v>79</v>
      </c>
      <c r="AD2" s="9" t="s">
        <v>78</v>
      </c>
      <c r="AE2" s="9" t="s">
        <v>75</v>
      </c>
      <c r="AF2" s="9" t="s">
        <v>80</v>
      </c>
      <c r="AG2" s="9" t="s">
        <v>81</v>
      </c>
      <c r="AH2" s="9" t="s">
        <v>82</v>
      </c>
      <c r="AI2" s="9" t="s">
        <v>76</v>
      </c>
      <c r="AN2" s="9" t="s">
        <v>87</v>
      </c>
      <c r="AO2" s="9" t="s">
        <v>88</v>
      </c>
      <c r="AP2" s="9" t="s">
        <v>89</v>
      </c>
      <c r="AQ2" s="9" t="s">
        <v>90</v>
      </c>
      <c r="AR2" s="9" t="s">
        <v>91</v>
      </c>
      <c r="AS2" s="9" t="s">
        <v>92</v>
      </c>
      <c r="AT2" s="9" t="s">
        <v>93</v>
      </c>
      <c r="AU2" s="9" t="s">
        <v>94</v>
      </c>
      <c r="AV2" s="9" t="s">
        <v>95</v>
      </c>
      <c r="AW2" s="9" t="s">
        <v>96</v>
      </c>
      <c r="AX2" s="9" t="s">
        <v>97</v>
      </c>
    </row>
    <row r="3" spans="1:50" x14ac:dyDescent="0.25">
      <c r="B3" s="21" t="s">
        <v>107</v>
      </c>
      <c r="D3" s="22"/>
      <c r="E3" s="22"/>
      <c r="F3" s="24"/>
      <c r="G3" s="24"/>
      <c r="H3" s="24"/>
      <c r="I3" s="22"/>
      <c r="J3" s="24"/>
      <c r="K3" s="24"/>
      <c r="L3" s="24"/>
      <c r="M3" s="24"/>
      <c r="N3" s="22"/>
      <c r="O3" s="22"/>
      <c r="P3" s="22"/>
      <c r="Q3" s="24"/>
      <c r="R3" s="24"/>
      <c r="S3" s="24"/>
      <c r="T3" s="24"/>
      <c r="U3" s="24"/>
      <c r="V3" s="24"/>
      <c r="W3" s="24"/>
      <c r="X3" s="24"/>
      <c r="Y3" s="24"/>
      <c r="Z3" s="24"/>
      <c r="AB3" s="24"/>
      <c r="AC3" s="24"/>
      <c r="AD3" s="24"/>
      <c r="AE3" s="24"/>
      <c r="AF3" s="24"/>
    </row>
    <row r="4" spans="1:50" x14ac:dyDescent="0.25">
      <c r="B4" s="24" t="s">
        <v>30</v>
      </c>
      <c r="D4" s="24">
        <v>19961000</v>
      </c>
      <c r="E4" s="24">
        <v>42661000</v>
      </c>
      <c r="F4" s="24">
        <v>43519000</v>
      </c>
      <c r="G4" s="24">
        <v>55311000</v>
      </c>
      <c r="H4" s="24">
        <v>65868000</v>
      </c>
      <c r="I4" s="24">
        <v>67768000</v>
      </c>
      <c r="J4" s="24">
        <v>62054000</v>
      </c>
      <c r="K4" s="24">
        <v>51010000</v>
      </c>
      <c r="L4" s="24">
        <v>51678000</v>
      </c>
      <c r="M4" s="24">
        <v>65265000</v>
      </c>
      <c r="N4" s="24">
        <v>46853000</v>
      </c>
      <c r="O4" s="24">
        <v>40285000</v>
      </c>
      <c r="P4" s="24">
        <v>35610000</v>
      </c>
      <c r="Q4" s="24">
        <v>38422000</v>
      </c>
      <c r="R4" s="24">
        <v>31224000</v>
      </c>
      <c r="S4" s="24">
        <v>35009000</v>
      </c>
      <c r="T4" s="24">
        <v>34866000</v>
      </c>
      <c r="U4" s="24">
        <v>53630000</v>
      </c>
      <c r="V4" s="24">
        <v>44143000</v>
      </c>
      <c r="W4" s="24">
        <v>47756000</v>
      </c>
      <c r="X4" s="24">
        <v>54237000</v>
      </c>
      <c r="Y4" s="24">
        <v>70278000</v>
      </c>
      <c r="Z4" s="24">
        <f>'[1]GAAP IS'!Y14</f>
        <v>57290000</v>
      </c>
      <c r="AN4" s="24">
        <v>161452000</v>
      </c>
      <c r="AO4" s="24">
        <v>246700000</v>
      </c>
      <c r="AP4" s="24">
        <v>204081000</v>
      </c>
      <c r="AQ4" s="24">
        <v>140265000</v>
      </c>
      <c r="AR4" s="24">
        <v>180395000</v>
      </c>
    </row>
    <row r="5" spans="1:50" x14ac:dyDescent="0.25">
      <c r="B5" s="24" t="s">
        <v>31</v>
      </c>
      <c r="D5" s="24">
        <v>24844000</v>
      </c>
      <c r="E5" s="24">
        <v>30178000</v>
      </c>
      <c r="F5" s="24">
        <v>82216000</v>
      </c>
      <c r="G5" s="24">
        <v>-32171000</v>
      </c>
      <c r="H5" s="24">
        <v>28931000</v>
      </c>
      <c r="I5" s="24">
        <v>12521000</v>
      </c>
      <c r="J5" s="24">
        <v>-1063000</v>
      </c>
      <c r="K5" s="24">
        <v>25489000</v>
      </c>
      <c r="L5" s="24">
        <v>63647000</v>
      </c>
      <c r="M5" s="24">
        <v>52640000</v>
      </c>
      <c r="N5" s="24">
        <v>66294000</v>
      </c>
      <c r="O5" s="24">
        <v>72691000</v>
      </c>
      <c r="P5" s="24">
        <v>64250000</v>
      </c>
      <c r="Q5" s="24">
        <v>106689000</v>
      </c>
      <c r="R5" s="24">
        <v>66438000</v>
      </c>
      <c r="S5" s="24">
        <v>94483000</v>
      </c>
      <c r="T5" s="24">
        <v>99696000</v>
      </c>
      <c r="U5" s="24">
        <v>120880000</v>
      </c>
      <c r="V5" s="24">
        <v>122443000</v>
      </c>
      <c r="W5" s="24">
        <v>117609000</v>
      </c>
      <c r="X5" s="24">
        <v>159824000</v>
      </c>
      <c r="Y5" s="24">
        <v>152980000</v>
      </c>
      <c r="Z5" s="24">
        <f>'[1]GAAP IS'!Y15</f>
        <v>147252000</v>
      </c>
      <c r="AN5" s="24">
        <v>105067000</v>
      </c>
      <c r="AO5" s="24">
        <v>65878000</v>
      </c>
      <c r="AP5" s="24">
        <v>255272000</v>
      </c>
      <c r="AQ5" s="24">
        <v>331860000</v>
      </c>
      <c r="AR5" s="24">
        <v>460628000</v>
      </c>
    </row>
    <row r="6" spans="1:50" x14ac:dyDescent="0.25">
      <c r="B6" s="24" t="s">
        <v>32</v>
      </c>
      <c r="D6" s="24">
        <v>8128000</v>
      </c>
      <c r="E6" s="24">
        <v>8167000</v>
      </c>
      <c r="F6" s="24">
        <v>8204000</v>
      </c>
      <c r="G6" s="24">
        <v>7817000</v>
      </c>
      <c r="H6" s="24">
        <v>10352000</v>
      </c>
      <c r="I6" s="24">
        <v>12060000</v>
      </c>
      <c r="J6" s="24">
        <v>14665000</v>
      </c>
      <c r="K6" s="24">
        <v>15623000</v>
      </c>
      <c r="L6" s="24">
        <v>16753000</v>
      </c>
      <c r="M6" s="24">
        <v>17700000</v>
      </c>
      <c r="N6" s="24">
        <v>15824000</v>
      </c>
      <c r="O6" s="24">
        <v>19417000</v>
      </c>
      <c r="P6" s="24">
        <v>25066000</v>
      </c>
      <c r="Q6" s="24">
        <v>43751000</v>
      </c>
      <c r="R6" s="24">
        <v>51188000</v>
      </c>
      <c r="S6" s="24">
        <v>63008000</v>
      </c>
      <c r="T6" s="24">
        <v>73931000</v>
      </c>
      <c r="U6" s="24">
        <v>84617000</v>
      </c>
      <c r="V6" s="24">
        <v>90449000</v>
      </c>
      <c r="W6" s="24">
        <v>95256000</v>
      </c>
      <c r="X6" s="24">
        <v>104145000</v>
      </c>
      <c r="Y6" s="24">
        <v>107762000</v>
      </c>
      <c r="Z6" s="24">
        <f>'[1]GAAP IS'!Y16</f>
        <v>107631000</v>
      </c>
      <c r="AN6" s="24">
        <v>32316000</v>
      </c>
      <c r="AO6" s="24">
        <v>52700000</v>
      </c>
      <c r="AP6" s="24">
        <v>69694000</v>
      </c>
      <c r="AQ6" s="24">
        <v>183013000</v>
      </c>
      <c r="AR6" s="24">
        <v>344253000</v>
      </c>
    </row>
    <row r="7" spans="1:50" x14ac:dyDescent="0.25">
      <c r="B7" s="24" t="s">
        <v>33</v>
      </c>
      <c r="D7" s="24">
        <v>9695000</v>
      </c>
      <c r="E7" s="24">
        <v>11652000</v>
      </c>
      <c r="F7" s="24">
        <v>13678000</v>
      </c>
      <c r="G7" s="24">
        <v>14806000</v>
      </c>
      <c r="H7" s="24">
        <v>13498000</v>
      </c>
      <c r="I7" s="24">
        <v>16802000</v>
      </c>
      <c r="J7" s="24">
        <v>21368000</v>
      </c>
      <c r="K7" s="24">
        <v>21910000</v>
      </c>
      <c r="L7" s="24">
        <v>25201000</v>
      </c>
      <c r="M7" s="24">
        <v>41849000</v>
      </c>
      <c r="N7" s="24">
        <v>43371000</v>
      </c>
      <c r="O7" s="24">
        <v>47393000</v>
      </c>
      <c r="P7" s="24">
        <v>54359000</v>
      </c>
      <c r="Q7" s="24">
        <v>66508000</v>
      </c>
      <c r="R7" s="24">
        <v>65229000</v>
      </c>
      <c r="S7" s="24">
        <v>71247000</v>
      </c>
      <c r="T7" s="24">
        <v>75671000</v>
      </c>
      <c r="U7" s="24">
        <v>90203000</v>
      </c>
      <c r="V7" s="24">
        <v>88209000</v>
      </c>
      <c r="W7" s="24">
        <v>89166000</v>
      </c>
      <c r="X7" s="24">
        <v>95146000</v>
      </c>
      <c r="Y7" s="24">
        <v>115960000</v>
      </c>
      <c r="Z7" s="24">
        <f>'[1]GAAP IS'!Y17</f>
        <v>118398000</v>
      </c>
      <c r="AN7" s="24">
        <v>49831000</v>
      </c>
      <c r="AO7" s="24">
        <v>73578000</v>
      </c>
      <c r="AP7" s="24">
        <v>157814000</v>
      </c>
      <c r="AQ7" s="24">
        <v>257343000</v>
      </c>
      <c r="AR7" s="24">
        <v>343249000</v>
      </c>
    </row>
    <row r="8" spans="1:50" x14ac:dyDescent="0.25">
      <c r="B8" s="21" t="s">
        <v>108</v>
      </c>
      <c r="D8" s="21">
        <f t="shared" ref="D8:Y8" si="0">SUM(D4:D7)</f>
        <v>62628000</v>
      </c>
      <c r="E8" s="21">
        <f t="shared" si="0"/>
        <v>92658000</v>
      </c>
      <c r="F8" s="21">
        <f t="shared" si="0"/>
        <v>147617000</v>
      </c>
      <c r="G8" s="21">
        <f t="shared" si="0"/>
        <v>45763000</v>
      </c>
      <c r="H8" s="21">
        <f t="shared" si="0"/>
        <v>118649000</v>
      </c>
      <c r="I8" s="21">
        <f t="shared" si="0"/>
        <v>109151000</v>
      </c>
      <c r="J8" s="21">
        <f t="shared" si="0"/>
        <v>97024000</v>
      </c>
      <c r="K8" s="21">
        <f t="shared" si="0"/>
        <v>114032000</v>
      </c>
      <c r="L8" s="21">
        <f t="shared" si="0"/>
        <v>157279000</v>
      </c>
      <c r="M8" s="21">
        <f t="shared" si="0"/>
        <v>177454000</v>
      </c>
      <c r="N8" s="21">
        <f t="shared" si="0"/>
        <v>172342000</v>
      </c>
      <c r="O8" s="21">
        <f t="shared" si="0"/>
        <v>179786000</v>
      </c>
      <c r="P8" s="21">
        <f t="shared" si="0"/>
        <v>179285000</v>
      </c>
      <c r="Q8" s="21">
        <f t="shared" si="0"/>
        <v>255370000</v>
      </c>
      <c r="R8" s="21">
        <f t="shared" si="0"/>
        <v>214079000</v>
      </c>
      <c r="S8" s="21">
        <f t="shared" si="0"/>
        <v>263747000</v>
      </c>
      <c r="T8" s="21">
        <f t="shared" si="0"/>
        <v>284164000</v>
      </c>
      <c r="U8" s="21">
        <f t="shared" si="0"/>
        <v>349330000</v>
      </c>
      <c r="V8" s="21">
        <f t="shared" si="0"/>
        <v>345244000</v>
      </c>
      <c r="W8" s="21">
        <f t="shared" si="0"/>
        <v>349787000</v>
      </c>
      <c r="X8" s="21">
        <f t="shared" si="0"/>
        <v>413352000</v>
      </c>
      <c r="Y8" s="21">
        <f t="shared" si="0"/>
        <v>446980000</v>
      </c>
      <c r="Z8" s="21">
        <f>SUM(Z4:Z7)</f>
        <v>430571000</v>
      </c>
      <c r="AN8" s="21">
        <f>SUM(AN4:AN7)</f>
        <v>348666000</v>
      </c>
      <c r="AO8" s="21">
        <f>SUM(AO4:AO7)</f>
        <v>438856000</v>
      </c>
      <c r="AP8" s="21">
        <f>SUM(AP4:AP7)</f>
        <v>686861000</v>
      </c>
      <c r="AQ8" s="21">
        <f>SUM(AQ4:AQ7)</f>
        <v>912481000</v>
      </c>
      <c r="AR8" s="21">
        <f>SUM(AR4:AR7)</f>
        <v>1328525000</v>
      </c>
    </row>
    <row r="9" spans="1:50" x14ac:dyDescent="0.25">
      <c r="B9" s="24" t="s">
        <v>34</v>
      </c>
      <c r="D9" s="24">
        <v>25368000</v>
      </c>
      <c r="E9" s="24">
        <v>31612000</v>
      </c>
      <c r="F9" s="24">
        <v>33654000</v>
      </c>
      <c r="G9" s="24">
        <v>31744000</v>
      </c>
      <c r="H9" s="24">
        <v>33768000</v>
      </c>
      <c r="I9" s="24">
        <v>41634000</v>
      </c>
      <c r="J9" s="24">
        <v>104806000</v>
      </c>
      <c r="K9" s="24">
        <v>69128000</v>
      </c>
      <c r="L9" s="24">
        <v>78013000</v>
      </c>
      <c r="M9" s="24">
        <v>94989000</v>
      </c>
      <c r="N9" s="24">
        <v>110291000</v>
      </c>
      <c r="O9" s="24">
        <v>135350000</v>
      </c>
      <c r="P9" s="24">
        <v>144961000</v>
      </c>
      <c r="Q9" s="24">
        <v>156747000</v>
      </c>
      <c r="R9" s="24">
        <v>161792000</v>
      </c>
      <c r="S9" s="24">
        <v>152318000</v>
      </c>
      <c r="T9" s="24">
        <v>132965000</v>
      </c>
      <c r="U9" s="24">
        <v>119833000</v>
      </c>
      <c r="V9" s="24">
        <v>124828000</v>
      </c>
      <c r="W9" s="24">
        <v>124231000</v>
      </c>
      <c r="X9" s="24">
        <v>134290000</v>
      </c>
      <c r="Y9" s="24">
        <v>148213000</v>
      </c>
      <c r="Z9" s="24">
        <f>'[1]GAAP IS'!Y18</f>
        <v>152620000</v>
      </c>
      <c r="AJ9" s="9">
        <v>100000000000</v>
      </c>
      <c r="AN9" s="24">
        <v>122378000</v>
      </c>
      <c r="AO9" s="24">
        <v>249336000</v>
      </c>
      <c r="AP9" s="24">
        <v>418643000</v>
      </c>
      <c r="AQ9" s="24">
        <v>615818000</v>
      </c>
      <c r="AR9" s="24">
        <v>501857000</v>
      </c>
    </row>
    <row r="10" spans="1:50" x14ac:dyDescent="0.25">
      <c r="B10" s="24" t="s">
        <v>35</v>
      </c>
      <c r="D10" s="24">
        <v>5219000</v>
      </c>
      <c r="E10" s="24">
        <v>7651000</v>
      </c>
      <c r="F10" s="24">
        <v>7108000</v>
      </c>
      <c r="G10" s="24">
        <v>5066000</v>
      </c>
      <c r="H10" s="24">
        <v>22582000</v>
      </c>
      <c r="I10" s="24">
        <v>39112000</v>
      </c>
      <c r="J10" s="24">
        <v>58184000</v>
      </c>
      <c r="K10" s="24">
        <v>62312000</v>
      </c>
      <c r="L10" s="24">
        <v>63960000</v>
      </c>
      <c r="M10" s="24">
        <v>143476000</v>
      </c>
      <c r="N10" s="24">
        <v>156214000</v>
      </c>
      <c r="O10" s="24">
        <v>168693000</v>
      </c>
      <c r="P10" s="24">
        <v>163873000</v>
      </c>
      <c r="Q10" s="24">
        <v>188334000</v>
      </c>
      <c r="R10" s="24">
        <v>140942000</v>
      </c>
      <c r="S10" s="24">
        <v>145131000</v>
      </c>
      <c r="T10" s="24">
        <v>146866000</v>
      </c>
      <c r="U10" s="24">
        <v>161265000</v>
      </c>
      <c r="V10" s="24">
        <v>132950000</v>
      </c>
      <c r="W10" s="24">
        <v>135324000</v>
      </c>
      <c r="X10" s="24">
        <v>145233000</v>
      </c>
      <c r="Y10" s="24">
        <v>136038000</v>
      </c>
      <c r="Z10" s="24">
        <f>'[1]GAAP IS'!Y19</f>
        <v>74022000</v>
      </c>
      <c r="AN10" s="24">
        <v>25044000</v>
      </c>
      <c r="AO10" s="24">
        <v>182190000</v>
      </c>
      <c r="AP10" s="24">
        <v>532343000</v>
      </c>
      <c r="AQ10" s="24">
        <v>638280000</v>
      </c>
      <c r="AR10" s="24">
        <v>576405000</v>
      </c>
    </row>
    <row r="11" spans="1:50" x14ac:dyDescent="0.25">
      <c r="B11" s="24" t="s">
        <v>36</v>
      </c>
      <c r="D11" s="24">
        <v>27704000</v>
      </c>
      <c r="E11" s="24">
        <v>30688000</v>
      </c>
      <c r="F11" s="24">
        <v>31399000</v>
      </c>
      <c r="G11" s="24">
        <v>31439000</v>
      </c>
      <c r="H11" s="24">
        <v>32273000</v>
      </c>
      <c r="I11" s="24">
        <v>40916000</v>
      </c>
      <c r="J11" s="24">
        <v>179999000</v>
      </c>
      <c r="K11" s="24">
        <v>130561000</v>
      </c>
      <c r="L11" s="24">
        <v>136204000</v>
      </c>
      <c r="M11" s="24">
        <v>141292000</v>
      </c>
      <c r="N11" s="24">
        <v>142466000</v>
      </c>
      <c r="O11" s="24">
        <v>157531000</v>
      </c>
      <c r="P11" s="24">
        <v>160972000</v>
      </c>
      <c r="Q11" s="24">
        <v>158639000</v>
      </c>
      <c r="R11" s="24">
        <v>139266000</v>
      </c>
      <c r="S11" s="24">
        <v>127521000</v>
      </c>
      <c r="T11" s="24">
        <v>140334000</v>
      </c>
      <c r="U11" s="24">
        <v>132777000</v>
      </c>
      <c r="V11" s="24">
        <v>128721000</v>
      </c>
      <c r="W11" s="24">
        <v>123459000</v>
      </c>
      <c r="X11" s="24">
        <v>138482000</v>
      </c>
      <c r="Y11" s="24">
        <v>139412000</v>
      </c>
      <c r="Z11" s="24">
        <f>'[1]GAAP IS'!Y20</f>
        <v>134303000</v>
      </c>
      <c r="AN11" s="24">
        <v>121230000</v>
      </c>
      <c r="AO11" s="24">
        <v>383749000</v>
      </c>
      <c r="AP11" s="24">
        <v>577493000</v>
      </c>
      <c r="AQ11" s="24">
        <v>586398000</v>
      </c>
      <c r="AR11" s="24">
        <v>525291000</v>
      </c>
    </row>
    <row r="12" spans="1:50" x14ac:dyDescent="0.25">
      <c r="B12" s="24" t="s">
        <v>37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34934000</v>
      </c>
      <c r="S12" s="24">
        <v>936000</v>
      </c>
      <c r="T12" s="24">
        <v>1665000</v>
      </c>
      <c r="U12" s="24">
        <v>56000</v>
      </c>
      <c r="V12" s="24">
        <v>5203000</v>
      </c>
      <c r="W12" s="24">
        <v>-156000</v>
      </c>
      <c r="X12" s="24">
        <v>-255000</v>
      </c>
      <c r="Y12" s="24">
        <v>60000</v>
      </c>
      <c r="Z12" s="24">
        <f>'[1]GAAP IS'!Y21</f>
        <v>12000</v>
      </c>
      <c r="AN12" s="24">
        <v>0</v>
      </c>
      <c r="AO12" s="24">
        <v>0</v>
      </c>
      <c r="AP12" s="24">
        <v>0</v>
      </c>
      <c r="AQ12" s="24">
        <v>35870000</v>
      </c>
      <c r="AR12" s="24">
        <v>6768000</v>
      </c>
    </row>
    <row r="13" spans="1:50" x14ac:dyDescent="0.25">
      <c r="B13" s="21" t="s">
        <v>109</v>
      </c>
      <c r="D13" s="21">
        <f t="shared" ref="D13:Q13" si="1">SUM(D8:D11)</f>
        <v>120919000</v>
      </c>
      <c r="E13" s="21">
        <f t="shared" si="1"/>
        <v>162609000</v>
      </c>
      <c r="F13" s="21">
        <f t="shared" si="1"/>
        <v>219778000</v>
      </c>
      <c r="G13" s="21">
        <f t="shared" si="1"/>
        <v>114012000</v>
      </c>
      <c r="H13" s="21">
        <f t="shared" si="1"/>
        <v>207272000</v>
      </c>
      <c r="I13" s="21">
        <f t="shared" si="1"/>
        <v>230813000</v>
      </c>
      <c r="J13" s="21">
        <f t="shared" si="1"/>
        <v>440013000</v>
      </c>
      <c r="K13" s="21">
        <f t="shared" si="1"/>
        <v>376033000</v>
      </c>
      <c r="L13" s="21">
        <f t="shared" si="1"/>
        <v>435456000</v>
      </c>
      <c r="M13" s="21">
        <f t="shared" si="1"/>
        <v>557211000</v>
      </c>
      <c r="N13" s="21">
        <f t="shared" si="1"/>
        <v>581313000</v>
      </c>
      <c r="O13" s="21">
        <f t="shared" si="1"/>
        <v>641360000</v>
      </c>
      <c r="P13" s="21">
        <f t="shared" si="1"/>
        <v>649091000</v>
      </c>
      <c r="Q13" s="21">
        <f t="shared" si="1"/>
        <v>759090000</v>
      </c>
      <c r="R13" s="21">
        <f t="shared" ref="R13:Z13" si="2">SUM(R8:R12)</f>
        <v>691013000</v>
      </c>
      <c r="S13" s="21">
        <f t="shared" si="2"/>
        <v>689653000</v>
      </c>
      <c r="T13" s="21">
        <f t="shared" si="2"/>
        <v>705994000</v>
      </c>
      <c r="U13" s="21">
        <f t="shared" si="2"/>
        <v>763261000</v>
      </c>
      <c r="V13" s="21">
        <f t="shared" si="2"/>
        <v>736946000</v>
      </c>
      <c r="W13" s="21">
        <f t="shared" si="2"/>
        <v>732645000</v>
      </c>
      <c r="X13" s="21">
        <f t="shared" si="2"/>
        <v>831102000</v>
      </c>
      <c r="Y13" s="21">
        <f t="shared" si="2"/>
        <v>870703000</v>
      </c>
      <c r="Z13" s="21">
        <f t="shared" si="2"/>
        <v>791528000</v>
      </c>
      <c r="AH13" s="25"/>
      <c r="AI13" s="25"/>
      <c r="AN13" s="21">
        <f>SUM(AN8:AN11)</f>
        <v>617318000</v>
      </c>
      <c r="AO13" s="21">
        <f>SUM(AO8:AO11)</f>
        <v>1254131000</v>
      </c>
      <c r="AP13" s="21">
        <f>SUM(AP8:AP11)</f>
        <v>2215340000</v>
      </c>
      <c r="AQ13" s="21">
        <f>SUM(AQ8:AQ12)</f>
        <v>2788847000</v>
      </c>
      <c r="AR13" s="21">
        <f>SUM(AR8:AR12)</f>
        <v>2938846000</v>
      </c>
    </row>
    <row r="15" spans="1:50" x14ac:dyDescent="0.25">
      <c r="B15" s="21" t="s">
        <v>110</v>
      </c>
      <c r="D15" s="21">
        <f>'[1]GAAP IS'!C23</f>
        <v>-32972000</v>
      </c>
      <c r="E15" s="21">
        <f>'[1]GAAP IS'!D23</f>
        <v>-32633000</v>
      </c>
      <c r="F15" s="21">
        <f>'[1]GAAP IS'!E23</f>
        <v>-81505000</v>
      </c>
      <c r="G15" s="21">
        <f>'[1]GAAP IS'!F23</f>
        <v>39320000</v>
      </c>
      <c r="H15" s="21">
        <f>'[1]GAAP IS'!G23</f>
        <v>-33294000</v>
      </c>
      <c r="I15" s="21">
        <f>'[1]GAAP IS'!H23</f>
        <v>-26772000</v>
      </c>
      <c r="J15" s="21">
        <f>'[1]GAAP IS'!I23</f>
        <v>-209348000</v>
      </c>
      <c r="K15" s="21">
        <f>'[1]GAAP IS'!J23</f>
        <v>-114253000</v>
      </c>
      <c r="L15" s="21">
        <f>'[1]GAAP IS'!K23</f>
        <v>-166071000</v>
      </c>
      <c r="M15" s="21">
        <f>'[1]GAAP IS'!L23</f>
        <v>-196200000</v>
      </c>
      <c r="N15" s="21">
        <f>'[1]GAAP IS'!M23</f>
        <v>-226551000</v>
      </c>
      <c r="O15" s="21">
        <f>'[1]GAAP IS'!N23</f>
        <v>-277226000</v>
      </c>
      <c r="P15" s="21">
        <f>'[1]GAAP IS'!O23</f>
        <v>-287467000</v>
      </c>
      <c r="Q15" s="21">
        <f>'[1]GAAP IS'!P23</f>
        <v>-359532000</v>
      </c>
      <c r="R15" s="21">
        <f>'[1]GAAP IS'!Q23</f>
        <v>-310035000</v>
      </c>
      <c r="S15" s="21">
        <f>'[1]GAAP IS'!R23</f>
        <v>-243828000</v>
      </c>
      <c r="T15" s="21">
        <f>'[1]GAAP IS'!S23</f>
        <v>-209447000</v>
      </c>
      <c r="U15" s="21">
        <f>'[1]GAAP IS'!T23</f>
        <v>-172151000</v>
      </c>
      <c r="V15" s="21">
        <f>'[1]GAAP IS'!U23</f>
        <v>-160789000</v>
      </c>
      <c r="W15" s="21">
        <f>'[1]GAAP IS'!V23</f>
        <v>-73460000</v>
      </c>
      <c r="X15" s="21">
        <f>'[1]GAAP IS'!W23</f>
        <v>-132623000</v>
      </c>
      <c r="Y15" s="21">
        <f>'[1]GAAP IS'!X23</f>
        <v>-4322000</v>
      </c>
      <c r="Z15" s="21">
        <f>'[1]GAAP IS'!Y23</f>
        <v>-8392000</v>
      </c>
      <c r="AN15" s="21">
        <f>'[1]GAAP IS'!AB23</f>
        <v>-107790000</v>
      </c>
      <c r="AO15" s="21">
        <f>'[1]GAAP IS'!AC23</f>
        <v>-383667000</v>
      </c>
      <c r="AP15" s="21">
        <f>'[1]GAAP IS'!AD23</f>
        <v>-866048000</v>
      </c>
      <c r="AQ15" s="21">
        <f>'[1]GAAP IS'!AE23</f>
        <v>-1200862000</v>
      </c>
      <c r="AR15" s="21">
        <f>'[1]GAAP IS'!AF23</f>
        <v>-615847000</v>
      </c>
    </row>
    <row r="16" spans="1:50" x14ac:dyDescent="0.25">
      <c r="B16" s="26" t="s">
        <v>111</v>
      </c>
      <c r="D16" s="24">
        <v>2111000</v>
      </c>
      <c r="E16" s="24">
        <v>2432000</v>
      </c>
      <c r="F16" s="24">
        <v>2877000</v>
      </c>
      <c r="G16" s="24">
        <v>2023000</v>
      </c>
      <c r="H16" s="24">
        <v>3720000</v>
      </c>
      <c r="I16" s="24">
        <v>3351000</v>
      </c>
      <c r="J16" s="24">
        <v>5021000</v>
      </c>
      <c r="K16" s="24">
        <v>7887000</v>
      </c>
      <c r="L16" s="24">
        <v>10541000</v>
      </c>
      <c r="M16" s="24">
        <v>11964000</v>
      </c>
      <c r="N16" s="24">
        <v>13102000</v>
      </c>
      <c r="O16" s="24">
        <v>17115000</v>
      </c>
      <c r="P16" s="24">
        <v>20882000</v>
      </c>
      <c r="Q16" s="24">
        <v>23004000</v>
      </c>
      <c r="R16" s="24">
        <v>46067800</v>
      </c>
      <c r="S16" s="24">
        <v>43279000</v>
      </c>
      <c r="T16" s="24">
        <v>40060100</v>
      </c>
      <c r="U16" s="24">
        <v>40371600</v>
      </c>
      <c r="V16" s="24">
        <v>45188500</v>
      </c>
      <c r="W16" s="24">
        <v>44283700</v>
      </c>
      <c r="X16" s="24">
        <v>46715000</v>
      </c>
      <c r="Y16" s="24">
        <v>54950000</v>
      </c>
      <c r="Z16" s="24">
        <v>59475553.140000001</v>
      </c>
      <c r="AN16" s="24">
        <v>9443000</v>
      </c>
      <c r="AO16" s="24">
        <v>19979000</v>
      </c>
      <c r="AP16" s="24">
        <v>52722000</v>
      </c>
      <c r="AQ16" s="24">
        <v>133233253.36</v>
      </c>
      <c r="AR16" s="24">
        <v>169904000</v>
      </c>
    </row>
    <row r="17" spans="2:44" x14ac:dyDescent="0.25">
      <c r="B17" s="26" t="s">
        <v>112</v>
      </c>
      <c r="D17" s="24">
        <v>8425000</v>
      </c>
      <c r="E17" s="24">
        <v>8294000</v>
      </c>
      <c r="F17" s="24">
        <v>7970000</v>
      </c>
      <c r="G17" s="24">
        <v>5380000</v>
      </c>
      <c r="H17" s="24">
        <v>6203000</v>
      </c>
      <c r="I17" s="24">
        <v>6521000</v>
      </c>
      <c r="J17" s="24">
        <v>179639000</v>
      </c>
      <c r="K17" s="24">
        <v>100144000</v>
      </c>
      <c r="L17" s="24">
        <v>93189000</v>
      </c>
      <c r="M17" s="24">
        <v>88537000</v>
      </c>
      <c r="N17" s="24">
        <v>98387000</v>
      </c>
      <c r="O17" s="24">
        <v>110870000</v>
      </c>
      <c r="P17" s="24">
        <v>119808000</v>
      </c>
      <c r="Q17" s="24">
        <v>121775000</v>
      </c>
      <c r="R17" s="24">
        <v>106788600</v>
      </c>
      <c r="S17" s="24">
        <v>103337086.09999999</v>
      </c>
      <c r="T17" s="24">
        <v>112359000</v>
      </c>
      <c r="U17" s="24">
        <v>90164000</v>
      </c>
      <c r="V17" s="24">
        <v>77075000</v>
      </c>
      <c r="W17" s="24">
        <v>64913000</v>
      </c>
      <c r="X17" s="24">
        <v>94233000</v>
      </c>
      <c r="Y17" s="24">
        <v>86098000</v>
      </c>
      <c r="Z17" s="24">
        <v>75607000</v>
      </c>
      <c r="AN17" s="24">
        <v>30069000</v>
      </c>
      <c r="AO17" s="24">
        <v>292507000</v>
      </c>
      <c r="AP17" s="24">
        <v>390983000</v>
      </c>
      <c r="AQ17" s="24">
        <v>451709086.10000002</v>
      </c>
      <c r="AR17" s="24">
        <v>344511000</v>
      </c>
    </row>
    <row r="18" spans="2:44" x14ac:dyDescent="0.25">
      <c r="B18" s="26" t="s">
        <v>113</v>
      </c>
      <c r="D18" s="24">
        <v>0</v>
      </c>
      <c r="E18" s="24">
        <v>0</v>
      </c>
      <c r="F18" s="24">
        <v>0</v>
      </c>
      <c r="G18" s="24">
        <v>0</v>
      </c>
      <c r="H18" s="24">
        <v>14261000</v>
      </c>
      <c r="I18" s="24">
        <v>17039000</v>
      </c>
      <c r="J18" s="24">
        <v>16668000</v>
      </c>
      <c r="K18" s="24">
        <v>16853000</v>
      </c>
      <c r="L18" s="24">
        <v>17039000</v>
      </c>
      <c r="M18" s="24">
        <v>17039000</v>
      </c>
      <c r="N18" s="24">
        <v>16668000</v>
      </c>
      <c r="O18" s="24">
        <v>11546000</v>
      </c>
      <c r="P18" s="24">
        <v>9034000</v>
      </c>
      <c r="Q18" s="24">
        <v>9034000</v>
      </c>
      <c r="R18" s="24">
        <v>8838000</v>
      </c>
      <c r="S18" s="24">
        <v>8936024.7300000004</v>
      </c>
      <c r="T18" s="24">
        <v>9034000</v>
      </c>
      <c r="U18" s="24">
        <v>9034200</v>
      </c>
      <c r="V18" s="24">
        <v>8935900</v>
      </c>
      <c r="W18" s="24">
        <v>8936000</v>
      </c>
      <c r="X18" s="24">
        <v>9034200</v>
      </c>
      <c r="Y18" s="24">
        <v>9034000</v>
      </c>
      <c r="Z18" s="24">
        <v>5805184.8200000003</v>
      </c>
      <c r="AN18" s="24">
        <v>0</v>
      </c>
      <c r="AO18" s="24">
        <v>64821000</v>
      </c>
      <c r="AP18" s="24">
        <v>62292000</v>
      </c>
      <c r="AQ18" s="24">
        <v>35842296.979999997</v>
      </c>
      <c r="AR18" s="24">
        <v>35940000</v>
      </c>
    </row>
    <row r="19" spans="2:44" x14ac:dyDescent="0.25">
      <c r="B19" s="26" t="s">
        <v>114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70634000</v>
      </c>
      <c r="N19" s="24">
        <v>102371000</v>
      </c>
      <c r="O19" s="24">
        <v>107971000</v>
      </c>
      <c r="P19" s="24">
        <v>119171000</v>
      </c>
      <c r="Q19" s="24">
        <v>138482000</v>
      </c>
      <c r="R19" s="24">
        <v>104124000</v>
      </c>
      <c r="S19" s="24">
        <v>101531375.43000001</v>
      </c>
      <c r="T19" s="24">
        <v>106338700</v>
      </c>
      <c r="U19" s="24">
        <v>125133000</v>
      </c>
      <c r="V19" s="24">
        <v>102892600</v>
      </c>
      <c r="W19" s="24">
        <v>105290000</v>
      </c>
      <c r="X19" s="24">
        <v>112484400</v>
      </c>
      <c r="Y19" s="24">
        <v>91998000</v>
      </c>
      <c r="Z19" s="24">
        <v>41170087.939999998</v>
      </c>
      <c r="AN19" s="24">
        <v>0</v>
      </c>
      <c r="AO19" s="24">
        <v>0</v>
      </c>
      <c r="AP19" s="24">
        <v>280976000</v>
      </c>
      <c r="AQ19" s="24">
        <v>463308110.56</v>
      </c>
      <c r="AR19" s="24">
        <v>439654000</v>
      </c>
    </row>
    <row r="20" spans="2:44" x14ac:dyDescent="0.25">
      <c r="B20" s="26" t="s">
        <v>129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34934000</v>
      </c>
      <c r="S20" s="24">
        <v>936000</v>
      </c>
      <c r="T20" s="24">
        <v>1665100</v>
      </c>
      <c r="U20" s="24">
        <v>56300</v>
      </c>
      <c r="V20" s="24">
        <v>5203000</v>
      </c>
      <c r="W20" s="24">
        <v>-156000</v>
      </c>
      <c r="X20" s="24">
        <v>-255000</v>
      </c>
      <c r="Y20" s="24">
        <v>60000</v>
      </c>
      <c r="Z20" s="24">
        <v>12000</v>
      </c>
      <c r="AN20" s="24">
        <v>0</v>
      </c>
      <c r="AO20" s="24">
        <v>0</v>
      </c>
      <c r="AP20" s="24">
        <v>0</v>
      </c>
      <c r="AQ20" s="24">
        <v>35870000</v>
      </c>
      <c r="AR20" s="24">
        <v>6768400</v>
      </c>
    </row>
    <row r="21" spans="2:44" x14ac:dyDescent="0.25">
      <c r="B21" s="26" t="s">
        <v>130</v>
      </c>
      <c r="D21" s="24">
        <v>0</v>
      </c>
      <c r="E21" s="24">
        <v>0</v>
      </c>
      <c r="F21" s="24">
        <v>0</v>
      </c>
      <c r="G21" s="24">
        <v>0</v>
      </c>
      <c r="H21" s="24">
        <v>1191000</v>
      </c>
      <c r="I21" s="24">
        <v>2971000</v>
      </c>
      <c r="J21" s="24">
        <v>12953000</v>
      </c>
      <c r="K21" s="24">
        <v>3582000</v>
      </c>
      <c r="L21" s="24">
        <v>209000</v>
      </c>
      <c r="M21" s="24">
        <v>94000</v>
      </c>
      <c r="N21" s="24">
        <v>25000</v>
      </c>
      <c r="O21" s="24">
        <v>415000</v>
      </c>
      <c r="P21" s="24">
        <v>5000</v>
      </c>
      <c r="Q21" s="24">
        <v>5203000</v>
      </c>
      <c r="R21" s="24">
        <v>2858000</v>
      </c>
      <c r="S21" s="24">
        <v>517197</v>
      </c>
      <c r="T21" s="24">
        <v>-66400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N21" s="24">
        <v>0</v>
      </c>
      <c r="AO21" s="24">
        <v>20697000</v>
      </c>
      <c r="AP21" s="24">
        <v>743000</v>
      </c>
      <c r="AQ21" s="24">
        <v>8582840.6899999995</v>
      </c>
      <c r="AR21" s="24">
        <v>-66000</v>
      </c>
    </row>
    <row r="22" spans="2:44" x14ac:dyDescent="0.25">
      <c r="B22" s="21" t="s">
        <v>115</v>
      </c>
      <c r="D22" s="21">
        <f t="shared" ref="D22:Y22" si="3">SUM(D15:D21)</f>
        <v>-22436000</v>
      </c>
      <c r="E22" s="21">
        <f t="shared" si="3"/>
        <v>-21907000</v>
      </c>
      <c r="F22" s="21">
        <f t="shared" si="3"/>
        <v>-70658000</v>
      </c>
      <c r="G22" s="21">
        <f t="shared" si="3"/>
        <v>46723000</v>
      </c>
      <c r="H22" s="21">
        <f t="shared" si="3"/>
        <v>-7919000</v>
      </c>
      <c r="I22" s="21">
        <f t="shared" si="3"/>
        <v>3110000</v>
      </c>
      <c r="J22" s="21">
        <f t="shared" si="3"/>
        <v>4933000</v>
      </c>
      <c r="K22" s="21">
        <f t="shared" si="3"/>
        <v>14213000</v>
      </c>
      <c r="L22" s="21">
        <f t="shared" si="3"/>
        <v>-45093000</v>
      </c>
      <c r="M22" s="21">
        <f t="shared" si="3"/>
        <v>-7932000</v>
      </c>
      <c r="N22" s="21">
        <f t="shared" si="3"/>
        <v>4002000</v>
      </c>
      <c r="O22" s="21">
        <f t="shared" si="3"/>
        <v>-29309000</v>
      </c>
      <c r="P22" s="21">
        <f t="shared" si="3"/>
        <v>-18567000</v>
      </c>
      <c r="Q22" s="21">
        <f t="shared" si="3"/>
        <v>-62034000</v>
      </c>
      <c r="R22" s="21">
        <f t="shared" si="3"/>
        <v>-6424600</v>
      </c>
      <c r="S22" s="21">
        <f t="shared" si="3"/>
        <v>14708683.260000005</v>
      </c>
      <c r="T22" s="21">
        <f t="shared" si="3"/>
        <v>59943500</v>
      </c>
      <c r="U22" s="21">
        <f t="shared" si="3"/>
        <v>92608100</v>
      </c>
      <c r="V22" s="21">
        <f t="shared" si="3"/>
        <v>78506000</v>
      </c>
      <c r="W22" s="21">
        <f t="shared" si="3"/>
        <v>149806700</v>
      </c>
      <c r="X22" s="21">
        <f t="shared" si="3"/>
        <v>129588600</v>
      </c>
      <c r="Y22" s="21">
        <f t="shared" si="3"/>
        <v>237818000</v>
      </c>
      <c r="Z22" s="21">
        <f>SUM(Z15:Z21)</f>
        <v>173677825.90000001</v>
      </c>
      <c r="AN22" s="21">
        <f>SUM(AN15:AN21)</f>
        <v>-68278000</v>
      </c>
      <c r="AO22" s="21">
        <f>SUM(AO15:AO21)</f>
        <v>14337000</v>
      </c>
      <c r="AP22" s="21">
        <f>SUM(AP15:AP21)</f>
        <v>-78332000</v>
      </c>
      <c r="AQ22" s="21">
        <f>SUM(AQ15:AQ21)</f>
        <v>-72316412.309999943</v>
      </c>
      <c r="AR22" s="21">
        <f>SUM(AR15:AR21)</f>
        <v>380864400</v>
      </c>
    </row>
    <row r="23" spans="2:44" x14ac:dyDescent="0.25">
      <c r="B23" s="24" t="s">
        <v>116</v>
      </c>
      <c r="D23" s="24">
        <f>'[1]GAAP IS'!C12</f>
        <v>87947000</v>
      </c>
      <c r="E23" s="24">
        <f>'[1]GAAP IS'!D12</f>
        <v>129976000</v>
      </c>
      <c r="F23" s="24">
        <f>'[1]GAAP IS'!E12</f>
        <v>138273000</v>
      </c>
      <c r="G23" s="24">
        <f>'[1]GAAP IS'!F12</f>
        <v>153332000</v>
      </c>
      <c r="H23" s="24">
        <f>'[1]GAAP IS'!G12</f>
        <v>173978000</v>
      </c>
      <c r="I23" s="24">
        <f>'[1]GAAP IS'!H12</f>
        <v>204041000</v>
      </c>
      <c r="J23" s="24">
        <f>'[1]GAAP IS'!I12</f>
        <v>230665000</v>
      </c>
      <c r="K23" s="24">
        <f>'[1]GAAP IS'!J12</f>
        <v>261780000</v>
      </c>
      <c r="L23" s="24">
        <f>'[1]GAAP IS'!K12</f>
        <v>269385000</v>
      </c>
      <c r="M23" s="24">
        <f>'[1]GAAP IS'!L12</f>
        <v>361011000</v>
      </c>
      <c r="N23" s="24">
        <f>'[1]GAAP IS'!M12</f>
        <v>354762000</v>
      </c>
      <c r="O23" s="24">
        <f>'[1]GAAP IS'!N12</f>
        <v>364134000</v>
      </c>
      <c r="P23" s="24">
        <f>'[1]GAAP IS'!O12</f>
        <v>361624000</v>
      </c>
      <c r="Q23" s="24">
        <f>'[1]GAAP IS'!P12</f>
        <v>399558000</v>
      </c>
      <c r="R23" s="24">
        <f>'[1]GAAP IS'!Q12</f>
        <v>380978000</v>
      </c>
      <c r="S23" s="24">
        <f>'[1]GAAP IS'!R12</f>
        <v>445825000</v>
      </c>
      <c r="T23" s="24">
        <f>'[1]GAAP IS'!S12</f>
        <v>496547000</v>
      </c>
      <c r="U23" s="24">
        <f>'[1]GAAP IS'!T12</f>
        <v>591110000</v>
      </c>
      <c r="V23" s="24">
        <f>'[1]GAAP IS'!U12</f>
        <v>576157000</v>
      </c>
      <c r="W23" s="24">
        <f>'[1]GAAP IS'!V12</f>
        <v>659185000</v>
      </c>
      <c r="X23" s="24">
        <f>'[1]GAAP IS'!W12</f>
        <v>698479000</v>
      </c>
      <c r="Y23" s="24">
        <f>'[1]GAAP IS'!X12</f>
        <v>866381000</v>
      </c>
      <c r="Z23" s="24">
        <f>'[1]GAAP IS'!Y12</f>
        <v>783135000</v>
      </c>
      <c r="AN23" s="24">
        <f>'[1]GAAP IS'!AB12</f>
        <v>509528000</v>
      </c>
      <c r="AO23" s="24">
        <f>'[1]GAAP IS'!AC12</f>
        <v>870464000</v>
      </c>
      <c r="AP23" s="24">
        <f>'[1]GAAP IS'!AD12</f>
        <v>1349292000</v>
      </c>
      <c r="AQ23" s="24">
        <f>'[1]GAAP IS'!AE12</f>
        <v>1587985000</v>
      </c>
      <c r="AR23" s="24">
        <f>'[1]GAAP IS'!AF12</f>
        <v>2322999000</v>
      </c>
    </row>
    <row r="24" spans="2:44" s="5" customFormat="1" x14ac:dyDescent="0.25">
      <c r="B24" s="27" t="s">
        <v>117</v>
      </c>
      <c r="D24" s="27">
        <f t="shared" ref="D24:Z24" si="4">D22/D23</f>
        <v>-0.25510819015998271</v>
      </c>
      <c r="E24" s="27">
        <f t="shared" si="4"/>
        <v>-0.16854650089247245</v>
      </c>
      <c r="F24" s="27">
        <f t="shared" si="4"/>
        <v>-0.51100359433873566</v>
      </c>
      <c r="G24" s="27">
        <f t="shared" si="4"/>
        <v>0.30471786711188792</v>
      </c>
      <c r="H24" s="27">
        <f t="shared" si="4"/>
        <v>-4.5517249307383691E-2</v>
      </c>
      <c r="I24" s="27">
        <f t="shared" si="4"/>
        <v>1.5242034689106601E-2</v>
      </c>
      <c r="J24" s="27">
        <f t="shared" si="4"/>
        <v>2.1385992673357467E-2</v>
      </c>
      <c r="K24" s="27">
        <f t="shared" si="4"/>
        <v>5.4293681717472689E-2</v>
      </c>
      <c r="L24" s="27">
        <f t="shared" si="4"/>
        <v>-0.16739239378584553</v>
      </c>
      <c r="M24" s="27">
        <f t="shared" si="4"/>
        <v>-2.1971629673334055E-2</v>
      </c>
      <c r="N24" s="27">
        <f t="shared" si="4"/>
        <v>1.1280802340724204E-2</v>
      </c>
      <c r="O24" s="27">
        <f t="shared" si="4"/>
        <v>-8.0489599982424054E-2</v>
      </c>
      <c r="P24" s="27">
        <f t="shared" si="4"/>
        <v>-5.1343384288653406E-2</v>
      </c>
      <c r="Q24" s="27">
        <f t="shared" si="4"/>
        <v>-0.15525655849713935</v>
      </c>
      <c r="R24" s="27">
        <f t="shared" si="4"/>
        <v>-1.6863440933597217E-2</v>
      </c>
      <c r="S24" s="27">
        <f t="shared" si="4"/>
        <v>3.299205576178995E-2</v>
      </c>
      <c r="T24" s="27">
        <f t="shared" si="4"/>
        <v>0.12072069713441023</v>
      </c>
      <c r="U24" s="27">
        <f t="shared" si="4"/>
        <v>0.15666813283483616</v>
      </c>
      <c r="V24" s="27">
        <f t="shared" si="4"/>
        <v>0.13625799912176717</v>
      </c>
      <c r="W24" s="27">
        <f t="shared" si="4"/>
        <v>0.22726048074516259</v>
      </c>
      <c r="X24" s="27">
        <f t="shared" si="4"/>
        <v>0.18552970096452434</v>
      </c>
      <c r="Y24" s="27">
        <f t="shared" si="4"/>
        <v>0.27449586267473547</v>
      </c>
      <c r="Z24" s="27">
        <f t="shared" si="4"/>
        <v>0.22177252440511536</v>
      </c>
      <c r="AN24" s="27">
        <f>AN22/AN23</f>
        <v>-0.13400244932565042</v>
      </c>
      <c r="AO24" s="27">
        <f>AO22/AO23</f>
        <v>1.6470526064259982E-2</v>
      </c>
      <c r="AP24" s="27">
        <f>AP22/AP23</f>
        <v>-5.8054149880085261E-2</v>
      </c>
      <c r="AQ24" s="27">
        <f>AQ22/AQ23</f>
        <v>-4.5539732623418948E-2</v>
      </c>
      <c r="AR24" s="27">
        <f>AR22/AR23</f>
        <v>0.16395375116390493</v>
      </c>
    </row>
    <row r="25" spans="2:44" x14ac:dyDescent="0.25"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N25" s="24"/>
      <c r="AO25" s="24"/>
      <c r="AP25" s="24"/>
      <c r="AQ25" s="24"/>
      <c r="AR25" s="24"/>
    </row>
    <row r="26" spans="2:44" x14ac:dyDescent="0.25">
      <c r="B26" s="21" t="s">
        <v>33</v>
      </c>
      <c r="D26" s="21">
        <f>'[1]GAAP IS'!C17</f>
        <v>9695000</v>
      </c>
      <c r="E26" s="21">
        <f>'[1]GAAP IS'!D17</f>
        <v>11652000</v>
      </c>
      <c r="F26" s="21">
        <f>'[1]GAAP IS'!E17</f>
        <v>13678000</v>
      </c>
      <c r="G26" s="21">
        <f>'[1]GAAP IS'!F17</f>
        <v>14806000</v>
      </c>
      <c r="H26" s="21">
        <f>'[1]GAAP IS'!G17</f>
        <v>13498000</v>
      </c>
      <c r="I26" s="21">
        <f>'[1]GAAP IS'!H17</f>
        <v>16802000</v>
      </c>
      <c r="J26" s="21">
        <f>'[1]GAAP IS'!I17</f>
        <v>21368000</v>
      </c>
      <c r="K26" s="21">
        <f>'[1]GAAP IS'!J17</f>
        <v>21910000</v>
      </c>
      <c r="L26" s="21">
        <f>'[1]GAAP IS'!K17</f>
        <v>25201000</v>
      </c>
      <c r="M26" s="21">
        <f>'[1]GAAP IS'!L17</f>
        <v>41849000</v>
      </c>
      <c r="N26" s="21">
        <f>'[1]GAAP IS'!M17</f>
        <v>43371000</v>
      </c>
      <c r="O26" s="21">
        <f>'[1]GAAP IS'!N17</f>
        <v>47393000</v>
      </c>
      <c r="P26" s="21">
        <f>'[1]GAAP IS'!O17</f>
        <v>54359000</v>
      </c>
      <c r="Q26" s="21">
        <f>'[1]GAAP IS'!P17</f>
        <v>66508000</v>
      </c>
      <c r="R26" s="21">
        <f>'[1]GAAP IS'!Q17</f>
        <v>65229000</v>
      </c>
      <c r="S26" s="21">
        <f>'[1]GAAP IS'!R17</f>
        <v>71247000</v>
      </c>
      <c r="T26" s="21">
        <f>'[1]GAAP IS'!S17</f>
        <v>75671000</v>
      </c>
      <c r="U26" s="21">
        <f>'[1]GAAP IS'!T17</f>
        <v>90203000</v>
      </c>
      <c r="V26" s="21">
        <f>'[1]GAAP IS'!U17</f>
        <v>88209000</v>
      </c>
      <c r="W26" s="21">
        <f>'[1]GAAP IS'!V17</f>
        <v>89166000</v>
      </c>
      <c r="X26" s="21">
        <f>'[1]GAAP IS'!W17</f>
        <v>95146000</v>
      </c>
      <c r="Y26" s="21">
        <f>'[1]GAAP IS'!X17</f>
        <v>115960000</v>
      </c>
      <c r="Z26" s="21">
        <f>'[1]GAAP IS'!Y17</f>
        <v>118398000</v>
      </c>
      <c r="AN26" s="21">
        <f>'[1]GAAP IS'!AB17</f>
        <v>49831000</v>
      </c>
      <c r="AO26" s="21">
        <f>'[1]GAAP IS'!AC17</f>
        <v>73578000</v>
      </c>
      <c r="AP26" s="21">
        <f>'[1]GAAP IS'!AD17</f>
        <v>157814000</v>
      </c>
      <c r="AQ26" s="21">
        <f>'[1]GAAP IS'!AE17</f>
        <v>257343000</v>
      </c>
      <c r="AR26" s="21">
        <f>'[1]GAAP IS'!AF17</f>
        <v>343249000</v>
      </c>
    </row>
    <row r="27" spans="2:44" x14ac:dyDescent="0.25">
      <c r="B27" s="26" t="s">
        <v>118</v>
      </c>
      <c r="D27" s="24">
        <v>-60000</v>
      </c>
      <c r="E27" s="24">
        <v>-82000</v>
      </c>
      <c r="F27" s="24">
        <v>-87000</v>
      </c>
      <c r="G27" s="24">
        <v>-40000</v>
      </c>
      <c r="H27" s="24">
        <v>-77000</v>
      </c>
      <c r="I27" s="24">
        <v>-85000</v>
      </c>
      <c r="J27" s="24">
        <v>-120000</v>
      </c>
      <c r="K27" s="24">
        <v>-153000</v>
      </c>
      <c r="L27" s="24">
        <v>-227000</v>
      </c>
      <c r="M27" s="24">
        <v>-108000</v>
      </c>
      <c r="N27" s="24">
        <v>-124000</v>
      </c>
      <c r="O27" s="24">
        <v>-145000</v>
      </c>
      <c r="P27" s="24">
        <v>-95000</v>
      </c>
      <c r="Q27" s="24">
        <v>-108000</v>
      </c>
      <c r="R27" s="24">
        <v>-100000</v>
      </c>
      <c r="S27" s="24">
        <v>-109000</v>
      </c>
      <c r="T27" s="24">
        <v>-99200</v>
      </c>
      <c r="U27" s="24">
        <v>-158200</v>
      </c>
      <c r="V27" s="24">
        <v>-58300</v>
      </c>
      <c r="W27" s="24">
        <v>-35100</v>
      </c>
      <c r="X27" s="24">
        <v>-32200</v>
      </c>
      <c r="Y27" s="24">
        <v>-30000</v>
      </c>
      <c r="Z27" s="24">
        <v>-30243.77</v>
      </c>
      <c r="AN27" s="24">
        <v>-269000</v>
      </c>
      <c r="AO27" s="24">
        <v>-435000</v>
      </c>
      <c r="AP27" s="24">
        <v>-604000</v>
      </c>
      <c r="AQ27" s="24">
        <v>-411873.94</v>
      </c>
      <c r="AR27" s="24">
        <v>-350800</v>
      </c>
    </row>
    <row r="28" spans="2:44" x14ac:dyDescent="0.25">
      <c r="B28" s="26" t="s">
        <v>119</v>
      </c>
      <c r="D28" s="24">
        <v>5000</v>
      </c>
      <c r="E28" s="24">
        <v>-32000</v>
      </c>
      <c r="F28" s="24">
        <v>-27000</v>
      </c>
      <c r="G28" s="24">
        <v>-28000</v>
      </c>
      <c r="H28" s="24">
        <v>-26000</v>
      </c>
      <c r="I28" s="24">
        <v>-287000</v>
      </c>
      <c r="J28" s="24">
        <v>-1446000</v>
      </c>
      <c r="K28" s="24">
        <v>-459000</v>
      </c>
      <c r="L28" s="24">
        <v>-356000</v>
      </c>
      <c r="M28" s="24">
        <v>-530000</v>
      </c>
      <c r="N28" s="24">
        <v>-650000</v>
      </c>
      <c r="O28" s="24">
        <v>-895000</v>
      </c>
      <c r="P28" s="24">
        <v>-912000</v>
      </c>
      <c r="Q28" s="24">
        <v>-1033000</v>
      </c>
      <c r="R28" s="24">
        <v>-1120000</v>
      </c>
      <c r="S28" s="24">
        <v>-1411000</v>
      </c>
      <c r="T28" s="24">
        <v>-1575000</v>
      </c>
      <c r="U28" s="24">
        <v>-1353000</v>
      </c>
      <c r="V28" s="24">
        <v>-165000</v>
      </c>
      <c r="W28" s="24">
        <v>-114000</v>
      </c>
      <c r="X28" s="24">
        <v>-262000</v>
      </c>
      <c r="Y28" s="24">
        <v>-220000</v>
      </c>
      <c r="Z28" s="24">
        <v>-205000</v>
      </c>
      <c r="AN28" s="24">
        <v>-82000</v>
      </c>
      <c r="AO28" s="24">
        <v>-2218000</v>
      </c>
      <c r="AP28" s="24">
        <v>-2431000</v>
      </c>
      <c r="AQ28" s="24">
        <v>-4476472.5103140697</v>
      </c>
      <c r="AR28" s="24">
        <v>-3207000</v>
      </c>
    </row>
    <row r="29" spans="2:44" x14ac:dyDescent="0.25">
      <c r="B29" s="26" t="s">
        <v>120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N29" s="24">
        <v>0</v>
      </c>
      <c r="AO29" s="24">
        <v>0</v>
      </c>
      <c r="AP29" s="24">
        <v>0</v>
      </c>
      <c r="AQ29" s="24">
        <v>0</v>
      </c>
      <c r="AR29" s="24">
        <v>0</v>
      </c>
    </row>
    <row r="30" spans="2:44" x14ac:dyDescent="0.25">
      <c r="B30" s="21" t="s">
        <v>121</v>
      </c>
      <c r="D30" s="21">
        <f t="shared" ref="D30:Y30" si="5">SUM(D26:D29)</f>
        <v>9640000</v>
      </c>
      <c r="E30" s="21">
        <f t="shared" si="5"/>
        <v>11538000</v>
      </c>
      <c r="F30" s="21">
        <f t="shared" si="5"/>
        <v>13564000</v>
      </c>
      <c r="G30" s="21">
        <f t="shared" si="5"/>
        <v>14738000</v>
      </c>
      <c r="H30" s="21">
        <f t="shared" si="5"/>
        <v>13395000</v>
      </c>
      <c r="I30" s="21">
        <f t="shared" si="5"/>
        <v>16430000</v>
      </c>
      <c r="J30" s="21">
        <f t="shared" si="5"/>
        <v>19802000</v>
      </c>
      <c r="K30" s="21">
        <f t="shared" si="5"/>
        <v>21298000</v>
      </c>
      <c r="L30" s="21">
        <f t="shared" si="5"/>
        <v>24618000</v>
      </c>
      <c r="M30" s="21">
        <f t="shared" si="5"/>
        <v>41211000</v>
      </c>
      <c r="N30" s="21">
        <f t="shared" si="5"/>
        <v>42597000</v>
      </c>
      <c r="O30" s="21">
        <f t="shared" si="5"/>
        <v>46353000</v>
      </c>
      <c r="P30" s="21">
        <f t="shared" si="5"/>
        <v>53352000</v>
      </c>
      <c r="Q30" s="21">
        <f t="shared" si="5"/>
        <v>65367000</v>
      </c>
      <c r="R30" s="21">
        <f t="shared" si="5"/>
        <v>64009000</v>
      </c>
      <c r="S30" s="21">
        <f t="shared" si="5"/>
        <v>69727000</v>
      </c>
      <c r="T30" s="21">
        <f t="shared" si="5"/>
        <v>73996800</v>
      </c>
      <c r="U30" s="21">
        <f t="shared" si="5"/>
        <v>88691800</v>
      </c>
      <c r="V30" s="21">
        <f t="shared" si="5"/>
        <v>87985700</v>
      </c>
      <c r="W30" s="21">
        <f t="shared" si="5"/>
        <v>89016900</v>
      </c>
      <c r="X30" s="21">
        <f t="shared" si="5"/>
        <v>94851800</v>
      </c>
      <c r="Y30" s="21">
        <f t="shared" si="5"/>
        <v>115710000</v>
      </c>
      <c r="Z30" s="21">
        <f>SUM(Z26:Z29)</f>
        <v>118162756.23</v>
      </c>
      <c r="AN30" s="21">
        <f>SUM(AN26:AN29)</f>
        <v>49480000</v>
      </c>
      <c r="AO30" s="21">
        <f>SUM(AO26:AO29)</f>
        <v>70925000</v>
      </c>
      <c r="AP30" s="21">
        <f>SUM(AP26:AP29)</f>
        <v>154779000</v>
      </c>
      <c r="AQ30" s="21">
        <f>SUM(AQ26:AQ29)</f>
        <v>252454653.54968593</v>
      </c>
      <c r="AR30" s="21">
        <f>SUM(AR26:AR29)</f>
        <v>339691200</v>
      </c>
    </row>
    <row r="31" spans="2:44" x14ac:dyDescent="0.25"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N31" s="24"/>
      <c r="AO31" s="24"/>
      <c r="AP31" s="24"/>
      <c r="AQ31" s="24"/>
      <c r="AR31" s="24"/>
    </row>
    <row r="32" spans="2:44" x14ac:dyDescent="0.25">
      <c r="B32" s="21" t="s">
        <v>34</v>
      </c>
      <c r="D32" s="21">
        <f>'[1]GAAP IS'!C18</f>
        <v>25368000</v>
      </c>
      <c r="E32" s="21">
        <f>'[1]GAAP IS'!D18</f>
        <v>31612000</v>
      </c>
      <c r="F32" s="21">
        <f>'[1]GAAP IS'!E18</f>
        <v>33654000</v>
      </c>
      <c r="G32" s="21">
        <f>'[1]GAAP IS'!F18</f>
        <v>31744000</v>
      </c>
      <c r="H32" s="21">
        <f>'[1]GAAP IS'!G18</f>
        <v>33768000</v>
      </c>
      <c r="I32" s="21">
        <f>'[1]GAAP IS'!H18</f>
        <v>41634000</v>
      </c>
      <c r="J32" s="21">
        <f>'[1]GAAP IS'!I18</f>
        <v>104806000</v>
      </c>
      <c r="K32" s="21">
        <f>'[1]GAAP IS'!J18</f>
        <v>69128000</v>
      </c>
      <c r="L32" s="21">
        <f>'[1]GAAP IS'!K18</f>
        <v>78013000</v>
      </c>
      <c r="M32" s="21">
        <f>'[1]GAAP IS'!L18</f>
        <v>94989000</v>
      </c>
      <c r="N32" s="21">
        <f>'[1]GAAP IS'!M18</f>
        <v>110291000</v>
      </c>
      <c r="O32" s="21">
        <f>'[1]GAAP IS'!N18</f>
        <v>135350000</v>
      </c>
      <c r="P32" s="21">
        <f>'[1]GAAP IS'!O18</f>
        <v>144961000</v>
      </c>
      <c r="Q32" s="21">
        <f>'[1]GAAP IS'!P18</f>
        <v>156747000</v>
      </c>
      <c r="R32" s="21">
        <f>'[1]GAAP IS'!Q18</f>
        <v>161792000</v>
      </c>
      <c r="S32" s="21">
        <f>'[1]GAAP IS'!R18</f>
        <v>152318000</v>
      </c>
      <c r="T32" s="21">
        <f>'[1]GAAP IS'!S18</f>
        <v>132965000</v>
      </c>
      <c r="U32" s="21">
        <f>'[1]GAAP IS'!T18</f>
        <v>119833000</v>
      </c>
      <c r="V32" s="21">
        <f>'[1]GAAP IS'!U18</f>
        <v>124828000</v>
      </c>
      <c r="W32" s="21">
        <f>'[1]GAAP IS'!V18</f>
        <v>124231000</v>
      </c>
      <c r="X32" s="21">
        <f>'[1]GAAP IS'!W18</f>
        <v>134290000</v>
      </c>
      <c r="Y32" s="21">
        <f>'[1]GAAP IS'!X18</f>
        <v>148213000</v>
      </c>
      <c r="Z32" s="21">
        <f>'[1]GAAP IS'!Y18</f>
        <v>152620000</v>
      </c>
      <c r="AN32" s="21">
        <f>'[1]GAAP IS'!AB18</f>
        <v>122378000</v>
      </c>
      <c r="AO32" s="21">
        <f>'[1]GAAP IS'!AC18</f>
        <v>249336000</v>
      </c>
      <c r="AP32" s="21">
        <f>'[1]GAAP IS'!AD18</f>
        <v>418643000</v>
      </c>
      <c r="AQ32" s="21">
        <f>'[1]GAAP IS'!AE18</f>
        <v>615818000</v>
      </c>
      <c r="AR32" s="21">
        <f>'[1]GAAP IS'!AF18</f>
        <v>501857000</v>
      </c>
    </row>
    <row r="33" spans="2:44" x14ac:dyDescent="0.25">
      <c r="B33" s="26" t="s">
        <v>118</v>
      </c>
      <c r="D33" s="24">
        <v>-1601000</v>
      </c>
      <c r="E33" s="24">
        <v>-1808000</v>
      </c>
      <c r="F33" s="24">
        <v>-2188000</v>
      </c>
      <c r="G33" s="24">
        <v>-1702000</v>
      </c>
      <c r="H33" s="24">
        <v>-3124000</v>
      </c>
      <c r="I33" s="24">
        <v>-2723000</v>
      </c>
      <c r="J33" s="24">
        <v>-3655000</v>
      </c>
      <c r="K33" s="24">
        <v>-5178000</v>
      </c>
      <c r="L33" s="24">
        <v>-7418000</v>
      </c>
      <c r="M33" s="24">
        <v>-9012000</v>
      </c>
      <c r="N33" s="24">
        <v>-10058000</v>
      </c>
      <c r="O33" s="24">
        <v>-13992000</v>
      </c>
      <c r="P33" s="24">
        <v>-17963000</v>
      </c>
      <c r="Q33" s="24">
        <v>-20154000</v>
      </c>
      <c r="R33" s="24">
        <v>-39167000</v>
      </c>
      <c r="S33" s="24">
        <v>-34737000</v>
      </c>
      <c r="T33" s="24">
        <v>-31676000</v>
      </c>
      <c r="U33" s="24">
        <v>-38530900</v>
      </c>
      <c r="V33" s="24">
        <v>-43841200</v>
      </c>
      <c r="W33" s="24">
        <v>-42875400</v>
      </c>
      <c r="X33" s="24">
        <v>-45391600</v>
      </c>
      <c r="Y33" s="24">
        <v>-53683000</v>
      </c>
      <c r="Z33" s="24">
        <v>-58756810.469999999</v>
      </c>
      <c r="AN33" s="24">
        <v>-7299000</v>
      </c>
      <c r="AO33" s="24">
        <v>-14680000</v>
      </c>
      <c r="AP33" s="24">
        <v>-40480000</v>
      </c>
      <c r="AQ33" s="24">
        <v>-112021051.79000001</v>
      </c>
      <c r="AR33" s="24">
        <v>-156924000</v>
      </c>
    </row>
    <row r="34" spans="2:44" x14ac:dyDescent="0.25">
      <c r="B34" s="26" t="s">
        <v>119</v>
      </c>
      <c r="D34" s="24">
        <v>-3327000</v>
      </c>
      <c r="E34" s="24">
        <v>-3610000</v>
      </c>
      <c r="F34" s="24">
        <v>-3360000</v>
      </c>
      <c r="G34" s="24">
        <v>-1988000</v>
      </c>
      <c r="H34" s="24">
        <v>-2213000</v>
      </c>
      <c r="I34" s="24">
        <v>-2556000</v>
      </c>
      <c r="J34" s="24">
        <v>-52058000</v>
      </c>
      <c r="K34" s="24">
        <v>-19817000</v>
      </c>
      <c r="L34" s="24">
        <v>-20067000</v>
      </c>
      <c r="M34" s="24">
        <v>-21427000</v>
      </c>
      <c r="N34" s="24">
        <v>-33639000</v>
      </c>
      <c r="O34" s="24">
        <v>-41398000</v>
      </c>
      <c r="P34" s="24">
        <v>-43428000</v>
      </c>
      <c r="Q34" s="24">
        <v>-48534000</v>
      </c>
      <c r="R34" s="24">
        <v>-45040000</v>
      </c>
      <c r="S34" s="24">
        <v>-44394000</v>
      </c>
      <c r="T34" s="24">
        <v>-35135000</v>
      </c>
      <c r="U34" s="24">
        <v>-22567000</v>
      </c>
      <c r="V34" s="24">
        <v>-21104900</v>
      </c>
      <c r="W34" s="24">
        <v>-17789000</v>
      </c>
      <c r="X34" s="24">
        <v>-25972000</v>
      </c>
      <c r="Y34" s="24">
        <v>-23677000</v>
      </c>
      <c r="Z34" s="24">
        <v>-21309000</v>
      </c>
      <c r="AN34" s="24">
        <v>-12285000</v>
      </c>
      <c r="AO34" s="24">
        <v>-76644000</v>
      </c>
      <c r="AP34" s="24">
        <v>-116531000</v>
      </c>
      <c r="AQ34" s="24">
        <v>-181396505.09265301</v>
      </c>
      <c r="AR34" s="24">
        <v>-96595900</v>
      </c>
    </row>
    <row r="35" spans="2:44" x14ac:dyDescent="0.25">
      <c r="B35" s="26" t="s">
        <v>120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N35" s="24">
        <v>0</v>
      </c>
      <c r="AO35" s="24">
        <v>0</v>
      </c>
      <c r="AP35" s="24">
        <v>0</v>
      </c>
      <c r="AQ35" s="24">
        <v>0</v>
      </c>
      <c r="AR35" s="24">
        <v>0</v>
      </c>
    </row>
    <row r="36" spans="2:44" x14ac:dyDescent="0.25">
      <c r="B36" s="21" t="s">
        <v>122</v>
      </c>
      <c r="D36" s="21">
        <f t="shared" ref="D36:Z36" si="6">SUM(D32:D35)</f>
        <v>20440000</v>
      </c>
      <c r="E36" s="21">
        <f t="shared" si="6"/>
        <v>26194000</v>
      </c>
      <c r="F36" s="21">
        <f t="shared" si="6"/>
        <v>28106000</v>
      </c>
      <c r="G36" s="21">
        <f t="shared" si="6"/>
        <v>28054000</v>
      </c>
      <c r="H36" s="21">
        <f t="shared" si="6"/>
        <v>28431000</v>
      </c>
      <c r="I36" s="21">
        <f t="shared" si="6"/>
        <v>36355000</v>
      </c>
      <c r="J36" s="21">
        <f t="shared" si="6"/>
        <v>49093000</v>
      </c>
      <c r="K36" s="21">
        <f t="shared" si="6"/>
        <v>44133000</v>
      </c>
      <c r="L36" s="21">
        <f t="shared" si="6"/>
        <v>50528000</v>
      </c>
      <c r="M36" s="21">
        <f t="shared" si="6"/>
        <v>64550000</v>
      </c>
      <c r="N36" s="21">
        <f t="shared" si="6"/>
        <v>66594000</v>
      </c>
      <c r="O36" s="21">
        <f t="shared" si="6"/>
        <v>79960000</v>
      </c>
      <c r="P36" s="21">
        <f t="shared" si="6"/>
        <v>83570000</v>
      </c>
      <c r="Q36" s="21">
        <f t="shared" si="6"/>
        <v>88059000</v>
      </c>
      <c r="R36" s="21">
        <f t="shared" si="6"/>
        <v>77585000</v>
      </c>
      <c r="S36" s="21">
        <f t="shared" si="6"/>
        <v>73187000</v>
      </c>
      <c r="T36" s="21">
        <f t="shared" si="6"/>
        <v>66154000</v>
      </c>
      <c r="U36" s="21">
        <f t="shared" si="6"/>
        <v>58735100</v>
      </c>
      <c r="V36" s="21">
        <f t="shared" si="6"/>
        <v>59881900</v>
      </c>
      <c r="W36" s="21">
        <f t="shared" si="6"/>
        <v>63566600</v>
      </c>
      <c r="X36" s="21">
        <f t="shared" si="6"/>
        <v>62926400</v>
      </c>
      <c r="Y36" s="21">
        <f t="shared" si="6"/>
        <v>70853000</v>
      </c>
      <c r="Z36" s="21">
        <f t="shared" si="6"/>
        <v>72554189.530000001</v>
      </c>
      <c r="AN36" s="21">
        <f>SUM(AN32:AN35)</f>
        <v>102794000</v>
      </c>
      <c r="AO36" s="21">
        <f>SUM(AO32:AO35)</f>
        <v>158012000</v>
      </c>
      <c r="AP36" s="21">
        <f>SUM(AP32:AP35)</f>
        <v>261632000</v>
      </c>
      <c r="AQ36" s="21">
        <f>SUM(AQ32:AQ35)</f>
        <v>322400443.117347</v>
      </c>
      <c r="AR36" s="21">
        <f>SUM(AR32:AR35)</f>
        <v>248337100</v>
      </c>
    </row>
    <row r="37" spans="2:44" x14ac:dyDescent="0.25"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N37" s="24"/>
      <c r="AO37" s="24"/>
      <c r="AP37" s="24"/>
      <c r="AQ37" s="24"/>
      <c r="AR37" s="24"/>
    </row>
    <row r="38" spans="2:44" x14ac:dyDescent="0.25">
      <c r="B38" s="21" t="s">
        <v>35</v>
      </c>
      <c r="D38" s="21">
        <f>'[1]GAAP IS'!C19</f>
        <v>5219000</v>
      </c>
      <c r="E38" s="21">
        <f>'[1]GAAP IS'!D19</f>
        <v>7651000</v>
      </c>
      <c r="F38" s="21">
        <f>'[1]GAAP IS'!E19</f>
        <v>7108000</v>
      </c>
      <c r="G38" s="21">
        <f>'[1]GAAP IS'!F19</f>
        <v>5066000</v>
      </c>
      <c r="H38" s="21">
        <f>'[1]GAAP IS'!G19</f>
        <v>22582000</v>
      </c>
      <c r="I38" s="21">
        <f>'[1]GAAP IS'!H19</f>
        <v>39112000</v>
      </c>
      <c r="J38" s="21">
        <f>'[1]GAAP IS'!I19</f>
        <v>58184000</v>
      </c>
      <c r="K38" s="21">
        <f>'[1]GAAP IS'!J19</f>
        <v>62312000</v>
      </c>
      <c r="L38" s="21">
        <f>'[1]GAAP IS'!K19</f>
        <v>63960000</v>
      </c>
      <c r="M38" s="21">
        <f>'[1]GAAP IS'!L19</f>
        <v>143476000</v>
      </c>
      <c r="N38" s="21">
        <f>'[1]GAAP IS'!M19</f>
        <v>156214000</v>
      </c>
      <c r="O38" s="21">
        <f>'[1]GAAP IS'!N19</f>
        <v>168693000</v>
      </c>
      <c r="P38" s="21">
        <f>'[1]GAAP IS'!O19</f>
        <v>163873000</v>
      </c>
      <c r="Q38" s="21">
        <f>'[1]GAAP IS'!P19</f>
        <v>188334000</v>
      </c>
      <c r="R38" s="21">
        <f>'[1]GAAP IS'!Q19</f>
        <v>140942000</v>
      </c>
      <c r="S38" s="21">
        <f>'[1]GAAP IS'!R19</f>
        <v>145131000</v>
      </c>
      <c r="T38" s="21">
        <f>'[1]GAAP IS'!S19</f>
        <v>146866000</v>
      </c>
      <c r="U38" s="21">
        <f>'[1]GAAP IS'!T19</f>
        <v>161265000</v>
      </c>
      <c r="V38" s="21">
        <f>'[1]GAAP IS'!U19</f>
        <v>132950000</v>
      </c>
      <c r="W38" s="21">
        <f>'[1]GAAP IS'!V19</f>
        <v>135324000</v>
      </c>
      <c r="X38" s="21">
        <f>'[1]GAAP IS'!W19</f>
        <v>145233000</v>
      </c>
      <c r="Y38" s="21">
        <f>'[1]GAAP IS'!X19</f>
        <v>136038000</v>
      </c>
      <c r="Z38" s="21">
        <f>'[1]GAAP IS'!Y19</f>
        <v>74022000</v>
      </c>
      <c r="AN38" s="21">
        <f>'[1]GAAP IS'!AB19</f>
        <v>25044000</v>
      </c>
      <c r="AO38" s="21">
        <f>'[1]GAAP IS'!AC19</f>
        <v>182190000</v>
      </c>
      <c r="AP38" s="21">
        <f>'[1]GAAP IS'!AD19</f>
        <v>532343000</v>
      </c>
      <c r="AQ38" s="21">
        <f>'[1]GAAP IS'!AE19</f>
        <v>638280000</v>
      </c>
      <c r="AR38" s="21">
        <f>'[1]GAAP IS'!AF19</f>
        <v>576405000</v>
      </c>
    </row>
    <row r="39" spans="2:44" x14ac:dyDescent="0.25">
      <c r="B39" s="26" t="s">
        <v>118</v>
      </c>
      <c r="D39" s="24">
        <v>-388000</v>
      </c>
      <c r="E39" s="24">
        <v>-457000</v>
      </c>
      <c r="F39" s="24">
        <v>-503000</v>
      </c>
      <c r="G39" s="24">
        <v>-237000</v>
      </c>
      <c r="H39" s="24">
        <v>-406000</v>
      </c>
      <c r="I39" s="24">
        <v>-439000</v>
      </c>
      <c r="J39" s="24">
        <v>-475000</v>
      </c>
      <c r="K39" s="24">
        <v>-636000</v>
      </c>
      <c r="L39" s="24">
        <v>-482000</v>
      </c>
      <c r="M39" s="24">
        <v>-2376616</v>
      </c>
      <c r="N39" s="24">
        <v>-2372076</v>
      </c>
      <c r="O39" s="24">
        <v>-2313513.2714740299</v>
      </c>
      <c r="P39" s="24">
        <v>-2198938</v>
      </c>
      <c r="Q39" s="24">
        <v>-2160525.0099999998</v>
      </c>
      <c r="R39" s="24">
        <v>-5890000</v>
      </c>
      <c r="S39" s="24">
        <v>-7773200</v>
      </c>
      <c r="T39" s="24">
        <v>-7680800</v>
      </c>
      <c r="U39" s="24">
        <v>-720900</v>
      </c>
      <c r="V39" s="24">
        <v>-683200</v>
      </c>
      <c r="W39" s="24">
        <v>-757000</v>
      </c>
      <c r="X39" s="24">
        <v>-686000</v>
      </c>
      <c r="Y39" s="24">
        <v>-664000</v>
      </c>
      <c r="Z39" s="24">
        <v>-117067.97</v>
      </c>
      <c r="AN39" s="24">
        <v>-1585000</v>
      </c>
      <c r="AO39" s="24">
        <v>-1956000</v>
      </c>
      <c r="AP39" s="24">
        <v>-7544205.2714740299</v>
      </c>
      <c r="AQ39" s="24">
        <v>-18022876.210000001</v>
      </c>
      <c r="AR39" s="24">
        <v>-9842000</v>
      </c>
    </row>
    <row r="40" spans="2:44" x14ac:dyDescent="0.25">
      <c r="B40" s="26" t="s">
        <v>119</v>
      </c>
      <c r="D40" s="24">
        <v>-1291000</v>
      </c>
      <c r="E40" s="24">
        <v>-963000</v>
      </c>
      <c r="F40" s="24">
        <v>-918000</v>
      </c>
      <c r="G40" s="24">
        <v>-868000</v>
      </c>
      <c r="H40" s="24">
        <v>-760000</v>
      </c>
      <c r="I40" s="24">
        <v>-581000</v>
      </c>
      <c r="J40" s="24">
        <v>-10568000</v>
      </c>
      <c r="K40" s="24">
        <v>-5183000</v>
      </c>
      <c r="L40" s="24">
        <v>-5024000</v>
      </c>
      <c r="M40" s="24">
        <v>-4632722.96</v>
      </c>
      <c r="N40" s="24">
        <v>-5998000</v>
      </c>
      <c r="O40" s="24">
        <v>-7569000</v>
      </c>
      <c r="P40" s="24">
        <v>-8128000</v>
      </c>
      <c r="Q40" s="24">
        <v>-5549000</v>
      </c>
      <c r="R40" s="24">
        <v>-5840000</v>
      </c>
      <c r="S40" s="24">
        <v>-6397000</v>
      </c>
      <c r="T40" s="24">
        <v>-5465000</v>
      </c>
      <c r="U40" s="24">
        <v>-4305000</v>
      </c>
      <c r="V40" s="24">
        <v>-3858000</v>
      </c>
      <c r="W40" s="24">
        <v>-2746000</v>
      </c>
      <c r="X40" s="24">
        <v>-5195000</v>
      </c>
      <c r="Y40" s="24">
        <v>-4482000</v>
      </c>
      <c r="Z40" s="24">
        <v>-3749000</v>
      </c>
      <c r="AN40" s="24">
        <v>-4040000</v>
      </c>
      <c r="AO40" s="24">
        <v>-17092000</v>
      </c>
      <c r="AP40" s="24">
        <v>-23223722.960000001</v>
      </c>
      <c r="AQ40" s="24">
        <v>-25913527.410942301</v>
      </c>
      <c r="AR40" s="24">
        <v>-16374000</v>
      </c>
    </row>
    <row r="41" spans="2:44" x14ac:dyDescent="0.25">
      <c r="B41" s="26" t="s">
        <v>123</v>
      </c>
      <c r="D41" s="24">
        <v>0</v>
      </c>
      <c r="E41" s="24">
        <v>0</v>
      </c>
      <c r="F41" s="24">
        <v>0</v>
      </c>
      <c r="G41" s="24">
        <v>0</v>
      </c>
      <c r="H41" s="24">
        <v>-14261000</v>
      </c>
      <c r="I41" s="24">
        <v>-17039000</v>
      </c>
      <c r="J41" s="24">
        <v>-16668000</v>
      </c>
      <c r="K41" s="24">
        <v>-16853000</v>
      </c>
      <c r="L41" s="24">
        <v>-17038521.82</v>
      </c>
      <c r="M41" s="24">
        <v>-87673105</v>
      </c>
      <c r="N41" s="24">
        <v>-119039009.12</v>
      </c>
      <c r="O41" s="24">
        <v>-119517354.29000001</v>
      </c>
      <c r="P41" s="24">
        <v>-128205276.95999999</v>
      </c>
      <c r="Q41" s="24">
        <v>-147516237.56999999</v>
      </c>
      <c r="R41" s="24">
        <v>-112961000</v>
      </c>
      <c r="S41" s="24">
        <v>-110467400</v>
      </c>
      <c r="T41" s="24">
        <v>-115373000</v>
      </c>
      <c r="U41" s="24">
        <v>-134167300</v>
      </c>
      <c r="V41" s="24">
        <v>-111829000</v>
      </c>
      <c r="W41" s="24">
        <v>-114226000</v>
      </c>
      <c r="X41" s="24">
        <v>-121518600</v>
      </c>
      <c r="Y41" s="24">
        <v>-101032000</v>
      </c>
      <c r="Z41" s="24">
        <v>-46975272.759999998</v>
      </c>
      <c r="AN41" s="24">
        <v>0</v>
      </c>
      <c r="AO41" s="24">
        <v>-64821000</v>
      </c>
      <c r="AP41" s="24">
        <v>-343267990.23000002</v>
      </c>
      <c r="AQ41" s="24">
        <v>-499150407.50999999</v>
      </c>
      <c r="AR41" s="24">
        <v>-475595300</v>
      </c>
    </row>
    <row r="42" spans="2:44" x14ac:dyDescent="0.25">
      <c r="B42" s="26" t="s">
        <v>120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-941756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-1929678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N42" s="24">
        <v>0</v>
      </c>
      <c r="AO42" s="24">
        <v>-941756</v>
      </c>
      <c r="AP42" s="24">
        <v>0</v>
      </c>
      <c r="AQ42" s="24">
        <v>-1929678</v>
      </c>
      <c r="AR42" s="24">
        <v>0</v>
      </c>
    </row>
    <row r="43" spans="2:44" x14ac:dyDescent="0.25">
      <c r="B43" s="21" t="s">
        <v>124</v>
      </c>
      <c r="D43" s="21">
        <f t="shared" ref="D43:Z43" si="7">SUM(D38:D42)</f>
        <v>3540000</v>
      </c>
      <c r="E43" s="21">
        <f t="shared" si="7"/>
        <v>6231000</v>
      </c>
      <c r="F43" s="21">
        <f t="shared" si="7"/>
        <v>5687000</v>
      </c>
      <c r="G43" s="21">
        <f t="shared" si="7"/>
        <v>3961000</v>
      </c>
      <c r="H43" s="21">
        <f t="shared" si="7"/>
        <v>7155000</v>
      </c>
      <c r="I43" s="21">
        <f t="shared" si="7"/>
        <v>20111244</v>
      </c>
      <c r="J43" s="21">
        <f t="shared" si="7"/>
        <v>30473000</v>
      </c>
      <c r="K43" s="21">
        <f t="shared" si="7"/>
        <v>39640000</v>
      </c>
      <c r="L43" s="21">
        <f t="shared" si="7"/>
        <v>41415478.18</v>
      </c>
      <c r="M43" s="21">
        <f t="shared" si="7"/>
        <v>48793556.039999992</v>
      </c>
      <c r="N43" s="21">
        <f t="shared" si="7"/>
        <v>28804914.879999995</v>
      </c>
      <c r="O43" s="21">
        <f t="shared" si="7"/>
        <v>39293132.43852596</v>
      </c>
      <c r="P43" s="21">
        <f t="shared" si="7"/>
        <v>25340785.040000007</v>
      </c>
      <c r="Q43" s="21">
        <f t="shared" si="7"/>
        <v>31178559.420000017</v>
      </c>
      <c r="R43" s="21">
        <f t="shared" si="7"/>
        <v>16251000</v>
      </c>
      <c r="S43" s="21">
        <f t="shared" si="7"/>
        <v>20493400</v>
      </c>
      <c r="T43" s="21">
        <f t="shared" si="7"/>
        <v>18347200</v>
      </c>
      <c r="U43" s="21">
        <f t="shared" si="7"/>
        <v>22071800</v>
      </c>
      <c r="V43" s="21">
        <f t="shared" si="7"/>
        <v>16579800</v>
      </c>
      <c r="W43" s="21">
        <f t="shared" si="7"/>
        <v>17595000</v>
      </c>
      <c r="X43" s="21">
        <f t="shared" si="7"/>
        <v>17833400</v>
      </c>
      <c r="Y43" s="21">
        <f t="shared" si="7"/>
        <v>29860000</v>
      </c>
      <c r="Z43" s="21">
        <f t="shared" si="7"/>
        <v>23180659.270000003</v>
      </c>
      <c r="AN43" s="21">
        <f>SUM(AN38:AN42)</f>
        <v>19419000</v>
      </c>
      <c r="AO43" s="21">
        <f>SUM(AO38:AO42)</f>
        <v>97379244</v>
      </c>
      <c r="AP43" s="21">
        <f>SUM(AP38:AP42)</f>
        <v>158307081.538526</v>
      </c>
      <c r="AQ43" s="21">
        <f>SUM(AQ38:AQ42)</f>
        <v>93263510.869057655</v>
      </c>
      <c r="AR43" s="21">
        <f>SUM(AR38:AR42)</f>
        <v>74593700</v>
      </c>
    </row>
    <row r="44" spans="2:44" x14ac:dyDescent="0.25"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N44" s="24"/>
      <c r="AO44" s="24"/>
      <c r="AP44" s="24"/>
      <c r="AQ44" s="24"/>
      <c r="AR44" s="24"/>
    </row>
    <row r="45" spans="2:44" x14ac:dyDescent="0.25">
      <c r="B45" s="21" t="s">
        <v>36</v>
      </c>
      <c r="D45" s="21">
        <f>'[1]GAAP IS'!C20</f>
        <v>27704000</v>
      </c>
      <c r="E45" s="21">
        <f>'[1]GAAP IS'!D20</f>
        <v>30688000</v>
      </c>
      <c r="F45" s="21">
        <f>'[1]GAAP IS'!E20</f>
        <v>31399000</v>
      </c>
      <c r="G45" s="21">
        <f>'[1]GAAP IS'!F20</f>
        <v>31439000</v>
      </c>
      <c r="H45" s="21">
        <f>'[1]GAAP IS'!G20</f>
        <v>32273000</v>
      </c>
      <c r="I45" s="21">
        <f>'[1]GAAP IS'!H20</f>
        <v>40916000</v>
      </c>
      <c r="J45" s="21">
        <f>'[1]GAAP IS'!I20</f>
        <v>179999000</v>
      </c>
      <c r="K45" s="21">
        <f>'[1]GAAP IS'!J20</f>
        <v>130561000</v>
      </c>
      <c r="L45" s="21">
        <f>'[1]GAAP IS'!K20</f>
        <v>136204000</v>
      </c>
      <c r="M45" s="21">
        <f>'[1]GAAP IS'!L20</f>
        <v>141292000</v>
      </c>
      <c r="N45" s="21">
        <f>'[1]GAAP IS'!M20</f>
        <v>142466000</v>
      </c>
      <c r="O45" s="21">
        <f>'[1]GAAP IS'!N20</f>
        <v>157531000</v>
      </c>
      <c r="P45" s="21">
        <f>'[1]GAAP IS'!O20</f>
        <v>160972000</v>
      </c>
      <c r="Q45" s="21">
        <f>'[1]GAAP IS'!P20</f>
        <v>158639000</v>
      </c>
      <c r="R45" s="21">
        <f>'[1]GAAP IS'!Q20</f>
        <v>139266000</v>
      </c>
      <c r="S45" s="21">
        <f>'[1]GAAP IS'!R20</f>
        <v>127521000</v>
      </c>
      <c r="T45" s="21">
        <f>'[1]GAAP IS'!S20</f>
        <v>140334000</v>
      </c>
      <c r="U45" s="21">
        <f>'[1]GAAP IS'!T20</f>
        <v>132777000</v>
      </c>
      <c r="V45" s="21">
        <f>'[1]GAAP IS'!U20</f>
        <v>128721000</v>
      </c>
      <c r="W45" s="21">
        <f>'[1]GAAP IS'!V20</f>
        <v>123459000</v>
      </c>
      <c r="X45" s="21">
        <f>'[1]GAAP IS'!W20</f>
        <v>138482000</v>
      </c>
      <c r="Y45" s="21">
        <f>'[1]GAAP IS'!X20</f>
        <v>139412000</v>
      </c>
      <c r="Z45" s="21">
        <f>'[1]GAAP IS'!Y20</f>
        <v>134303000</v>
      </c>
      <c r="AN45" s="21">
        <f>'[1]GAAP IS'!AB20</f>
        <v>121230000</v>
      </c>
      <c r="AO45" s="21">
        <f>'[1]GAAP IS'!AC20</f>
        <v>383749000</v>
      </c>
      <c r="AP45" s="21">
        <f>'[1]GAAP IS'!AD20</f>
        <v>577493000</v>
      </c>
      <c r="AQ45" s="21">
        <f>'[1]GAAP IS'!AE20</f>
        <v>586398000</v>
      </c>
      <c r="AR45" s="21">
        <f>'[1]GAAP IS'!AF20</f>
        <v>525291000</v>
      </c>
    </row>
    <row r="46" spans="2:44" x14ac:dyDescent="0.25">
      <c r="B46" s="26" t="s">
        <v>118</v>
      </c>
      <c r="D46" s="24">
        <v>-62000</v>
      </c>
      <c r="E46" s="24">
        <v>-85000</v>
      </c>
      <c r="F46" s="24">
        <v>-99000</v>
      </c>
      <c r="G46" s="24">
        <v>-44000</v>
      </c>
      <c r="H46" s="24">
        <v>-113000</v>
      </c>
      <c r="I46" s="24">
        <v>-104000</v>
      </c>
      <c r="J46" s="24">
        <v>-771000</v>
      </c>
      <c r="K46" s="24">
        <v>-1920000</v>
      </c>
      <c r="L46" s="24">
        <v>-2414000</v>
      </c>
      <c r="M46" s="24">
        <v>-467000</v>
      </c>
      <c r="N46" s="24">
        <v>-549000</v>
      </c>
      <c r="O46" s="24">
        <v>-664000</v>
      </c>
      <c r="P46" s="24">
        <v>-625000</v>
      </c>
      <c r="Q46" s="24">
        <v>-581000</v>
      </c>
      <c r="R46" s="24">
        <v>-911000</v>
      </c>
      <c r="S46" s="24">
        <v>-660000</v>
      </c>
      <c r="T46" s="24">
        <v>-604200</v>
      </c>
      <c r="U46" s="24">
        <v>-961600</v>
      </c>
      <c r="V46" s="24">
        <v>-605800</v>
      </c>
      <c r="W46" s="24">
        <v>-616100</v>
      </c>
      <c r="X46" s="24">
        <v>-605200</v>
      </c>
      <c r="Y46" s="24">
        <v>-573000</v>
      </c>
      <c r="Z46" s="24">
        <v>-571430.93000000005</v>
      </c>
      <c r="AN46" s="24">
        <v>-290000</v>
      </c>
      <c r="AO46" s="24">
        <v>-2908000</v>
      </c>
      <c r="AP46" s="24">
        <v>-4094000</v>
      </c>
      <c r="AQ46" s="24">
        <v>-2777451.42</v>
      </c>
      <c r="AR46" s="24">
        <v>-2787700</v>
      </c>
    </row>
    <row r="47" spans="2:44" x14ac:dyDescent="0.25">
      <c r="B47" s="26" t="s">
        <v>119</v>
      </c>
      <c r="D47" s="24">
        <v>-3812000</v>
      </c>
      <c r="E47" s="24">
        <v>-3689000</v>
      </c>
      <c r="F47" s="24">
        <v>-3665000</v>
      </c>
      <c r="G47" s="24">
        <v>-2496000</v>
      </c>
      <c r="H47" s="24">
        <v>-3204000</v>
      </c>
      <c r="I47" s="24">
        <v>-3097000</v>
      </c>
      <c r="J47" s="24">
        <v>-115567000</v>
      </c>
      <c r="K47" s="24">
        <v>-74685000</v>
      </c>
      <c r="L47" s="24">
        <v>-67742000</v>
      </c>
      <c r="M47" s="24">
        <v>-61947000</v>
      </c>
      <c r="N47" s="24">
        <v>-58100000</v>
      </c>
      <c r="O47" s="24">
        <v>-61008000</v>
      </c>
      <c r="P47" s="24">
        <v>-67340000</v>
      </c>
      <c r="Q47" s="24">
        <v>-66659000</v>
      </c>
      <c r="R47" s="24">
        <v>-54789000</v>
      </c>
      <c r="S47" s="24">
        <v>-51135330</v>
      </c>
      <c r="T47" s="24">
        <v>-70184000</v>
      </c>
      <c r="U47" s="24">
        <v>-61939000</v>
      </c>
      <c r="V47" s="24">
        <v>-51947000</v>
      </c>
      <c r="W47" s="24">
        <v>-44264000</v>
      </c>
      <c r="X47" s="24">
        <v>-62804000</v>
      </c>
      <c r="Y47" s="24">
        <v>-57719000</v>
      </c>
      <c r="Z47" s="24">
        <v>-50344000</v>
      </c>
      <c r="AN47" s="24">
        <v>-13662000</v>
      </c>
      <c r="AO47" s="24">
        <v>-196553000</v>
      </c>
      <c r="AP47" s="24">
        <v>-248797000</v>
      </c>
      <c r="AQ47" s="24">
        <v>-239922581.08609101</v>
      </c>
      <c r="AR47" s="24">
        <v>-228334000</v>
      </c>
    </row>
    <row r="48" spans="2:44" x14ac:dyDescent="0.25">
      <c r="B48" s="26" t="s">
        <v>120</v>
      </c>
      <c r="D48" s="24">
        <v>0</v>
      </c>
      <c r="E48" s="24">
        <v>0</v>
      </c>
      <c r="F48" s="24">
        <v>0</v>
      </c>
      <c r="G48" s="24">
        <v>0</v>
      </c>
      <c r="H48" s="24">
        <v>-1191000</v>
      </c>
      <c r="I48" s="24">
        <v>-2029000</v>
      </c>
      <c r="J48" s="24">
        <v>-12953000</v>
      </c>
      <c r="K48" s="24">
        <v>-3582000</v>
      </c>
      <c r="L48" s="24">
        <v>-209000</v>
      </c>
      <c r="M48" s="24">
        <v>-94000</v>
      </c>
      <c r="N48" s="24">
        <v>-25000</v>
      </c>
      <c r="O48" s="24">
        <v>-415000</v>
      </c>
      <c r="P48" s="24">
        <v>-5000</v>
      </c>
      <c r="Q48" s="24">
        <v>-3273000</v>
      </c>
      <c r="R48" s="24">
        <v>-2858000</v>
      </c>
      <c r="S48" s="24">
        <v>-517200</v>
      </c>
      <c r="T48" s="24">
        <v>66400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N48" s="24">
        <v>0</v>
      </c>
      <c r="AO48" s="24">
        <v>-19755000</v>
      </c>
      <c r="AP48" s="24">
        <v>-743000</v>
      </c>
      <c r="AQ48" s="24">
        <v>-6653162.6900000004</v>
      </c>
      <c r="AR48" s="24">
        <v>66400</v>
      </c>
    </row>
    <row r="49" spans="2:44" x14ac:dyDescent="0.25">
      <c r="B49" s="21" t="s">
        <v>125</v>
      </c>
      <c r="D49" s="21">
        <f t="shared" ref="D49:Z49" si="8">SUM(D45:D48)</f>
        <v>23830000</v>
      </c>
      <c r="E49" s="21">
        <f t="shared" si="8"/>
        <v>26914000</v>
      </c>
      <c r="F49" s="21">
        <f t="shared" si="8"/>
        <v>27635000</v>
      </c>
      <c r="G49" s="21">
        <f t="shared" si="8"/>
        <v>28899000</v>
      </c>
      <c r="H49" s="21">
        <f t="shared" si="8"/>
        <v>27765000</v>
      </c>
      <c r="I49" s="21">
        <f t="shared" si="8"/>
        <v>35686000</v>
      </c>
      <c r="J49" s="21">
        <f t="shared" si="8"/>
        <v>50708000</v>
      </c>
      <c r="K49" s="21">
        <f t="shared" si="8"/>
        <v>50374000</v>
      </c>
      <c r="L49" s="21">
        <f t="shared" si="8"/>
        <v>65839000</v>
      </c>
      <c r="M49" s="21">
        <f t="shared" si="8"/>
        <v>78784000</v>
      </c>
      <c r="N49" s="21">
        <f t="shared" si="8"/>
        <v>83792000</v>
      </c>
      <c r="O49" s="21">
        <f t="shared" si="8"/>
        <v>95444000</v>
      </c>
      <c r="P49" s="21">
        <f t="shared" si="8"/>
        <v>93002000</v>
      </c>
      <c r="Q49" s="21">
        <f t="shared" si="8"/>
        <v>88126000</v>
      </c>
      <c r="R49" s="21">
        <f t="shared" si="8"/>
        <v>80708000</v>
      </c>
      <c r="S49" s="21">
        <f t="shared" si="8"/>
        <v>75208470</v>
      </c>
      <c r="T49" s="21">
        <f t="shared" si="8"/>
        <v>69612200</v>
      </c>
      <c r="U49" s="21">
        <f t="shared" si="8"/>
        <v>69876400</v>
      </c>
      <c r="V49" s="21">
        <f t="shared" si="8"/>
        <v>76168200</v>
      </c>
      <c r="W49" s="21">
        <f t="shared" si="8"/>
        <v>78578900</v>
      </c>
      <c r="X49" s="21">
        <f t="shared" si="8"/>
        <v>75072800</v>
      </c>
      <c r="Y49" s="21">
        <f t="shared" si="8"/>
        <v>81120000</v>
      </c>
      <c r="Z49" s="21">
        <f t="shared" si="8"/>
        <v>83387569.069999993</v>
      </c>
      <c r="AN49" s="21">
        <f>SUM(AN45:AN48)</f>
        <v>107278000</v>
      </c>
      <c r="AO49" s="21">
        <f>SUM(AO45:AO48)</f>
        <v>164533000</v>
      </c>
      <c r="AP49" s="21">
        <f>SUM(AP45:AP48)</f>
        <v>323859000</v>
      </c>
      <c r="AQ49" s="21">
        <f>SUM(AQ45:AQ48)</f>
        <v>337044804.803909</v>
      </c>
      <c r="AR49" s="21">
        <f>SUM(AR45:AR48)</f>
        <v>294235700</v>
      </c>
    </row>
    <row r="50" spans="2:44" x14ac:dyDescent="0.25"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B50" s="24"/>
      <c r="AC50" s="24"/>
      <c r="AD50" s="24"/>
      <c r="AE50" s="24"/>
      <c r="AF50" s="24"/>
    </row>
    <row r="51" spans="2:44" x14ac:dyDescent="0.25">
      <c r="B51" s="21" t="s">
        <v>126</v>
      </c>
      <c r="D51" s="21">
        <f>'[1]GAAP IS'!C21</f>
        <v>0</v>
      </c>
      <c r="E51" s="21">
        <f>'[1]GAAP IS'!D21</f>
        <v>0</v>
      </c>
      <c r="F51" s="21">
        <f>'[1]GAAP IS'!E21</f>
        <v>0</v>
      </c>
      <c r="G51" s="21">
        <f>'[1]GAAP IS'!F21</f>
        <v>0</v>
      </c>
      <c r="H51" s="21">
        <f>'[1]GAAP IS'!G21</f>
        <v>0</v>
      </c>
      <c r="I51" s="21">
        <f>'[1]GAAP IS'!H21</f>
        <v>0</v>
      </c>
      <c r="J51" s="21">
        <f>'[1]GAAP IS'!I21</f>
        <v>0</v>
      </c>
      <c r="K51" s="21">
        <f>'[1]GAAP IS'!J21</f>
        <v>0</v>
      </c>
      <c r="L51" s="21">
        <f>'[1]GAAP IS'!K21</f>
        <v>0</v>
      </c>
      <c r="M51" s="21">
        <f>'[1]GAAP IS'!L21</f>
        <v>0</v>
      </c>
      <c r="N51" s="21">
        <f>'[1]GAAP IS'!M21</f>
        <v>0</v>
      </c>
      <c r="O51" s="21">
        <f>'[1]GAAP IS'!N21</f>
        <v>0</v>
      </c>
      <c r="P51" s="21">
        <f>'[1]GAAP IS'!O21</f>
        <v>0</v>
      </c>
      <c r="Q51" s="21">
        <f>'[1]GAAP IS'!P21</f>
        <v>0</v>
      </c>
      <c r="R51" s="21">
        <f>'[1]GAAP IS'!Q21</f>
        <v>34934000</v>
      </c>
      <c r="S51" s="21">
        <f>'[1]GAAP IS'!R21</f>
        <v>936000</v>
      </c>
      <c r="AB51" s="21">
        <f>'[1]GAAP IS'!AA21</f>
        <v>0</v>
      </c>
      <c r="AC51" s="21">
        <f>'[1]GAAP IS'!AB21</f>
        <v>0</v>
      </c>
      <c r="AD51" s="21">
        <f>'[1]GAAP IS'!AC21</f>
        <v>0</v>
      </c>
      <c r="AE51" s="21">
        <f>'[1]GAAP IS'!AD21</f>
        <v>0</v>
      </c>
    </row>
    <row r="52" spans="2:44" x14ac:dyDescent="0.25">
      <c r="B52" s="26" t="s">
        <v>118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AB52" s="24">
        <v>0</v>
      </c>
      <c r="AC52" s="24">
        <v>0</v>
      </c>
      <c r="AD52" s="24">
        <v>0</v>
      </c>
      <c r="AE52" s="24">
        <v>0</v>
      </c>
    </row>
    <row r="53" spans="2:44" x14ac:dyDescent="0.25">
      <c r="B53" s="26" t="s">
        <v>119</v>
      </c>
      <c r="D53" s="24">
        <v>0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AB53" s="24">
        <v>0</v>
      </c>
      <c r="AC53" s="24">
        <v>0</v>
      </c>
      <c r="AD53" s="24">
        <v>0</v>
      </c>
      <c r="AE53" s="24">
        <v>0</v>
      </c>
    </row>
    <row r="54" spans="2:44" x14ac:dyDescent="0.25">
      <c r="B54" s="26" t="s">
        <v>123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2:44" x14ac:dyDescent="0.25">
      <c r="B55" s="26" t="s">
        <v>127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-34934000</v>
      </c>
      <c r="S55" s="24">
        <v>-936015.46000000101</v>
      </c>
      <c r="AB55" s="24">
        <v>0</v>
      </c>
      <c r="AC55" s="24">
        <v>0</v>
      </c>
      <c r="AD55" s="24">
        <v>0</v>
      </c>
      <c r="AE55" s="24">
        <v>-35870015.460000001</v>
      </c>
    </row>
    <row r="56" spans="2:44" x14ac:dyDescent="0.25">
      <c r="B56" s="26" t="s">
        <v>120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AB56" s="24">
        <v>0</v>
      </c>
      <c r="AC56" s="24">
        <v>0</v>
      </c>
      <c r="AD56" s="24">
        <v>0</v>
      </c>
      <c r="AE56" s="24">
        <v>0</v>
      </c>
    </row>
    <row r="57" spans="2:44" x14ac:dyDescent="0.25">
      <c r="B57" s="21" t="s">
        <v>128</v>
      </c>
      <c r="D57" s="21">
        <f t="shared" ref="D57:S57" si="9">SUM(D51:D56)</f>
        <v>0</v>
      </c>
      <c r="E57" s="21">
        <f t="shared" si="9"/>
        <v>0</v>
      </c>
      <c r="F57" s="21">
        <f t="shared" si="9"/>
        <v>0</v>
      </c>
      <c r="G57" s="21">
        <f t="shared" si="9"/>
        <v>0</v>
      </c>
      <c r="H57" s="21">
        <f t="shared" si="9"/>
        <v>0</v>
      </c>
      <c r="I57" s="21">
        <f t="shared" si="9"/>
        <v>0</v>
      </c>
      <c r="J57" s="21">
        <f t="shared" si="9"/>
        <v>0</v>
      </c>
      <c r="K57" s="21">
        <f t="shared" si="9"/>
        <v>0</v>
      </c>
      <c r="L57" s="21">
        <f t="shared" si="9"/>
        <v>0</v>
      </c>
      <c r="M57" s="21">
        <f t="shared" si="9"/>
        <v>0</v>
      </c>
      <c r="N57" s="21">
        <f t="shared" si="9"/>
        <v>0</v>
      </c>
      <c r="O57" s="21">
        <f t="shared" si="9"/>
        <v>0</v>
      </c>
      <c r="P57" s="21">
        <f t="shared" si="9"/>
        <v>0</v>
      </c>
      <c r="Q57" s="21">
        <f t="shared" si="9"/>
        <v>0</v>
      </c>
      <c r="R57" s="21">
        <f t="shared" si="9"/>
        <v>0</v>
      </c>
      <c r="S57" s="21">
        <f t="shared" si="9"/>
        <v>-15.460000001010485</v>
      </c>
      <c r="AB57" s="21">
        <f>SUM(AB51:AB56)</f>
        <v>0</v>
      </c>
      <c r="AC57" s="21">
        <f>SUM(AC51:AC56)</f>
        <v>0</v>
      </c>
      <c r="AD57" s="21">
        <f>SUM(AD51:AD56)</f>
        <v>0</v>
      </c>
      <c r="AE57" s="21">
        <f>SUM(AE51:AE56)</f>
        <v>-35870015.460000001</v>
      </c>
    </row>
    <row r="58" spans="2:44" x14ac:dyDescent="0.25">
      <c r="Y58" s="21"/>
      <c r="Z58" s="21"/>
      <c r="AB58" s="24"/>
    </row>
    <row r="59" spans="2:44" x14ac:dyDescent="0.25">
      <c r="B59" s="24"/>
    </row>
    <row r="60" spans="2:44" x14ac:dyDescent="0.25">
      <c r="B60" s="24"/>
      <c r="Y60" s="21"/>
      <c r="Z60" s="21"/>
    </row>
    <row r="61" spans="2:44" x14ac:dyDescent="0.25">
      <c r="B61" s="24"/>
      <c r="Y61" s="21"/>
      <c r="Z61" s="21"/>
    </row>
    <row r="62" spans="2:44" x14ac:dyDescent="0.25">
      <c r="B62" s="24"/>
      <c r="Y62" s="21"/>
      <c r="Z62" s="21"/>
    </row>
    <row r="63" spans="2:44" x14ac:dyDescent="0.25">
      <c r="Y63" s="21"/>
      <c r="Z63" s="21"/>
    </row>
    <row r="64" spans="2:44" x14ac:dyDescent="0.25">
      <c r="Y64" s="21"/>
      <c r="Z64" s="21"/>
    </row>
    <row r="65" spans="25:26" x14ac:dyDescent="0.25">
      <c r="Y65" s="25"/>
      <c r="Z65" s="25"/>
    </row>
  </sheetData>
  <mergeCells count="1">
    <mergeCell ref="AB1:AF1"/>
  </mergeCells>
  <hyperlinks>
    <hyperlink ref="A1" location="Main!A1" display="Main" xr:uid="{347AE5C5-1C1E-40E8-A4A5-31900F75ED4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35A3-08B5-4F97-A40B-6D831114C968}">
  <dimension ref="A1:AE44"/>
  <sheetViews>
    <sheetView workbookViewId="0">
      <pane xSplit="2" ySplit="2" topLeftCell="U3" activePane="bottomRight" state="frozen"/>
      <selection pane="topRight" activeCell="C1" sqref="C1"/>
      <selection pane="bottomLeft" activeCell="A3" sqref="A3"/>
      <selection pane="bottomRight"/>
    </sheetView>
  </sheetViews>
  <sheetFormatPr defaultColWidth="11" defaultRowHeight="13.2" x14ac:dyDescent="0.25"/>
  <cols>
    <col min="1" max="1" width="11" style="1"/>
    <col min="2" max="2" width="49.33203125" style="1" bestFit="1" customWidth="1"/>
    <col min="3" max="3" width="18.33203125" style="1" bestFit="1" customWidth="1"/>
    <col min="4" max="4" width="17.6640625" style="1" bestFit="1" customWidth="1"/>
    <col min="5" max="5" width="14.109375" style="1" bestFit="1" customWidth="1"/>
    <col min="6" max="6" width="12.88671875" style="1" bestFit="1" customWidth="1"/>
    <col min="7" max="7" width="18.33203125" style="1" bestFit="1" customWidth="1"/>
    <col min="8" max="8" width="17.6640625" style="1" bestFit="1" customWidth="1"/>
    <col min="9" max="9" width="14.109375" style="1" bestFit="1" customWidth="1"/>
    <col min="10" max="10" width="12.88671875" style="1" bestFit="1" customWidth="1"/>
    <col min="11" max="11" width="18.33203125" style="1" bestFit="1" customWidth="1"/>
    <col min="12" max="12" width="17.6640625" style="1" bestFit="1" customWidth="1"/>
    <col min="13" max="13" width="14.109375" style="1" bestFit="1" customWidth="1"/>
    <col min="14" max="14" width="12.88671875" style="1" bestFit="1" customWidth="1"/>
    <col min="15" max="15" width="18.33203125" style="1" bestFit="1" customWidth="1"/>
    <col min="16" max="16" width="17.6640625" style="1" bestFit="1" customWidth="1"/>
    <col min="17" max="17" width="14.109375" style="1" bestFit="1" customWidth="1"/>
    <col min="18" max="18" width="12.88671875" style="1" bestFit="1" customWidth="1"/>
    <col min="19" max="19" width="18.33203125" style="1" bestFit="1" customWidth="1"/>
    <col min="20" max="20" width="17.6640625" style="1" bestFit="1" customWidth="1"/>
    <col min="21" max="21" width="14.109375" style="1" bestFit="1" customWidth="1"/>
    <col min="22" max="22" width="12.88671875" style="1" bestFit="1" customWidth="1"/>
    <col min="23" max="23" width="18.33203125" style="1" bestFit="1" customWidth="1"/>
    <col min="24" max="24" width="17.6640625" style="1" bestFit="1" customWidth="1"/>
    <col min="25" max="25" width="14.109375" style="1" bestFit="1" customWidth="1"/>
    <col min="26" max="26" width="11" style="1"/>
    <col min="27" max="31" width="11.109375" style="1" bestFit="1" customWidth="1"/>
    <col min="32" max="16384" width="11" style="1"/>
  </cols>
  <sheetData>
    <row r="1" spans="1:31" ht="14.4" x14ac:dyDescent="0.3">
      <c r="A1" s="40" t="s">
        <v>10</v>
      </c>
      <c r="B1" s="18"/>
    </row>
    <row r="2" spans="1:31" x14ac:dyDescent="0.25">
      <c r="B2" s="19" t="s">
        <v>177</v>
      </c>
      <c r="C2" s="18"/>
      <c r="AA2" s="44" t="s">
        <v>106</v>
      </c>
      <c r="AB2" s="45"/>
      <c r="AC2" s="45"/>
      <c r="AD2" s="45"/>
      <c r="AE2" s="45"/>
    </row>
    <row r="3" spans="1:31" x14ac:dyDescent="0.25">
      <c r="C3" s="16">
        <v>43738</v>
      </c>
      <c r="D3" s="16">
        <v>43830</v>
      </c>
      <c r="E3" s="16">
        <v>43920</v>
      </c>
      <c r="F3" s="16">
        <v>44012</v>
      </c>
      <c r="G3" s="16">
        <v>44104</v>
      </c>
      <c r="H3" s="16">
        <v>44196</v>
      </c>
      <c r="I3" s="16">
        <v>44286</v>
      </c>
      <c r="J3" s="16">
        <v>44377</v>
      </c>
      <c r="K3" s="16">
        <v>44469</v>
      </c>
      <c r="L3" s="16">
        <v>44561</v>
      </c>
      <c r="M3" s="16">
        <v>44651</v>
      </c>
      <c r="N3" s="16">
        <v>44742</v>
      </c>
      <c r="O3" s="16">
        <v>44834</v>
      </c>
      <c r="P3" s="16">
        <v>44926</v>
      </c>
      <c r="Q3" s="16">
        <v>45016</v>
      </c>
      <c r="R3" s="16">
        <v>45107</v>
      </c>
      <c r="S3" s="16">
        <v>45199</v>
      </c>
      <c r="T3" s="16">
        <v>45291</v>
      </c>
      <c r="U3" s="16">
        <v>45382</v>
      </c>
      <c r="V3" s="16">
        <v>45473</v>
      </c>
      <c r="W3" s="16">
        <v>45565</v>
      </c>
      <c r="X3" s="16">
        <v>45657</v>
      </c>
      <c r="Y3" s="16">
        <v>45747</v>
      </c>
      <c r="AA3" s="17">
        <v>44012</v>
      </c>
      <c r="AB3" s="17">
        <v>44377</v>
      </c>
      <c r="AC3" s="17">
        <v>44742</v>
      </c>
      <c r="AD3" s="17">
        <v>45107</v>
      </c>
      <c r="AE3" s="17">
        <v>45473</v>
      </c>
    </row>
    <row r="4" spans="1:31" x14ac:dyDescent="0.25">
      <c r="B4" s="14" t="s">
        <v>162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AA4" s="19"/>
      <c r="AB4" s="19"/>
      <c r="AC4" s="19"/>
      <c r="AD4" s="19"/>
      <c r="AE4" s="19"/>
    </row>
    <row r="5" spans="1:31" x14ac:dyDescent="0.25">
      <c r="B5" s="15" t="s">
        <v>163</v>
      </c>
      <c r="C5" s="28">
        <v>600000000</v>
      </c>
      <c r="D5" s="28">
        <v>800000000</v>
      </c>
      <c r="E5" s="28">
        <v>700000000</v>
      </c>
      <c r="F5" s="28">
        <v>600000000</v>
      </c>
      <c r="G5" s="28">
        <v>800000000</v>
      </c>
      <c r="H5" s="28">
        <v>1100000000</v>
      </c>
      <c r="I5" s="28">
        <v>1300000000</v>
      </c>
      <c r="J5" s="28">
        <v>1500000000</v>
      </c>
      <c r="K5" s="28">
        <v>1600000000</v>
      </c>
      <c r="L5" s="28">
        <v>2500000000</v>
      </c>
      <c r="M5" s="28">
        <v>2200000000</v>
      </c>
      <c r="N5" s="28">
        <v>2700000000</v>
      </c>
      <c r="O5" s="28">
        <v>2800000000</v>
      </c>
      <c r="P5" s="28">
        <v>3800000000</v>
      </c>
      <c r="Q5" s="28">
        <v>3200000000</v>
      </c>
      <c r="R5" s="28">
        <v>4000000000</v>
      </c>
      <c r="S5" s="28">
        <v>4200000000</v>
      </c>
      <c r="T5" s="28">
        <v>5500000000</v>
      </c>
      <c r="U5" s="28">
        <v>4600000000</v>
      </c>
      <c r="V5" s="28">
        <v>5400000000</v>
      </c>
      <c r="W5" s="28">
        <v>5700000000</v>
      </c>
      <c r="X5" s="28">
        <v>7300000000</v>
      </c>
      <c r="Y5" s="28">
        <v>6100000000</v>
      </c>
      <c r="AA5" s="28">
        <v>2700000000</v>
      </c>
      <c r="AB5" s="28">
        <v>4700000000</v>
      </c>
      <c r="AC5" s="28">
        <v>9000000000</v>
      </c>
      <c r="AD5" s="28">
        <v>13800000000</v>
      </c>
      <c r="AE5" s="28">
        <v>19600000000</v>
      </c>
    </row>
    <row r="6" spans="1:31" x14ac:dyDescent="0.25">
      <c r="B6" s="15" t="s">
        <v>164</v>
      </c>
      <c r="C6" s="28">
        <v>300000000</v>
      </c>
      <c r="D6" s="28">
        <v>500000000</v>
      </c>
      <c r="E6" s="28">
        <v>500000000</v>
      </c>
      <c r="F6" s="28">
        <v>700000000</v>
      </c>
      <c r="G6" s="28">
        <v>700000000</v>
      </c>
      <c r="H6" s="28">
        <v>1000000000</v>
      </c>
      <c r="I6" s="28">
        <v>1000000000</v>
      </c>
      <c r="J6" s="28">
        <v>900000000</v>
      </c>
      <c r="K6" s="28">
        <v>700000000</v>
      </c>
      <c r="L6" s="28">
        <v>1200000000</v>
      </c>
      <c r="M6" s="28">
        <v>1000000000</v>
      </c>
      <c r="N6" s="28">
        <v>1000000000</v>
      </c>
      <c r="O6" s="28">
        <v>800000000</v>
      </c>
      <c r="P6" s="28">
        <v>500000000</v>
      </c>
      <c r="Q6" s="28">
        <v>700000000</v>
      </c>
      <c r="R6" s="28">
        <v>600000000</v>
      </c>
      <c r="S6" s="28">
        <v>600000000</v>
      </c>
      <c r="T6" s="28">
        <v>800000000</v>
      </c>
      <c r="U6" s="28">
        <v>800000000</v>
      </c>
      <c r="V6" s="28">
        <v>800000000</v>
      </c>
      <c r="W6" s="28">
        <v>900000000</v>
      </c>
      <c r="X6" s="28">
        <v>1300000000</v>
      </c>
      <c r="Y6" s="28">
        <v>1100000000</v>
      </c>
      <c r="AA6" s="28">
        <v>2000000000</v>
      </c>
      <c r="AB6" s="28">
        <v>3600000000</v>
      </c>
      <c r="AC6" s="28">
        <v>3900000000</v>
      </c>
      <c r="AD6" s="28">
        <v>2700000000</v>
      </c>
      <c r="AE6" s="28">
        <v>3000000000</v>
      </c>
    </row>
    <row r="7" spans="1:31" ht="15.6" x14ac:dyDescent="0.25">
      <c r="B7" s="15" t="s">
        <v>196</v>
      </c>
      <c r="K7" s="28">
        <v>400000000</v>
      </c>
      <c r="L7" s="28">
        <v>800000000</v>
      </c>
      <c r="M7" s="28">
        <v>700000000</v>
      </c>
      <c r="N7" s="28">
        <v>800000000</v>
      </c>
      <c r="O7" s="28">
        <v>800000000</v>
      </c>
      <c r="P7" s="28">
        <v>1300000000</v>
      </c>
      <c r="Q7" s="28">
        <v>800000000</v>
      </c>
      <c r="R7" s="28">
        <v>900000000</v>
      </c>
      <c r="S7" s="28">
        <v>900000000</v>
      </c>
      <c r="T7" s="28">
        <v>1200000000</v>
      </c>
      <c r="U7" s="28">
        <v>900000000</v>
      </c>
      <c r="V7" s="28">
        <v>1000000000</v>
      </c>
      <c r="W7" s="28">
        <v>1000000000</v>
      </c>
      <c r="X7" s="28">
        <v>1500000000</v>
      </c>
      <c r="Y7" s="28">
        <v>1200000000</v>
      </c>
      <c r="AA7" s="28">
        <v>0</v>
      </c>
      <c r="AB7" s="28">
        <v>0</v>
      </c>
      <c r="AC7" s="28">
        <v>2700000000</v>
      </c>
      <c r="AD7" s="28">
        <v>3800000000</v>
      </c>
      <c r="AE7" s="28">
        <v>4000000000</v>
      </c>
    </row>
    <row r="8" spans="1:31" x14ac:dyDescent="0.25">
      <c r="B8" s="14" t="s">
        <v>165</v>
      </c>
      <c r="C8" s="29">
        <v>900000000</v>
      </c>
      <c r="D8" s="29">
        <v>1300000000</v>
      </c>
      <c r="E8" s="29">
        <v>1200000000</v>
      </c>
      <c r="F8" s="29">
        <v>1200000000</v>
      </c>
      <c r="G8" s="29">
        <v>1500000000</v>
      </c>
      <c r="H8" s="29">
        <v>2100000000</v>
      </c>
      <c r="I8" s="29">
        <v>2300000000</v>
      </c>
      <c r="J8" s="29">
        <v>2500000000</v>
      </c>
      <c r="K8" s="29">
        <v>2700000000</v>
      </c>
      <c r="L8" s="29">
        <v>4500000000</v>
      </c>
      <c r="M8" s="29">
        <v>3900000000</v>
      </c>
      <c r="N8" s="29">
        <v>4400000000</v>
      </c>
      <c r="O8" s="29">
        <v>4400000000</v>
      </c>
      <c r="P8" s="29">
        <v>5700000000</v>
      </c>
      <c r="Q8" s="29">
        <v>4600000000</v>
      </c>
      <c r="R8" s="29">
        <v>5500000000</v>
      </c>
      <c r="S8" s="29">
        <v>5600000000</v>
      </c>
      <c r="T8" s="29">
        <v>7500000000</v>
      </c>
      <c r="U8" s="29">
        <v>6300000000</v>
      </c>
      <c r="V8" s="29">
        <v>7200000000</v>
      </c>
      <c r="W8" s="29">
        <v>7600000000</v>
      </c>
      <c r="X8" s="29">
        <v>10100000000</v>
      </c>
      <c r="Y8" s="29">
        <v>8600000000</v>
      </c>
      <c r="AA8" s="29">
        <v>4600000000</v>
      </c>
      <c r="AB8" s="29">
        <v>8300000000</v>
      </c>
      <c r="AC8" s="29">
        <v>15500000000</v>
      </c>
      <c r="AD8" s="29">
        <v>20200000000</v>
      </c>
      <c r="AE8" s="29">
        <v>26600000000</v>
      </c>
    </row>
    <row r="9" spans="1:31" x14ac:dyDescent="0.25">
      <c r="B9" s="15" t="s">
        <v>166</v>
      </c>
      <c r="C9" s="30">
        <v>0.69</v>
      </c>
      <c r="D9" s="30">
        <v>0.6</v>
      </c>
      <c r="E9" s="30">
        <v>0.57999999999999996</v>
      </c>
      <c r="F9" s="30">
        <v>0.46</v>
      </c>
      <c r="G9" s="30">
        <v>0.54</v>
      </c>
      <c r="H9" s="30">
        <v>0.54</v>
      </c>
      <c r="I9" s="30">
        <v>0.56999999999999995</v>
      </c>
      <c r="J9" s="30">
        <v>0.62</v>
      </c>
      <c r="K9" s="30">
        <v>0.56999999999999995</v>
      </c>
      <c r="L9" s="30">
        <v>0.56000000000000005</v>
      </c>
      <c r="M9" s="30">
        <v>0.56999999999999995</v>
      </c>
      <c r="N9" s="30">
        <v>0.61</v>
      </c>
      <c r="O9" s="30">
        <v>0.64</v>
      </c>
      <c r="P9" s="30">
        <v>0.67</v>
      </c>
      <c r="Q9" s="30">
        <v>0.69</v>
      </c>
      <c r="R9" s="30">
        <v>0.72</v>
      </c>
      <c r="S9" s="31">
        <v>0.74</v>
      </c>
      <c r="T9" s="31">
        <v>0.73</v>
      </c>
      <c r="U9" s="31">
        <v>0.72399999999999998</v>
      </c>
      <c r="V9" s="31">
        <v>0.75</v>
      </c>
      <c r="W9" s="31">
        <v>0.75</v>
      </c>
      <c r="X9" s="31">
        <v>0.72</v>
      </c>
      <c r="Y9" s="31">
        <v>0.72</v>
      </c>
      <c r="AA9" s="30">
        <v>0.56999999999999995</v>
      </c>
      <c r="AB9" s="30">
        <v>0.63</v>
      </c>
      <c r="AC9" s="30">
        <v>0.57999999999999996</v>
      </c>
      <c r="AD9" s="30">
        <v>0.68</v>
      </c>
      <c r="AE9" s="30">
        <v>0.74</v>
      </c>
    </row>
    <row r="10" spans="1:31" x14ac:dyDescent="0.25">
      <c r="B10" s="15" t="s">
        <v>164</v>
      </c>
      <c r="C10" s="30">
        <v>0.31</v>
      </c>
      <c r="D10" s="30">
        <v>0.4</v>
      </c>
      <c r="E10" s="30">
        <v>0.42</v>
      </c>
      <c r="F10" s="30">
        <v>0.54</v>
      </c>
      <c r="G10" s="30">
        <v>0.46</v>
      </c>
      <c r="H10" s="30">
        <v>0.46</v>
      </c>
      <c r="I10" s="30">
        <v>0.43</v>
      </c>
      <c r="J10" s="30">
        <v>0.38</v>
      </c>
      <c r="K10" s="30">
        <v>0.28000000000000003</v>
      </c>
      <c r="L10" s="30">
        <v>0.26</v>
      </c>
      <c r="M10" s="30">
        <v>0.24</v>
      </c>
      <c r="N10" s="30">
        <v>0.22</v>
      </c>
      <c r="O10" s="30">
        <v>0.19</v>
      </c>
      <c r="P10" s="30">
        <v>0.1</v>
      </c>
      <c r="Q10" s="30">
        <v>0.15</v>
      </c>
      <c r="R10" s="30">
        <v>0.11</v>
      </c>
      <c r="S10" s="31">
        <v>0.11</v>
      </c>
      <c r="T10" s="31">
        <v>0.11</v>
      </c>
      <c r="U10" s="31">
        <v>0.13200000000000001</v>
      </c>
      <c r="V10" s="31">
        <v>0.112</v>
      </c>
      <c r="W10" s="31">
        <v>0.11</v>
      </c>
      <c r="X10" s="31">
        <v>0.13</v>
      </c>
      <c r="Y10" s="31">
        <v>0.13</v>
      </c>
      <c r="AA10" s="30">
        <v>0.43</v>
      </c>
      <c r="AB10" s="30">
        <v>0.37</v>
      </c>
      <c r="AC10" s="30">
        <v>0.3</v>
      </c>
      <c r="AD10" s="30">
        <v>0.13</v>
      </c>
      <c r="AE10" s="30">
        <v>0.11</v>
      </c>
    </row>
    <row r="11" spans="1:31" ht="15.6" x14ac:dyDescent="0.25">
      <c r="B11" s="15" t="s">
        <v>196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0">
        <v>0.15</v>
      </c>
      <c r="L11" s="30">
        <v>0.18</v>
      </c>
      <c r="M11" s="30">
        <v>0.18</v>
      </c>
      <c r="N11" s="30">
        <v>0.17</v>
      </c>
      <c r="O11" s="30">
        <v>0.18</v>
      </c>
      <c r="P11" s="30">
        <v>0.23</v>
      </c>
      <c r="Q11" s="30">
        <v>0.16</v>
      </c>
      <c r="R11" s="30">
        <v>0.17</v>
      </c>
      <c r="S11" s="31">
        <v>0.15</v>
      </c>
      <c r="T11" s="31">
        <v>0.16</v>
      </c>
      <c r="U11" s="31">
        <v>0.14399999999999999</v>
      </c>
      <c r="V11" s="31">
        <v>0.13800000000000001</v>
      </c>
      <c r="W11" s="31">
        <v>0.14000000000000001</v>
      </c>
      <c r="X11" s="31">
        <v>0.15</v>
      </c>
      <c r="Y11" s="31">
        <v>0.15</v>
      </c>
      <c r="AA11" s="31">
        <v>0</v>
      </c>
      <c r="AB11" s="31">
        <v>0</v>
      </c>
      <c r="AC11" s="30">
        <v>0.12</v>
      </c>
      <c r="AD11" s="30">
        <v>0.19</v>
      </c>
      <c r="AE11" s="30">
        <v>0.15</v>
      </c>
    </row>
    <row r="13" spans="1:31" x14ac:dyDescent="0.25">
      <c r="B13" s="14" t="s">
        <v>167</v>
      </c>
      <c r="C13" s="15"/>
      <c r="D13" s="15"/>
      <c r="E13" s="15"/>
      <c r="F13" s="15" t="s">
        <v>168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AA13" s="15"/>
      <c r="AB13" s="15"/>
      <c r="AC13" s="15"/>
      <c r="AD13" s="15"/>
      <c r="AE13" s="15"/>
    </row>
    <row r="14" spans="1:31" x14ac:dyDescent="0.25">
      <c r="B14" s="15" t="s">
        <v>169</v>
      </c>
      <c r="C14" s="32"/>
      <c r="D14" s="32"/>
      <c r="E14" s="32"/>
      <c r="F14" s="32"/>
      <c r="G14" s="32"/>
      <c r="H14" s="33">
        <v>2600000</v>
      </c>
      <c r="I14" s="33">
        <v>2800000</v>
      </c>
      <c r="J14" s="33">
        <v>3500000</v>
      </c>
      <c r="K14" s="33">
        <v>5100000</v>
      </c>
      <c r="L14" s="33">
        <v>9500000</v>
      </c>
      <c r="M14" s="33">
        <v>8000000</v>
      </c>
      <c r="N14" s="33">
        <v>9200000</v>
      </c>
      <c r="O14" s="33">
        <v>10300000</v>
      </c>
      <c r="P14" s="33">
        <v>15000000</v>
      </c>
      <c r="Q14" s="33">
        <v>11700000</v>
      </c>
      <c r="R14" s="33">
        <v>13500000</v>
      </c>
      <c r="S14" s="33">
        <v>14667900</v>
      </c>
      <c r="T14" s="33">
        <v>20174000</v>
      </c>
      <c r="U14" s="33">
        <v>16600000</v>
      </c>
      <c r="V14" s="33">
        <v>18900000</v>
      </c>
      <c r="W14" s="33">
        <v>20500000</v>
      </c>
      <c r="X14" s="33">
        <v>28900000</v>
      </c>
      <c r="Y14" s="33">
        <v>24000000</v>
      </c>
      <c r="AA14" s="32"/>
      <c r="AB14" s="32"/>
      <c r="AC14" s="33">
        <v>31800000</v>
      </c>
      <c r="AD14" s="33">
        <v>50500000</v>
      </c>
      <c r="AE14" s="33">
        <v>70400000</v>
      </c>
    </row>
    <row r="15" spans="1:31" ht="15.6" x14ac:dyDescent="0.25">
      <c r="B15" s="15" t="s">
        <v>197</v>
      </c>
      <c r="C15" s="32"/>
      <c r="D15" s="32"/>
      <c r="E15" s="32"/>
      <c r="F15" s="32"/>
      <c r="G15" s="32"/>
      <c r="H15" s="33">
        <v>1200000</v>
      </c>
      <c r="I15" s="33">
        <v>1200000</v>
      </c>
      <c r="J15" s="33">
        <v>1500000</v>
      </c>
      <c r="K15" s="33">
        <v>1600000</v>
      </c>
      <c r="L15" s="33">
        <v>2700000</v>
      </c>
      <c r="M15" s="33">
        <v>2500000</v>
      </c>
      <c r="N15" s="33">
        <v>2800000</v>
      </c>
      <c r="O15" s="33">
        <v>3000000</v>
      </c>
      <c r="P15" s="33">
        <v>3500000</v>
      </c>
      <c r="Q15" s="33">
        <v>2700000</v>
      </c>
      <c r="R15" s="33">
        <v>3900000</v>
      </c>
      <c r="S15" s="33">
        <v>4106500</v>
      </c>
      <c r="T15" s="33">
        <v>5977800</v>
      </c>
      <c r="U15" s="33">
        <v>4900000</v>
      </c>
      <c r="V15" s="33">
        <v>5800000</v>
      </c>
      <c r="W15" s="33">
        <v>6700000</v>
      </c>
      <c r="X15" s="33">
        <v>9200000</v>
      </c>
      <c r="Y15" s="33">
        <v>7300000</v>
      </c>
      <c r="AA15" s="32"/>
      <c r="AB15" s="32"/>
      <c r="AC15" s="33">
        <v>9600000</v>
      </c>
      <c r="AD15" s="33">
        <v>13000000</v>
      </c>
      <c r="AE15" s="33">
        <v>20700000</v>
      </c>
    </row>
    <row r="16" spans="1:31" x14ac:dyDescent="0.25">
      <c r="B16" s="14" t="s">
        <v>165</v>
      </c>
      <c r="C16" s="34">
        <v>1451000</v>
      </c>
      <c r="D16" s="34">
        <v>2361000</v>
      </c>
      <c r="E16" s="34">
        <v>2013000</v>
      </c>
      <c r="F16" s="34">
        <v>1791000</v>
      </c>
      <c r="G16" s="34">
        <v>2233000</v>
      </c>
      <c r="H16" s="34">
        <v>3800000</v>
      </c>
      <c r="I16" s="34">
        <v>4000000</v>
      </c>
      <c r="J16" s="34">
        <v>5000000</v>
      </c>
      <c r="K16" s="34">
        <v>6700000</v>
      </c>
      <c r="L16" s="34">
        <v>12200000</v>
      </c>
      <c r="M16" s="34">
        <v>10500000</v>
      </c>
      <c r="N16" s="34">
        <v>12000000</v>
      </c>
      <c r="O16" s="34">
        <v>13300000</v>
      </c>
      <c r="P16" s="34">
        <v>18400000</v>
      </c>
      <c r="Q16" s="34">
        <v>14400000</v>
      </c>
      <c r="R16" s="34">
        <v>17400000</v>
      </c>
      <c r="S16" s="34">
        <v>18774000</v>
      </c>
      <c r="T16" s="34">
        <v>26151800</v>
      </c>
      <c r="U16" s="34">
        <v>21500000</v>
      </c>
      <c r="V16" s="34">
        <v>24700000</v>
      </c>
      <c r="W16" s="34">
        <v>27200000</v>
      </c>
      <c r="X16" s="34">
        <v>38100000</v>
      </c>
      <c r="Y16" s="34">
        <v>31300000</v>
      </c>
      <c r="AA16" s="34">
        <v>7600000</v>
      </c>
      <c r="AB16" s="34">
        <v>15100000</v>
      </c>
      <c r="AC16" s="34">
        <v>41400000</v>
      </c>
      <c r="AD16" s="34">
        <v>63500000</v>
      </c>
      <c r="AE16" s="34">
        <v>91100000</v>
      </c>
    </row>
    <row r="17" spans="2:31" x14ac:dyDescent="0.25">
      <c r="B17" s="15" t="s">
        <v>170</v>
      </c>
      <c r="C17" s="35"/>
      <c r="D17" s="35"/>
      <c r="E17" s="35"/>
      <c r="F17" s="35"/>
      <c r="G17" s="35"/>
      <c r="H17" s="30">
        <v>0.68</v>
      </c>
      <c r="I17" s="30">
        <v>0.7</v>
      </c>
      <c r="J17" s="30">
        <v>0.71</v>
      </c>
      <c r="K17" s="30">
        <v>0.76</v>
      </c>
      <c r="L17" s="30">
        <v>0.78</v>
      </c>
      <c r="M17" s="30">
        <v>0.77</v>
      </c>
      <c r="N17" s="30">
        <v>0.77</v>
      </c>
      <c r="O17" s="30">
        <v>0.78</v>
      </c>
      <c r="P17" s="30">
        <v>0.81</v>
      </c>
      <c r="Q17" s="30">
        <v>0.81</v>
      </c>
      <c r="R17" s="30">
        <v>0.77</v>
      </c>
      <c r="S17" s="30">
        <v>0.78</v>
      </c>
      <c r="T17" s="30">
        <v>0.77</v>
      </c>
      <c r="U17" s="30">
        <v>0.77</v>
      </c>
      <c r="V17" s="30">
        <v>0.77</v>
      </c>
      <c r="W17" s="30">
        <v>0.75</v>
      </c>
      <c r="X17" s="30">
        <v>0.76</v>
      </c>
      <c r="Y17" s="30">
        <v>0.77</v>
      </c>
      <c r="AA17" s="35"/>
      <c r="AB17" s="35"/>
      <c r="AC17" s="30">
        <v>0.77</v>
      </c>
      <c r="AD17" s="30">
        <v>0.8</v>
      </c>
      <c r="AE17" s="30">
        <v>0.77</v>
      </c>
    </row>
    <row r="18" spans="2:31" x14ac:dyDescent="0.25">
      <c r="B18" s="15" t="s">
        <v>171</v>
      </c>
      <c r="C18" s="35"/>
      <c r="D18" s="35"/>
      <c r="E18" s="35"/>
      <c r="F18" s="35"/>
      <c r="G18" s="35"/>
      <c r="H18" s="30">
        <v>0.32</v>
      </c>
      <c r="I18" s="30">
        <v>0.3</v>
      </c>
      <c r="J18" s="30">
        <v>0.28999999999999998</v>
      </c>
      <c r="K18" s="30">
        <v>0.24</v>
      </c>
      <c r="L18" s="30">
        <v>0.22</v>
      </c>
      <c r="M18" s="30">
        <v>0.23</v>
      </c>
      <c r="N18" s="30">
        <v>0.23</v>
      </c>
      <c r="O18" s="30">
        <v>0.22</v>
      </c>
      <c r="P18" s="30">
        <v>0.19</v>
      </c>
      <c r="Q18" s="30">
        <v>0.19</v>
      </c>
      <c r="R18" s="30">
        <v>0.23</v>
      </c>
      <c r="S18" s="30">
        <v>0.22</v>
      </c>
      <c r="T18" s="30">
        <v>0.23</v>
      </c>
      <c r="U18" s="30">
        <v>0.23</v>
      </c>
      <c r="V18" s="30">
        <v>0.23</v>
      </c>
      <c r="W18" s="30">
        <v>0.25</v>
      </c>
      <c r="X18" s="30">
        <v>0.24</v>
      </c>
      <c r="Y18" s="30">
        <v>0.23</v>
      </c>
      <c r="AA18" s="35"/>
      <c r="AB18" s="35"/>
      <c r="AC18" s="30">
        <v>0.23</v>
      </c>
      <c r="AD18" s="30">
        <v>0.2</v>
      </c>
      <c r="AE18" s="30">
        <v>0.23</v>
      </c>
    </row>
    <row r="20" spans="2:31" x14ac:dyDescent="0.25">
      <c r="AA20" s="44" t="s">
        <v>178</v>
      </c>
      <c r="AB20" s="45"/>
      <c r="AC20" s="45"/>
      <c r="AD20" s="45"/>
      <c r="AE20" s="45"/>
    </row>
    <row r="21" spans="2:31" x14ac:dyDescent="0.25">
      <c r="B21" s="14" t="s">
        <v>172</v>
      </c>
      <c r="AA21" s="17">
        <v>44012</v>
      </c>
      <c r="AB21" s="17">
        <v>44377</v>
      </c>
      <c r="AC21" s="17">
        <v>44742</v>
      </c>
      <c r="AD21" s="17">
        <v>45107</v>
      </c>
      <c r="AE21" s="17">
        <v>45473</v>
      </c>
    </row>
    <row r="22" spans="2:31" ht="15.6" x14ac:dyDescent="0.25">
      <c r="B22" s="15" t="s">
        <v>198</v>
      </c>
      <c r="C22" s="33">
        <v>2400000</v>
      </c>
      <c r="D22" s="33">
        <v>3000000</v>
      </c>
      <c r="E22" s="33">
        <v>3300000</v>
      </c>
      <c r="F22" s="33">
        <v>3600000</v>
      </c>
      <c r="G22" s="33">
        <v>3900000</v>
      </c>
      <c r="H22" s="33">
        <v>4500000</v>
      </c>
      <c r="I22" s="33">
        <v>5400000</v>
      </c>
      <c r="J22" s="33">
        <v>7100000</v>
      </c>
      <c r="K22" s="33">
        <v>8700000</v>
      </c>
      <c r="L22" s="33">
        <v>11200000</v>
      </c>
      <c r="M22" s="33">
        <v>12700000</v>
      </c>
      <c r="N22" s="33">
        <v>14000000</v>
      </c>
      <c r="O22" s="33">
        <v>14700000</v>
      </c>
      <c r="P22" s="33">
        <v>15600000</v>
      </c>
      <c r="Q22" s="33">
        <v>16000000</v>
      </c>
      <c r="R22" s="33">
        <v>16500000</v>
      </c>
      <c r="S22" s="33">
        <v>16900000</v>
      </c>
      <c r="T22" s="33">
        <v>17600000</v>
      </c>
      <c r="U22" s="33">
        <v>18100000</v>
      </c>
      <c r="V22" s="33">
        <v>18700000</v>
      </c>
      <c r="W22" s="33">
        <v>19500000</v>
      </c>
      <c r="X22" s="33">
        <v>21000000</v>
      </c>
      <c r="Y22" s="33">
        <v>21900000</v>
      </c>
      <c r="AA22" s="33">
        <v>3600000</v>
      </c>
      <c r="AB22" s="33">
        <v>7100000</v>
      </c>
      <c r="AC22" s="33">
        <v>14000000</v>
      </c>
      <c r="AD22" s="33">
        <v>16500000</v>
      </c>
      <c r="AE22" s="33">
        <v>18700000</v>
      </c>
    </row>
    <row r="24" spans="2:31" x14ac:dyDescent="0.25">
      <c r="AA24" s="44" t="s">
        <v>106</v>
      </c>
      <c r="AB24" s="45"/>
      <c r="AC24" s="45"/>
      <c r="AD24" s="45"/>
      <c r="AE24" s="45"/>
    </row>
    <row r="25" spans="2:31" x14ac:dyDescent="0.25">
      <c r="B25" s="14" t="s">
        <v>173</v>
      </c>
      <c r="AA25" s="17">
        <v>44012</v>
      </c>
      <c r="AB25" s="17">
        <v>44377</v>
      </c>
      <c r="AC25" s="17">
        <v>44742</v>
      </c>
      <c r="AD25" s="17">
        <v>45107</v>
      </c>
      <c r="AE25" s="17">
        <v>45473</v>
      </c>
    </row>
    <row r="26" spans="2:31" x14ac:dyDescent="0.25">
      <c r="B26" s="15" t="s">
        <v>174</v>
      </c>
      <c r="C26" s="32"/>
      <c r="D26" s="33">
        <v>1500000</v>
      </c>
      <c r="E26" s="33">
        <v>1300000</v>
      </c>
      <c r="F26" s="33">
        <v>1200000</v>
      </c>
      <c r="G26" s="33">
        <v>1600000</v>
      </c>
      <c r="H26" s="33">
        <v>2700000</v>
      </c>
      <c r="I26" s="33">
        <v>2900000</v>
      </c>
      <c r="J26" s="33">
        <v>3700000</v>
      </c>
      <c r="K26" s="33">
        <v>4900000</v>
      </c>
      <c r="L26" s="33">
        <v>9200000</v>
      </c>
      <c r="M26" s="33">
        <v>8500000</v>
      </c>
      <c r="N26" s="33">
        <v>10100000</v>
      </c>
      <c r="O26" s="33">
        <v>11300000</v>
      </c>
      <c r="P26" s="33">
        <v>15900000</v>
      </c>
      <c r="Q26" s="33">
        <v>12700000</v>
      </c>
      <c r="R26" s="33">
        <v>15700000</v>
      </c>
      <c r="S26" s="33">
        <v>17113000</v>
      </c>
      <c r="T26" s="33">
        <v>23966400</v>
      </c>
      <c r="U26" s="33">
        <v>20000000</v>
      </c>
      <c r="V26" s="33">
        <v>23100000</v>
      </c>
      <c r="W26" s="33">
        <v>25500000</v>
      </c>
      <c r="X26" s="33">
        <v>35600000</v>
      </c>
      <c r="Y26" s="33">
        <v>29600000</v>
      </c>
      <c r="AA26" s="32"/>
      <c r="AB26" s="33">
        <v>10900000</v>
      </c>
      <c r="AC26" s="33">
        <v>32600000</v>
      </c>
      <c r="AD26" s="33">
        <v>55600000</v>
      </c>
      <c r="AE26" s="33">
        <v>84100000</v>
      </c>
    </row>
    <row r="27" spans="2:31" x14ac:dyDescent="0.25">
      <c r="B27" s="15" t="s">
        <v>175</v>
      </c>
      <c r="C27" s="32"/>
      <c r="D27" s="33">
        <v>900000</v>
      </c>
      <c r="E27" s="33">
        <v>700000</v>
      </c>
      <c r="F27" s="33">
        <v>600000</v>
      </c>
      <c r="G27" s="33">
        <v>600000</v>
      </c>
      <c r="H27" s="33">
        <v>1100000</v>
      </c>
      <c r="I27" s="33">
        <v>1100000</v>
      </c>
      <c r="J27" s="33">
        <v>1300000</v>
      </c>
      <c r="K27" s="33">
        <v>1900000</v>
      </c>
      <c r="L27" s="33">
        <v>3000000</v>
      </c>
      <c r="M27" s="33">
        <v>2000000</v>
      </c>
      <c r="N27" s="33">
        <v>1900000</v>
      </c>
      <c r="O27" s="33">
        <v>1900000</v>
      </c>
      <c r="P27" s="33">
        <v>2600000</v>
      </c>
      <c r="Q27" s="33">
        <v>1600000</v>
      </c>
      <c r="R27" s="33">
        <v>1700000</v>
      </c>
      <c r="S27" s="33">
        <v>1662000</v>
      </c>
      <c r="T27" s="33">
        <v>2185400</v>
      </c>
      <c r="U27" s="33">
        <v>1500000</v>
      </c>
      <c r="V27" s="33">
        <v>1600000</v>
      </c>
      <c r="W27" s="33">
        <v>1700000</v>
      </c>
      <c r="X27" s="33">
        <v>2500000</v>
      </c>
      <c r="Y27" s="33">
        <v>1800000</v>
      </c>
      <c r="AA27" s="32"/>
      <c r="AB27" s="33">
        <v>4200000</v>
      </c>
      <c r="AC27" s="33">
        <v>8700000</v>
      </c>
      <c r="AD27" s="33">
        <v>7800000</v>
      </c>
      <c r="AE27" s="33">
        <v>7000000</v>
      </c>
    </row>
    <row r="28" spans="2:31" x14ac:dyDescent="0.25">
      <c r="B28" s="14" t="s">
        <v>165</v>
      </c>
      <c r="C28" s="34">
        <v>1500000</v>
      </c>
      <c r="D28" s="34">
        <v>2400000</v>
      </c>
      <c r="E28" s="34">
        <v>2000000</v>
      </c>
      <c r="F28" s="34">
        <v>1800000</v>
      </c>
      <c r="G28" s="34">
        <v>2200000</v>
      </c>
      <c r="H28" s="34">
        <v>3800000</v>
      </c>
      <c r="I28" s="34">
        <v>4000000</v>
      </c>
      <c r="J28" s="34">
        <v>5000000</v>
      </c>
      <c r="K28" s="34">
        <v>6700000</v>
      </c>
      <c r="L28" s="34">
        <v>12200000</v>
      </c>
      <c r="M28" s="34">
        <v>10500000</v>
      </c>
      <c r="N28" s="34">
        <v>12000000</v>
      </c>
      <c r="O28" s="34">
        <v>13300000</v>
      </c>
      <c r="P28" s="34">
        <v>18400000</v>
      </c>
      <c r="Q28" s="34">
        <v>14400000</v>
      </c>
      <c r="R28" s="34">
        <v>17400000</v>
      </c>
      <c r="S28" s="34">
        <v>18774000</v>
      </c>
      <c r="T28" s="34">
        <v>26151800</v>
      </c>
      <c r="U28" s="34">
        <v>21493800</v>
      </c>
      <c r="V28" s="34">
        <v>24700000</v>
      </c>
      <c r="W28" s="34">
        <v>27200000</v>
      </c>
      <c r="X28" s="34">
        <v>38100000</v>
      </c>
      <c r="Y28" s="34">
        <v>31300000</v>
      </c>
      <c r="AA28" s="34">
        <v>7600000</v>
      </c>
      <c r="AB28" s="34">
        <v>15100000</v>
      </c>
      <c r="AC28" s="34">
        <v>41400000</v>
      </c>
      <c r="AD28" s="34">
        <v>63500000</v>
      </c>
      <c r="AE28" s="34">
        <v>91100000</v>
      </c>
    </row>
    <row r="29" spans="2:31" x14ac:dyDescent="0.25"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AA29" s="36"/>
      <c r="AB29" s="36"/>
      <c r="AC29" s="36"/>
      <c r="AD29" s="36"/>
      <c r="AE29" s="36"/>
    </row>
    <row r="30" spans="2:31" x14ac:dyDescent="0.25">
      <c r="B30" s="14" t="s">
        <v>176</v>
      </c>
      <c r="C30" s="37">
        <v>593.64</v>
      </c>
      <c r="D30" s="37">
        <v>568.27</v>
      </c>
      <c r="E30" s="37">
        <v>611.80999999999995</v>
      </c>
      <c r="F30" s="37">
        <v>671.59</v>
      </c>
      <c r="G30" s="37">
        <v>661.1</v>
      </c>
      <c r="H30" s="37">
        <v>541.29999999999995</v>
      </c>
      <c r="I30" s="37">
        <v>564.41999999999996</v>
      </c>
      <c r="J30" s="37">
        <v>495.3</v>
      </c>
      <c r="K30" s="37">
        <v>402.36</v>
      </c>
      <c r="L30" s="37">
        <v>365</v>
      </c>
      <c r="M30" s="37">
        <v>374</v>
      </c>
      <c r="N30" s="37">
        <v>368</v>
      </c>
      <c r="O30" s="37">
        <v>331</v>
      </c>
      <c r="P30" s="37">
        <v>307</v>
      </c>
      <c r="Q30" s="37">
        <v>323</v>
      </c>
      <c r="R30" s="37">
        <v>317</v>
      </c>
      <c r="S30" s="37">
        <v>299</v>
      </c>
      <c r="T30" s="37">
        <v>287</v>
      </c>
      <c r="U30" s="37">
        <v>292.8</v>
      </c>
      <c r="V30" s="37">
        <v>293.2</v>
      </c>
      <c r="W30" s="37">
        <v>278.89999999999998</v>
      </c>
      <c r="X30" s="37">
        <v>266.5</v>
      </c>
      <c r="Y30" s="37">
        <v>273.16000000000003</v>
      </c>
      <c r="AA30" s="37">
        <v>609</v>
      </c>
      <c r="AB30" s="37">
        <v>635</v>
      </c>
      <c r="AC30" s="37">
        <v>374</v>
      </c>
      <c r="AD30" s="37">
        <v>318</v>
      </c>
      <c r="AE30" s="37">
        <v>292.39999999999998</v>
      </c>
    </row>
    <row r="33" spans="2:31" x14ac:dyDescent="0.25">
      <c r="B33" s="15" t="s">
        <v>179</v>
      </c>
      <c r="C33" s="28">
        <v>800000000</v>
      </c>
      <c r="D33" s="28">
        <v>1000000000</v>
      </c>
      <c r="E33" s="28">
        <v>1000000000</v>
      </c>
      <c r="F33" s="28">
        <v>1100000000</v>
      </c>
      <c r="G33" s="28">
        <v>900000000</v>
      </c>
      <c r="H33" s="28">
        <v>1100000000</v>
      </c>
      <c r="I33" s="28">
        <v>1000000000</v>
      </c>
      <c r="J33" s="28">
        <v>900000000</v>
      </c>
      <c r="K33" s="28">
        <v>700000000</v>
      </c>
      <c r="L33" s="28">
        <v>900000000</v>
      </c>
      <c r="M33" s="28">
        <v>1100000000</v>
      </c>
      <c r="N33" s="28">
        <v>900000000</v>
      </c>
      <c r="O33" s="28">
        <v>1000000000</v>
      </c>
      <c r="P33" s="28">
        <v>2300000000</v>
      </c>
      <c r="Q33" s="28">
        <v>1900000000</v>
      </c>
      <c r="R33" s="28">
        <v>2200000000</v>
      </c>
      <c r="S33" s="28">
        <v>2100000000</v>
      </c>
      <c r="T33" s="28">
        <v>2400000000</v>
      </c>
      <c r="U33" s="28">
        <v>2100000000</v>
      </c>
      <c r="V33" s="28">
        <v>2300000000</v>
      </c>
      <c r="W33" s="28">
        <v>2200000000</v>
      </c>
      <c r="X33" s="28">
        <v>2600000000</v>
      </c>
      <c r="Y33" s="28">
        <v>2400000000</v>
      </c>
      <c r="AA33" s="28">
        <v>1100000000</v>
      </c>
      <c r="AB33" s="28">
        <v>900000000</v>
      </c>
      <c r="AC33" s="28">
        <v>900000000</v>
      </c>
      <c r="AD33" s="28">
        <v>2200000000</v>
      </c>
      <c r="AE33" s="28">
        <v>2300000000</v>
      </c>
    </row>
    <row r="34" spans="2:31" x14ac:dyDescent="0.25">
      <c r="B34" s="15" t="s">
        <v>180</v>
      </c>
      <c r="C34" s="28">
        <v>0</v>
      </c>
      <c r="D34" s="28">
        <v>0</v>
      </c>
      <c r="E34" s="28">
        <v>0</v>
      </c>
      <c r="F34" s="28">
        <v>0</v>
      </c>
      <c r="G34" s="28">
        <v>500000000</v>
      </c>
      <c r="H34" s="28">
        <v>900000000</v>
      </c>
      <c r="I34" s="28">
        <v>1300000000</v>
      </c>
      <c r="J34" s="28">
        <v>1200000000</v>
      </c>
      <c r="K34" s="28">
        <v>1600000000</v>
      </c>
      <c r="L34" s="28">
        <v>1600000000</v>
      </c>
      <c r="M34" s="28">
        <v>1400000000</v>
      </c>
      <c r="N34" s="28">
        <v>1700000000</v>
      </c>
      <c r="O34" s="28">
        <v>1700000000</v>
      </c>
      <c r="P34" s="28">
        <v>1400000000</v>
      </c>
      <c r="Q34" s="28">
        <v>1900000000</v>
      </c>
      <c r="R34" s="28">
        <v>2300000000</v>
      </c>
      <c r="S34" s="28">
        <v>2500000000</v>
      </c>
      <c r="T34" s="28">
        <v>2900000000</v>
      </c>
      <c r="U34" s="28">
        <v>3400000000</v>
      </c>
      <c r="V34" s="28">
        <v>3400000000</v>
      </c>
      <c r="W34" s="28">
        <v>4100000000</v>
      </c>
      <c r="X34" s="28">
        <v>4200000000</v>
      </c>
      <c r="Y34" s="28">
        <v>4300000000</v>
      </c>
      <c r="AA34" s="28">
        <v>0</v>
      </c>
      <c r="AB34" s="28">
        <v>1200000000</v>
      </c>
      <c r="AC34" s="28">
        <v>1700000000</v>
      </c>
      <c r="AD34" s="28">
        <v>2300000000</v>
      </c>
      <c r="AE34" s="28">
        <v>3400000000</v>
      </c>
    </row>
    <row r="35" spans="2:31" x14ac:dyDescent="0.25">
      <c r="B35" s="15" t="s">
        <v>181</v>
      </c>
      <c r="C35" s="28">
        <v>800000000</v>
      </c>
      <c r="D35" s="28">
        <v>1100000000</v>
      </c>
      <c r="E35" s="28">
        <v>1400000000</v>
      </c>
      <c r="F35" s="28">
        <v>1400000000</v>
      </c>
      <c r="G35" s="28">
        <v>1400000000</v>
      </c>
      <c r="H35" s="28">
        <v>1700000000</v>
      </c>
      <c r="I35" s="28">
        <v>1900000000</v>
      </c>
      <c r="J35" s="28">
        <v>2300000000</v>
      </c>
      <c r="K35" s="28">
        <v>2400000000</v>
      </c>
      <c r="L35" s="28">
        <v>3400000000</v>
      </c>
      <c r="M35" s="28">
        <v>3400000000</v>
      </c>
      <c r="N35" s="28">
        <v>3600000000</v>
      </c>
      <c r="O35" s="28">
        <v>3800000000</v>
      </c>
      <c r="P35" s="28">
        <v>4100000000</v>
      </c>
      <c r="Q35" s="28">
        <v>3800000000</v>
      </c>
      <c r="R35" s="28">
        <v>3900000000</v>
      </c>
      <c r="S35" s="28">
        <v>4200000000</v>
      </c>
      <c r="T35" s="28">
        <v>4800000000</v>
      </c>
      <c r="U35" s="28">
        <v>4400000000</v>
      </c>
      <c r="V35" s="28">
        <v>4400000000</v>
      </c>
      <c r="W35" s="28">
        <v>4700000000</v>
      </c>
      <c r="X35" s="28">
        <v>6000000000</v>
      </c>
      <c r="Y35" s="28">
        <v>6200000000</v>
      </c>
      <c r="AA35" s="28">
        <v>1400000000</v>
      </c>
      <c r="AB35" s="28">
        <v>2300000000</v>
      </c>
      <c r="AC35" s="28">
        <v>3600000000</v>
      </c>
      <c r="AD35" s="28">
        <v>3900000000</v>
      </c>
      <c r="AE35" s="28">
        <v>4400000000</v>
      </c>
    </row>
    <row r="36" spans="2:31" x14ac:dyDescent="0.25">
      <c r="B36" s="15" t="s">
        <v>182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300000000</v>
      </c>
      <c r="K36" s="28">
        <v>300000000</v>
      </c>
      <c r="L36" s="28">
        <v>500000000</v>
      </c>
      <c r="M36" s="28">
        <v>800000000</v>
      </c>
      <c r="N36" s="28">
        <v>1000000000</v>
      </c>
      <c r="O36" s="28">
        <v>800000000</v>
      </c>
      <c r="P36" s="28">
        <v>600000000</v>
      </c>
      <c r="Q36" s="28">
        <v>500000000</v>
      </c>
      <c r="R36" s="28">
        <v>400000000</v>
      </c>
      <c r="S36" s="28">
        <v>300000000</v>
      </c>
      <c r="T36" s="28">
        <v>600000000</v>
      </c>
      <c r="U36" s="28">
        <v>400000000</v>
      </c>
      <c r="V36" s="28">
        <v>900000000</v>
      </c>
      <c r="W36" s="28">
        <v>700000000</v>
      </c>
      <c r="X36" s="28">
        <v>1200000000</v>
      </c>
      <c r="Y36" s="28">
        <v>900000000</v>
      </c>
      <c r="AA36" s="28">
        <v>0</v>
      </c>
      <c r="AB36" s="28">
        <v>300000000</v>
      </c>
      <c r="AC36" s="28">
        <v>1000000000</v>
      </c>
      <c r="AD36" s="28">
        <v>400000000</v>
      </c>
      <c r="AE36" s="28">
        <v>900000000</v>
      </c>
    </row>
    <row r="38" spans="2:31" x14ac:dyDescent="0.25">
      <c r="B38" s="14" t="s">
        <v>183</v>
      </c>
      <c r="C38" s="29">
        <v>1600000000</v>
      </c>
      <c r="D38" s="29">
        <v>2200000000</v>
      </c>
      <c r="E38" s="29">
        <v>2400000000</v>
      </c>
      <c r="F38" s="29">
        <v>2500000000</v>
      </c>
      <c r="G38" s="29">
        <v>2900000000</v>
      </c>
      <c r="H38" s="29">
        <v>3700000000</v>
      </c>
      <c r="I38" s="29">
        <v>4200000000</v>
      </c>
      <c r="J38" s="29">
        <v>4700000000</v>
      </c>
      <c r="K38" s="29">
        <v>5000000000</v>
      </c>
      <c r="L38" s="29">
        <v>6300000000</v>
      </c>
      <c r="M38" s="29">
        <v>6700000000</v>
      </c>
      <c r="N38" s="29">
        <v>7100000000</v>
      </c>
      <c r="O38" s="29">
        <v>7300000000</v>
      </c>
      <c r="P38" s="29">
        <v>8400000000</v>
      </c>
      <c r="Q38" s="29">
        <v>8200000000</v>
      </c>
      <c r="R38" s="29">
        <v>8700000000</v>
      </c>
      <c r="S38" s="29">
        <v>9000000000</v>
      </c>
      <c r="T38" s="29">
        <v>10600000000</v>
      </c>
      <c r="U38" s="29">
        <v>10400000000</v>
      </c>
      <c r="V38" s="29">
        <v>11000000000</v>
      </c>
      <c r="W38" s="29">
        <v>11800000000</v>
      </c>
      <c r="X38" s="29">
        <v>14000000000</v>
      </c>
      <c r="Y38" s="29">
        <v>13700000000</v>
      </c>
      <c r="AA38" s="29">
        <v>2500000000</v>
      </c>
      <c r="AB38" s="29">
        <v>4700000000</v>
      </c>
      <c r="AC38" s="29">
        <v>7100000000</v>
      </c>
      <c r="AD38" s="29">
        <v>8700000000</v>
      </c>
      <c r="AE38" s="29">
        <v>11000000000</v>
      </c>
    </row>
    <row r="39" spans="2:31" x14ac:dyDescent="0.25"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AA39" s="19"/>
      <c r="AB39" s="19"/>
      <c r="AC39" s="19"/>
      <c r="AD39" s="19"/>
      <c r="AE39" s="19"/>
    </row>
    <row r="40" spans="2:31" x14ac:dyDescent="0.25">
      <c r="B40" s="14" t="s">
        <v>184</v>
      </c>
      <c r="C40" s="20">
        <v>191541000</v>
      </c>
      <c r="D40" s="20">
        <v>220064000</v>
      </c>
      <c r="E40" s="20">
        <v>229477000</v>
      </c>
      <c r="F40" s="20">
        <v>220845000</v>
      </c>
      <c r="G40" s="20">
        <v>220429000</v>
      </c>
      <c r="H40" s="20">
        <v>277328000</v>
      </c>
      <c r="I40" s="20">
        <v>206647000</v>
      </c>
      <c r="J40" s="20">
        <v>178075000</v>
      </c>
      <c r="K40" s="20">
        <v>140175000</v>
      </c>
      <c r="L40" s="20">
        <v>229651000</v>
      </c>
      <c r="M40" s="20">
        <v>157677000</v>
      </c>
      <c r="N40" s="20">
        <v>206074000</v>
      </c>
      <c r="O40" s="20">
        <v>175300000</v>
      </c>
      <c r="P40" s="20">
        <v>458966000</v>
      </c>
      <c r="Q40" s="20">
        <v>472691000</v>
      </c>
      <c r="R40" s="20">
        <v>472649000</v>
      </c>
      <c r="S40" s="20">
        <v>441058000</v>
      </c>
      <c r="T40" s="20">
        <v>591513000</v>
      </c>
      <c r="U40" s="20">
        <v>607391000</v>
      </c>
      <c r="V40" s="20">
        <v>596310000</v>
      </c>
      <c r="W40" s="20">
        <v>581310000</v>
      </c>
      <c r="X40" s="20">
        <v>640474000</v>
      </c>
      <c r="Y40" s="20">
        <v>636820000</v>
      </c>
      <c r="AA40" s="20">
        <v>220845000</v>
      </c>
      <c r="AB40" s="20">
        <v>178075000</v>
      </c>
      <c r="AC40" s="20">
        <v>206074000</v>
      </c>
      <c r="AD40" s="20">
        <v>472649000</v>
      </c>
      <c r="AE40" s="20">
        <v>596310000</v>
      </c>
    </row>
    <row r="41" spans="2:31" ht="26.4" x14ac:dyDescent="0.25">
      <c r="B41" s="15" t="s">
        <v>185</v>
      </c>
      <c r="C41" s="31">
        <v>0.119316175000296</v>
      </c>
      <c r="D41" s="31">
        <v>0.10208124881423</v>
      </c>
      <c r="E41" s="31">
        <v>9.7595009439382693E-2</v>
      </c>
      <c r="F41" s="31">
        <v>8.8973161606073395E-2</v>
      </c>
      <c r="G41" s="31">
        <v>7.6187938243352502E-2</v>
      </c>
      <c r="H41" s="31">
        <v>7.5494461939170601E-2</v>
      </c>
      <c r="I41" s="31">
        <v>4.94408307998477E-2</v>
      </c>
      <c r="J41" s="31">
        <v>3.8209624554761401E-2</v>
      </c>
      <c r="K41" s="31">
        <v>2.8138905723273801E-2</v>
      </c>
      <c r="L41" s="31">
        <v>3.6295466729379403E-2</v>
      </c>
      <c r="M41" s="31">
        <v>2.360683275705E-2</v>
      </c>
      <c r="N41" s="31">
        <v>2.88344958370804E-2</v>
      </c>
      <c r="O41" s="31">
        <v>2.3874958954274099E-2</v>
      </c>
      <c r="P41" s="31">
        <v>5.4536197072056702E-2</v>
      </c>
      <c r="Q41" s="31">
        <v>5.7937032454543999E-2</v>
      </c>
      <c r="R41" s="31">
        <v>5.4201449778606699E-2</v>
      </c>
      <c r="S41" s="31">
        <v>4.8770089898163102E-2</v>
      </c>
      <c r="T41" s="31">
        <v>5.5609094749485201E-2</v>
      </c>
      <c r="U41" s="31">
        <v>5.86112929633405E-2</v>
      </c>
      <c r="V41" s="31">
        <v>5.4123165374067798E-2</v>
      </c>
      <c r="W41" s="31">
        <v>4.9463920717178603E-2</v>
      </c>
      <c r="X41" s="31">
        <v>4.5597065913008099E-2</v>
      </c>
      <c r="Y41" s="31">
        <v>4.6430013142431503E-2</v>
      </c>
      <c r="AA41" s="31">
        <v>8.8973161606073395E-2</v>
      </c>
      <c r="AB41" s="31">
        <v>3.8209624554761401E-2</v>
      </c>
      <c r="AC41" s="31">
        <v>2.88344958370804E-2</v>
      </c>
      <c r="AD41" s="31">
        <v>5.4201449778606699E-2</v>
      </c>
      <c r="AE41" s="31">
        <v>5.4123165374067798E-2</v>
      </c>
    </row>
    <row r="43" spans="2:31" x14ac:dyDescent="0.25">
      <c r="B43" s="14" t="s">
        <v>186</v>
      </c>
      <c r="C43" s="29">
        <v>2200000000</v>
      </c>
      <c r="D43" s="29">
        <v>2500000000</v>
      </c>
      <c r="E43" s="29">
        <v>2600000000</v>
      </c>
      <c r="F43" s="29">
        <v>3300000000</v>
      </c>
      <c r="G43" s="29">
        <v>4200000000</v>
      </c>
      <c r="H43" s="29">
        <v>4700000000</v>
      </c>
      <c r="I43" s="29">
        <v>5800000000</v>
      </c>
      <c r="J43" s="29">
        <v>6500000000</v>
      </c>
      <c r="K43" s="29">
        <v>7300000000</v>
      </c>
      <c r="L43" s="29">
        <v>8800000000</v>
      </c>
      <c r="M43" s="29">
        <v>9000000000</v>
      </c>
      <c r="N43" s="29">
        <v>10600000000</v>
      </c>
      <c r="O43" s="29">
        <v>11100000000</v>
      </c>
      <c r="P43" s="29">
        <v>10500000000</v>
      </c>
      <c r="Q43" s="29">
        <v>11420000000</v>
      </c>
      <c r="R43" s="29">
        <v>11700000000</v>
      </c>
      <c r="S43" s="29">
        <v>13080000000</v>
      </c>
      <c r="T43" s="29">
        <v>15500000000</v>
      </c>
      <c r="U43" s="29">
        <v>15600000000</v>
      </c>
      <c r="V43" s="29">
        <v>16100000000</v>
      </c>
      <c r="W43" s="29">
        <v>16800000000</v>
      </c>
      <c r="X43" s="29">
        <v>22600000000</v>
      </c>
      <c r="Y43" s="29">
        <v>23300000000</v>
      </c>
      <c r="AA43" s="29">
        <v>3300000000</v>
      </c>
      <c r="AB43" s="29">
        <v>6500000000</v>
      </c>
      <c r="AC43" s="29">
        <v>10600000000</v>
      </c>
      <c r="AD43" s="29">
        <v>11700000000</v>
      </c>
      <c r="AE43" s="29">
        <v>16100000000</v>
      </c>
    </row>
    <row r="44" spans="2:31" x14ac:dyDescent="0.25">
      <c r="B44" s="15" t="s">
        <v>187</v>
      </c>
      <c r="C44" s="31">
        <v>0.72969227272727299</v>
      </c>
      <c r="D44" s="31">
        <v>0.8623092</v>
      </c>
      <c r="E44" s="31">
        <v>0.90435346153846197</v>
      </c>
      <c r="F44" s="31">
        <v>0.75216757575757598</v>
      </c>
      <c r="G44" s="31">
        <v>0.68886357142857102</v>
      </c>
      <c r="H44" s="31">
        <v>0.78159319148936202</v>
      </c>
      <c r="I44" s="31">
        <v>0.72063500000000003</v>
      </c>
      <c r="J44" s="31">
        <v>0.71699615385883098</v>
      </c>
      <c r="K44" s="31">
        <v>0.68240232876712303</v>
      </c>
      <c r="L44" s="31">
        <v>0.71900727272727305</v>
      </c>
      <c r="M44" s="31">
        <v>0.74214388888888905</v>
      </c>
      <c r="N44" s="31">
        <v>0.67422518867924497</v>
      </c>
      <c r="O44" s="31">
        <v>0.66147936936936902</v>
      </c>
      <c r="P44" s="31">
        <v>0.80150523809523799</v>
      </c>
      <c r="Q44" s="31">
        <v>0.71442226803852904</v>
      </c>
      <c r="R44" s="31">
        <v>0.74531863247863295</v>
      </c>
      <c r="S44" s="31">
        <v>0.69140800542813496</v>
      </c>
      <c r="T44" s="31">
        <v>0.68588849998008605</v>
      </c>
      <c r="U44" s="31">
        <v>0.66356838911256599</v>
      </c>
      <c r="V44" s="31">
        <v>0.68635592903697495</v>
      </c>
      <c r="W44" s="31">
        <v>0.69936650053826699</v>
      </c>
      <c r="X44" s="31">
        <v>0.62243878932589802</v>
      </c>
      <c r="Y44" s="31">
        <v>0.59</v>
      </c>
      <c r="AA44" s="31">
        <v>0.75216757575757598</v>
      </c>
      <c r="AB44" s="31">
        <v>0.71699615385883098</v>
      </c>
      <c r="AC44" s="31">
        <v>0.67422518867924497</v>
      </c>
      <c r="AD44" s="31">
        <v>0.74531863247863295</v>
      </c>
      <c r="AE44" s="31">
        <v>0.68635592903697495</v>
      </c>
    </row>
  </sheetData>
  <mergeCells count="3">
    <mergeCell ref="AA2:AE2"/>
    <mergeCell ref="AA20:AE20"/>
    <mergeCell ref="AA24:AE24"/>
  </mergeCells>
  <hyperlinks>
    <hyperlink ref="A1" location="Main!A1" display="Main" xr:uid="{F6F7AF5A-E644-4FC9-B354-96C4600E1E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Non-GAAP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2025-09-28T17:15:11Z</dcterms:modified>
</cp:coreProperties>
</file>