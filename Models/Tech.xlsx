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06AA20E3-2B5D-40E9-BEB7-DFD1944F53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Main!$A$2:$R$103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J12" i="1"/>
  <c r="H12" i="1"/>
  <c r="F12" i="1"/>
  <c r="E12" i="1"/>
  <c r="K18" i="1"/>
  <c r="J18" i="1"/>
  <c r="H18" i="1"/>
  <c r="F18" i="1"/>
  <c r="E18" i="1"/>
  <c r="J17" i="1"/>
  <c r="K10" i="1"/>
  <c r="J10" i="1"/>
  <c r="G12" i="1" l="1"/>
  <c r="I12" i="1" s="1"/>
  <c r="G18" i="1"/>
  <c r="I18" i="1"/>
  <c r="M18" i="1" s="1"/>
  <c r="K16" i="1"/>
  <c r="J16" i="1"/>
  <c r="F16" i="1"/>
  <c r="E16" i="1"/>
  <c r="L12" i="1" l="1"/>
  <c r="M12" i="1"/>
  <c r="L18" i="1"/>
  <c r="G16" i="1"/>
  <c r="H16" i="1"/>
  <c r="I16" i="1" s="1"/>
  <c r="M16" i="1" l="1"/>
  <c r="L16" i="1"/>
  <c r="F10" i="1" l="1"/>
  <c r="E10" i="1"/>
  <c r="K17" i="1"/>
  <c r="G10" i="1" l="1"/>
  <c r="H10" i="1"/>
  <c r="H17" i="1"/>
  <c r="F17" i="1"/>
  <c r="E17" i="1"/>
  <c r="E7" i="1"/>
  <c r="K9" i="1"/>
  <c r="J9" i="1"/>
  <c r="H9" i="1"/>
  <c r="F9" i="1"/>
  <c r="E9" i="1"/>
  <c r="I10" i="1" l="1"/>
  <c r="L10" i="1" s="1"/>
  <c r="G17" i="1"/>
  <c r="I17" i="1" s="1"/>
  <c r="G9" i="1"/>
  <c r="I9" i="1" s="1"/>
  <c r="L9" i="1" s="1"/>
  <c r="M9" i="1" l="1"/>
  <c r="M10" i="1"/>
  <c r="L17" i="1"/>
  <c r="M17" i="1"/>
  <c r="F3" i="1"/>
  <c r="H3" i="1" l="1"/>
  <c r="E3" i="1"/>
  <c r="G3" i="1" s="1"/>
  <c r="H15" i="1"/>
  <c r="F15" i="1"/>
  <c r="E15" i="1"/>
  <c r="I3" i="1" l="1"/>
  <c r="G15" i="1"/>
  <c r="I15" i="1" s="1"/>
  <c r="F11" i="1"/>
  <c r="E11" i="1"/>
  <c r="L15" i="1" l="1"/>
  <c r="M15" i="1"/>
  <c r="M3" i="1"/>
  <c r="L3" i="1"/>
  <c r="G11" i="1"/>
  <c r="H13" i="1"/>
  <c r="H14" i="1"/>
  <c r="H8" i="1"/>
  <c r="H7" i="1"/>
  <c r="H6" i="1"/>
  <c r="H5" i="1"/>
  <c r="H4" i="1"/>
  <c r="E14" i="1"/>
  <c r="E8" i="1"/>
  <c r="E6" i="1"/>
  <c r="E4" i="1"/>
  <c r="E5" i="1"/>
  <c r="F13" i="1"/>
  <c r="G13" i="1" s="1"/>
  <c r="F14" i="1"/>
  <c r="F8" i="1"/>
  <c r="F7" i="1"/>
  <c r="F6" i="1"/>
  <c r="F4" i="1"/>
  <c r="F5" i="1"/>
  <c r="G14" i="1" l="1"/>
  <c r="I14" i="1" s="1"/>
  <c r="G7" i="1"/>
  <c r="I7" i="1" s="1"/>
  <c r="L7" i="1" s="1"/>
  <c r="G8" i="1"/>
  <c r="I8" i="1" s="1"/>
  <c r="L8" i="1" s="1"/>
  <c r="G5" i="1"/>
  <c r="I5" i="1" s="1"/>
  <c r="G4" i="1"/>
  <c r="I4" i="1" s="1"/>
  <c r="G6" i="1"/>
  <c r="I6" i="1" s="1"/>
  <c r="L6" i="1" s="1"/>
  <c r="I13" i="1"/>
  <c r="M13" i="1" l="1"/>
  <c r="L13" i="1"/>
  <c r="M14" i="1"/>
  <c r="L14" i="1"/>
  <c r="M6" i="1"/>
  <c r="M4" i="1"/>
  <c r="L4" i="1"/>
  <c r="M8" i="1"/>
  <c r="M7" i="1"/>
  <c r="M5" i="1"/>
  <c r="L5" i="1"/>
  <c r="H11" i="1" l="1"/>
  <c r="I11" i="1" s="1"/>
  <c r="L11" i="1" s="1"/>
  <c r="M11" i="1" l="1"/>
</calcChain>
</file>

<file path=xl/sharedStrings.xml><?xml version="1.0" encoding="utf-8"?>
<sst xmlns="http://schemas.openxmlformats.org/spreadsheetml/2006/main" count="261" uniqueCount="198">
  <si>
    <t>Company</t>
  </si>
  <si>
    <t>Ticker</t>
  </si>
  <si>
    <t>Price</t>
  </si>
  <si>
    <t>MC</t>
  </si>
  <si>
    <t>EV</t>
  </si>
  <si>
    <t>Net Cash</t>
  </si>
  <si>
    <t>Sector</t>
  </si>
  <si>
    <t>AAPL</t>
  </si>
  <si>
    <t>Country</t>
  </si>
  <si>
    <t>USA</t>
  </si>
  <si>
    <t>Apple</t>
  </si>
  <si>
    <t>Microsoft</t>
  </si>
  <si>
    <t>MSFT</t>
  </si>
  <si>
    <t>NVIDIA</t>
  </si>
  <si>
    <t>NVDA</t>
  </si>
  <si>
    <t>Amazon</t>
  </si>
  <si>
    <t>AMZN</t>
  </si>
  <si>
    <t>Alphabet(Google)</t>
  </si>
  <si>
    <t>GOOG</t>
  </si>
  <si>
    <t>Meta Platforms</t>
  </si>
  <si>
    <t>META</t>
  </si>
  <si>
    <t>Broadcom</t>
  </si>
  <si>
    <t>AVGO</t>
  </si>
  <si>
    <t>TSMC</t>
  </si>
  <si>
    <t>TSM</t>
  </si>
  <si>
    <t>Taiwan</t>
  </si>
  <si>
    <t>Tesla</t>
  </si>
  <si>
    <t>TSLA</t>
  </si>
  <si>
    <t>Tencent</t>
  </si>
  <si>
    <t>TCEHY</t>
  </si>
  <si>
    <t>China</t>
  </si>
  <si>
    <t>Oracle</t>
  </si>
  <si>
    <t>ORCL</t>
  </si>
  <si>
    <t>Netflix</t>
  </si>
  <si>
    <t>TFLX</t>
  </si>
  <si>
    <t>Alibaba</t>
  </si>
  <si>
    <t>BABA</t>
  </si>
  <si>
    <t>SAP</t>
  </si>
  <si>
    <t>Germany</t>
  </si>
  <si>
    <t>ASML</t>
  </si>
  <si>
    <t>Netherlands</t>
  </si>
  <si>
    <t>Samsung</t>
  </si>
  <si>
    <t>005930.KS</t>
  </si>
  <si>
    <t>S. Korea</t>
  </si>
  <si>
    <t>Salesforce</t>
  </si>
  <si>
    <t>CRM</t>
  </si>
  <si>
    <t>Cisco</t>
  </si>
  <si>
    <t>CSCO</t>
  </si>
  <si>
    <t>IBM</t>
  </si>
  <si>
    <t>Palantir</t>
  </si>
  <si>
    <t>PLTR</t>
  </si>
  <si>
    <t>Xiaomi</t>
  </si>
  <si>
    <t>XIACF</t>
  </si>
  <si>
    <t>QUALCOMM</t>
  </si>
  <si>
    <t>QCOM</t>
  </si>
  <si>
    <t>Pinduoduo</t>
  </si>
  <si>
    <t>PDD</t>
  </si>
  <si>
    <t>ServiceNow</t>
  </si>
  <si>
    <t>NOW</t>
  </si>
  <si>
    <t>AMD</t>
  </si>
  <si>
    <t>Adobe</t>
  </si>
  <si>
    <t>ADBE</t>
  </si>
  <si>
    <t>Intuit</t>
  </si>
  <si>
    <t>INTU</t>
  </si>
  <si>
    <t>Texas Instruments</t>
  </si>
  <si>
    <t>TXN</t>
  </si>
  <si>
    <t>Uber</t>
  </si>
  <si>
    <t>UBER</t>
  </si>
  <si>
    <t>Booking Holdings (Booking.com)</t>
  </si>
  <si>
    <t>BKNG</t>
  </si>
  <si>
    <t>Sony</t>
  </si>
  <si>
    <t>SONY</t>
  </si>
  <si>
    <t>Japan</t>
  </si>
  <si>
    <t>Schneider Electric</t>
  </si>
  <si>
    <t>SU.PA</t>
  </si>
  <si>
    <t>France</t>
  </si>
  <si>
    <t>Meituan</t>
  </si>
  <si>
    <t>3690.HK</t>
  </si>
  <si>
    <t>Shopify</t>
  </si>
  <si>
    <t>SHOP</t>
  </si>
  <si>
    <t>Canada</t>
  </si>
  <si>
    <t>Applied Materials</t>
  </si>
  <si>
    <t>AMAT</t>
  </si>
  <si>
    <t>Arm Holdings</t>
  </si>
  <si>
    <t>ARM</t>
  </si>
  <si>
    <t>UK</t>
  </si>
  <si>
    <t>Palo Alto Networks</t>
  </si>
  <si>
    <t>PANW</t>
  </si>
  <si>
    <t>Fiserv</t>
  </si>
  <si>
    <t>FI</t>
  </si>
  <si>
    <t xml:space="preserve">Automatic Data Processing </t>
  </si>
  <si>
    <t>ADP</t>
  </si>
  <si>
    <t>Spotify</t>
  </si>
  <si>
    <t>SPOT</t>
  </si>
  <si>
    <t>Sweden</t>
  </si>
  <si>
    <t>Micron Technology</t>
  </si>
  <si>
    <t>MU</t>
  </si>
  <si>
    <t>Arista Networks</t>
  </si>
  <si>
    <t>ANET</t>
  </si>
  <si>
    <t>MercadoLibre</t>
  </si>
  <si>
    <t>MELI</t>
  </si>
  <si>
    <t>Argentina</t>
  </si>
  <si>
    <t>Intel</t>
  </si>
  <si>
    <t>INTC</t>
  </si>
  <si>
    <t>Analog Devices</t>
  </si>
  <si>
    <t>ADI</t>
  </si>
  <si>
    <t>AppLovin</t>
  </si>
  <si>
    <t>APP</t>
  </si>
  <si>
    <t>Lam Research</t>
  </si>
  <si>
    <t>LRCX</t>
  </si>
  <si>
    <t>Keyence</t>
  </si>
  <si>
    <t>6861.T</t>
  </si>
  <si>
    <t>SK Hynix</t>
  </si>
  <si>
    <t>000660.KS</t>
  </si>
  <si>
    <t>KLA</t>
  </si>
  <si>
    <t>KLAC</t>
  </si>
  <si>
    <t>CrowdStrike</t>
  </si>
  <si>
    <t>CRWD</t>
  </si>
  <si>
    <t>Equinix</t>
  </si>
  <si>
    <t>EQIX</t>
  </si>
  <si>
    <t>Nintendo</t>
  </si>
  <si>
    <t>7974.T</t>
  </si>
  <si>
    <t>DoorDash</t>
  </si>
  <si>
    <t>DASH</t>
  </si>
  <si>
    <t>Strategy (MicroStrategy)</t>
  </si>
  <si>
    <t>MSTR</t>
  </si>
  <si>
    <t>Airbnb</t>
  </si>
  <si>
    <t>ABNB</t>
  </si>
  <si>
    <t>Fortinet</t>
  </si>
  <si>
    <t>FTNT</t>
  </si>
  <si>
    <t>Sea (Garena)</t>
  </si>
  <si>
    <t>SE</t>
  </si>
  <si>
    <t>Singapore</t>
  </si>
  <si>
    <t>MediaTek</t>
  </si>
  <si>
    <t>Cadence Design Systems</t>
  </si>
  <si>
    <t>Foxcon (Hon Hai Precision Industry)</t>
  </si>
  <si>
    <t>Synopsys</t>
  </si>
  <si>
    <t>Jingdong Mall</t>
  </si>
  <si>
    <t>JD</t>
  </si>
  <si>
    <t>PayPal</t>
  </si>
  <si>
    <t>PYPL</t>
  </si>
  <si>
    <t>Dell</t>
  </si>
  <si>
    <t>DELL</t>
  </si>
  <si>
    <t>Constellation Software</t>
  </si>
  <si>
    <t>Tokyo Electron</t>
  </si>
  <si>
    <t>Workday</t>
  </si>
  <si>
    <t>NetEase</t>
  </si>
  <si>
    <t>SMIC</t>
  </si>
  <si>
    <t>Roper Technologies</t>
  </si>
  <si>
    <t>Marvell Technology Group</t>
  </si>
  <si>
    <t>Atlassian</t>
  </si>
  <si>
    <t>Autodesk</t>
  </si>
  <si>
    <t>Dassault Systemes</t>
  </si>
  <si>
    <t>Block</t>
  </si>
  <si>
    <t>Adyen</t>
  </si>
  <si>
    <t>NXP Semicodnuctors</t>
  </si>
  <si>
    <t>Snowflake</t>
  </si>
  <si>
    <t>Infineon</t>
  </si>
  <si>
    <t>Coinbase</t>
  </si>
  <si>
    <t>FICO</t>
  </si>
  <si>
    <t>TE Connectivity</t>
  </si>
  <si>
    <t>Trip.com</t>
  </si>
  <si>
    <t>coupang</t>
  </si>
  <si>
    <t>Advantest</t>
  </si>
  <si>
    <t>Cloudflare</t>
  </si>
  <si>
    <t>Garmin</t>
  </si>
  <si>
    <t>Fidelity National Information Services</t>
  </si>
  <si>
    <t>Veeva Systems</t>
  </si>
  <si>
    <t>Robinhood</t>
  </si>
  <si>
    <t>Electronic Arts</t>
  </si>
  <si>
    <t>Take 2 Ineractive</t>
  </si>
  <si>
    <t>Wolvers Kluwer</t>
  </si>
  <si>
    <t>Baidu</t>
  </si>
  <si>
    <t>Datadog</t>
  </si>
  <si>
    <t>Amadeus IT Group</t>
  </si>
  <si>
    <t>Kuaishou Technology</t>
  </si>
  <si>
    <t>CoStar Group</t>
  </si>
  <si>
    <t>IQVIA</t>
  </si>
  <si>
    <t>S/O</t>
  </si>
  <si>
    <t>Information Technology</t>
  </si>
  <si>
    <t>Consumer Discretionary &amp; Information Technology</t>
  </si>
  <si>
    <t>Communication Services</t>
  </si>
  <si>
    <t>2025 E</t>
  </si>
  <si>
    <t>2026 E</t>
  </si>
  <si>
    <t>25 EV/E</t>
  </si>
  <si>
    <t>26 EV/E</t>
  </si>
  <si>
    <t>Semiconductors &amp; IT</t>
  </si>
  <si>
    <t>Consumer Discretionary</t>
  </si>
  <si>
    <t>Ebay</t>
  </si>
  <si>
    <t>EBAY</t>
  </si>
  <si>
    <t>Walmart</t>
  </si>
  <si>
    <t>WMT</t>
  </si>
  <si>
    <t>Consumer Staples</t>
  </si>
  <si>
    <t>Target</t>
  </si>
  <si>
    <t>TGT</t>
  </si>
  <si>
    <t>BigBear.ai</t>
  </si>
  <si>
    <t>BBAI</t>
  </si>
  <si>
    <t>Technology &amp;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</si>
</sst>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4" fontId="1" fillId="0" borderId="0" xfId="0" applyNumberFormat="1" applyFont="1"/>
    <xf numFmtId="4" fontId="0" fillId="0" borderId="0" xfId="0" applyNumberFormat="1"/>
    <xf numFmtId="3" fontId="0" fillId="0" borderId="0" xfId="0" applyNumberFormat="1"/>
    <xf numFmtId="0" fontId="2" fillId="0" borderId="0" xfId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53</xdr:row>
      <xdr:rowOff>0</xdr:rowOff>
    </xdr:from>
    <xdr:to>
      <xdr:col>20</xdr:col>
      <xdr:colOff>76200</xdr:colOff>
      <xdr:row>53</xdr:row>
      <xdr:rowOff>7620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9EA6A21-34F8-4B3F-A8B9-68D1A3B2F0C8}"/>
            </a:ext>
          </a:extLst>
        </xdr:cNvPr>
        <xdr:cNvCxnSpPr/>
      </xdr:nvCxnSpPr>
      <xdr:spPr>
        <a:xfrm flipV="1">
          <a:off x="38100" y="9677400"/>
          <a:ext cx="138531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NVDA.xlsx" TargetMode="External"/><Relationship Id="rId1" Type="http://schemas.openxmlformats.org/officeDocument/2006/relationships/externalLinkPath" Target="NV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Inv.xlsx" TargetMode="External"/><Relationship Id="rId1" Type="http://schemas.openxmlformats.org/officeDocument/2006/relationships/externalLinkPath" Target="Inv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TSLA.xlsx" TargetMode="External"/><Relationship Id="rId1" Type="http://schemas.openxmlformats.org/officeDocument/2006/relationships/externalLinkPath" Target="TSL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WMT.xlsx" TargetMode="External"/><Relationship Id="rId1" Type="http://schemas.openxmlformats.org/officeDocument/2006/relationships/externalLinkPath" Target="WM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ORCL.xlsx" TargetMode="External"/><Relationship Id="rId1" Type="http://schemas.openxmlformats.org/officeDocument/2006/relationships/externalLinkPath" Target="ORC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PLTR.xlsx" TargetMode="External"/><Relationship Id="rId1" Type="http://schemas.openxmlformats.org/officeDocument/2006/relationships/externalLinkPath" Target="PLTR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INTC.xlsx" TargetMode="External"/><Relationship Id="rId1" Type="http://schemas.openxmlformats.org/officeDocument/2006/relationships/externalLinkPath" Target="INTC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TGT.xlsx" TargetMode="External"/><Relationship Id="rId1" Type="http://schemas.openxmlformats.org/officeDocument/2006/relationships/externalLinkPath" Target="TG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EBAY.xlsx" TargetMode="External"/><Relationship Id="rId1" Type="http://schemas.openxmlformats.org/officeDocument/2006/relationships/externalLinkPath" Target="EBA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BBAI.xlsx" TargetMode="External"/><Relationship Id="rId1" Type="http://schemas.openxmlformats.org/officeDocument/2006/relationships/externalLinkPath" Target="BBA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6">
          <cell r="J6">
            <v>181.78</v>
          </cell>
        </row>
        <row r="7">
          <cell r="J7">
            <v>24366</v>
          </cell>
        </row>
        <row r="9">
          <cell r="J9">
            <v>56791</v>
          </cell>
        </row>
        <row r="10">
          <cell r="J10">
            <v>8466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OOGL"/>
      <sheetName val="META"/>
      <sheetName val="MSFT"/>
      <sheetName val="AMZN"/>
      <sheetName val="AAPL"/>
      <sheetName val="BIDU"/>
      <sheetName val="IBM FA"/>
      <sheetName val="IBM"/>
    </sheetNames>
    <sheetDataSet>
      <sheetData sheetId="0">
        <row r="4">
          <cell r="F4">
            <v>257</v>
          </cell>
          <cell r="I4">
            <v>222</v>
          </cell>
        </row>
        <row r="5">
          <cell r="F5">
            <v>14903</v>
          </cell>
          <cell r="I5">
            <v>10637</v>
          </cell>
          <cell r="L5">
            <v>927.26</v>
          </cell>
        </row>
        <row r="7">
          <cell r="F7">
            <v>132986</v>
          </cell>
          <cell r="I7">
            <v>93180</v>
          </cell>
          <cell r="L7">
            <v>14591</v>
          </cell>
        </row>
        <row r="8">
          <cell r="F8">
            <v>101698</v>
          </cell>
          <cell r="I8">
            <v>50718</v>
          </cell>
          <cell r="L8">
            <v>58396</v>
          </cell>
        </row>
        <row r="15">
          <cell r="C15">
            <v>516.97</v>
          </cell>
          <cell r="F15">
            <v>775.1</v>
          </cell>
          <cell r="I15">
            <v>250</v>
          </cell>
          <cell r="R15">
            <v>190.08</v>
          </cell>
        </row>
        <row r="16">
          <cell r="C16">
            <v>7432</v>
          </cell>
          <cell r="F16">
            <v>2518</v>
          </cell>
          <cell r="I16">
            <v>12094</v>
          </cell>
          <cell r="R16">
            <v>2311</v>
          </cell>
        </row>
        <row r="18">
          <cell r="C18">
            <v>109970</v>
          </cell>
          <cell r="F18">
            <v>47071</v>
          </cell>
          <cell r="I18">
            <v>147722</v>
          </cell>
          <cell r="R18">
            <v>51582</v>
          </cell>
        </row>
        <row r="19">
          <cell r="C19">
            <v>43151</v>
          </cell>
          <cell r="F19">
            <v>49560</v>
          </cell>
          <cell r="I19">
            <v>23607</v>
          </cell>
          <cell r="R19">
            <v>31792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J4">
            <v>301.05</v>
          </cell>
        </row>
        <row r="5">
          <cell r="J5">
            <v>3223</v>
          </cell>
        </row>
        <row r="7">
          <cell r="J7">
            <v>36782</v>
          </cell>
        </row>
        <row r="8">
          <cell r="J8">
            <v>7220</v>
          </cell>
        </row>
      </sheetData>
      <sheetData sheetId="1">
        <row r="51">
          <cell r="AD51">
            <v>4541</v>
          </cell>
          <cell r="AE51">
            <v>6670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J4">
            <v>98.49</v>
          </cell>
        </row>
        <row r="5">
          <cell r="J5">
            <v>8011</v>
          </cell>
        </row>
        <row r="7">
          <cell r="J7">
            <v>9311</v>
          </cell>
        </row>
        <row r="8">
          <cell r="J8">
            <v>46200</v>
          </cell>
        </row>
      </sheetData>
      <sheetData sheetId="1">
        <row r="15">
          <cell r="AQ15">
            <v>20570</v>
          </cell>
          <cell r="AR15">
            <v>23210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7">
          <cell r="L7" t="str">
            <v>Q126</v>
          </cell>
        </row>
        <row r="9">
          <cell r="K9">
            <v>11005</v>
          </cell>
        </row>
        <row r="10">
          <cell r="K10">
            <v>91315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6">
          <cell r="J6">
            <v>186.96</v>
          </cell>
        </row>
        <row r="7">
          <cell r="J7">
            <v>2348.6790000000001</v>
          </cell>
        </row>
        <row r="9">
          <cell r="J9">
            <v>5430.6890000000003</v>
          </cell>
        </row>
        <row r="10">
          <cell r="J10">
            <v>0</v>
          </cell>
        </row>
      </sheetData>
      <sheetData sheetId="1">
        <row r="17">
          <cell r="AD17">
            <v>1090000</v>
          </cell>
          <cell r="AE17">
            <v>1460000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5">
          <cell r="L5">
            <v>20.7</v>
          </cell>
        </row>
        <row r="6">
          <cell r="L6">
            <v>4369</v>
          </cell>
        </row>
        <row r="8">
          <cell r="L8">
            <v>21206</v>
          </cell>
        </row>
        <row r="9">
          <cell r="L9">
            <v>50757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I4">
            <v>99.77</v>
          </cell>
        </row>
        <row r="5">
          <cell r="I5">
            <v>454.36590100000001</v>
          </cell>
        </row>
        <row r="7">
          <cell r="I7">
            <v>2887</v>
          </cell>
        </row>
        <row r="8">
          <cell r="I8">
            <v>15473</v>
          </cell>
        </row>
      </sheetData>
      <sheetData sheetId="1">
        <row r="23">
          <cell r="V23">
            <v>3560</v>
          </cell>
          <cell r="W23">
            <v>3730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5">
          <cell r="J5">
            <v>91.74</v>
          </cell>
        </row>
        <row r="6">
          <cell r="J6">
            <v>461</v>
          </cell>
        </row>
        <row r="8">
          <cell r="J8">
            <v>6270</v>
          </cell>
        </row>
        <row r="9">
          <cell r="J9">
            <v>7035</v>
          </cell>
        </row>
      </sheetData>
      <sheetData sheetId="1">
        <row r="16">
          <cell r="AB16">
            <v>1825</v>
          </cell>
          <cell r="AC16">
            <v>2015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usiness"/>
    </sheetNames>
    <sheetDataSet>
      <sheetData sheetId="0">
        <row r="6">
          <cell r="F6">
            <v>5.01</v>
          </cell>
        </row>
        <row r="7">
          <cell r="F7">
            <v>370.70319799999999</v>
          </cell>
        </row>
        <row r="9">
          <cell r="F9">
            <v>390.84500000000003</v>
          </cell>
        </row>
        <row r="10">
          <cell r="F10">
            <v>103.05</v>
          </cell>
        </row>
      </sheetData>
      <sheetData sheetId="1">
        <row r="19">
          <cell r="AJ19">
            <v>-108000</v>
          </cell>
          <cell r="AK19">
            <v>-52620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389044-626F-4D39-847C-3D9B28BC7A4C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VRrtyaKBox7YvbBN4cBsi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ORCL.xlsx" TargetMode="External"/><Relationship Id="rId13" Type="http://schemas.openxmlformats.org/officeDocument/2006/relationships/hyperlink" Target="WMT.xlsx" TargetMode="External"/><Relationship Id="rId3" Type="http://schemas.openxmlformats.org/officeDocument/2006/relationships/hyperlink" Target="Inv.xlsx" TargetMode="External"/><Relationship Id="rId7" Type="http://schemas.openxmlformats.org/officeDocument/2006/relationships/hyperlink" Target="BABA.xlsx" TargetMode="External"/><Relationship Id="rId12" Type="http://schemas.openxmlformats.org/officeDocument/2006/relationships/hyperlink" Target="EBAY.xlsx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Inv.xlsx" TargetMode="External"/><Relationship Id="rId16" Type="http://schemas.openxmlformats.org/officeDocument/2006/relationships/hyperlink" Target="PLTR.xlsx" TargetMode="External"/><Relationship Id="rId1" Type="http://schemas.openxmlformats.org/officeDocument/2006/relationships/hyperlink" Target="Inv.xlsx" TargetMode="External"/><Relationship Id="rId6" Type="http://schemas.openxmlformats.org/officeDocument/2006/relationships/hyperlink" Target="Inv.xlsx" TargetMode="External"/><Relationship Id="rId11" Type="http://schemas.openxmlformats.org/officeDocument/2006/relationships/hyperlink" Target="TSLA.xlsx" TargetMode="External"/><Relationship Id="rId5" Type="http://schemas.openxmlformats.org/officeDocument/2006/relationships/hyperlink" Target="Inv.xlsx" TargetMode="External"/><Relationship Id="rId15" Type="http://schemas.openxmlformats.org/officeDocument/2006/relationships/hyperlink" Target="BBAI.xlsx" TargetMode="External"/><Relationship Id="rId10" Type="http://schemas.openxmlformats.org/officeDocument/2006/relationships/hyperlink" Target="NVDA.xlsx" TargetMode="External"/><Relationship Id="rId4" Type="http://schemas.openxmlformats.org/officeDocument/2006/relationships/hyperlink" Target="Inv.xlsx" TargetMode="External"/><Relationship Id="rId9" Type="http://schemas.openxmlformats.org/officeDocument/2006/relationships/hyperlink" Target="INTC.xlsx" TargetMode="External"/><Relationship Id="rId14" Type="http://schemas.openxmlformats.org/officeDocument/2006/relationships/hyperlink" Target="TG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106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8" sqref="G18"/>
    </sheetView>
  </sheetViews>
  <sheetFormatPr defaultRowHeight="14.4" x14ac:dyDescent="0.3"/>
  <cols>
    <col min="2" max="2" width="32" bestFit="1" customWidth="1"/>
    <col min="3" max="3" width="9.44140625" bestFit="1" customWidth="1"/>
    <col min="4" max="4" width="10.88671875" bestFit="1" customWidth="1"/>
    <col min="6" max="6" width="8.6640625" style="5" customWidth="1"/>
    <col min="7" max="7" width="9.6640625" bestFit="1" customWidth="1"/>
    <col min="9" max="9" width="9.6640625" bestFit="1" customWidth="1"/>
    <col min="12" max="13" width="8.88671875" style="9"/>
  </cols>
  <sheetData>
    <row r="2" spans="1:18" x14ac:dyDescent="0.3">
      <c r="B2" s="1" t="s">
        <v>0</v>
      </c>
      <c r="C2" s="1" t="s">
        <v>1</v>
      </c>
      <c r="D2" s="1" t="s">
        <v>8</v>
      </c>
      <c r="E2" s="3" t="s">
        <v>2</v>
      </c>
      <c r="F2" s="7" t="s">
        <v>178</v>
      </c>
      <c r="G2" s="3" t="s">
        <v>3</v>
      </c>
      <c r="H2" s="1" t="s">
        <v>5</v>
      </c>
      <c r="I2" s="1" t="s">
        <v>4</v>
      </c>
      <c r="J2" s="1" t="s">
        <v>182</v>
      </c>
      <c r="K2" s="1" t="s">
        <v>183</v>
      </c>
      <c r="L2" s="8" t="s">
        <v>184</v>
      </c>
      <c r="M2" s="8" t="s">
        <v>185</v>
      </c>
      <c r="N2" s="1"/>
      <c r="O2" s="1"/>
      <c r="P2" s="1"/>
      <c r="Q2" s="1"/>
      <c r="R2" s="1" t="s">
        <v>6</v>
      </c>
    </row>
    <row r="3" spans="1:18" x14ac:dyDescent="0.3">
      <c r="A3" s="2">
        <v>3</v>
      </c>
      <c r="B3" s="6" t="s">
        <v>13</v>
      </c>
      <c r="C3" t="s">
        <v>14</v>
      </c>
      <c r="D3" t="s">
        <v>9</v>
      </c>
      <c r="E3" s="4">
        <f>[1]Main!$J$6</f>
        <v>181.78</v>
      </c>
      <c r="F3" s="5">
        <f>[1]Main!$J$7</f>
        <v>24366</v>
      </c>
      <c r="G3" s="5">
        <f t="shared" ref="G3:G18" si="0">E3*F3</f>
        <v>4429251.4800000004</v>
      </c>
      <c r="H3" s="5">
        <f>[1]Main!$J$9-[1]Main!$J$10</f>
        <v>48325</v>
      </c>
      <c r="I3" s="5">
        <f t="shared" ref="I3:I18" si="1">G3-H3</f>
        <v>4380926.4800000004</v>
      </c>
      <c r="J3" s="5">
        <v>101830</v>
      </c>
      <c r="K3" s="5">
        <v>133620</v>
      </c>
      <c r="L3" s="10">
        <f t="shared" ref="L3:L18" si="2">I3/J3</f>
        <v>43.021962879308653</v>
      </c>
      <c r="M3" s="10">
        <f t="shared" ref="M3:M18" si="3">I3/K3</f>
        <v>32.786457715910792</v>
      </c>
      <c r="R3" t="s">
        <v>186</v>
      </c>
    </row>
    <row r="4" spans="1:18" x14ac:dyDescent="0.3">
      <c r="A4" s="2">
        <v>2</v>
      </c>
      <c r="B4" s="6" t="s">
        <v>11</v>
      </c>
      <c r="C4" t="s">
        <v>12</v>
      </c>
      <c r="D4" t="s">
        <v>9</v>
      </c>
      <c r="E4" s="4">
        <f>[2]Main!$C$15</f>
        <v>516.97</v>
      </c>
      <c r="F4" s="5">
        <f>[2]Main!$C$16</f>
        <v>7432</v>
      </c>
      <c r="G4" s="5">
        <f t="shared" si="0"/>
        <v>3842121.04</v>
      </c>
      <c r="H4" s="5">
        <f>+[2]Main!$C$18-[2]Main!$C$19</f>
        <v>66819</v>
      </c>
      <c r="I4" s="5">
        <f t="shared" si="1"/>
        <v>3775302.04</v>
      </c>
      <c r="J4" s="5">
        <v>100250</v>
      </c>
      <c r="K4" s="5">
        <v>113670</v>
      </c>
      <c r="L4" s="10">
        <f t="shared" si="2"/>
        <v>37.658873216957609</v>
      </c>
      <c r="M4" s="10">
        <f t="shared" si="3"/>
        <v>33.212826955221253</v>
      </c>
      <c r="R4" t="s">
        <v>179</v>
      </c>
    </row>
    <row r="5" spans="1:18" x14ac:dyDescent="0.3">
      <c r="A5" s="2">
        <v>1</v>
      </c>
      <c r="B5" s="6" t="s">
        <v>10</v>
      </c>
      <c r="C5" t="s">
        <v>7</v>
      </c>
      <c r="D5" t="s">
        <v>9</v>
      </c>
      <c r="E5" s="4">
        <f>[2]Main!$F$4</f>
        <v>257</v>
      </c>
      <c r="F5" s="5">
        <f>[2]Main!$F$5</f>
        <v>14903</v>
      </c>
      <c r="G5" s="5">
        <f t="shared" si="0"/>
        <v>3830071</v>
      </c>
      <c r="H5" s="5">
        <f>[2]Main!$F$7-[2]Main!$F$8</f>
        <v>31288</v>
      </c>
      <c r="I5" s="5">
        <f t="shared" si="1"/>
        <v>3798783</v>
      </c>
      <c r="J5" s="5">
        <v>108960</v>
      </c>
      <c r="K5" s="5">
        <v>113150</v>
      </c>
      <c r="L5" s="10">
        <f t="shared" si="2"/>
        <v>34.864014317180619</v>
      </c>
      <c r="M5" s="10">
        <f t="shared" si="3"/>
        <v>33.572982766239505</v>
      </c>
      <c r="R5" t="s">
        <v>179</v>
      </c>
    </row>
    <row r="6" spans="1:18" x14ac:dyDescent="0.3">
      <c r="A6" s="2">
        <v>4</v>
      </c>
      <c r="B6" s="6" t="s">
        <v>15</v>
      </c>
      <c r="C6" t="s">
        <v>16</v>
      </c>
      <c r="D6" t="s">
        <v>9</v>
      </c>
      <c r="E6" s="4">
        <f>[2]Main!$I$4</f>
        <v>222</v>
      </c>
      <c r="F6" s="5">
        <f>[2]Main!$I$5</f>
        <v>10637</v>
      </c>
      <c r="G6" s="5">
        <f t="shared" si="0"/>
        <v>2361414</v>
      </c>
      <c r="H6" s="5">
        <f>[2]Main!$I$7-[2]Main!$I$8</f>
        <v>42462</v>
      </c>
      <c r="I6" s="5">
        <f t="shared" si="1"/>
        <v>2318952</v>
      </c>
      <c r="J6" s="5">
        <v>66577</v>
      </c>
      <c r="K6" s="5">
        <v>79620</v>
      </c>
      <c r="L6" s="10">
        <f t="shared" si="2"/>
        <v>34.831127866981092</v>
      </c>
      <c r="M6" s="10">
        <f t="shared" si="3"/>
        <v>29.125244913338356</v>
      </c>
      <c r="R6" t="s">
        <v>180</v>
      </c>
    </row>
    <row r="7" spans="1:18" x14ac:dyDescent="0.3">
      <c r="A7" s="2">
        <v>5</v>
      </c>
      <c r="B7" s="6" t="s">
        <v>17</v>
      </c>
      <c r="C7" t="s">
        <v>18</v>
      </c>
      <c r="D7" t="s">
        <v>9</v>
      </c>
      <c r="E7" s="4">
        <f>[2]Main!$I$15</f>
        <v>250</v>
      </c>
      <c r="F7" s="5">
        <f>[2]Main!$I$16</f>
        <v>12094</v>
      </c>
      <c r="G7" s="5">
        <f t="shared" si="0"/>
        <v>3023500</v>
      </c>
      <c r="H7" s="5">
        <f>+[2]Main!$I$18-[2]Main!$I$19</f>
        <v>124115</v>
      </c>
      <c r="I7" s="5">
        <f t="shared" si="1"/>
        <v>2899385</v>
      </c>
      <c r="J7" s="5">
        <v>121576</v>
      </c>
      <c r="K7" s="5">
        <v>126740</v>
      </c>
      <c r="L7" s="10">
        <f t="shared" si="2"/>
        <v>23.84833355267487</v>
      </c>
      <c r="M7" s="10">
        <f t="shared" si="3"/>
        <v>22.876637210036296</v>
      </c>
      <c r="R7" t="s">
        <v>181</v>
      </c>
    </row>
    <row r="8" spans="1:18" x14ac:dyDescent="0.3">
      <c r="A8" s="2">
        <v>6</v>
      </c>
      <c r="B8" s="6" t="s">
        <v>19</v>
      </c>
      <c r="C8" t="s">
        <v>20</v>
      </c>
      <c r="D8" t="s">
        <v>9</v>
      </c>
      <c r="E8" s="4">
        <f>[2]Main!$F$15</f>
        <v>775.1</v>
      </c>
      <c r="F8" s="5">
        <f>[2]Main!$F$16</f>
        <v>2518</v>
      </c>
      <c r="G8" s="5">
        <f t="shared" si="0"/>
        <v>1951701.8</v>
      </c>
      <c r="H8" s="5">
        <f>+[2]Main!$F$18-[2]Main!$F$19</f>
        <v>-2489</v>
      </c>
      <c r="I8" s="5">
        <f t="shared" si="1"/>
        <v>1954190.8</v>
      </c>
      <c r="J8" s="5">
        <v>66070</v>
      </c>
      <c r="K8" s="5">
        <v>72770</v>
      </c>
      <c r="L8" s="10">
        <f t="shared" si="2"/>
        <v>29.57758135311034</v>
      </c>
      <c r="M8" s="10">
        <f t="shared" si="3"/>
        <v>26.854346571389311</v>
      </c>
      <c r="R8" t="s">
        <v>181</v>
      </c>
    </row>
    <row r="9" spans="1:18" x14ac:dyDescent="0.3">
      <c r="A9" s="2">
        <v>9</v>
      </c>
      <c r="B9" s="6" t="s">
        <v>26</v>
      </c>
      <c r="C9" t="s">
        <v>27</v>
      </c>
      <c r="D9" t="s">
        <v>9</v>
      </c>
      <c r="E9" s="4">
        <f>[3]Main!$J$4</f>
        <v>301.05</v>
      </c>
      <c r="F9" s="5">
        <f>[3]Main!$J$5</f>
        <v>3223</v>
      </c>
      <c r="G9" s="5">
        <f t="shared" si="0"/>
        <v>970284.15</v>
      </c>
      <c r="H9" s="5">
        <f>[3]Main!$J$7-[3]Main!$J$8</f>
        <v>29562</v>
      </c>
      <c r="I9" s="5">
        <f t="shared" si="1"/>
        <v>940722.15</v>
      </c>
      <c r="J9" s="5">
        <f>[3]Model!$AD$51</f>
        <v>4541</v>
      </c>
      <c r="K9" s="5">
        <f>[3]Model!$AE$51</f>
        <v>6670</v>
      </c>
      <c r="L9" s="10">
        <f t="shared" si="2"/>
        <v>207.16189165382076</v>
      </c>
      <c r="M9" s="11">
        <f t="shared" si="3"/>
        <v>141.0378035982009</v>
      </c>
      <c r="R9" t="s">
        <v>187</v>
      </c>
    </row>
    <row r="10" spans="1:18" x14ac:dyDescent="0.3">
      <c r="A10" s="2">
        <v>102</v>
      </c>
      <c r="B10" s="6" t="s">
        <v>190</v>
      </c>
      <c r="C10" t="s">
        <v>191</v>
      </c>
      <c r="D10" t="s">
        <v>9</v>
      </c>
      <c r="E10">
        <f>[4]Main!$J$4</f>
        <v>98.49</v>
      </c>
      <c r="F10" s="5">
        <f>[4]Main!$J$5</f>
        <v>8011</v>
      </c>
      <c r="G10" s="5">
        <f t="shared" si="0"/>
        <v>789003.39</v>
      </c>
      <c r="H10" s="5">
        <f>[4]Main!$J$7-[4]Main!$J$8</f>
        <v>-36889</v>
      </c>
      <c r="I10" s="5">
        <f t="shared" si="1"/>
        <v>825892.39</v>
      </c>
      <c r="J10" s="5">
        <f>[4]Model!$AQ$15</f>
        <v>20570</v>
      </c>
      <c r="K10" s="5">
        <f>[4]Model!$AR$15</f>
        <v>23210</v>
      </c>
      <c r="L10" s="10">
        <f t="shared" si="2"/>
        <v>40.150334953816241</v>
      </c>
      <c r="M10" s="11">
        <f t="shared" si="3"/>
        <v>35.5834722102542</v>
      </c>
      <c r="R10" t="s">
        <v>192</v>
      </c>
    </row>
    <row r="11" spans="1:18" x14ac:dyDescent="0.3">
      <c r="A11" s="2">
        <v>11</v>
      </c>
      <c r="B11" s="6" t="s">
        <v>31</v>
      </c>
      <c r="C11" t="s">
        <v>32</v>
      </c>
      <c r="D11" t="s">
        <v>9</v>
      </c>
      <c r="E11" s="4">
        <f>[5]Main!$L$6</f>
        <v>0</v>
      </c>
      <c r="F11" s="5" t="str">
        <f>[5]Main!$L$7</f>
        <v>Q126</v>
      </c>
      <c r="G11" s="5" t="e">
        <f t="shared" si="0"/>
        <v>#VALUE!</v>
      </c>
      <c r="H11" s="5">
        <f>[5]Main!$K$9-[5]Main!$K$10</f>
        <v>-80310</v>
      </c>
      <c r="I11" s="5" t="e">
        <f t="shared" si="1"/>
        <v>#VALUE!</v>
      </c>
      <c r="J11" s="5">
        <v>14730</v>
      </c>
      <c r="K11" s="5">
        <v>19260</v>
      </c>
      <c r="L11" s="10" t="e">
        <f t="shared" si="2"/>
        <v>#VALUE!</v>
      </c>
      <c r="M11" s="11" t="e">
        <f t="shared" si="3"/>
        <v>#VALUE!</v>
      </c>
      <c r="R11" t="s">
        <v>179</v>
      </c>
    </row>
    <row r="12" spans="1:18" x14ac:dyDescent="0.3">
      <c r="A12" s="2">
        <v>20</v>
      </c>
      <c r="B12" s="6" t="s">
        <v>49</v>
      </c>
      <c r="C12" t="s">
        <v>50</v>
      </c>
      <c r="D12" t="s">
        <v>9</v>
      </c>
      <c r="E12" s="4">
        <f>[6]Main!$J$6</f>
        <v>186.96</v>
      </c>
      <c r="F12" s="5">
        <f>[6]Main!$J$7</f>
        <v>2348.6790000000001</v>
      </c>
      <c r="G12" s="5">
        <f t="shared" si="0"/>
        <v>439109.02584000002</v>
      </c>
      <c r="H12" s="5">
        <f>[6]Main!$J$9-[6]Main!$J$10</f>
        <v>5430.6890000000003</v>
      </c>
      <c r="I12" s="5">
        <f t="shared" si="1"/>
        <v>433678.33684</v>
      </c>
      <c r="J12" s="5">
        <f>[6]Model!$AD$17/1000</f>
        <v>1090</v>
      </c>
      <c r="K12" s="5">
        <f>[6]Model!$AE$17/1000</f>
        <v>1460</v>
      </c>
      <c r="L12" s="10">
        <f t="shared" si="2"/>
        <v>397.87003379816514</v>
      </c>
      <c r="M12" s="11">
        <f t="shared" si="3"/>
        <v>297.03995673972605</v>
      </c>
      <c r="R12" t="s">
        <v>197</v>
      </c>
    </row>
    <row r="13" spans="1:18" x14ac:dyDescent="0.3">
      <c r="A13" s="2">
        <v>19</v>
      </c>
      <c r="B13" s="6" t="s">
        <v>48</v>
      </c>
      <c r="C13" t="s">
        <v>48</v>
      </c>
      <c r="D13" t="s">
        <v>9</v>
      </c>
      <c r="E13" s="4">
        <v>259.72000000000003</v>
      </c>
      <c r="F13" s="5">
        <f>[2]Main!$L$5</f>
        <v>927.26</v>
      </c>
      <c r="G13" s="5">
        <f t="shared" si="0"/>
        <v>240827.96720000001</v>
      </c>
      <c r="H13" s="5">
        <f>+[2]Main!$L$7-[2]Main!$L$8</f>
        <v>-43805</v>
      </c>
      <c r="I13" s="5">
        <f t="shared" si="1"/>
        <v>284632.96720000001</v>
      </c>
      <c r="J13" s="5">
        <v>8882</v>
      </c>
      <c r="K13" s="5">
        <v>10001</v>
      </c>
      <c r="L13" s="10">
        <f t="shared" si="2"/>
        <v>32.046044494483226</v>
      </c>
      <c r="M13" s="11">
        <f t="shared" si="3"/>
        <v>28.46045067493251</v>
      </c>
      <c r="R13" t="s">
        <v>179</v>
      </c>
    </row>
    <row r="14" spans="1:18" x14ac:dyDescent="0.3">
      <c r="A14" s="2">
        <v>13</v>
      </c>
      <c r="B14" s="6" t="s">
        <v>35</v>
      </c>
      <c r="C14" t="s">
        <v>36</v>
      </c>
      <c r="D14" t="s">
        <v>30</v>
      </c>
      <c r="E14" s="4">
        <f>[2]Main!$R$15</f>
        <v>190.08</v>
      </c>
      <c r="F14" s="5">
        <f>[2]Main!$R$16</f>
        <v>2311</v>
      </c>
      <c r="G14" s="5">
        <f t="shared" si="0"/>
        <v>439274.88</v>
      </c>
      <c r="H14" s="5">
        <f>+[2]Main!$R$18-[2]Main!$R$19</f>
        <v>19790</v>
      </c>
      <c r="I14" s="5">
        <f t="shared" si="1"/>
        <v>419484.88</v>
      </c>
      <c r="J14" s="5">
        <v>15234</v>
      </c>
      <c r="K14" s="5">
        <v>15903</v>
      </c>
      <c r="L14" s="10">
        <f t="shared" si="2"/>
        <v>27.536095575685966</v>
      </c>
      <c r="M14" s="11">
        <f t="shared" si="3"/>
        <v>26.37771992705779</v>
      </c>
      <c r="R14" t="s">
        <v>180</v>
      </c>
    </row>
    <row r="15" spans="1:18" x14ac:dyDescent="0.3">
      <c r="A15" s="2">
        <v>41</v>
      </c>
      <c r="B15" s="6" t="s">
        <v>102</v>
      </c>
      <c r="C15" t="s">
        <v>103</v>
      </c>
      <c r="D15" t="s">
        <v>9</v>
      </c>
      <c r="E15" s="4">
        <f>[7]Main!$L$5</f>
        <v>20.7</v>
      </c>
      <c r="F15" s="5">
        <f>[7]Main!$L$6</f>
        <v>4369</v>
      </c>
      <c r="G15" s="5">
        <f t="shared" si="0"/>
        <v>90438.3</v>
      </c>
      <c r="H15" s="5">
        <f>[7]Main!$L$8-[7]Main!$L$9</f>
        <v>-29551</v>
      </c>
      <c r="I15" s="5">
        <f t="shared" si="1"/>
        <v>119989.3</v>
      </c>
      <c r="J15" s="5">
        <v>-5006</v>
      </c>
      <c r="K15" s="5">
        <v>-392</v>
      </c>
      <c r="L15" s="10">
        <f t="shared" si="2"/>
        <v>-23.969097083499801</v>
      </c>
      <c r="M15" s="11">
        <f t="shared" si="3"/>
        <v>-306.09515306122449</v>
      </c>
      <c r="R15" t="s">
        <v>186</v>
      </c>
    </row>
    <row r="16" spans="1:18" x14ac:dyDescent="0.3">
      <c r="A16" s="2">
        <v>103</v>
      </c>
      <c r="B16" s="6" t="s">
        <v>193</v>
      </c>
      <c r="C16" t="s">
        <v>194</v>
      </c>
      <c r="D16" t="s">
        <v>9</v>
      </c>
      <c r="E16">
        <f>[8]Main!$I$4</f>
        <v>99.77</v>
      </c>
      <c r="F16" s="5">
        <f>[8]Main!$I$5</f>
        <v>454.36590100000001</v>
      </c>
      <c r="G16" s="5">
        <f t="shared" si="0"/>
        <v>45332.085942769998</v>
      </c>
      <c r="H16" s="5">
        <f>[8]Main!$I$7-[8]Main!$I$8</f>
        <v>-12586</v>
      </c>
      <c r="I16" s="5">
        <f t="shared" si="1"/>
        <v>57918.085942769998</v>
      </c>
      <c r="J16" s="5">
        <f>[8]Model!$V$23</f>
        <v>3560</v>
      </c>
      <c r="K16" s="5">
        <f>[8]Model!$W$23</f>
        <v>3730</v>
      </c>
      <c r="L16" s="10">
        <f t="shared" si="2"/>
        <v>16.269125264823032</v>
      </c>
      <c r="M16" s="11">
        <f t="shared" si="3"/>
        <v>15.527636981975871</v>
      </c>
      <c r="R16" t="s">
        <v>192</v>
      </c>
    </row>
    <row r="17" spans="1:18" x14ac:dyDescent="0.3">
      <c r="A17" s="2">
        <v>101</v>
      </c>
      <c r="B17" s="6" t="s">
        <v>188</v>
      </c>
      <c r="C17" t="s">
        <v>189</v>
      </c>
      <c r="D17" t="s">
        <v>9</v>
      </c>
      <c r="E17">
        <f>[9]Main!$J$5</f>
        <v>91.74</v>
      </c>
      <c r="F17" s="5">
        <f>[9]Main!$J$6</f>
        <v>461</v>
      </c>
      <c r="G17" s="5">
        <f t="shared" si="0"/>
        <v>42292.14</v>
      </c>
      <c r="H17" s="5">
        <f>+[9]Main!$J$8-[9]Main!$J$9</f>
        <v>-765</v>
      </c>
      <c r="I17" s="5">
        <f t="shared" si="1"/>
        <v>43057.14</v>
      </c>
      <c r="J17" s="5">
        <f>[9]Model!$AB$16</f>
        <v>1825</v>
      </c>
      <c r="K17" s="5">
        <f>+[9]Model!$AC$16</f>
        <v>2015</v>
      </c>
      <c r="L17" s="10">
        <f t="shared" si="2"/>
        <v>23.592953424657534</v>
      </c>
      <c r="M17" s="11">
        <f t="shared" si="3"/>
        <v>21.368307692307692</v>
      </c>
      <c r="R17" t="s">
        <v>187</v>
      </c>
    </row>
    <row r="18" spans="1:18" x14ac:dyDescent="0.3">
      <c r="A18" s="2">
        <v>103</v>
      </c>
      <c r="B18" s="6" t="s">
        <v>195</v>
      </c>
      <c r="C18" t="s">
        <v>196</v>
      </c>
      <c r="D18" t="s">
        <v>9</v>
      </c>
      <c r="E18" s="4">
        <f>[10]Main!$F$6</f>
        <v>5.01</v>
      </c>
      <c r="F18" s="5">
        <f>[10]Main!$F$7</f>
        <v>370.70319799999999</v>
      </c>
      <c r="G18" s="5">
        <f t="shared" si="0"/>
        <v>1857.2230219799999</v>
      </c>
      <c r="H18" s="5">
        <f>[10]Main!$F$9-[10]Main!$F$10</f>
        <v>287.79500000000002</v>
      </c>
      <c r="I18" s="5">
        <f t="shared" si="1"/>
        <v>1569.4280219799998</v>
      </c>
      <c r="J18" s="5">
        <f>[10]Model!$AJ$19/1000</f>
        <v>-108</v>
      </c>
      <c r="K18" s="5">
        <f>[10]Model!$AK$19/1000</f>
        <v>-52.62</v>
      </c>
      <c r="L18" s="10">
        <f t="shared" si="2"/>
        <v>-14.531740944259257</v>
      </c>
      <c r="M18" s="11">
        <f t="shared" si="3"/>
        <v>-29.825694070315468</v>
      </c>
      <c r="R18" t="s">
        <v>197</v>
      </c>
    </row>
    <row r="19" spans="1:18" x14ac:dyDescent="0.3">
      <c r="A19" s="2">
        <v>7</v>
      </c>
      <c r="B19" t="s">
        <v>23</v>
      </c>
      <c r="C19" t="s">
        <v>24</v>
      </c>
      <c r="D19" t="s">
        <v>25</v>
      </c>
      <c r="E19" s="4">
        <v>176.66</v>
      </c>
      <c r="G19" s="4">
        <v>916.22</v>
      </c>
    </row>
    <row r="20" spans="1:18" x14ac:dyDescent="0.3">
      <c r="A20" s="2">
        <v>8</v>
      </c>
      <c r="B20" t="s">
        <v>21</v>
      </c>
      <c r="C20" t="s">
        <v>22</v>
      </c>
      <c r="D20" t="s">
        <v>9</v>
      </c>
      <c r="E20" s="4">
        <v>190.93</v>
      </c>
      <c r="G20" s="4">
        <v>897.74</v>
      </c>
    </row>
    <row r="21" spans="1:18" x14ac:dyDescent="0.3">
      <c r="A21" s="2">
        <v>10</v>
      </c>
      <c r="B21" t="s">
        <v>28</v>
      </c>
      <c r="C21" t="s">
        <v>29</v>
      </c>
      <c r="D21" t="s">
        <v>30</v>
      </c>
      <c r="E21" s="4">
        <v>66.13</v>
      </c>
      <c r="G21" s="4">
        <v>608.02</v>
      </c>
    </row>
    <row r="22" spans="1:18" x14ac:dyDescent="0.3">
      <c r="A22" s="2">
        <v>12</v>
      </c>
      <c r="B22" t="s">
        <v>33</v>
      </c>
      <c r="C22" t="s">
        <v>34</v>
      </c>
      <c r="D22" t="s">
        <v>9</v>
      </c>
      <c r="E22" s="4">
        <v>959.12</v>
      </c>
      <c r="G22" s="4">
        <v>410.27</v>
      </c>
    </row>
    <row r="23" spans="1:18" x14ac:dyDescent="0.3">
      <c r="A23" s="2">
        <v>14</v>
      </c>
      <c r="B23" t="s">
        <v>37</v>
      </c>
      <c r="C23" t="s">
        <v>37</v>
      </c>
      <c r="D23" t="s">
        <v>38</v>
      </c>
      <c r="E23" s="4">
        <v>271.91000000000003</v>
      </c>
      <c r="G23" s="4">
        <v>317.2</v>
      </c>
    </row>
    <row r="24" spans="1:18" x14ac:dyDescent="0.3">
      <c r="A24" s="2">
        <v>15</v>
      </c>
      <c r="B24" t="s">
        <v>39</v>
      </c>
      <c r="C24" t="s">
        <v>39</v>
      </c>
      <c r="D24" t="s">
        <v>40</v>
      </c>
      <c r="E24" s="4">
        <v>717.34</v>
      </c>
      <c r="G24" s="4">
        <v>282.86</v>
      </c>
    </row>
    <row r="25" spans="1:18" x14ac:dyDescent="0.3">
      <c r="A25" s="2">
        <v>16</v>
      </c>
      <c r="B25" t="s">
        <v>41</v>
      </c>
      <c r="C25" t="s">
        <v>42</v>
      </c>
      <c r="D25" t="s">
        <v>43</v>
      </c>
      <c r="E25" s="4">
        <v>42.08</v>
      </c>
      <c r="G25" s="4">
        <v>277.62</v>
      </c>
    </row>
    <row r="26" spans="1:18" x14ac:dyDescent="0.3">
      <c r="A26" s="2">
        <v>17</v>
      </c>
      <c r="B26" t="s">
        <v>44</v>
      </c>
      <c r="C26" t="s">
        <v>45</v>
      </c>
      <c r="D26" t="s">
        <v>9</v>
      </c>
      <c r="E26" s="4">
        <v>279.38</v>
      </c>
      <c r="G26" s="4">
        <v>268.48</v>
      </c>
    </row>
    <row r="27" spans="1:18" x14ac:dyDescent="0.3">
      <c r="A27" s="2">
        <v>18</v>
      </c>
      <c r="B27" t="s">
        <v>46</v>
      </c>
      <c r="C27" t="s">
        <v>47</v>
      </c>
      <c r="D27" t="s">
        <v>9</v>
      </c>
      <c r="E27" s="4">
        <v>59.88</v>
      </c>
      <c r="G27" s="4">
        <v>238.22</v>
      </c>
    </row>
    <row r="28" spans="1:18" x14ac:dyDescent="0.3">
      <c r="A28" s="2">
        <v>21</v>
      </c>
      <c r="B28" t="s">
        <v>51</v>
      </c>
      <c r="C28" t="s">
        <v>52</v>
      </c>
      <c r="D28" t="s">
        <v>30</v>
      </c>
      <c r="E28" s="4">
        <v>7.06</v>
      </c>
      <c r="G28" s="4">
        <v>177.56</v>
      </c>
    </row>
    <row r="29" spans="1:18" x14ac:dyDescent="0.3">
      <c r="A29" s="2">
        <v>22</v>
      </c>
      <c r="B29" t="s">
        <v>55</v>
      </c>
      <c r="C29" t="s">
        <v>56</v>
      </c>
      <c r="D29" t="s">
        <v>30</v>
      </c>
      <c r="E29" s="4">
        <v>126.33</v>
      </c>
      <c r="G29" s="4">
        <v>175.44</v>
      </c>
    </row>
    <row r="30" spans="1:18" x14ac:dyDescent="0.3">
      <c r="A30" s="2">
        <v>23</v>
      </c>
      <c r="B30" t="s">
        <v>53</v>
      </c>
      <c r="C30" t="s">
        <v>54</v>
      </c>
      <c r="D30" t="s">
        <v>9</v>
      </c>
      <c r="E30" s="4">
        <v>157.06</v>
      </c>
      <c r="G30" s="4">
        <v>173.7</v>
      </c>
    </row>
    <row r="31" spans="1:18" x14ac:dyDescent="0.3">
      <c r="A31" s="2">
        <v>24</v>
      </c>
      <c r="B31" t="s">
        <v>59</v>
      </c>
      <c r="C31" t="s">
        <v>59</v>
      </c>
      <c r="D31" t="s">
        <v>9</v>
      </c>
      <c r="E31" s="4">
        <v>106.9</v>
      </c>
      <c r="G31" s="4">
        <v>173.22</v>
      </c>
    </row>
    <row r="32" spans="1:18" x14ac:dyDescent="0.3">
      <c r="A32" s="2">
        <v>25</v>
      </c>
      <c r="B32" t="s">
        <v>57</v>
      </c>
      <c r="C32" t="s">
        <v>58</v>
      </c>
      <c r="D32" t="s">
        <v>9</v>
      </c>
      <c r="E32" s="4">
        <v>820.06</v>
      </c>
      <c r="G32" s="4">
        <v>169.33</v>
      </c>
    </row>
    <row r="33" spans="1:18" x14ac:dyDescent="0.3">
      <c r="A33" s="2">
        <v>26</v>
      </c>
      <c r="B33" t="s">
        <v>60</v>
      </c>
      <c r="C33" t="s">
        <v>61</v>
      </c>
      <c r="D33" t="s">
        <v>9</v>
      </c>
      <c r="E33" s="4">
        <v>387.79</v>
      </c>
      <c r="G33" s="4">
        <v>168.64</v>
      </c>
    </row>
    <row r="34" spans="1:18" x14ac:dyDescent="0.3">
      <c r="A34" s="2">
        <v>27</v>
      </c>
      <c r="B34" t="s">
        <v>62</v>
      </c>
      <c r="C34" t="s">
        <v>63</v>
      </c>
      <c r="D34" t="s">
        <v>9</v>
      </c>
      <c r="E34" s="4">
        <v>599.99</v>
      </c>
      <c r="G34" s="4">
        <v>167.73</v>
      </c>
    </row>
    <row r="35" spans="1:18" x14ac:dyDescent="0.3">
      <c r="A35" s="2">
        <v>28</v>
      </c>
      <c r="B35" t="s">
        <v>64</v>
      </c>
      <c r="C35" t="s">
        <v>65</v>
      </c>
      <c r="D35" t="s">
        <v>9</v>
      </c>
      <c r="E35" s="4">
        <v>179.36</v>
      </c>
      <c r="G35" s="4">
        <v>163.19999999999999</v>
      </c>
    </row>
    <row r="36" spans="1:18" x14ac:dyDescent="0.3">
      <c r="A36" s="2">
        <v>29</v>
      </c>
      <c r="B36" t="s">
        <v>66</v>
      </c>
      <c r="C36" t="s">
        <v>67</v>
      </c>
      <c r="D36" t="s">
        <v>9</v>
      </c>
      <c r="E36" s="4">
        <v>75.459999999999994</v>
      </c>
      <c r="G36" s="4">
        <v>157.63999999999999</v>
      </c>
    </row>
    <row r="37" spans="1:18" x14ac:dyDescent="0.3">
      <c r="A37" s="2">
        <v>30</v>
      </c>
      <c r="B37" t="s">
        <v>70</v>
      </c>
      <c r="C37" t="s">
        <v>71</v>
      </c>
      <c r="D37" t="s">
        <v>72</v>
      </c>
      <c r="E37" s="4">
        <v>25.35</v>
      </c>
      <c r="G37" s="4">
        <v>152.83000000000001</v>
      </c>
    </row>
    <row r="38" spans="1:18" x14ac:dyDescent="0.3">
      <c r="A38" s="2">
        <v>31</v>
      </c>
      <c r="B38" t="s">
        <v>68</v>
      </c>
      <c r="C38" t="s">
        <v>69</v>
      </c>
      <c r="D38" t="s">
        <v>9</v>
      </c>
      <c r="E38" s="4">
        <v>4582</v>
      </c>
      <c r="G38" s="4">
        <v>150.37</v>
      </c>
    </row>
    <row r="39" spans="1:18" x14ac:dyDescent="0.3">
      <c r="A39" s="2">
        <v>32</v>
      </c>
      <c r="B39" t="s">
        <v>73</v>
      </c>
      <c r="C39" t="s">
        <v>74</v>
      </c>
      <c r="D39" t="s">
        <v>75</v>
      </c>
      <c r="E39" s="4">
        <v>250.95</v>
      </c>
      <c r="G39" s="4">
        <v>143.44</v>
      </c>
    </row>
    <row r="40" spans="1:18" x14ac:dyDescent="0.3">
      <c r="A40" s="2">
        <v>33</v>
      </c>
      <c r="B40" t="s">
        <v>78</v>
      </c>
      <c r="C40" t="s">
        <v>79</v>
      </c>
      <c r="D40" t="s">
        <v>80</v>
      </c>
      <c r="E40" s="4">
        <v>103.75</v>
      </c>
      <c r="G40" s="4">
        <v>134.19</v>
      </c>
    </row>
    <row r="41" spans="1:18" x14ac:dyDescent="0.3">
      <c r="A41" s="2">
        <v>34</v>
      </c>
      <c r="B41" t="s">
        <v>76</v>
      </c>
      <c r="C41" t="s">
        <v>77</v>
      </c>
      <c r="D41" t="s">
        <v>30</v>
      </c>
      <c r="E41" s="4">
        <v>21.56</v>
      </c>
      <c r="G41" s="4">
        <v>131.72999999999999</v>
      </c>
    </row>
    <row r="42" spans="1:18" x14ac:dyDescent="0.3">
      <c r="A42" s="2">
        <v>35</v>
      </c>
      <c r="B42" t="s">
        <v>83</v>
      </c>
      <c r="C42" t="s">
        <v>84</v>
      </c>
      <c r="D42" t="s">
        <v>85</v>
      </c>
      <c r="E42" s="4">
        <v>119.08</v>
      </c>
      <c r="G42" s="4">
        <v>125.51</v>
      </c>
    </row>
    <row r="43" spans="1:18" x14ac:dyDescent="0.3">
      <c r="A43" s="2">
        <v>36</v>
      </c>
      <c r="B43" t="s">
        <v>88</v>
      </c>
      <c r="C43" t="s">
        <v>89</v>
      </c>
      <c r="D43" t="s">
        <v>9</v>
      </c>
      <c r="E43" s="4">
        <v>219.23</v>
      </c>
      <c r="G43" s="4">
        <v>123.05</v>
      </c>
    </row>
    <row r="44" spans="1:18" x14ac:dyDescent="0.3">
      <c r="A44" s="2">
        <v>37</v>
      </c>
      <c r="B44" t="s">
        <v>92</v>
      </c>
      <c r="C44" t="s">
        <v>93</v>
      </c>
      <c r="D44" t="s">
        <v>94</v>
      </c>
      <c r="E44" s="4">
        <v>600.42999999999995</v>
      </c>
      <c r="G44" s="4">
        <v>122.91</v>
      </c>
    </row>
    <row r="45" spans="1:18" x14ac:dyDescent="0.3">
      <c r="A45" s="2">
        <v>38</v>
      </c>
      <c r="B45" t="s">
        <v>81</v>
      </c>
      <c r="C45" t="s">
        <v>82</v>
      </c>
      <c r="D45" t="s">
        <v>9</v>
      </c>
      <c r="E45" s="4">
        <v>151.28</v>
      </c>
      <c r="G45" s="4">
        <v>122.9</v>
      </c>
    </row>
    <row r="46" spans="1:18" x14ac:dyDescent="0.3">
      <c r="A46" s="2">
        <v>39</v>
      </c>
      <c r="B46" t="s">
        <v>86</v>
      </c>
      <c r="C46" t="s">
        <v>87</v>
      </c>
      <c r="D46" t="s">
        <v>9</v>
      </c>
      <c r="E46" s="4">
        <v>182</v>
      </c>
      <c r="G46" s="4">
        <v>120.5</v>
      </c>
    </row>
    <row r="47" spans="1:18" x14ac:dyDescent="0.3">
      <c r="A47" s="2">
        <v>40</v>
      </c>
      <c r="B47" t="s">
        <v>90</v>
      </c>
      <c r="C47" t="s">
        <v>91</v>
      </c>
      <c r="D47" t="s">
        <v>9</v>
      </c>
      <c r="E47" s="4">
        <v>294.22000000000003</v>
      </c>
      <c r="G47" s="4">
        <v>119.71</v>
      </c>
      <c r="R47" t="s">
        <v>179</v>
      </c>
    </row>
    <row r="48" spans="1:18" x14ac:dyDescent="0.3">
      <c r="A48" s="2">
        <v>42</v>
      </c>
      <c r="B48" t="s">
        <v>95</v>
      </c>
      <c r="C48" t="s">
        <v>96</v>
      </c>
      <c r="D48" t="s">
        <v>9</v>
      </c>
      <c r="E48" s="4">
        <v>94.86</v>
      </c>
      <c r="G48" s="4">
        <v>105.69</v>
      </c>
    </row>
    <row r="49" spans="1:7" x14ac:dyDescent="0.3">
      <c r="A49" s="2">
        <v>43</v>
      </c>
      <c r="B49" t="s">
        <v>97</v>
      </c>
      <c r="C49" t="s">
        <v>98</v>
      </c>
      <c r="D49" t="s">
        <v>9</v>
      </c>
      <c r="E49" s="4">
        <v>83.35</v>
      </c>
      <c r="G49" s="4">
        <v>105.11</v>
      </c>
    </row>
    <row r="50" spans="1:7" x14ac:dyDescent="0.3">
      <c r="A50" s="2">
        <v>44</v>
      </c>
      <c r="B50" t="s">
        <v>106</v>
      </c>
      <c r="C50" t="s">
        <v>107</v>
      </c>
      <c r="D50" t="s">
        <v>9</v>
      </c>
      <c r="E50" s="4">
        <v>307.66000000000003</v>
      </c>
      <c r="G50" s="4">
        <v>104.59</v>
      </c>
    </row>
    <row r="51" spans="1:7" x14ac:dyDescent="0.3">
      <c r="A51" s="2">
        <v>45</v>
      </c>
      <c r="B51" t="s">
        <v>99</v>
      </c>
      <c r="C51" t="s">
        <v>100</v>
      </c>
      <c r="D51" t="s">
        <v>101</v>
      </c>
      <c r="E51" s="4">
        <v>2058</v>
      </c>
      <c r="G51" s="4">
        <v>104.34</v>
      </c>
    </row>
    <row r="52" spans="1:7" x14ac:dyDescent="0.3">
      <c r="A52" s="2">
        <v>46</v>
      </c>
      <c r="B52" t="s">
        <v>104</v>
      </c>
      <c r="C52" t="s">
        <v>105</v>
      </c>
      <c r="D52" t="s">
        <v>9</v>
      </c>
      <c r="E52" s="4">
        <v>204.88</v>
      </c>
      <c r="G52" s="4">
        <v>101.61</v>
      </c>
    </row>
    <row r="53" spans="1:7" ht="13.2" customHeight="1" x14ac:dyDescent="0.3">
      <c r="A53" s="2">
        <v>47</v>
      </c>
      <c r="B53" t="s">
        <v>112</v>
      </c>
      <c r="C53" t="s">
        <v>113</v>
      </c>
      <c r="D53" t="s">
        <v>43</v>
      </c>
      <c r="E53" s="4">
        <v>146.97999999999999</v>
      </c>
      <c r="G53" s="4">
        <v>101.46</v>
      </c>
    </row>
    <row r="54" spans="1:7" x14ac:dyDescent="0.3">
      <c r="A54" s="2">
        <v>48</v>
      </c>
      <c r="B54" t="s">
        <v>110</v>
      </c>
      <c r="C54" t="s">
        <v>111</v>
      </c>
      <c r="D54" t="s">
        <v>72</v>
      </c>
      <c r="E54" s="4">
        <v>411.86</v>
      </c>
      <c r="G54" s="4">
        <v>99.88</v>
      </c>
    </row>
    <row r="55" spans="1:7" x14ac:dyDescent="0.3">
      <c r="A55" s="2">
        <v>49</v>
      </c>
      <c r="B55" t="s">
        <v>108</v>
      </c>
      <c r="C55" t="s">
        <v>109</v>
      </c>
      <c r="D55" t="s">
        <v>9</v>
      </c>
      <c r="E55" s="4">
        <v>76.16</v>
      </c>
      <c r="G55" s="4">
        <v>97.76</v>
      </c>
    </row>
    <row r="56" spans="1:7" x14ac:dyDescent="0.3">
      <c r="A56" s="2">
        <v>50</v>
      </c>
      <c r="B56" t="s">
        <v>114</v>
      </c>
      <c r="C56" t="s">
        <v>115</v>
      </c>
      <c r="D56" t="s">
        <v>9</v>
      </c>
      <c r="E56" s="4">
        <v>708.21</v>
      </c>
      <c r="G56" s="4">
        <v>94.11</v>
      </c>
    </row>
    <row r="57" spans="1:7" x14ac:dyDescent="0.3">
      <c r="A57" s="2">
        <v>51</v>
      </c>
      <c r="B57" t="s">
        <v>116</v>
      </c>
      <c r="C57" t="s">
        <v>117</v>
      </c>
      <c r="D57" t="s">
        <v>9</v>
      </c>
      <c r="E57" s="4">
        <v>370.24</v>
      </c>
      <c r="G57" s="4">
        <v>91.77</v>
      </c>
    </row>
    <row r="58" spans="1:7" x14ac:dyDescent="0.3">
      <c r="A58" s="2">
        <v>52</v>
      </c>
      <c r="B58" t="s">
        <v>118</v>
      </c>
      <c r="C58" t="s">
        <v>119</v>
      </c>
      <c r="D58" t="s">
        <v>9</v>
      </c>
    </row>
    <row r="59" spans="1:7" x14ac:dyDescent="0.3">
      <c r="A59" s="2">
        <v>53</v>
      </c>
      <c r="B59" t="s">
        <v>120</v>
      </c>
      <c r="C59" t="s">
        <v>121</v>
      </c>
      <c r="D59" t="s">
        <v>72</v>
      </c>
    </row>
    <row r="60" spans="1:7" x14ac:dyDescent="0.3">
      <c r="A60" s="2">
        <v>54</v>
      </c>
      <c r="B60" t="s">
        <v>122</v>
      </c>
      <c r="C60" t="s">
        <v>123</v>
      </c>
      <c r="D60" t="s">
        <v>9</v>
      </c>
    </row>
    <row r="61" spans="1:7" x14ac:dyDescent="0.3">
      <c r="A61" s="2">
        <v>55</v>
      </c>
      <c r="B61" t="s">
        <v>124</v>
      </c>
      <c r="C61" t="s">
        <v>125</v>
      </c>
      <c r="D61" t="s">
        <v>9</v>
      </c>
    </row>
    <row r="62" spans="1:7" x14ac:dyDescent="0.3">
      <c r="A62" s="2">
        <v>56</v>
      </c>
      <c r="B62" t="s">
        <v>126</v>
      </c>
      <c r="C62" t="s">
        <v>127</v>
      </c>
      <c r="D62" t="s">
        <v>9</v>
      </c>
    </row>
    <row r="63" spans="1:7" x14ac:dyDescent="0.3">
      <c r="A63" s="2">
        <v>57</v>
      </c>
      <c r="B63" t="s">
        <v>128</v>
      </c>
      <c r="C63" t="s">
        <v>129</v>
      </c>
      <c r="D63" t="s">
        <v>9</v>
      </c>
    </row>
    <row r="64" spans="1:7" x14ac:dyDescent="0.3">
      <c r="A64" s="2">
        <v>58</v>
      </c>
      <c r="B64" t="s">
        <v>130</v>
      </c>
      <c r="C64" t="s">
        <v>131</v>
      </c>
      <c r="D64" t="s">
        <v>132</v>
      </c>
    </row>
    <row r="65" spans="1:3" x14ac:dyDescent="0.3">
      <c r="A65" s="2">
        <v>59</v>
      </c>
      <c r="B65" t="s">
        <v>133</v>
      </c>
    </row>
    <row r="66" spans="1:3" x14ac:dyDescent="0.3">
      <c r="A66" s="2">
        <v>60</v>
      </c>
      <c r="B66" t="s">
        <v>134</v>
      </c>
    </row>
    <row r="67" spans="1:3" x14ac:dyDescent="0.3">
      <c r="A67" s="2">
        <v>61</v>
      </c>
      <c r="B67" t="s">
        <v>135</v>
      </c>
    </row>
    <row r="68" spans="1:3" x14ac:dyDescent="0.3">
      <c r="A68" s="2">
        <v>62</v>
      </c>
      <c r="B68" t="s">
        <v>136</v>
      </c>
    </row>
    <row r="69" spans="1:3" x14ac:dyDescent="0.3">
      <c r="A69" s="2">
        <v>63</v>
      </c>
      <c r="B69" t="s">
        <v>137</v>
      </c>
      <c r="C69" t="s">
        <v>138</v>
      </c>
    </row>
    <row r="70" spans="1:3" x14ac:dyDescent="0.3">
      <c r="A70" s="2">
        <v>64</v>
      </c>
      <c r="B70" t="s">
        <v>139</v>
      </c>
      <c r="C70" t="s">
        <v>140</v>
      </c>
    </row>
    <row r="71" spans="1:3" x14ac:dyDescent="0.3">
      <c r="A71" s="2">
        <v>65</v>
      </c>
      <c r="B71" t="s">
        <v>141</v>
      </c>
      <c r="C71" t="s">
        <v>142</v>
      </c>
    </row>
    <row r="72" spans="1:3" x14ac:dyDescent="0.3">
      <c r="A72" s="2">
        <v>66</v>
      </c>
      <c r="B72" t="s">
        <v>143</v>
      </c>
    </row>
    <row r="73" spans="1:3" x14ac:dyDescent="0.3">
      <c r="A73" s="2">
        <v>67</v>
      </c>
      <c r="B73" t="s">
        <v>144</v>
      </c>
    </row>
    <row r="74" spans="1:3" x14ac:dyDescent="0.3">
      <c r="A74" s="2">
        <v>68</v>
      </c>
      <c r="B74" t="s">
        <v>145</v>
      </c>
    </row>
    <row r="75" spans="1:3" x14ac:dyDescent="0.3">
      <c r="A75" s="2">
        <v>69</v>
      </c>
      <c r="B75" t="s">
        <v>146</v>
      </c>
    </row>
    <row r="76" spans="1:3" x14ac:dyDescent="0.3">
      <c r="A76" s="2">
        <v>70</v>
      </c>
      <c r="B76" t="s">
        <v>147</v>
      </c>
    </row>
    <row r="77" spans="1:3" x14ac:dyDescent="0.3">
      <c r="A77" s="2">
        <v>71</v>
      </c>
      <c r="B77" t="s">
        <v>148</v>
      </c>
    </row>
    <row r="78" spans="1:3" x14ac:dyDescent="0.3">
      <c r="A78" s="2">
        <v>72</v>
      </c>
      <c r="B78" t="s">
        <v>149</v>
      </c>
    </row>
    <row r="79" spans="1:3" x14ac:dyDescent="0.3">
      <c r="A79" s="2">
        <v>73</v>
      </c>
      <c r="B79" t="s">
        <v>150</v>
      </c>
    </row>
    <row r="80" spans="1:3" x14ac:dyDescent="0.3">
      <c r="A80" s="2">
        <v>74</v>
      </c>
      <c r="B80" t="s">
        <v>151</v>
      </c>
    </row>
    <row r="81" spans="1:2" x14ac:dyDescent="0.3">
      <c r="A81" s="2">
        <v>75</v>
      </c>
      <c r="B81" t="s">
        <v>152</v>
      </c>
    </row>
    <row r="82" spans="1:2" x14ac:dyDescent="0.3">
      <c r="A82" s="2">
        <v>76</v>
      </c>
      <c r="B82" t="s">
        <v>153</v>
      </c>
    </row>
    <row r="83" spans="1:2" x14ac:dyDescent="0.3">
      <c r="A83" s="2">
        <v>77</v>
      </c>
      <c r="B83" t="s">
        <v>154</v>
      </c>
    </row>
    <row r="84" spans="1:2" x14ac:dyDescent="0.3">
      <c r="A84" s="2">
        <v>78</v>
      </c>
      <c r="B84" t="s">
        <v>155</v>
      </c>
    </row>
    <row r="85" spans="1:2" x14ac:dyDescent="0.3">
      <c r="A85" s="2">
        <v>79</v>
      </c>
      <c r="B85" t="s">
        <v>156</v>
      </c>
    </row>
    <row r="86" spans="1:2" x14ac:dyDescent="0.3">
      <c r="A86" s="2">
        <v>80</v>
      </c>
      <c r="B86" t="s">
        <v>157</v>
      </c>
    </row>
    <row r="87" spans="1:2" x14ac:dyDescent="0.3">
      <c r="A87" s="2">
        <v>81</v>
      </c>
      <c r="B87" t="s">
        <v>158</v>
      </c>
    </row>
    <row r="88" spans="1:2" x14ac:dyDescent="0.3">
      <c r="A88" s="2">
        <v>82</v>
      </c>
      <c r="B88" t="s">
        <v>159</v>
      </c>
    </row>
    <row r="89" spans="1:2" x14ac:dyDescent="0.3">
      <c r="A89" s="2">
        <v>83</v>
      </c>
      <c r="B89" t="s">
        <v>160</v>
      </c>
    </row>
    <row r="90" spans="1:2" x14ac:dyDescent="0.3">
      <c r="A90" s="2">
        <v>84</v>
      </c>
      <c r="B90" t="s">
        <v>161</v>
      </c>
    </row>
    <row r="91" spans="1:2" x14ac:dyDescent="0.3">
      <c r="A91" s="2">
        <v>85</v>
      </c>
      <c r="B91" t="s">
        <v>162</v>
      </c>
    </row>
    <row r="92" spans="1:2" x14ac:dyDescent="0.3">
      <c r="A92" s="2">
        <v>86</v>
      </c>
      <c r="B92" t="s">
        <v>163</v>
      </c>
    </row>
    <row r="93" spans="1:2" x14ac:dyDescent="0.3">
      <c r="A93" s="2">
        <v>87</v>
      </c>
      <c r="B93" t="s">
        <v>164</v>
      </c>
    </row>
    <row r="94" spans="1:2" x14ac:dyDescent="0.3">
      <c r="A94" s="2">
        <v>88</v>
      </c>
      <c r="B94" t="s">
        <v>165</v>
      </c>
    </row>
    <row r="95" spans="1:2" x14ac:dyDescent="0.3">
      <c r="A95" s="2">
        <v>89</v>
      </c>
      <c r="B95" t="s">
        <v>166</v>
      </c>
    </row>
    <row r="96" spans="1:2" x14ac:dyDescent="0.3">
      <c r="A96" s="2">
        <v>90</v>
      </c>
      <c r="B96" t="s">
        <v>167</v>
      </c>
    </row>
    <row r="97" spans="1:2" x14ac:dyDescent="0.3">
      <c r="A97" s="2">
        <v>91</v>
      </c>
      <c r="B97" t="s">
        <v>168</v>
      </c>
    </row>
    <row r="98" spans="1:2" x14ac:dyDescent="0.3">
      <c r="A98" s="2">
        <v>92</v>
      </c>
      <c r="B98" t="s">
        <v>169</v>
      </c>
    </row>
    <row r="99" spans="1:2" x14ac:dyDescent="0.3">
      <c r="A99" s="2">
        <v>93</v>
      </c>
      <c r="B99" t="s">
        <v>170</v>
      </c>
    </row>
    <row r="100" spans="1:2" x14ac:dyDescent="0.3">
      <c r="A100" s="2">
        <v>94</v>
      </c>
      <c r="B100" t="s">
        <v>171</v>
      </c>
    </row>
    <row r="101" spans="1:2" x14ac:dyDescent="0.3">
      <c r="A101" s="2">
        <v>95</v>
      </c>
      <c r="B101" t="s">
        <v>172</v>
      </c>
    </row>
    <row r="102" spans="1:2" x14ac:dyDescent="0.3">
      <c r="A102" s="2">
        <v>96</v>
      </c>
      <c r="B102" t="s">
        <v>173</v>
      </c>
    </row>
    <row r="103" spans="1:2" x14ac:dyDescent="0.3">
      <c r="A103" s="2">
        <v>97</v>
      </c>
      <c r="B103" t="s">
        <v>174</v>
      </c>
    </row>
    <row r="104" spans="1:2" x14ac:dyDescent="0.3">
      <c r="A104" s="2">
        <v>98</v>
      </c>
      <c r="B104" t="s">
        <v>175</v>
      </c>
    </row>
    <row r="105" spans="1:2" x14ac:dyDescent="0.3">
      <c r="A105" s="2">
        <v>99</v>
      </c>
      <c r="B105" t="s">
        <v>176</v>
      </c>
    </row>
    <row r="106" spans="1:2" x14ac:dyDescent="0.3">
      <c r="A106" s="2">
        <v>100</v>
      </c>
      <c r="B106" t="s">
        <v>177</v>
      </c>
    </row>
  </sheetData>
  <autoFilter ref="A2:R103" xr:uid="{00000000-0001-0000-0000-000000000000}">
    <sortState xmlns:xlrd2="http://schemas.microsoft.com/office/spreadsheetml/2017/richdata2" ref="A3:R106">
      <sortCondition descending="1" ref="I2:I103"/>
    </sortState>
  </autoFilter>
  <hyperlinks>
    <hyperlink ref="B5" r:id="rId1" xr:uid="{B8713A94-B737-470F-8C77-7BD9CF784AA0}"/>
    <hyperlink ref="B13" r:id="rId2" xr:uid="{287E055D-F2FD-4DAD-9F31-29D18CB7C712}"/>
    <hyperlink ref="B4" r:id="rId3" xr:uid="{27A36013-234A-436C-AA20-062D93A4576B}"/>
    <hyperlink ref="B7" r:id="rId4" xr:uid="{39219FFD-D122-4FB2-826F-749FAC62BB5E}"/>
    <hyperlink ref="B6" r:id="rId5" xr:uid="{A8A20DA9-045E-4332-A25E-0CFF91B439CA}"/>
    <hyperlink ref="B8" r:id="rId6" xr:uid="{F7DDE7C3-A22F-4306-ABBB-2CA80A8D7E82}"/>
    <hyperlink ref="B14" r:id="rId7" xr:uid="{496A2BD7-0EB0-4F1F-8043-9071AFBDEEEF}"/>
    <hyperlink ref="B11" r:id="rId8" xr:uid="{A9049B62-65E4-4FB7-9638-E678FD104643}"/>
    <hyperlink ref="B15" r:id="rId9" xr:uid="{E8A57883-C54E-45E1-9A22-33CEAF25AC0A}"/>
    <hyperlink ref="B3" r:id="rId10" xr:uid="{A17CBBD5-B87F-46BE-A405-9F7537B5CF81}"/>
    <hyperlink ref="B9" r:id="rId11" xr:uid="{823B6359-C15B-446F-A98C-577639671BA6}"/>
    <hyperlink ref="B17" r:id="rId12" xr:uid="{EC259C3E-76F6-4265-B698-66411C957BD3}"/>
    <hyperlink ref="B10" r:id="rId13" xr:uid="{35814D98-0A7C-44DA-97AC-F90A38D6C3B0}"/>
    <hyperlink ref="B16" r:id="rId14" xr:uid="{7977ABF1-55C7-431B-A27C-E15D04B0548A}"/>
    <hyperlink ref="B18" r:id="rId15" xr:uid="{042720E9-F62C-42AE-B0D9-0F7F8E875242}"/>
    <hyperlink ref="B12" r:id="rId16" xr:uid="{DAF4D941-BCDA-43C2-B4CE-ACDE58FD1481}"/>
  </hyperlinks>
  <pageMargins left="0.7" right="0.7" top="0.75" bottom="0.75" header="0.3" footer="0.3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2025-10-03T10:12:51Z</dcterms:modified>
</cp:coreProperties>
</file>