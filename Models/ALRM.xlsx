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CDE6C297-2DD7-4760-AA1D-5777F531C1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1" i="1" l="1"/>
  <c r="P31" i="1"/>
  <c r="O31" i="1"/>
  <c r="Q30" i="1"/>
  <c r="P30" i="1"/>
  <c r="O30" i="1"/>
  <c r="Q29" i="1"/>
  <c r="P29" i="1"/>
  <c r="O29" i="1"/>
  <c r="R28" i="1"/>
  <c r="Q28" i="1"/>
  <c r="P28" i="1"/>
  <c r="R27" i="1"/>
  <c r="Q27" i="1"/>
  <c r="P27" i="1"/>
  <c r="R26" i="1"/>
  <c r="Q26" i="1"/>
  <c r="P26" i="1"/>
  <c r="R25" i="1"/>
  <c r="Q25" i="1"/>
  <c r="P25" i="1"/>
  <c r="R24" i="1"/>
  <c r="Q24" i="1"/>
  <c r="P24" i="1"/>
  <c r="O13" i="1"/>
  <c r="O8" i="1"/>
  <c r="O5" i="1"/>
  <c r="O9" i="1" s="1"/>
  <c r="O14" i="1" s="1"/>
  <c r="O18" i="1" s="1"/>
  <c r="O20" i="1" s="1"/>
  <c r="O22" i="1" s="1"/>
  <c r="P13" i="1"/>
  <c r="P8" i="1"/>
  <c r="P5" i="1"/>
  <c r="Q13" i="1"/>
  <c r="Q8" i="1"/>
  <c r="Q5" i="1"/>
  <c r="Q9" i="1" s="1"/>
  <c r="C31" i="1"/>
  <c r="C30" i="1"/>
  <c r="G31" i="1"/>
  <c r="G30" i="1"/>
  <c r="G27" i="1"/>
  <c r="G26" i="1"/>
  <c r="G25" i="1"/>
  <c r="F15" i="1"/>
  <c r="F19" i="1"/>
  <c r="F17" i="1"/>
  <c r="F16" i="1"/>
  <c r="F12" i="1"/>
  <c r="F10" i="1"/>
  <c r="F7" i="1"/>
  <c r="F6" i="1"/>
  <c r="F4" i="1"/>
  <c r="F3" i="1"/>
  <c r="F30" i="1" s="1"/>
  <c r="J19" i="1"/>
  <c r="J17" i="1"/>
  <c r="J16" i="1"/>
  <c r="J15" i="1"/>
  <c r="J12" i="1"/>
  <c r="J10" i="1"/>
  <c r="J7" i="1"/>
  <c r="J6" i="1"/>
  <c r="J4" i="1"/>
  <c r="J3" i="1"/>
  <c r="C13" i="1"/>
  <c r="C8" i="1"/>
  <c r="C5" i="1"/>
  <c r="G13" i="1"/>
  <c r="G8" i="1"/>
  <c r="G5" i="1"/>
  <c r="E31" i="1"/>
  <c r="D31" i="1"/>
  <c r="E30" i="1"/>
  <c r="D30" i="1"/>
  <c r="H31" i="1"/>
  <c r="H30" i="1"/>
  <c r="H27" i="1"/>
  <c r="H26" i="1"/>
  <c r="H25" i="1"/>
  <c r="D13" i="1"/>
  <c r="D8" i="1"/>
  <c r="D5" i="1"/>
  <c r="H13" i="1"/>
  <c r="H8" i="1"/>
  <c r="H5" i="1"/>
  <c r="I27" i="1"/>
  <c r="I26" i="1"/>
  <c r="I25" i="1"/>
  <c r="I31" i="1"/>
  <c r="I30" i="1"/>
  <c r="E13" i="1"/>
  <c r="E8" i="1"/>
  <c r="E5" i="1"/>
  <c r="I13" i="1"/>
  <c r="I8" i="1"/>
  <c r="I5" i="1"/>
  <c r="U12" i="1"/>
  <c r="U27" i="1" s="1"/>
  <c r="U7" i="1"/>
  <c r="U31" i="1" s="1"/>
  <c r="U6" i="1"/>
  <c r="U30" i="1" s="1"/>
  <c r="U10" i="1"/>
  <c r="U25" i="1" s="1"/>
  <c r="S27" i="1"/>
  <c r="T27" i="1"/>
  <c r="S25" i="1"/>
  <c r="T25" i="1"/>
  <c r="T11" i="1"/>
  <c r="U11" i="1" s="1"/>
  <c r="S11" i="1"/>
  <c r="R11" i="1"/>
  <c r="R13" i="1" s="1"/>
  <c r="U5" i="1"/>
  <c r="U9" i="1" s="1"/>
  <c r="U29" i="1" s="1"/>
  <c r="S31" i="1"/>
  <c r="R31" i="1"/>
  <c r="T31" i="1"/>
  <c r="S30" i="1"/>
  <c r="R30" i="1"/>
  <c r="T30" i="1"/>
  <c r="R17" i="1"/>
  <c r="T8" i="1"/>
  <c r="T5" i="1"/>
  <c r="S8" i="1"/>
  <c r="S5" i="1"/>
  <c r="R8" i="1"/>
  <c r="R5" i="1"/>
  <c r="P9" i="1" l="1"/>
  <c r="P14" i="1" s="1"/>
  <c r="P18" i="1" s="1"/>
  <c r="P20" i="1" s="1"/>
  <c r="P22" i="1" s="1"/>
  <c r="Q14" i="1"/>
  <c r="Q18" i="1" s="1"/>
  <c r="Q20" i="1" s="1"/>
  <c r="Q22" i="1" s="1"/>
  <c r="J30" i="1"/>
  <c r="J25" i="1"/>
  <c r="F8" i="1"/>
  <c r="U13" i="1"/>
  <c r="J5" i="1"/>
  <c r="J8" i="1"/>
  <c r="J27" i="1"/>
  <c r="J31" i="1"/>
  <c r="F31" i="1"/>
  <c r="S9" i="1"/>
  <c r="S29" i="1" s="1"/>
  <c r="H9" i="1"/>
  <c r="H29" i="1" s="1"/>
  <c r="T9" i="1"/>
  <c r="T29" i="1" s="1"/>
  <c r="I24" i="1"/>
  <c r="G9" i="1"/>
  <c r="G14" i="1" s="1"/>
  <c r="G18" i="1" s="1"/>
  <c r="G32" i="1" s="1"/>
  <c r="S26" i="1"/>
  <c r="D9" i="1"/>
  <c r="D29" i="1" s="1"/>
  <c r="U14" i="1"/>
  <c r="U18" i="1" s="1"/>
  <c r="U20" i="1" s="1"/>
  <c r="T26" i="1"/>
  <c r="J11" i="1"/>
  <c r="J13" i="1" s="1"/>
  <c r="H24" i="1"/>
  <c r="U8" i="1"/>
  <c r="I9" i="1"/>
  <c r="F5" i="1"/>
  <c r="T13" i="1"/>
  <c r="S13" i="1"/>
  <c r="F11" i="1"/>
  <c r="F13" i="1" s="1"/>
  <c r="R9" i="1"/>
  <c r="R14" i="1" s="1"/>
  <c r="R18" i="1" s="1"/>
  <c r="R20" i="1" s="1"/>
  <c r="R22" i="1" s="1"/>
  <c r="G24" i="1"/>
  <c r="C9" i="1"/>
  <c r="E9" i="1"/>
  <c r="U26" i="1"/>
  <c r="T24" i="1"/>
  <c r="S24" i="1"/>
  <c r="U24" i="1"/>
  <c r="H14" i="1" l="1"/>
  <c r="H18" i="1" s="1"/>
  <c r="H32" i="1" s="1"/>
  <c r="T14" i="1"/>
  <c r="T18" i="1" s="1"/>
  <c r="T20" i="1" s="1"/>
  <c r="G29" i="1"/>
  <c r="J24" i="1"/>
  <c r="J9" i="1"/>
  <c r="J29" i="1" s="1"/>
  <c r="T22" i="1"/>
  <c r="H20" i="1"/>
  <c r="S14" i="1"/>
  <c r="S18" i="1" s="1"/>
  <c r="S20" i="1" s="1"/>
  <c r="G20" i="1"/>
  <c r="U22" i="1"/>
  <c r="U28" i="1"/>
  <c r="D14" i="1"/>
  <c r="D18" i="1" s="1"/>
  <c r="D32" i="1" s="1"/>
  <c r="R29" i="1"/>
  <c r="J26" i="1"/>
  <c r="E14" i="1"/>
  <c r="E18" i="1" s="1"/>
  <c r="E32" i="1" s="1"/>
  <c r="E29" i="1"/>
  <c r="F9" i="1"/>
  <c r="I14" i="1"/>
  <c r="I18" i="1" s="1"/>
  <c r="I32" i="1" s="1"/>
  <c r="I29" i="1"/>
  <c r="C14" i="1"/>
  <c r="C18" i="1" s="1"/>
  <c r="C32" i="1" s="1"/>
  <c r="C29" i="1"/>
  <c r="J14" i="1" l="1"/>
  <c r="J18" i="1" s="1"/>
  <c r="J20" i="1" s="1"/>
  <c r="I20" i="1"/>
  <c r="D20" i="1"/>
  <c r="D22" i="1" s="1"/>
  <c r="C20" i="1"/>
  <c r="C22" i="1" s="1"/>
  <c r="G22" i="1"/>
  <c r="G28" i="1"/>
  <c r="S22" i="1"/>
  <c r="S28" i="1"/>
  <c r="H22" i="1"/>
  <c r="E20" i="1"/>
  <c r="E22" i="1" s="1"/>
  <c r="T28" i="1"/>
  <c r="F29" i="1"/>
  <c r="F14" i="1"/>
  <c r="F18" i="1" s="1"/>
  <c r="F32" i="1" s="1"/>
  <c r="J32" i="1" l="1"/>
  <c r="F20" i="1"/>
  <c r="F22" i="1" s="1"/>
  <c r="I22" i="1"/>
  <c r="I28" i="1"/>
  <c r="H28" i="1"/>
  <c r="J22" i="1"/>
  <c r="J28" i="1"/>
</calcChain>
</file>

<file path=xl/sharedStrings.xml><?xml version="1.0" encoding="utf-8"?>
<sst xmlns="http://schemas.openxmlformats.org/spreadsheetml/2006/main" count="39" uniqueCount="39">
  <si>
    <t xml:space="preserve">Main </t>
  </si>
  <si>
    <t>Revenue</t>
  </si>
  <si>
    <t>COGS</t>
  </si>
  <si>
    <t>Gross Profit</t>
  </si>
  <si>
    <t>R&amp;D</t>
  </si>
  <si>
    <t>SaaS</t>
  </si>
  <si>
    <t>Hardware</t>
  </si>
  <si>
    <t>SaaS COGS</t>
  </si>
  <si>
    <t>Hardware COGS</t>
  </si>
  <si>
    <t>Operating Expenses</t>
  </si>
  <si>
    <t>Operating Income</t>
  </si>
  <si>
    <t>Interest expense</t>
  </si>
  <si>
    <t>Interest income</t>
  </si>
  <si>
    <t>Other income</t>
  </si>
  <si>
    <t>Pre Tax Income</t>
  </si>
  <si>
    <t>Tax</t>
  </si>
  <si>
    <t>Net Income</t>
  </si>
  <si>
    <t>Shares</t>
  </si>
  <si>
    <t>EPS</t>
  </si>
  <si>
    <t>Revenue Y/Y</t>
  </si>
  <si>
    <t>Gross Margin</t>
  </si>
  <si>
    <t>SaaS GM</t>
  </si>
  <si>
    <t>Hardware GM</t>
  </si>
  <si>
    <t>Q125</t>
  </si>
  <si>
    <t>Q123</t>
  </si>
  <si>
    <t>Q223</t>
  </si>
  <si>
    <t>Q323</t>
  </si>
  <si>
    <t>Q423</t>
  </si>
  <si>
    <t>Q124</t>
  </si>
  <si>
    <t>Q224</t>
  </si>
  <si>
    <t>Q324</t>
  </si>
  <si>
    <t>Q424</t>
  </si>
  <si>
    <t>S&amp;M Y/Y</t>
  </si>
  <si>
    <t>G&amp;A Y/Y</t>
  </si>
  <si>
    <t>R&amp;D Y/Y</t>
  </si>
  <si>
    <t>S&amp;M</t>
  </si>
  <si>
    <t>G&amp;A</t>
  </si>
  <si>
    <t>Net Income Y/Y</t>
  </si>
  <si>
    <t xml:space="preserve">Tax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</si>
</sst>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1"/>
    <xf numFmtId="0" fontId="1" fillId="0" borderId="0" xfId="0" applyFon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1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 vertical="center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19050</xdr:colOff>
      <xdr:row>0</xdr:row>
      <xdr:rowOff>40005</xdr:rowOff>
    </xdr:from>
    <xdr:to>
      <xdr:col>20</xdr:col>
      <xdr:colOff>20955</xdr:colOff>
      <xdr:row>33</xdr:row>
      <xdr:rowOff>66675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B9D3B2F-9B81-B1F9-BA74-2E30D66619FC}"/>
            </a:ext>
          </a:extLst>
        </xdr:cNvPr>
        <xdr:cNvCxnSpPr/>
      </xdr:nvCxnSpPr>
      <xdr:spPr>
        <a:xfrm flipH="1">
          <a:off x="12830175" y="40005"/>
          <a:ext cx="1905" cy="599884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Inv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8"/>
  <sheetViews>
    <sheetView tabSelected="1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17" sqref="O17"/>
    </sheetView>
  </sheetViews>
  <sheetFormatPr defaultRowHeight="14.4" x14ac:dyDescent="0.3"/>
  <cols>
    <col min="2" max="2" width="17.6640625" bestFit="1" customWidth="1"/>
    <col min="9" max="9" width="8.77734375" customWidth="1"/>
    <col min="18" max="18" width="9.33203125" customWidth="1"/>
  </cols>
  <sheetData>
    <row r="1" spans="1:28" x14ac:dyDescent="0.3">
      <c r="A1" s="1" t="s">
        <v>0</v>
      </c>
    </row>
    <row r="2" spans="1:28" x14ac:dyDescent="0.3"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23</v>
      </c>
      <c r="O2">
        <v>2019</v>
      </c>
      <c r="P2" s="3">
        <v>2020</v>
      </c>
      <c r="Q2" s="3">
        <v>2021</v>
      </c>
      <c r="R2" s="3">
        <v>2022</v>
      </c>
      <c r="S2" s="3">
        <v>2023</v>
      </c>
      <c r="T2" s="3">
        <v>2024</v>
      </c>
      <c r="U2">
        <v>2025</v>
      </c>
      <c r="V2">
        <v>2026</v>
      </c>
      <c r="W2">
        <v>2027</v>
      </c>
      <c r="X2">
        <v>2028</v>
      </c>
      <c r="Y2">
        <v>2029</v>
      </c>
      <c r="Z2">
        <v>2030</v>
      </c>
    </row>
    <row r="3" spans="1:28" x14ac:dyDescent="0.3">
      <c r="B3" t="s">
        <v>5</v>
      </c>
      <c r="C3" s="10">
        <v>135.39400000000001</v>
      </c>
      <c r="D3" s="10">
        <v>140.43199999999999</v>
      </c>
      <c r="E3" s="10">
        <v>145.02699999999999</v>
      </c>
      <c r="F3" s="10">
        <f>S3-E3-D3-C3</f>
        <v>148.34700000000009</v>
      </c>
      <c r="G3" s="10">
        <v>150.34399999999999</v>
      </c>
      <c r="H3" s="10">
        <v>155.92699999999999</v>
      </c>
      <c r="I3" s="10">
        <v>159.27600000000001</v>
      </c>
      <c r="J3" s="10">
        <f>T3-I3-H3-G3</f>
        <v>165.65100000000001</v>
      </c>
      <c r="K3" s="6">
        <v>160.30000000000001</v>
      </c>
      <c r="L3" s="6"/>
      <c r="M3" s="6"/>
      <c r="N3" s="6"/>
      <c r="O3" s="7">
        <v>337.375</v>
      </c>
      <c r="P3" s="7">
        <v>393.25700000000001</v>
      </c>
      <c r="Q3" s="7">
        <v>460.37200000000001</v>
      </c>
      <c r="R3" s="7">
        <v>520.37699999999995</v>
      </c>
      <c r="S3" s="7">
        <v>569.20000000000005</v>
      </c>
      <c r="T3" s="7">
        <v>631.19799999999998</v>
      </c>
      <c r="U3" s="4">
        <v>671.5</v>
      </c>
      <c r="V3" s="6"/>
      <c r="W3" s="6"/>
      <c r="X3" s="6"/>
      <c r="Y3" s="6"/>
      <c r="Z3" s="6"/>
      <c r="AA3" s="6"/>
      <c r="AB3" s="6"/>
    </row>
    <row r="4" spans="1:28" x14ac:dyDescent="0.3">
      <c r="B4" t="s">
        <v>6</v>
      </c>
      <c r="C4" s="10">
        <v>74.322000000000003</v>
      </c>
      <c r="D4" s="10">
        <v>83.442999999999998</v>
      </c>
      <c r="E4" s="10">
        <v>76.826999999999998</v>
      </c>
      <c r="F4" s="10">
        <f>S4-E4-D4-C4</f>
        <v>77.8904</v>
      </c>
      <c r="G4" s="10">
        <v>72.938999999999993</v>
      </c>
      <c r="H4" s="10">
        <v>77.88</v>
      </c>
      <c r="I4" s="10">
        <v>81.221000000000004</v>
      </c>
      <c r="J4" s="10">
        <f t="shared" ref="J4" si="0">T4-I4-H4-G4</f>
        <v>76.589000000000027</v>
      </c>
      <c r="K4" s="6"/>
      <c r="L4" s="6"/>
      <c r="M4" s="6"/>
      <c r="N4" s="6"/>
      <c r="O4" s="7">
        <v>164.988</v>
      </c>
      <c r="P4" s="7">
        <v>224.74600000000001</v>
      </c>
      <c r="Q4" s="7">
        <v>288.59699999999998</v>
      </c>
      <c r="R4" s="7">
        <v>322.18200000000002</v>
      </c>
      <c r="S4" s="7">
        <v>312.48239999999998</v>
      </c>
      <c r="T4" s="7">
        <v>308.62900000000002</v>
      </c>
      <c r="U4" s="4">
        <v>307.5</v>
      </c>
      <c r="V4" s="6"/>
      <c r="W4" s="6"/>
      <c r="X4" s="6"/>
      <c r="Y4" s="6"/>
      <c r="Z4" s="6"/>
      <c r="AA4" s="6"/>
      <c r="AB4" s="6"/>
    </row>
    <row r="5" spans="1:28" s="2" customFormat="1" x14ac:dyDescent="0.3">
      <c r="B5" s="2" t="s">
        <v>1</v>
      </c>
      <c r="C5" s="11">
        <f t="shared" ref="C5:J5" si="1">C3+C4</f>
        <v>209.71600000000001</v>
      </c>
      <c r="D5" s="11">
        <f t="shared" si="1"/>
        <v>223.875</v>
      </c>
      <c r="E5" s="11">
        <f t="shared" si="1"/>
        <v>221.85399999999998</v>
      </c>
      <c r="F5" s="11">
        <f t="shared" si="1"/>
        <v>226.23740000000009</v>
      </c>
      <c r="G5" s="11">
        <f t="shared" si="1"/>
        <v>223.28299999999999</v>
      </c>
      <c r="H5" s="11">
        <f t="shared" si="1"/>
        <v>233.80699999999999</v>
      </c>
      <c r="I5" s="11">
        <f t="shared" si="1"/>
        <v>240.49700000000001</v>
      </c>
      <c r="J5" s="11">
        <f t="shared" si="1"/>
        <v>242.24000000000004</v>
      </c>
      <c r="K5" s="8"/>
      <c r="L5" s="8"/>
      <c r="M5" s="8"/>
      <c r="N5" s="8"/>
      <c r="O5" s="9">
        <f>SUM(O3:O4)</f>
        <v>502.363</v>
      </c>
      <c r="P5" s="9">
        <f>SUM(P3:P4)</f>
        <v>618.00300000000004</v>
      </c>
      <c r="Q5" s="9">
        <f>SUM(Q3:Q4)</f>
        <v>748.96900000000005</v>
      </c>
      <c r="R5" s="9">
        <f>SUM(R3:R4)</f>
        <v>842.55899999999997</v>
      </c>
      <c r="S5" s="9">
        <f>SUM(S3:S4)</f>
        <v>881.68240000000003</v>
      </c>
      <c r="T5" s="9">
        <f>SUM(T3:T4)</f>
        <v>939.827</v>
      </c>
      <c r="U5" s="5">
        <f>SUM(U3:U4)</f>
        <v>979</v>
      </c>
      <c r="V5" s="8"/>
      <c r="W5" s="8"/>
      <c r="X5" s="8"/>
      <c r="Y5" s="8"/>
      <c r="Z5" s="8"/>
      <c r="AA5" s="8"/>
      <c r="AB5" s="8"/>
    </row>
    <row r="6" spans="1:28" x14ac:dyDescent="0.3">
      <c r="B6" t="s">
        <v>7</v>
      </c>
      <c r="C6" s="10">
        <v>19.582999999999998</v>
      </c>
      <c r="D6" s="10">
        <v>21.576000000000001</v>
      </c>
      <c r="E6" s="10">
        <v>21.917000000000002</v>
      </c>
      <c r="F6" s="10">
        <f>S6-E6-D6-C6</f>
        <v>22.821999999999996</v>
      </c>
      <c r="G6" s="10">
        <v>20.428000000000001</v>
      </c>
      <c r="H6" s="10">
        <v>22.094000000000001</v>
      </c>
      <c r="I6" s="10">
        <v>23.099</v>
      </c>
      <c r="J6" s="10">
        <f>T6-I6-H6-G6</f>
        <v>23.890999999999995</v>
      </c>
      <c r="K6" s="6"/>
      <c r="L6" s="6"/>
      <c r="M6" s="6"/>
      <c r="N6" s="6"/>
      <c r="O6" s="7">
        <v>50.066000000000003</v>
      </c>
      <c r="P6" s="7">
        <v>53.539000000000001</v>
      </c>
      <c r="Q6" s="7">
        <v>66.757999999999996</v>
      </c>
      <c r="R6" s="7">
        <v>73.897000000000006</v>
      </c>
      <c r="S6" s="7">
        <v>85.897999999999996</v>
      </c>
      <c r="T6" s="7">
        <v>89.512</v>
      </c>
      <c r="U6" s="10">
        <f>U3*(1-0.87)</f>
        <v>87.295000000000002</v>
      </c>
      <c r="V6" s="6"/>
      <c r="W6" s="6"/>
      <c r="X6" s="6"/>
      <c r="Y6" s="6"/>
      <c r="Z6" s="6"/>
      <c r="AA6" s="6"/>
      <c r="AB6" s="6"/>
    </row>
    <row r="7" spans="1:28" x14ac:dyDescent="0.3">
      <c r="B7" t="s">
        <v>8</v>
      </c>
      <c r="C7" s="10">
        <v>56.588999999999999</v>
      </c>
      <c r="D7" s="10">
        <v>64.790999999999997</v>
      </c>
      <c r="E7" s="10">
        <v>59.488</v>
      </c>
      <c r="F7" s="10">
        <f>S7-E7-D7-C7</f>
        <v>58.393000000000001</v>
      </c>
      <c r="G7" s="10">
        <v>56.087000000000003</v>
      </c>
      <c r="H7" s="10">
        <v>59.188000000000002</v>
      </c>
      <c r="I7" s="10">
        <v>61.649000000000001</v>
      </c>
      <c r="J7" s="10">
        <f>T7-I7-H7-G7</f>
        <v>59.712999999999994</v>
      </c>
      <c r="K7" s="6"/>
      <c r="L7" s="6"/>
      <c r="M7" s="6"/>
      <c r="N7" s="6"/>
      <c r="O7" s="7">
        <v>133.53299999999999</v>
      </c>
      <c r="P7" s="7">
        <v>173.88900000000001</v>
      </c>
      <c r="Q7" s="7">
        <v>239.14099999999999</v>
      </c>
      <c r="R7" s="7">
        <v>268.68400000000003</v>
      </c>
      <c r="S7" s="7">
        <v>239.261</v>
      </c>
      <c r="T7" s="7">
        <v>236.637</v>
      </c>
      <c r="U7" s="10">
        <f>U4*(1-0.15)</f>
        <v>261.375</v>
      </c>
      <c r="V7" s="6"/>
      <c r="W7" s="6"/>
      <c r="X7" s="6"/>
      <c r="Y7" s="6"/>
      <c r="Z7" s="6"/>
      <c r="AA7" s="6"/>
      <c r="AB7" s="6"/>
    </row>
    <row r="8" spans="1:28" s="2" customFormat="1" x14ac:dyDescent="0.3">
      <c r="B8" s="2" t="s">
        <v>2</v>
      </c>
      <c r="C8" s="11">
        <f t="shared" ref="C8:J8" si="2">C6+C7</f>
        <v>76.171999999999997</v>
      </c>
      <c r="D8" s="11">
        <f t="shared" si="2"/>
        <v>86.36699999999999</v>
      </c>
      <c r="E8" s="11">
        <f t="shared" si="2"/>
        <v>81.405000000000001</v>
      </c>
      <c r="F8" s="11">
        <f t="shared" si="2"/>
        <v>81.215000000000003</v>
      </c>
      <c r="G8" s="11">
        <f t="shared" si="2"/>
        <v>76.515000000000001</v>
      </c>
      <c r="H8" s="11">
        <f t="shared" si="2"/>
        <v>81.282000000000011</v>
      </c>
      <c r="I8" s="11">
        <f t="shared" si="2"/>
        <v>84.748000000000005</v>
      </c>
      <c r="J8" s="11">
        <f t="shared" si="2"/>
        <v>83.603999999999985</v>
      </c>
      <c r="K8" s="8"/>
      <c r="L8" s="8"/>
      <c r="M8" s="8"/>
      <c r="N8" s="8"/>
      <c r="O8" s="9">
        <f>SUM(O6:O7)</f>
        <v>183.59899999999999</v>
      </c>
      <c r="P8" s="9">
        <f>SUM(P6:P7)</f>
        <v>227.428</v>
      </c>
      <c r="Q8" s="9">
        <f>SUM(Q6:Q7)</f>
        <v>305.899</v>
      </c>
      <c r="R8" s="9">
        <f>SUM(R6:R7)</f>
        <v>342.58100000000002</v>
      </c>
      <c r="S8" s="9">
        <f>SUM(S6:S7)</f>
        <v>325.15899999999999</v>
      </c>
      <c r="T8" s="9">
        <f>SUM(T6:T7)</f>
        <v>326.149</v>
      </c>
      <c r="U8" s="9">
        <f>SUM(U6:U7)</f>
        <v>348.67</v>
      </c>
      <c r="V8" s="8"/>
      <c r="W8" s="8"/>
      <c r="X8" s="8"/>
      <c r="Y8" s="8"/>
      <c r="Z8" s="8"/>
      <c r="AA8" s="8"/>
      <c r="AB8" s="8"/>
    </row>
    <row r="9" spans="1:28" s="2" customFormat="1" x14ac:dyDescent="0.3">
      <c r="B9" s="2" t="s">
        <v>3</v>
      </c>
      <c r="C9" s="11">
        <f t="shared" ref="C9:J9" si="3">C5-C8</f>
        <v>133.54400000000001</v>
      </c>
      <c r="D9" s="11">
        <f t="shared" si="3"/>
        <v>137.50800000000001</v>
      </c>
      <c r="E9" s="11">
        <f t="shared" si="3"/>
        <v>140.44899999999998</v>
      </c>
      <c r="F9" s="11">
        <f t="shared" si="3"/>
        <v>145.02240000000009</v>
      </c>
      <c r="G9" s="11">
        <f t="shared" si="3"/>
        <v>146.76799999999997</v>
      </c>
      <c r="H9" s="11">
        <f t="shared" si="3"/>
        <v>152.52499999999998</v>
      </c>
      <c r="I9" s="11">
        <f t="shared" si="3"/>
        <v>155.74900000000002</v>
      </c>
      <c r="J9" s="11">
        <f t="shared" si="3"/>
        <v>158.63600000000005</v>
      </c>
      <c r="K9" s="8"/>
      <c r="L9" s="8"/>
      <c r="M9" s="8"/>
      <c r="N9" s="8"/>
      <c r="O9" s="9">
        <f>O5-O8</f>
        <v>318.76400000000001</v>
      </c>
      <c r="P9" s="9">
        <f>P5-P8</f>
        <v>390.57500000000005</v>
      </c>
      <c r="Q9" s="9">
        <f>Q5-Q8</f>
        <v>443.07000000000005</v>
      </c>
      <c r="R9" s="9">
        <f>R5-R8</f>
        <v>499.97799999999995</v>
      </c>
      <c r="S9" s="9">
        <f>S5-S8</f>
        <v>556.52340000000004</v>
      </c>
      <c r="T9" s="9">
        <f>T5-T8</f>
        <v>613.678</v>
      </c>
      <c r="U9" s="11">
        <f>U5*0.668</f>
        <v>653.97200000000009</v>
      </c>
      <c r="V9" s="8"/>
      <c r="W9" s="8"/>
      <c r="X9" s="8"/>
      <c r="Y9" s="8"/>
      <c r="Z9" s="8"/>
      <c r="AA9" s="8"/>
      <c r="AB9" s="8"/>
    </row>
    <row r="10" spans="1:28" x14ac:dyDescent="0.3">
      <c r="B10" t="s">
        <v>35</v>
      </c>
      <c r="C10" s="10">
        <v>26.645</v>
      </c>
      <c r="D10" s="10">
        <v>23.771999999999998</v>
      </c>
      <c r="E10" s="10">
        <v>23.861000000000001</v>
      </c>
      <c r="F10" s="10">
        <f>S10-E10-D10-C10</f>
        <v>25.947999999999997</v>
      </c>
      <c r="G10" s="10">
        <v>25.454000000000001</v>
      </c>
      <c r="H10" s="10">
        <v>27.837</v>
      </c>
      <c r="I10" s="10">
        <v>27.01</v>
      </c>
      <c r="J10" s="10">
        <f>T10-I10-H10-G10</f>
        <v>30.940999999999995</v>
      </c>
      <c r="K10" s="6"/>
      <c r="L10" s="6"/>
      <c r="M10" s="6"/>
      <c r="N10" s="6"/>
      <c r="O10" s="7">
        <v>61.814999999999998</v>
      </c>
      <c r="P10" s="7">
        <v>75.966999999999999</v>
      </c>
      <c r="Q10" s="7">
        <v>86.664000000000001</v>
      </c>
      <c r="R10" s="7">
        <v>92.748000000000005</v>
      </c>
      <c r="S10" s="7">
        <v>100.226</v>
      </c>
      <c r="T10" s="7">
        <v>111.242</v>
      </c>
      <c r="U10" s="10">
        <f>T10*1.12</f>
        <v>124.59104000000002</v>
      </c>
      <c r="V10" s="6"/>
      <c r="W10" s="6"/>
      <c r="X10" s="6"/>
      <c r="Y10" s="6"/>
      <c r="Z10" s="6"/>
      <c r="AA10" s="6"/>
      <c r="AB10" s="6"/>
    </row>
    <row r="11" spans="1:28" x14ac:dyDescent="0.3">
      <c r="B11" t="s">
        <v>36</v>
      </c>
      <c r="C11" s="10">
        <v>28.498999999999999</v>
      </c>
      <c r="D11" s="10">
        <v>28.798999999999999</v>
      </c>
      <c r="E11" s="10">
        <v>31.454999999999998</v>
      </c>
      <c r="F11" s="10">
        <f>S11-E11-D11-C11</f>
        <v>24.17700000000001</v>
      </c>
      <c r="G11" s="10">
        <v>29.295999999999999</v>
      </c>
      <c r="H11" s="10">
        <v>26.103999999999999</v>
      </c>
      <c r="I11" s="10">
        <v>25.712</v>
      </c>
      <c r="J11" s="10">
        <f>T11-I11-H11-G11</f>
        <v>27.767000000000003</v>
      </c>
      <c r="K11" s="6"/>
      <c r="L11" s="6"/>
      <c r="M11" s="6"/>
      <c r="N11" s="6"/>
      <c r="O11" s="7">
        <v>69.959000000000003</v>
      </c>
      <c r="P11" s="7">
        <v>78.643000000000001</v>
      </c>
      <c r="Q11" s="7">
        <v>87.406000000000006</v>
      </c>
      <c r="R11" s="7">
        <f>106.688</f>
        <v>106.688</v>
      </c>
      <c r="S11" s="7">
        <f>112.93</f>
        <v>112.93</v>
      </c>
      <c r="T11" s="7">
        <f>108.879</f>
        <v>108.879</v>
      </c>
      <c r="U11" s="10">
        <f>T11*0.99</f>
        <v>107.79021</v>
      </c>
      <c r="V11" s="6"/>
      <c r="W11" s="6"/>
      <c r="X11" s="6"/>
      <c r="Y11" s="6"/>
      <c r="Z11" s="6"/>
      <c r="AA11" s="6"/>
      <c r="AB11" s="6"/>
    </row>
    <row r="12" spans="1:28" x14ac:dyDescent="0.3">
      <c r="B12" t="s">
        <v>4</v>
      </c>
      <c r="C12" s="10">
        <v>61.908000000000001</v>
      </c>
      <c r="D12" s="10">
        <v>60.917999999999999</v>
      </c>
      <c r="E12" s="10">
        <v>61.014000000000003</v>
      </c>
      <c r="F12" s="10">
        <f>S12-E12-D12-C12</f>
        <v>61.273999999999987</v>
      </c>
      <c r="G12" s="10">
        <v>65.956000000000003</v>
      </c>
      <c r="H12" s="10">
        <v>65.73</v>
      </c>
      <c r="I12" s="10">
        <v>62.220999999999997</v>
      </c>
      <c r="J12" s="10">
        <f>T12-I12-H12-G12</f>
        <v>61.970999999999975</v>
      </c>
      <c r="K12" s="6"/>
      <c r="L12" s="6"/>
      <c r="M12" s="6"/>
      <c r="N12" s="6"/>
      <c r="O12" s="7">
        <v>114.443</v>
      </c>
      <c r="P12" s="7">
        <v>152.14699999999999</v>
      </c>
      <c r="Q12" s="7">
        <v>177.71299999999999</v>
      </c>
      <c r="R12" s="7">
        <v>218.63499999999999</v>
      </c>
      <c r="S12" s="7">
        <v>245.114</v>
      </c>
      <c r="T12" s="7">
        <v>255.87799999999999</v>
      </c>
      <c r="U12" s="10">
        <f>T12*1.025</f>
        <v>262.27494999999999</v>
      </c>
      <c r="V12" s="6"/>
      <c r="W12" s="6"/>
      <c r="X12" s="6"/>
      <c r="Y12" s="6"/>
      <c r="Z12" s="6"/>
      <c r="AA12" s="6"/>
      <c r="AB12" s="6"/>
    </row>
    <row r="13" spans="1:28" x14ac:dyDescent="0.3">
      <c r="B13" s="2" t="s">
        <v>9</v>
      </c>
      <c r="C13" s="11">
        <f t="shared" ref="C13:J13" si="4">SUM(C10:C12)</f>
        <v>117.05199999999999</v>
      </c>
      <c r="D13" s="11">
        <f t="shared" si="4"/>
        <v>113.489</v>
      </c>
      <c r="E13" s="11">
        <f t="shared" si="4"/>
        <v>116.33000000000001</v>
      </c>
      <c r="F13" s="11">
        <f t="shared" si="4"/>
        <v>111.399</v>
      </c>
      <c r="G13" s="11">
        <f t="shared" si="4"/>
        <v>120.706</v>
      </c>
      <c r="H13" s="11">
        <f t="shared" si="4"/>
        <v>119.67100000000001</v>
      </c>
      <c r="I13" s="11">
        <f t="shared" si="4"/>
        <v>114.943</v>
      </c>
      <c r="J13" s="11">
        <f t="shared" si="4"/>
        <v>120.67899999999997</v>
      </c>
      <c r="K13" s="8"/>
      <c r="L13" s="8"/>
      <c r="M13" s="8"/>
      <c r="N13" s="8"/>
      <c r="O13" s="9">
        <f>SUM(O10:O12)</f>
        <v>246.21699999999998</v>
      </c>
      <c r="P13" s="9">
        <f>SUM(P10:P12)</f>
        <v>306.75700000000001</v>
      </c>
      <c r="Q13" s="9">
        <f>SUM(Q10:Q12)</f>
        <v>351.78300000000002</v>
      </c>
      <c r="R13" s="9">
        <f>SUM(R10:R12)</f>
        <v>418.07100000000003</v>
      </c>
      <c r="S13" s="9">
        <f>SUM(S10:S12)</f>
        <v>458.27</v>
      </c>
      <c r="T13" s="9">
        <f>SUM(T10:T12)</f>
        <v>475.99900000000002</v>
      </c>
      <c r="U13" s="9">
        <f>SUM(U10:U12)</f>
        <v>494.65620000000001</v>
      </c>
      <c r="V13" s="6"/>
      <c r="W13" s="6"/>
      <c r="X13" s="6"/>
      <c r="Y13" s="6"/>
      <c r="Z13" s="6"/>
      <c r="AA13" s="6"/>
      <c r="AB13" s="6"/>
    </row>
    <row r="14" spans="1:28" x14ac:dyDescent="0.3">
      <c r="B14" s="2" t="s">
        <v>10</v>
      </c>
      <c r="C14" s="11">
        <f t="shared" ref="C14:J14" si="5">C9-C13</f>
        <v>16.492000000000019</v>
      </c>
      <c r="D14" s="11">
        <f t="shared" si="5"/>
        <v>24.019000000000005</v>
      </c>
      <c r="E14" s="11">
        <f t="shared" si="5"/>
        <v>24.118999999999971</v>
      </c>
      <c r="F14" s="11">
        <f t="shared" si="5"/>
        <v>33.623400000000089</v>
      </c>
      <c r="G14" s="11">
        <f t="shared" si="5"/>
        <v>26.061999999999969</v>
      </c>
      <c r="H14" s="11">
        <f t="shared" si="5"/>
        <v>32.853999999999971</v>
      </c>
      <c r="I14" s="11">
        <f t="shared" si="5"/>
        <v>40.806000000000026</v>
      </c>
      <c r="J14" s="11">
        <f t="shared" si="5"/>
        <v>37.957000000000079</v>
      </c>
      <c r="K14" s="8"/>
      <c r="L14" s="8"/>
      <c r="M14" s="8"/>
      <c r="N14" s="8"/>
      <c r="O14" s="9">
        <f>O9-O13</f>
        <v>72.547000000000025</v>
      </c>
      <c r="P14" s="9">
        <f>P9-P13</f>
        <v>83.81800000000004</v>
      </c>
      <c r="Q14" s="9">
        <f>Q9-Q13</f>
        <v>91.287000000000035</v>
      </c>
      <c r="R14" s="9">
        <f>R9-R13</f>
        <v>81.906999999999925</v>
      </c>
      <c r="S14" s="9">
        <f>S9-S13</f>
        <v>98.253400000000056</v>
      </c>
      <c r="T14" s="9">
        <f>T9-T13</f>
        <v>137.67899999999997</v>
      </c>
      <c r="U14" s="9">
        <f>U9-U13</f>
        <v>159.31580000000008</v>
      </c>
      <c r="V14" s="6"/>
      <c r="W14" s="6"/>
      <c r="X14" s="6"/>
      <c r="Y14" s="6"/>
      <c r="Z14" s="6"/>
      <c r="AA14" s="6"/>
      <c r="AB14" s="6"/>
    </row>
    <row r="15" spans="1:28" x14ac:dyDescent="0.3">
      <c r="B15" t="s">
        <v>11</v>
      </c>
      <c r="C15" s="10">
        <v>-0.86799999999999999</v>
      </c>
      <c r="D15" s="10">
        <v>-0.82699999999999996</v>
      </c>
      <c r="E15" s="10">
        <v>-0.90600000000000003</v>
      </c>
      <c r="F15" s="10">
        <f>S15-E15-D15-C15</f>
        <v>-0.82799999999999974</v>
      </c>
      <c r="G15" s="10">
        <v>-0.79600000000000004</v>
      </c>
      <c r="H15" s="10">
        <v>-1.968</v>
      </c>
      <c r="I15" s="10">
        <v>-4.3150000000000004</v>
      </c>
      <c r="J15" s="10">
        <f>T15-I15-H15-G15</f>
        <v>-4.3469999999999995</v>
      </c>
      <c r="K15" s="6"/>
      <c r="L15" s="6"/>
      <c r="M15" s="6"/>
      <c r="N15" s="6"/>
      <c r="O15" s="7">
        <v>-2.9740000000000002</v>
      </c>
      <c r="P15" s="7">
        <v>-2.5960000000000001</v>
      </c>
      <c r="Q15" s="7">
        <v>-15.956</v>
      </c>
      <c r="R15" s="7">
        <v>-3.1440000000000001</v>
      </c>
      <c r="S15" s="7">
        <v>-3.4289999999999998</v>
      </c>
      <c r="T15" s="7">
        <v>-11.426</v>
      </c>
      <c r="U15" s="10">
        <v>-5</v>
      </c>
      <c r="V15" s="6"/>
      <c r="W15" s="6"/>
      <c r="X15" s="6"/>
      <c r="Y15" s="6"/>
      <c r="Z15" s="6"/>
      <c r="AA15" s="6"/>
      <c r="AB15" s="6"/>
    </row>
    <row r="16" spans="1:28" x14ac:dyDescent="0.3">
      <c r="B16" t="s">
        <v>12</v>
      </c>
      <c r="C16" s="10">
        <v>5.1820000000000004</v>
      </c>
      <c r="D16" s="10">
        <v>7.4169999999999998</v>
      </c>
      <c r="E16" s="10">
        <v>8.4930000000000003</v>
      </c>
      <c r="F16" s="10">
        <f>S16-E16-D16-C16</f>
        <v>8.7089999999999996</v>
      </c>
      <c r="G16" s="10">
        <v>8.5399999999999991</v>
      </c>
      <c r="H16" s="10">
        <v>10.856</v>
      </c>
      <c r="I16" s="10">
        <v>14.384</v>
      </c>
      <c r="J16" s="10">
        <f>T16-I16-H16-G16</f>
        <v>13.579000000000001</v>
      </c>
      <c r="K16" s="6"/>
      <c r="L16" s="6"/>
      <c r="M16" s="6"/>
      <c r="N16" s="6"/>
      <c r="O16" s="7">
        <v>4.9219999999999997</v>
      </c>
      <c r="P16" s="7">
        <v>0.87</v>
      </c>
      <c r="Q16" s="7">
        <v>0.58699999999999997</v>
      </c>
      <c r="R16" s="7">
        <v>8.7590000000000003</v>
      </c>
      <c r="S16" s="7">
        <v>29.800999999999998</v>
      </c>
      <c r="T16" s="7">
        <v>47.359000000000002</v>
      </c>
      <c r="U16" s="10">
        <v>50</v>
      </c>
      <c r="V16" s="6"/>
      <c r="W16" s="6"/>
      <c r="X16" s="6"/>
      <c r="Y16" s="6"/>
      <c r="Z16" s="6"/>
      <c r="AA16" s="6"/>
      <c r="AB16" s="6"/>
    </row>
    <row r="17" spans="2:28" x14ac:dyDescent="0.3">
      <c r="B17" t="s">
        <v>13</v>
      </c>
      <c r="C17" s="10">
        <v>-0.14799999999999999</v>
      </c>
      <c r="D17" s="10">
        <v>-0.63100000000000001</v>
      </c>
      <c r="E17" s="10">
        <v>-0.435</v>
      </c>
      <c r="F17" s="10">
        <f>S17-E17-D17-C17</f>
        <v>5.8379999999999992</v>
      </c>
      <c r="G17" s="10">
        <v>-0.318</v>
      </c>
      <c r="H17" s="10">
        <v>-1.258</v>
      </c>
      <c r="I17" s="10">
        <v>-8.8999999999999996E-2</v>
      </c>
      <c r="J17" s="10">
        <f>T17-I17-H17-G17</f>
        <v>-1.0089999999999999</v>
      </c>
      <c r="K17" s="6"/>
      <c r="L17" s="6"/>
      <c r="M17" s="6"/>
      <c r="N17" s="6"/>
      <c r="O17" s="7">
        <v>6.5350000000000001</v>
      </c>
      <c r="P17" s="7">
        <v>25.588000000000001</v>
      </c>
      <c r="Q17" s="7">
        <v>-0.13400000000000001</v>
      </c>
      <c r="R17" s="7">
        <f>-0.059</f>
        <v>-5.8999999999999997E-2</v>
      </c>
      <c r="S17" s="7">
        <v>4.6239999999999997</v>
      </c>
      <c r="T17" s="7">
        <v>-2.6739999999999999</v>
      </c>
      <c r="U17" s="10">
        <v>0</v>
      </c>
      <c r="V17" s="6"/>
      <c r="W17" s="6"/>
      <c r="X17" s="6"/>
      <c r="Y17" s="6"/>
      <c r="Z17" s="6"/>
      <c r="AA17" s="6"/>
      <c r="AB17" s="6"/>
    </row>
    <row r="18" spans="2:28" x14ac:dyDescent="0.3">
      <c r="B18" s="2" t="s">
        <v>14</v>
      </c>
      <c r="C18" s="11">
        <f t="shared" ref="C18:J18" si="6">C14+SUM(C15:C17)</f>
        <v>20.658000000000019</v>
      </c>
      <c r="D18" s="11">
        <f t="shared" si="6"/>
        <v>29.978000000000005</v>
      </c>
      <c r="E18" s="11">
        <f t="shared" si="6"/>
        <v>31.270999999999972</v>
      </c>
      <c r="F18" s="11">
        <f t="shared" si="6"/>
        <v>47.34240000000009</v>
      </c>
      <c r="G18" s="11">
        <f t="shared" si="6"/>
        <v>33.487999999999971</v>
      </c>
      <c r="H18" s="11">
        <f t="shared" si="6"/>
        <v>40.483999999999973</v>
      </c>
      <c r="I18" s="11">
        <f t="shared" si="6"/>
        <v>50.786000000000023</v>
      </c>
      <c r="J18" s="11">
        <f t="shared" si="6"/>
        <v>46.180000000000078</v>
      </c>
      <c r="K18" s="8"/>
      <c r="L18" s="8"/>
      <c r="M18" s="8"/>
      <c r="N18" s="8"/>
      <c r="O18" s="9">
        <f>O14+SUM(O15:O17)</f>
        <v>81.03000000000003</v>
      </c>
      <c r="P18" s="9">
        <f>P14+SUM(P15:P17)</f>
        <v>107.68000000000004</v>
      </c>
      <c r="Q18" s="9">
        <f>Q14+SUM(Q15:Q17)</f>
        <v>75.784000000000034</v>
      </c>
      <c r="R18" s="9">
        <f>R14+SUM(R15:R17)</f>
        <v>87.462999999999923</v>
      </c>
      <c r="S18" s="9">
        <f>S14+SUM(S15:S17)</f>
        <v>129.24940000000007</v>
      </c>
      <c r="T18" s="9">
        <f>T14+SUM(T15:T17)</f>
        <v>170.93799999999999</v>
      </c>
      <c r="U18" s="9">
        <f>U14+SUM(U15:U17)</f>
        <v>204.31580000000008</v>
      </c>
      <c r="V18" s="6"/>
      <c r="W18" s="6"/>
      <c r="X18" s="6"/>
      <c r="Y18" s="6"/>
      <c r="Z18" s="6"/>
      <c r="AA18" s="6"/>
      <c r="AB18" s="6"/>
    </row>
    <row r="19" spans="2:28" x14ac:dyDescent="0.3">
      <c r="B19" t="s">
        <v>15</v>
      </c>
      <c r="C19" s="10">
        <v>-1.222</v>
      </c>
      <c r="D19" s="10">
        <v>6.5069999999999997</v>
      </c>
      <c r="E19" s="10">
        <v>3.972</v>
      </c>
      <c r="F19" s="10">
        <f>S19-E19-D19-C19</f>
        <v>8.2279999999999998</v>
      </c>
      <c r="G19" s="10">
        <v>2.7469999999999999</v>
      </c>
      <c r="H19" s="10">
        <v>0.88400000000000001</v>
      </c>
      <c r="I19" s="10">
        <v>6.718</v>
      </c>
      <c r="J19" s="10">
        <f>T19-I19-H19-G19</f>
        <v>8.9450000000000003</v>
      </c>
      <c r="K19" s="6"/>
      <c r="L19" s="6"/>
      <c r="M19" s="6"/>
      <c r="N19" s="6"/>
      <c r="O19" s="10">
        <v>5.5659999999999998</v>
      </c>
      <c r="P19" s="10">
        <v>3.5</v>
      </c>
      <c r="Q19" s="10">
        <v>-5.1059999999999999</v>
      </c>
      <c r="R19" s="10">
        <v>0.96199999999999997</v>
      </c>
      <c r="S19" s="7">
        <v>17.484999999999999</v>
      </c>
      <c r="T19" s="10">
        <v>19.294</v>
      </c>
      <c r="U19" s="10">
        <v>18</v>
      </c>
      <c r="V19" s="6"/>
      <c r="W19" s="6"/>
      <c r="X19" s="6"/>
      <c r="Y19" s="6"/>
      <c r="Z19" s="6"/>
      <c r="AA19" s="6"/>
      <c r="AB19" s="6"/>
    </row>
    <row r="20" spans="2:28" x14ac:dyDescent="0.3">
      <c r="B20" s="2" t="s">
        <v>16</v>
      </c>
      <c r="C20" s="11">
        <f t="shared" ref="C20:J20" si="7">C18-C19</f>
        <v>21.88000000000002</v>
      </c>
      <c r="D20" s="11">
        <f t="shared" si="7"/>
        <v>23.471000000000004</v>
      </c>
      <c r="E20" s="11">
        <f t="shared" si="7"/>
        <v>27.298999999999971</v>
      </c>
      <c r="F20" s="11">
        <f t="shared" si="7"/>
        <v>39.114400000000089</v>
      </c>
      <c r="G20" s="11">
        <f t="shared" si="7"/>
        <v>30.740999999999971</v>
      </c>
      <c r="H20" s="11">
        <f t="shared" si="7"/>
        <v>39.599999999999973</v>
      </c>
      <c r="I20" s="11">
        <f t="shared" si="7"/>
        <v>44.068000000000026</v>
      </c>
      <c r="J20" s="11">
        <f t="shared" si="7"/>
        <v>37.235000000000078</v>
      </c>
      <c r="K20" s="8"/>
      <c r="L20" s="8"/>
      <c r="M20" s="8"/>
      <c r="N20" s="8"/>
      <c r="O20" s="11">
        <f>O18-O19</f>
        <v>75.464000000000027</v>
      </c>
      <c r="P20" s="11">
        <f>P18-P19</f>
        <v>104.18000000000004</v>
      </c>
      <c r="Q20" s="11">
        <f>Q18-Q19</f>
        <v>80.890000000000029</v>
      </c>
      <c r="R20" s="11">
        <f>R18-R19</f>
        <v>86.50099999999992</v>
      </c>
      <c r="S20" s="11">
        <f t="shared" ref="S20:U20" si="8">S18-S19</f>
        <v>111.76440000000007</v>
      </c>
      <c r="T20" s="11">
        <f t="shared" si="8"/>
        <v>151.64399999999998</v>
      </c>
      <c r="U20" s="11">
        <f t="shared" si="8"/>
        <v>186.31580000000008</v>
      </c>
      <c r="V20" s="6"/>
      <c r="W20" s="6"/>
      <c r="X20" s="6"/>
      <c r="Y20" s="6"/>
      <c r="Z20" s="6"/>
      <c r="AA20" s="6"/>
      <c r="AB20" s="6"/>
    </row>
    <row r="21" spans="2:28" x14ac:dyDescent="0.3">
      <c r="B21" t="s">
        <v>17</v>
      </c>
      <c r="C21" s="10">
        <v>49.584000000000003</v>
      </c>
      <c r="D21" s="10">
        <v>49.859000000000002</v>
      </c>
      <c r="E21" s="10">
        <v>49.917000000000002</v>
      </c>
      <c r="F21" s="10">
        <v>49.817999999999998</v>
      </c>
      <c r="G21" s="10">
        <v>49.963000000000001</v>
      </c>
      <c r="H21" s="10">
        <v>49.832000000000001</v>
      </c>
      <c r="I21" s="10">
        <v>49.281999999999996</v>
      </c>
      <c r="J21" s="10">
        <v>49.640999999999998</v>
      </c>
      <c r="K21" s="6"/>
      <c r="L21" s="6"/>
      <c r="M21" s="6"/>
      <c r="N21" s="6"/>
      <c r="O21" s="10">
        <v>48.427</v>
      </c>
      <c r="P21" s="10">
        <v>48.95</v>
      </c>
      <c r="Q21" s="10">
        <v>49.869</v>
      </c>
      <c r="R21" s="10">
        <v>49.926000000000002</v>
      </c>
      <c r="S21" s="10">
        <v>49.817999999999998</v>
      </c>
      <c r="T21" s="10">
        <v>49.640999999999998</v>
      </c>
      <c r="U21" s="10">
        <v>49.640999999999998</v>
      </c>
      <c r="V21" s="6"/>
      <c r="W21" s="6"/>
      <c r="X21" s="6"/>
      <c r="Y21" s="6"/>
      <c r="Z21" s="6"/>
      <c r="AA21" s="6"/>
      <c r="AB21" s="6"/>
    </row>
    <row r="22" spans="2:28" x14ac:dyDescent="0.3">
      <c r="B22" s="2" t="s">
        <v>18</v>
      </c>
      <c r="C22" s="15">
        <f t="shared" ref="C22:J22" si="9">C20/C21</f>
        <v>0.44127137786382742</v>
      </c>
      <c r="D22" s="15">
        <f t="shared" si="9"/>
        <v>0.47074750797248244</v>
      </c>
      <c r="E22" s="15">
        <f t="shared" si="9"/>
        <v>0.54688783380411421</v>
      </c>
      <c r="F22" s="15">
        <f t="shared" si="9"/>
        <v>0.78514593118953169</v>
      </c>
      <c r="G22" s="15">
        <f t="shared" si="9"/>
        <v>0.6152753037247557</v>
      </c>
      <c r="H22" s="15">
        <f t="shared" si="9"/>
        <v>0.79467009150746448</v>
      </c>
      <c r="I22" s="15">
        <f t="shared" si="9"/>
        <v>0.89420072237328085</v>
      </c>
      <c r="J22" s="15">
        <f t="shared" si="9"/>
        <v>0.75008561471364554</v>
      </c>
      <c r="K22" s="6"/>
      <c r="L22" s="6"/>
      <c r="M22" s="6"/>
      <c r="N22" s="6"/>
      <c r="O22" s="12">
        <f t="shared" ref="O22" si="10">O20/O21</f>
        <v>1.5583042517603822</v>
      </c>
      <c r="P22" s="12">
        <f t="shared" ref="P22:Q22" si="11">P20/P21</f>
        <v>2.1282941777323807</v>
      </c>
      <c r="Q22" s="12">
        <f t="shared" si="11"/>
        <v>1.6220497703984444</v>
      </c>
      <c r="R22" s="12">
        <f t="shared" ref="R22:S22" si="12">R20/R21</f>
        <v>1.7325842246524841</v>
      </c>
      <c r="S22" s="12">
        <f t="shared" si="12"/>
        <v>2.2434541731904147</v>
      </c>
      <c r="T22" s="12">
        <f>T20/T21</f>
        <v>3.0548135613706409</v>
      </c>
      <c r="U22" s="10">
        <f>U20/U21</f>
        <v>3.7532644386696496</v>
      </c>
      <c r="V22" s="6"/>
      <c r="W22" s="6"/>
      <c r="X22" s="6"/>
      <c r="Y22" s="6"/>
      <c r="Z22" s="6"/>
      <c r="AA22" s="6"/>
      <c r="AB22" s="6"/>
    </row>
    <row r="23" spans="2:28" x14ac:dyDescent="0.3"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2:28" x14ac:dyDescent="0.3">
      <c r="B24" s="2" t="s">
        <v>19</v>
      </c>
      <c r="D24" s="6"/>
      <c r="E24" s="6"/>
      <c r="F24" s="6"/>
      <c r="G24" s="14">
        <f>G5/C5-1</f>
        <v>6.4692250472066837E-2</v>
      </c>
      <c r="H24" s="14">
        <f>H5/D5-1</f>
        <v>4.4364042434394069E-2</v>
      </c>
      <c r="I24" s="14">
        <f>I5/E5-1</f>
        <v>8.4032742253914883E-2</v>
      </c>
      <c r="J24" s="14">
        <f>J5/F5-1</f>
        <v>7.073366295758321E-2</v>
      </c>
      <c r="K24" s="14"/>
      <c r="L24" s="6"/>
      <c r="M24" s="6"/>
      <c r="N24" s="6"/>
      <c r="O24" s="6"/>
      <c r="P24" s="13">
        <f t="shared" ref="P24:R24" si="13">P5/O5-1</f>
        <v>0.23019211207831791</v>
      </c>
      <c r="Q24" s="13">
        <f t="shared" si="13"/>
        <v>0.21191806512266131</v>
      </c>
      <c r="R24" s="13">
        <f t="shared" si="13"/>
        <v>0.12495844287280233</v>
      </c>
      <c r="S24" s="13">
        <f>S5/R5-1</f>
        <v>4.643401827053073E-2</v>
      </c>
      <c r="T24" s="13">
        <f>T5/S5-1</f>
        <v>6.5947329786780307E-2</v>
      </c>
      <c r="U24" s="13">
        <f>U5/T5-1</f>
        <v>4.1681075346845731E-2</v>
      </c>
      <c r="V24" s="6"/>
      <c r="W24" s="6"/>
      <c r="X24" s="6"/>
      <c r="Y24" s="6"/>
      <c r="Z24" s="6"/>
      <c r="AA24" s="6"/>
      <c r="AB24" s="6"/>
    </row>
    <row r="25" spans="2:28" x14ac:dyDescent="0.3">
      <c r="B25" t="s">
        <v>32</v>
      </c>
      <c r="D25" s="6"/>
      <c r="E25" s="6"/>
      <c r="F25" s="6"/>
      <c r="G25" s="14">
        <f t="shared" ref="G25:J27" si="14">G10/C10-1</f>
        <v>-4.4698817789453837E-2</v>
      </c>
      <c r="H25" s="14">
        <f t="shared" si="14"/>
        <v>0.17099949520444224</v>
      </c>
      <c r="I25" s="14">
        <f t="shared" si="14"/>
        <v>0.13197267507648469</v>
      </c>
      <c r="J25" s="14">
        <f t="shared" si="14"/>
        <v>0.19242330815477104</v>
      </c>
      <c r="K25" s="6"/>
      <c r="L25" s="6"/>
      <c r="M25" s="6"/>
      <c r="N25" s="6"/>
      <c r="O25" s="6"/>
      <c r="P25" s="13">
        <f t="shared" ref="P25:R25" si="15">P10/O10-1</f>
        <v>0.22894119550270964</v>
      </c>
      <c r="Q25" s="13">
        <f t="shared" si="15"/>
        <v>0.14081114167994002</v>
      </c>
      <c r="R25" s="13">
        <f t="shared" si="15"/>
        <v>7.0202160066463515E-2</v>
      </c>
      <c r="S25" s="13">
        <f t="shared" ref="S25:U27" si="16">S10/R10-1</f>
        <v>8.0627075516453095E-2</v>
      </c>
      <c r="T25" s="13">
        <f t="shared" si="16"/>
        <v>0.10991159978448706</v>
      </c>
      <c r="U25" s="13">
        <f t="shared" si="16"/>
        <v>0.12000000000000011</v>
      </c>
      <c r="V25" s="6"/>
      <c r="W25" s="6"/>
      <c r="X25" s="6"/>
      <c r="Y25" s="6"/>
      <c r="Z25" s="6"/>
      <c r="AA25" s="6"/>
      <c r="AB25" s="6"/>
    </row>
    <row r="26" spans="2:28" x14ac:dyDescent="0.3">
      <c r="B26" t="s">
        <v>33</v>
      </c>
      <c r="D26" s="6"/>
      <c r="E26" s="6"/>
      <c r="F26" s="6"/>
      <c r="G26" s="14">
        <f t="shared" si="14"/>
        <v>2.7965893540124132E-2</v>
      </c>
      <c r="H26" s="14">
        <f t="shared" si="14"/>
        <v>-9.3579638181881308E-2</v>
      </c>
      <c r="I26" s="14">
        <f t="shared" si="14"/>
        <v>-0.18257828644094731</v>
      </c>
      <c r="J26" s="14">
        <f t="shared" si="14"/>
        <v>0.14848823261777677</v>
      </c>
      <c r="K26" s="6"/>
      <c r="L26" s="6"/>
      <c r="M26" s="6"/>
      <c r="N26" s="6"/>
      <c r="O26" s="6"/>
      <c r="P26" s="13">
        <f t="shared" ref="P26:R26" si="17">P11/O11-1</f>
        <v>0.12412984748209666</v>
      </c>
      <c r="Q26" s="13">
        <f t="shared" si="17"/>
        <v>0.11142759050392281</v>
      </c>
      <c r="R26" s="13">
        <f t="shared" si="17"/>
        <v>0.22060270461982001</v>
      </c>
      <c r="S26" s="13">
        <f t="shared" si="16"/>
        <v>5.8507048590281885E-2</v>
      </c>
      <c r="T26" s="13">
        <f t="shared" si="16"/>
        <v>-3.5871778978128099E-2</v>
      </c>
      <c r="U26" s="13">
        <f t="shared" si="16"/>
        <v>-1.0000000000000009E-2</v>
      </c>
      <c r="V26" s="6"/>
      <c r="W26" s="6"/>
      <c r="X26" s="6"/>
      <c r="Y26" s="6"/>
      <c r="Z26" s="6"/>
      <c r="AA26" s="6"/>
      <c r="AB26" s="6"/>
    </row>
    <row r="27" spans="2:28" x14ac:dyDescent="0.3">
      <c r="B27" t="s">
        <v>34</v>
      </c>
      <c r="D27" s="6"/>
      <c r="E27" s="6"/>
      <c r="F27" s="6"/>
      <c r="G27" s="14">
        <f t="shared" si="14"/>
        <v>6.5387348969438541E-2</v>
      </c>
      <c r="H27" s="14">
        <f t="shared" si="14"/>
        <v>7.8991431104107335E-2</v>
      </c>
      <c r="I27" s="14">
        <f t="shared" si="14"/>
        <v>1.9782345035565418E-2</v>
      </c>
      <c r="J27" s="14">
        <f t="shared" si="14"/>
        <v>1.1375134641119944E-2</v>
      </c>
      <c r="K27" s="6"/>
      <c r="L27" s="6"/>
      <c r="M27" s="6"/>
      <c r="N27" s="6"/>
      <c r="O27" s="6"/>
      <c r="P27" s="13">
        <f t="shared" ref="P27:R27" si="18">P12/O12-1</f>
        <v>0.3294565853743785</v>
      </c>
      <c r="Q27" s="13">
        <f t="shared" si="18"/>
        <v>0.16803486102256371</v>
      </c>
      <c r="R27" s="13">
        <f t="shared" si="18"/>
        <v>0.23027015468761425</v>
      </c>
      <c r="S27" s="13">
        <f t="shared" si="16"/>
        <v>0.12111052667688171</v>
      </c>
      <c r="T27" s="13">
        <f t="shared" si="16"/>
        <v>4.3914260303368868E-2</v>
      </c>
      <c r="U27" s="13">
        <f t="shared" si="16"/>
        <v>2.4999999999999911E-2</v>
      </c>
      <c r="V27" s="6"/>
      <c r="W27" s="6"/>
      <c r="X27" s="6"/>
      <c r="Y27" s="6"/>
      <c r="Z27" s="6"/>
      <c r="AA27" s="6"/>
      <c r="AB27" s="6"/>
    </row>
    <row r="28" spans="2:28" x14ac:dyDescent="0.3">
      <c r="B28" t="s">
        <v>37</v>
      </c>
      <c r="D28" s="6"/>
      <c r="E28" s="6"/>
      <c r="F28" s="6"/>
      <c r="G28" s="14">
        <f t="shared" ref="G28:I28" si="19">G20/C20-1</f>
        <v>0.40498171846434849</v>
      </c>
      <c r="H28" s="14">
        <f t="shared" si="19"/>
        <v>0.68718844531549439</v>
      </c>
      <c r="I28" s="14">
        <f t="shared" si="19"/>
        <v>0.61427158503974777</v>
      </c>
      <c r="J28" s="14">
        <f>J20/F20-1</f>
        <v>-4.804880044178117E-2</v>
      </c>
      <c r="K28" s="6"/>
      <c r="L28" s="6"/>
      <c r="M28" s="6"/>
      <c r="N28" s="6"/>
      <c r="O28" s="6"/>
      <c r="P28" s="13">
        <f t="shared" ref="P28" si="20">P20/O20-1</f>
        <v>0.38052581363299054</v>
      </c>
      <c r="Q28" s="13">
        <f t="shared" ref="Q28" si="21">Q20/P20-1</f>
        <v>-0.22355538491073146</v>
      </c>
      <c r="R28" s="13">
        <f t="shared" ref="R28" si="22">R20/Q20-1</f>
        <v>6.9365805414759452E-2</v>
      </c>
      <c r="S28" s="13">
        <f t="shared" ref="S28" si="23">S20/R20-1</f>
        <v>0.29205905134044885</v>
      </c>
      <c r="T28" s="13">
        <f>T20/S20-1</f>
        <v>0.35681845023996805</v>
      </c>
      <c r="U28" s="13">
        <f>U20/T20-1</f>
        <v>0.22863944501595923</v>
      </c>
      <c r="V28" s="6"/>
      <c r="W28" s="6"/>
      <c r="X28" s="6"/>
      <c r="Y28" s="6"/>
      <c r="Z28" s="6"/>
      <c r="AA28" s="6"/>
      <c r="AB28" s="6"/>
    </row>
    <row r="29" spans="2:28" x14ac:dyDescent="0.3">
      <c r="B29" s="2" t="s">
        <v>20</v>
      </c>
      <c r="C29" s="14">
        <f t="shared" ref="C29:J29" si="24">C9/C5</f>
        <v>0.63678498540883866</v>
      </c>
      <c r="D29" s="14">
        <f t="shared" si="24"/>
        <v>0.61421775544388613</v>
      </c>
      <c r="E29" s="14">
        <f t="shared" si="24"/>
        <v>0.63306949615512897</v>
      </c>
      <c r="F29" s="14">
        <f t="shared" si="24"/>
        <v>0.64101868214539259</v>
      </c>
      <c r="G29" s="14">
        <f t="shared" si="24"/>
        <v>0.65731829113725626</v>
      </c>
      <c r="H29" s="14">
        <f t="shared" si="24"/>
        <v>0.65235429221537411</v>
      </c>
      <c r="I29" s="14">
        <f t="shared" si="24"/>
        <v>0.6476130679384775</v>
      </c>
      <c r="J29" s="14">
        <f t="shared" si="24"/>
        <v>0.6548712021136065</v>
      </c>
      <c r="K29" s="6"/>
      <c r="L29" s="6"/>
      <c r="M29" s="6"/>
      <c r="N29" s="6"/>
      <c r="O29" s="13">
        <f t="shared" ref="O29:R29" si="25">O9/O5</f>
        <v>0.63452921493023973</v>
      </c>
      <c r="P29" s="13">
        <f t="shared" si="25"/>
        <v>0.63199531393860553</v>
      </c>
      <c r="Q29" s="13">
        <f t="shared" si="25"/>
        <v>0.59157321598090173</v>
      </c>
      <c r="R29" s="13">
        <f>R9/R5</f>
        <v>0.59340414143104514</v>
      </c>
      <c r="S29" s="13">
        <f>S9/S5</f>
        <v>0.6312062030499872</v>
      </c>
      <c r="T29" s="13">
        <f>T9/T5</f>
        <v>0.65296911027242244</v>
      </c>
      <c r="U29" s="13">
        <f>U9/U5</f>
        <v>0.66800000000000015</v>
      </c>
      <c r="V29" s="6"/>
      <c r="W29" s="6"/>
      <c r="X29" s="6"/>
      <c r="Y29" s="6"/>
      <c r="Z29" s="6"/>
      <c r="AA29" s="6"/>
      <c r="AB29" s="6"/>
    </row>
    <row r="30" spans="2:28" x14ac:dyDescent="0.3">
      <c r="B30" s="2" t="s">
        <v>21</v>
      </c>
      <c r="C30" s="14">
        <f t="shared" ref="C30:J31" si="26">(C3-C6)/C3</f>
        <v>0.85536286689218133</v>
      </c>
      <c r="D30" s="14">
        <f t="shared" si="26"/>
        <v>0.84635980403326883</v>
      </c>
      <c r="E30" s="14">
        <f t="shared" si="26"/>
        <v>0.84887641611561981</v>
      </c>
      <c r="F30" s="14">
        <f t="shared" si="26"/>
        <v>0.84615799443197381</v>
      </c>
      <c r="G30" s="14">
        <f t="shared" si="26"/>
        <v>0.86412494013728514</v>
      </c>
      <c r="H30" s="14">
        <f t="shared" si="26"/>
        <v>0.85830548910708215</v>
      </c>
      <c r="I30" s="14">
        <f t="shared" si="26"/>
        <v>0.85497501192897873</v>
      </c>
      <c r="J30" s="14">
        <f t="shared" si="26"/>
        <v>0.85577509341929725</v>
      </c>
      <c r="K30" s="6"/>
      <c r="L30" s="6"/>
      <c r="M30" s="6"/>
      <c r="N30" s="6"/>
      <c r="O30" s="14">
        <f t="shared" ref="O30:R30" si="27">(O3-O6)/O3</f>
        <v>0.85160133382734338</v>
      </c>
      <c r="P30" s="14">
        <f t="shared" si="27"/>
        <v>0.86385747742570385</v>
      </c>
      <c r="Q30" s="14">
        <f t="shared" si="27"/>
        <v>0.85499118104489413</v>
      </c>
      <c r="R30" s="14">
        <f t="shared" ref="R30:U31" si="28">(R3-R6)/R3</f>
        <v>0.85799333944428746</v>
      </c>
      <c r="S30" s="14">
        <f t="shared" si="28"/>
        <v>0.84908995080815175</v>
      </c>
      <c r="T30" s="14">
        <f t="shared" si="28"/>
        <v>0.85818712987050016</v>
      </c>
      <c r="U30" s="14">
        <f t="shared" si="28"/>
        <v>0.87000000000000011</v>
      </c>
      <c r="V30" s="6"/>
      <c r="W30" s="6"/>
      <c r="X30" s="6"/>
      <c r="Y30" s="6"/>
      <c r="Z30" s="6"/>
      <c r="AA30" s="6"/>
      <c r="AB30" s="6"/>
    </row>
    <row r="31" spans="2:28" x14ac:dyDescent="0.3">
      <c r="B31" s="2" t="s">
        <v>22</v>
      </c>
      <c r="C31" s="14">
        <f t="shared" si="26"/>
        <v>0.23859691612174058</v>
      </c>
      <c r="D31" s="14">
        <f t="shared" si="26"/>
        <v>0.2235298347374855</v>
      </c>
      <c r="E31" s="14">
        <f t="shared" si="26"/>
        <v>0.22568888541788693</v>
      </c>
      <c r="F31" s="14">
        <f t="shared" si="26"/>
        <v>0.25031839610529666</v>
      </c>
      <c r="G31" s="14">
        <f t="shared" si="26"/>
        <v>0.23104237787740428</v>
      </c>
      <c r="H31" s="14">
        <f t="shared" si="26"/>
        <v>0.24001027221366197</v>
      </c>
      <c r="I31" s="14">
        <f t="shared" si="26"/>
        <v>0.24097216237180041</v>
      </c>
      <c r="J31" s="14">
        <f t="shared" si="26"/>
        <v>0.22034495815325997</v>
      </c>
      <c r="K31" s="6"/>
      <c r="L31" s="6"/>
      <c r="M31" s="6"/>
      <c r="N31" s="6"/>
      <c r="O31" s="14">
        <f t="shared" ref="O31:R31" si="29">(O4-O7)/O4</f>
        <v>0.19065022910757154</v>
      </c>
      <c r="P31" s="14">
        <f t="shared" si="29"/>
        <v>0.22628656349834925</v>
      </c>
      <c r="Q31" s="14">
        <f t="shared" si="29"/>
        <v>0.17136699272688211</v>
      </c>
      <c r="R31" s="14">
        <f t="shared" si="28"/>
        <v>0.16604900335835021</v>
      </c>
      <c r="S31" s="14">
        <f t="shared" si="28"/>
        <v>0.23432167699684844</v>
      </c>
      <c r="T31" s="14">
        <f t="shared" si="28"/>
        <v>0.23326388641378487</v>
      </c>
      <c r="U31" s="14">
        <f t="shared" si="28"/>
        <v>0.15</v>
      </c>
      <c r="V31" s="6"/>
      <c r="W31" s="6"/>
      <c r="X31" s="6"/>
      <c r="Y31" s="6"/>
      <c r="Z31" s="6"/>
      <c r="AA31" s="6"/>
      <c r="AB31" s="6"/>
    </row>
    <row r="32" spans="2:28" x14ac:dyDescent="0.3">
      <c r="B32" s="2" t="s">
        <v>38</v>
      </c>
      <c r="C32" s="14">
        <f t="shared" ref="C32:I32" si="30">C19/C18</f>
        <v>-5.9153838706554308E-2</v>
      </c>
      <c r="D32" s="14">
        <f t="shared" si="30"/>
        <v>0.21705917672960165</v>
      </c>
      <c r="E32" s="14">
        <f t="shared" si="30"/>
        <v>0.1270186434715872</v>
      </c>
      <c r="F32" s="14">
        <f t="shared" si="30"/>
        <v>0.173797695089391</v>
      </c>
      <c r="G32" s="14">
        <f t="shared" si="30"/>
        <v>8.2029383659818517E-2</v>
      </c>
      <c r="H32" s="14">
        <f t="shared" si="30"/>
        <v>2.1835786977571402E-2</v>
      </c>
      <c r="I32" s="14">
        <f t="shared" si="30"/>
        <v>0.1322805497578072</v>
      </c>
      <c r="J32" s="14">
        <f>J19/J18</f>
        <v>0.19369857080987407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 spans="4:28" x14ac:dyDescent="0.3"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 spans="4:28" x14ac:dyDescent="0.3"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 spans="4:28" x14ac:dyDescent="0.3"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4:28" x14ac:dyDescent="0.3"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 spans="4:28" x14ac:dyDescent="0.3"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 spans="4:28" x14ac:dyDescent="0.3"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 spans="4:28" x14ac:dyDescent="0.3"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4:28" x14ac:dyDescent="0.3"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4:28" x14ac:dyDescent="0.3"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4:28" x14ac:dyDescent="0.3"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 spans="4:28" x14ac:dyDescent="0.3"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4:28" x14ac:dyDescent="0.3"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4:28" x14ac:dyDescent="0.3"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4:28" x14ac:dyDescent="0.3"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4:28" x14ac:dyDescent="0.3"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4:28" x14ac:dyDescent="0.3"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</sheetData>
  <phoneticPr fontId="3" type="noConversion"/>
  <hyperlinks>
    <hyperlink ref="A1" r:id="rId1" xr:uid="{61266007-C85B-41F5-BF5F-51BB2D02F000}"/>
  </hyperlinks>
  <pageMargins left="0.7" right="0.7" top="0.75" bottom="0.75" header="0.3" footer="0.3"/>
  <ignoredErrors>
    <ignoredError sqref="O5:T5 U3:U5" formulaRange="1"/>
    <ignoredError sqref="J5 J18 F5 F18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2025-03-22T16:29:54Z</dcterms:modified>
</cp:coreProperties>
</file>