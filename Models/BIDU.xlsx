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88B43069-5095-4787-B7F5-DB33A4FF0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USD Model" sheetId="2" r:id="rId2"/>
    <sheet name="RMB Mode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J6" i="1"/>
  <c r="M37" i="2"/>
  <c r="M58" i="2"/>
  <c r="M54" i="2"/>
  <c r="M53" i="2"/>
  <c r="M57" i="2" s="1"/>
  <c r="M52" i="2"/>
  <c r="M51" i="2"/>
  <c r="M50" i="2"/>
  <c r="M40" i="2"/>
  <c r="M43" i="2"/>
  <c r="M38" i="2"/>
  <c r="M12" i="2"/>
  <c r="M16" i="2" s="1"/>
  <c r="L70" i="2"/>
  <c r="K70" i="2"/>
  <c r="J70" i="2"/>
  <c r="I70" i="2"/>
  <c r="H70" i="2"/>
  <c r="G70" i="2"/>
  <c r="M70" i="2"/>
  <c r="L58" i="2"/>
  <c r="L54" i="2"/>
  <c r="L52" i="2"/>
  <c r="L51" i="2"/>
  <c r="J37" i="2"/>
  <c r="I37" i="2"/>
  <c r="H37" i="2"/>
  <c r="G37" i="2"/>
  <c r="F37" i="2"/>
  <c r="E37" i="2"/>
  <c r="D37" i="2"/>
  <c r="C37" i="2"/>
  <c r="K37" i="2"/>
  <c r="L37" i="2"/>
  <c r="L50" i="2"/>
  <c r="L40" i="2"/>
  <c r="L43" i="2"/>
  <c r="L38" i="2"/>
  <c r="L12" i="2"/>
  <c r="L16" i="2"/>
  <c r="M69" i="2"/>
  <c r="L69" i="2"/>
  <c r="M65" i="2"/>
  <c r="L65" i="2"/>
  <c r="M24" i="2"/>
  <c r="M10" i="2"/>
  <c r="M5" i="2"/>
  <c r="M7" i="2" s="1"/>
  <c r="L10" i="2"/>
  <c r="L5" i="2"/>
  <c r="L7" i="2" s="1"/>
  <c r="H17" i="3"/>
  <c r="H10" i="3"/>
  <c r="H5" i="3"/>
  <c r="H7" i="3" s="1"/>
  <c r="H11" i="3" s="1"/>
  <c r="H18" i="3" s="1"/>
  <c r="H20" i="3" s="1"/>
  <c r="H22" i="3" s="1"/>
  <c r="H24" i="3" s="1"/>
  <c r="J24" i="3"/>
  <c r="I24" i="3"/>
  <c r="I17" i="3"/>
  <c r="I10" i="3"/>
  <c r="I5" i="3"/>
  <c r="I7" i="3" s="1"/>
  <c r="I11" i="3" s="1"/>
  <c r="I18" i="3" s="1"/>
  <c r="I20" i="3" s="1"/>
  <c r="J23" i="3"/>
  <c r="J22" i="3"/>
  <c r="J17" i="3"/>
  <c r="J10" i="3"/>
  <c r="J6" i="3"/>
  <c r="J5" i="3"/>
  <c r="J7" i="3" s="1"/>
  <c r="J11" i="3" s="1"/>
  <c r="J18" i="3" s="1"/>
  <c r="J20" i="3" s="1"/>
  <c r="P69" i="2"/>
  <c r="K69" i="2"/>
  <c r="J69" i="2"/>
  <c r="I69" i="2"/>
  <c r="H69" i="2"/>
  <c r="G69" i="2"/>
  <c r="F69" i="2"/>
  <c r="E69" i="2"/>
  <c r="D69" i="2"/>
  <c r="C69" i="2"/>
  <c r="R67" i="2"/>
  <c r="Q67" i="2"/>
  <c r="P65" i="2"/>
  <c r="K65" i="2"/>
  <c r="J65" i="2"/>
  <c r="I65" i="2"/>
  <c r="H65" i="2"/>
  <c r="G65" i="2"/>
  <c r="F65" i="2"/>
  <c r="E65" i="2"/>
  <c r="D65" i="2"/>
  <c r="C65" i="2"/>
  <c r="R64" i="2"/>
  <c r="Q64" i="2"/>
  <c r="R63" i="2"/>
  <c r="Q63" i="2"/>
  <c r="R62" i="2"/>
  <c r="Q62" i="2"/>
  <c r="R58" i="2"/>
  <c r="Q58" i="2"/>
  <c r="P58" i="2"/>
  <c r="K58" i="2"/>
  <c r="J58" i="2"/>
  <c r="I58" i="2"/>
  <c r="H58" i="2"/>
  <c r="G58" i="2"/>
  <c r="D58" i="2"/>
  <c r="C58" i="2"/>
  <c r="R54" i="2"/>
  <c r="Q54" i="2"/>
  <c r="P54" i="2"/>
  <c r="K54" i="2"/>
  <c r="J54" i="2"/>
  <c r="I54" i="2"/>
  <c r="H54" i="2"/>
  <c r="G54" i="2"/>
  <c r="D54" i="2"/>
  <c r="C54" i="2"/>
  <c r="R53" i="2"/>
  <c r="Q53" i="2"/>
  <c r="P53" i="2"/>
  <c r="K53" i="2"/>
  <c r="J53" i="2"/>
  <c r="I53" i="2"/>
  <c r="H53" i="2"/>
  <c r="G53" i="2"/>
  <c r="D53" i="2"/>
  <c r="C53" i="2"/>
  <c r="R52" i="2"/>
  <c r="Q52" i="2"/>
  <c r="P52" i="2"/>
  <c r="K52" i="2"/>
  <c r="J52" i="2"/>
  <c r="I52" i="2"/>
  <c r="H52" i="2"/>
  <c r="G52" i="2"/>
  <c r="D52" i="2"/>
  <c r="C52" i="2"/>
  <c r="R51" i="2"/>
  <c r="Q51" i="2"/>
  <c r="P51" i="2"/>
  <c r="K51" i="2"/>
  <c r="J51" i="2"/>
  <c r="I51" i="2"/>
  <c r="H51" i="2"/>
  <c r="G51" i="2"/>
  <c r="D51" i="2"/>
  <c r="C51" i="2"/>
  <c r="R50" i="2"/>
  <c r="Q50" i="2"/>
  <c r="P50" i="2"/>
  <c r="K50" i="2"/>
  <c r="J50" i="2"/>
  <c r="I50" i="2"/>
  <c r="H50" i="2"/>
  <c r="G50" i="2"/>
  <c r="D50" i="2"/>
  <c r="C50" i="2"/>
  <c r="R43" i="2"/>
  <c r="Q43" i="2"/>
  <c r="P43" i="2"/>
  <c r="K43" i="2"/>
  <c r="K49" i="2" s="1"/>
  <c r="J43" i="2"/>
  <c r="I43" i="2"/>
  <c r="H43" i="2"/>
  <c r="G43" i="2"/>
  <c r="D43" i="2"/>
  <c r="C43" i="2"/>
  <c r="R40" i="2"/>
  <c r="Q40" i="2"/>
  <c r="P40" i="2"/>
  <c r="P49" i="2" s="1"/>
  <c r="K40" i="2"/>
  <c r="J40" i="2"/>
  <c r="I40" i="2"/>
  <c r="H40" i="2"/>
  <c r="G40" i="2"/>
  <c r="D40" i="2"/>
  <c r="C40" i="2"/>
  <c r="R38" i="2"/>
  <c r="Q38" i="2"/>
  <c r="P38" i="2"/>
  <c r="K38" i="2"/>
  <c r="J38" i="2"/>
  <c r="I38" i="2"/>
  <c r="H38" i="2"/>
  <c r="G38" i="2"/>
  <c r="D38" i="2"/>
  <c r="C38" i="2"/>
  <c r="Q37" i="2"/>
  <c r="Q20" i="2"/>
  <c r="U19" i="2"/>
  <c r="T19" i="2"/>
  <c r="S19" i="2"/>
  <c r="R18" i="2"/>
  <c r="P18" i="2"/>
  <c r="K18" i="2"/>
  <c r="J18" i="2"/>
  <c r="I18" i="2"/>
  <c r="H18" i="2"/>
  <c r="G18" i="2"/>
  <c r="F18" i="2"/>
  <c r="E18" i="2"/>
  <c r="D18" i="2"/>
  <c r="Q18" i="2" s="1"/>
  <c r="C18" i="2"/>
  <c r="J16" i="2"/>
  <c r="I16" i="2"/>
  <c r="G16" i="2"/>
  <c r="Q15" i="2"/>
  <c r="Q14" i="2"/>
  <c r="Q13" i="2"/>
  <c r="R12" i="2"/>
  <c r="R16" i="2" s="1"/>
  <c r="P12" i="2"/>
  <c r="P16" i="2" s="1"/>
  <c r="K12" i="2"/>
  <c r="K16" i="2" s="1"/>
  <c r="J12" i="2"/>
  <c r="I12" i="2"/>
  <c r="H12" i="2"/>
  <c r="H16" i="2" s="1"/>
  <c r="G12" i="2"/>
  <c r="F12" i="2"/>
  <c r="F16" i="2" s="1"/>
  <c r="E12" i="2"/>
  <c r="E16" i="2" s="1"/>
  <c r="D12" i="2"/>
  <c r="C12" i="2"/>
  <c r="C16" i="2" s="1"/>
  <c r="U11" i="2"/>
  <c r="T11" i="2"/>
  <c r="S11" i="2"/>
  <c r="R10" i="2"/>
  <c r="P10" i="2"/>
  <c r="K10" i="2"/>
  <c r="J10" i="2"/>
  <c r="I10" i="2"/>
  <c r="H10" i="2"/>
  <c r="G10" i="2"/>
  <c r="F10" i="2"/>
  <c r="E10" i="2"/>
  <c r="D10" i="2"/>
  <c r="C10" i="2"/>
  <c r="Q9" i="2"/>
  <c r="Q8" i="2"/>
  <c r="K7" i="2"/>
  <c r="K34" i="2" s="1"/>
  <c r="J7" i="2"/>
  <c r="J34" i="2" s="1"/>
  <c r="E7" i="2"/>
  <c r="E33" i="2" s="1"/>
  <c r="Q6" i="2"/>
  <c r="U5" i="2"/>
  <c r="T5" i="2"/>
  <c r="S5" i="2"/>
  <c r="R5" i="2"/>
  <c r="R7" i="2" s="1"/>
  <c r="P5" i="2"/>
  <c r="P7" i="2" s="1"/>
  <c r="K5" i="2"/>
  <c r="J5" i="2"/>
  <c r="I5" i="2"/>
  <c r="I24" i="2" s="1"/>
  <c r="H5" i="2"/>
  <c r="H7" i="2" s="1"/>
  <c r="H27" i="2" s="1"/>
  <c r="G5" i="2"/>
  <c r="F5" i="2"/>
  <c r="F7" i="2" s="1"/>
  <c r="F27" i="2" s="1"/>
  <c r="D5" i="2"/>
  <c r="C5" i="2"/>
  <c r="C7" i="2" s="1"/>
  <c r="Q4" i="2"/>
  <c r="Q3" i="2"/>
  <c r="Q5" i="2" s="1"/>
  <c r="J7" i="1"/>
  <c r="M59" i="2" l="1"/>
  <c r="L57" i="2"/>
  <c r="L59" i="2" s="1"/>
  <c r="L24" i="2"/>
  <c r="L49" i="2"/>
  <c r="M49" i="2"/>
  <c r="M34" i="2"/>
  <c r="M33" i="2"/>
  <c r="M11" i="2"/>
  <c r="M30" i="2" s="1"/>
  <c r="M27" i="2"/>
  <c r="L33" i="2"/>
  <c r="L11" i="2"/>
  <c r="L30" i="2" s="1"/>
  <c r="L27" i="2"/>
  <c r="L34" i="2"/>
  <c r="T23" i="2"/>
  <c r="J33" i="2"/>
  <c r="Q69" i="2"/>
  <c r="Q70" i="2" s="1"/>
  <c r="J27" i="2"/>
  <c r="U16" i="2"/>
  <c r="K33" i="2"/>
  <c r="E34" i="2"/>
  <c r="P57" i="2"/>
  <c r="P59" i="2" s="1"/>
  <c r="G57" i="2"/>
  <c r="G59" i="2" s="1"/>
  <c r="T25" i="2"/>
  <c r="I49" i="2"/>
  <c r="P37" i="2"/>
  <c r="P33" i="2"/>
  <c r="P34" i="2"/>
  <c r="P27" i="2"/>
  <c r="P11" i="2"/>
  <c r="P17" i="2" s="1"/>
  <c r="P19" i="2" s="1"/>
  <c r="P21" i="2" s="1"/>
  <c r="Q65" i="2"/>
  <c r="J49" i="2"/>
  <c r="D57" i="2"/>
  <c r="D59" i="2" s="1"/>
  <c r="K57" i="2"/>
  <c r="K59" i="2" s="1"/>
  <c r="K27" i="2"/>
  <c r="R49" i="2"/>
  <c r="U25" i="2"/>
  <c r="I57" i="2"/>
  <c r="I59" i="2" s="1"/>
  <c r="J57" i="2"/>
  <c r="J59" i="2" s="1"/>
  <c r="E27" i="2"/>
  <c r="I7" i="2"/>
  <c r="Q57" i="2"/>
  <c r="Q59" i="2" s="1"/>
  <c r="C57" i="2"/>
  <c r="C59" i="2" s="1"/>
  <c r="J11" i="1"/>
  <c r="I22" i="3"/>
  <c r="Q24" i="2"/>
  <c r="Q7" i="2"/>
  <c r="Q33" i="2" s="1"/>
  <c r="S24" i="2"/>
  <c r="S7" i="2"/>
  <c r="S6" i="2" s="1"/>
  <c r="T24" i="2"/>
  <c r="T28" i="2"/>
  <c r="T7" i="2"/>
  <c r="T6" i="2" s="1"/>
  <c r="U24" i="2"/>
  <c r="U7" i="2"/>
  <c r="H24" i="2"/>
  <c r="D7" i="2"/>
  <c r="V5" i="2"/>
  <c r="F34" i="2"/>
  <c r="F33" i="2"/>
  <c r="F11" i="2"/>
  <c r="R33" i="2"/>
  <c r="S33" i="2" s="1"/>
  <c r="T33" i="2" s="1"/>
  <c r="U33" i="2" s="1"/>
  <c r="R27" i="2"/>
  <c r="R34" i="2"/>
  <c r="S34" i="2" s="1"/>
  <c r="T34" i="2" s="1"/>
  <c r="U34" i="2" s="1"/>
  <c r="R11" i="2"/>
  <c r="C27" i="2"/>
  <c r="C33" i="2"/>
  <c r="C11" i="2"/>
  <c r="C30" i="2" s="1"/>
  <c r="C34" i="2"/>
  <c r="U6" i="2"/>
  <c r="G24" i="2"/>
  <c r="G7" i="2"/>
  <c r="D16" i="2"/>
  <c r="Q12" i="2"/>
  <c r="Q16" i="2" s="1"/>
  <c r="E11" i="2"/>
  <c r="K24" i="2"/>
  <c r="R57" i="2"/>
  <c r="R59" i="2" s="1"/>
  <c r="R37" i="2"/>
  <c r="R24" i="2"/>
  <c r="H34" i="2"/>
  <c r="H11" i="2"/>
  <c r="H30" i="2" s="1"/>
  <c r="H33" i="2"/>
  <c r="U28" i="2"/>
  <c r="U23" i="2"/>
  <c r="C49" i="2"/>
  <c r="G49" i="2"/>
  <c r="D49" i="2"/>
  <c r="H49" i="2"/>
  <c r="H57" i="2"/>
  <c r="H59" i="2" s="1"/>
  <c r="S28" i="2"/>
  <c r="R69" i="2"/>
  <c r="R70" i="2" s="1"/>
  <c r="R65" i="2"/>
  <c r="J24" i="2"/>
  <c r="Q10" i="2"/>
  <c r="Q49" i="2"/>
  <c r="J11" i="2"/>
  <c r="K11" i="2"/>
  <c r="K30" i="2" s="1"/>
  <c r="M28" i="2" l="1"/>
  <c r="M17" i="2"/>
  <c r="L28" i="2"/>
  <c r="L17" i="2"/>
  <c r="S16" i="2"/>
  <c r="S29" i="2" s="1"/>
  <c r="T16" i="2"/>
  <c r="T29" i="2" s="1"/>
  <c r="I33" i="2"/>
  <c r="I27" i="2"/>
  <c r="I11" i="2"/>
  <c r="I30" i="2" s="1"/>
  <c r="I34" i="2"/>
  <c r="P30" i="2"/>
  <c r="P28" i="2"/>
  <c r="J28" i="2"/>
  <c r="J17" i="2"/>
  <c r="F17" i="2"/>
  <c r="F28" i="2"/>
  <c r="D30" i="2"/>
  <c r="G34" i="2"/>
  <c r="G33" i="2"/>
  <c r="G11" i="2"/>
  <c r="G27" i="2"/>
  <c r="S9" i="2"/>
  <c r="S8" i="2"/>
  <c r="P29" i="2"/>
  <c r="V19" i="2"/>
  <c r="W5" i="2"/>
  <c r="U30" i="2"/>
  <c r="U29" i="2"/>
  <c r="D27" i="2"/>
  <c r="D33" i="2"/>
  <c r="D11" i="2"/>
  <c r="D34" i="2"/>
  <c r="U17" i="2"/>
  <c r="U18" i="2" s="1"/>
  <c r="U32" i="2" s="1"/>
  <c r="E28" i="2"/>
  <c r="E17" i="2"/>
  <c r="C28" i="2"/>
  <c r="C17" i="2"/>
  <c r="P32" i="2"/>
  <c r="J30" i="2"/>
  <c r="F30" i="2"/>
  <c r="U9" i="2"/>
  <c r="U8" i="2"/>
  <c r="E30" i="2"/>
  <c r="Q27" i="2"/>
  <c r="Q34" i="2"/>
  <c r="Q11" i="2"/>
  <c r="R23" i="2" s="1"/>
  <c r="K17" i="2"/>
  <c r="K28" i="2"/>
  <c r="H17" i="2"/>
  <c r="H28" i="2"/>
  <c r="R17" i="2"/>
  <c r="R28" i="2"/>
  <c r="R30" i="2"/>
  <c r="T9" i="2"/>
  <c r="T8" i="2"/>
  <c r="T17" i="2" l="1"/>
  <c r="T18" i="2" s="1"/>
  <c r="T32" i="2" s="1"/>
  <c r="T30" i="2"/>
  <c r="M19" i="2"/>
  <c r="M61" i="2" s="1"/>
  <c r="M32" i="2"/>
  <c r="L19" i="2"/>
  <c r="L61" i="2" s="1"/>
  <c r="L32" i="2"/>
  <c r="S30" i="2"/>
  <c r="S17" i="2"/>
  <c r="S18" i="2" s="1"/>
  <c r="S32" i="2" s="1"/>
  <c r="I28" i="2"/>
  <c r="Q30" i="2"/>
  <c r="I17" i="2"/>
  <c r="W19" i="2"/>
  <c r="X5" i="2"/>
  <c r="S10" i="2"/>
  <c r="H19" i="2"/>
  <c r="H32" i="2"/>
  <c r="C19" i="2"/>
  <c r="C32" i="2"/>
  <c r="G17" i="2"/>
  <c r="G28" i="2"/>
  <c r="G30" i="2"/>
  <c r="E19" i="2"/>
  <c r="E32" i="2"/>
  <c r="D17" i="2"/>
  <c r="D28" i="2"/>
  <c r="R19" i="2"/>
  <c r="R32" i="2"/>
  <c r="I19" i="2"/>
  <c r="I32" i="2"/>
  <c r="K19" i="2"/>
  <c r="K32" i="2"/>
  <c r="Q17" i="2"/>
  <c r="Q28" i="2"/>
  <c r="Q23" i="2"/>
  <c r="T10" i="2"/>
  <c r="F19" i="2"/>
  <c r="F32" i="2"/>
  <c r="U10" i="2"/>
  <c r="J19" i="2"/>
  <c r="J32" i="2"/>
  <c r="M21" i="2" l="1"/>
  <c r="M29" i="2"/>
  <c r="L21" i="2"/>
  <c r="L29" i="2"/>
  <c r="E61" i="2"/>
  <c r="E21" i="2"/>
  <c r="E29" i="2"/>
  <c r="Q19" i="2"/>
  <c r="R25" i="2" s="1"/>
  <c r="Q32" i="2"/>
  <c r="K21" i="2"/>
  <c r="K61" i="2"/>
  <c r="K29" i="2"/>
  <c r="I61" i="2"/>
  <c r="I21" i="2"/>
  <c r="I29" i="2"/>
  <c r="S25" i="2"/>
  <c r="R29" i="2"/>
  <c r="R21" i="2"/>
  <c r="G19" i="2"/>
  <c r="G32" i="2"/>
  <c r="J21" i="2"/>
  <c r="J61" i="2"/>
  <c r="J29" i="2"/>
  <c r="H61" i="2"/>
  <c r="H21" i="2"/>
  <c r="H29" i="2"/>
  <c r="X19" i="2"/>
  <c r="Y5" i="2"/>
  <c r="C29" i="2"/>
  <c r="C21" i="2"/>
  <c r="C61" i="2"/>
  <c r="F61" i="2"/>
  <c r="F21" i="2"/>
  <c r="F29" i="2"/>
  <c r="D19" i="2"/>
  <c r="D32" i="2"/>
  <c r="Z5" i="2" l="1"/>
  <c r="Y19" i="2"/>
  <c r="D21" i="2"/>
  <c r="D61" i="2"/>
  <c r="D29" i="2"/>
  <c r="G61" i="2"/>
  <c r="G21" i="2"/>
  <c r="G29" i="2"/>
  <c r="Q25" i="2"/>
  <c r="Q21" i="2"/>
  <c r="Q29" i="2"/>
  <c r="AA5" i="2" l="1"/>
  <c r="Z19" i="2"/>
  <c r="AB5" i="2" l="1"/>
  <c r="AA19" i="2"/>
  <c r="AC5" i="2" l="1"/>
  <c r="AB19" i="2"/>
  <c r="AD5" i="2" l="1"/>
  <c r="AC19" i="2"/>
  <c r="AE5" i="2" l="1"/>
  <c r="AD19" i="2"/>
  <c r="AE19" i="2" l="1"/>
  <c r="AF5" i="2"/>
  <c r="AF19" i="2" l="1"/>
  <c r="AG5" i="2"/>
  <c r="AG19" i="2" l="1"/>
  <c r="AH5" i="2"/>
  <c r="AH19" i="2" l="1"/>
  <c r="AI5" i="2"/>
  <c r="AI19" i="2" l="1"/>
  <c r="AJ5" i="2"/>
  <c r="AJ19" i="2" l="1"/>
  <c r="AK5" i="2"/>
  <c r="AL5" i="2" l="1"/>
  <c r="AK19" i="2"/>
  <c r="AM5" i="2" l="1"/>
  <c r="AL19" i="2"/>
  <c r="AN5" i="2" l="1"/>
  <c r="AM19" i="2"/>
  <c r="AN19" i="2" l="1"/>
  <c r="AO5" i="2"/>
  <c r="AP5" i="2" l="1"/>
  <c r="AO19" i="2"/>
  <c r="AP19" i="2" l="1"/>
  <c r="AQ5" i="2"/>
  <c r="AQ19" i="2" l="1"/>
  <c r="AR5" i="2"/>
  <c r="AS5" i="2" l="1"/>
  <c r="AR19" i="2"/>
  <c r="AS19" i="2" l="1"/>
  <c r="AT5" i="2"/>
  <c r="AT19" i="2" l="1"/>
  <c r="AU5" i="2"/>
  <c r="AU19" i="2" l="1"/>
  <c r="AV5" i="2"/>
  <c r="AV19" i="2" l="1"/>
  <c r="AW5" i="2"/>
  <c r="AX5" i="2" l="1"/>
  <c r="AW19" i="2"/>
  <c r="AY5" i="2" l="1"/>
  <c r="AX19" i="2"/>
  <c r="AZ5" i="2" l="1"/>
  <c r="AY19" i="2"/>
  <c r="AZ19" i="2" l="1"/>
  <c r="BA5" i="2"/>
  <c r="BA19" i="2" l="1"/>
  <c r="BB5" i="2"/>
  <c r="BB19" i="2" l="1"/>
  <c r="BC5" i="2"/>
  <c r="BC19" i="2" l="1"/>
  <c r="BD5" i="2"/>
  <c r="BD19" i="2" l="1"/>
  <c r="BE5" i="2"/>
  <c r="BE19" i="2" l="1"/>
  <c r="BF5" i="2"/>
  <c r="BF19" i="2" l="1"/>
  <c r="BG5" i="2"/>
  <c r="BG19" i="2" l="1"/>
  <c r="BH5" i="2"/>
  <c r="BH19" i="2" l="1"/>
  <c r="BI5" i="2"/>
  <c r="BJ5" i="2" l="1"/>
  <c r="BI19" i="2"/>
  <c r="BK5" i="2" l="1"/>
  <c r="BJ19" i="2"/>
  <c r="BL5" i="2" l="1"/>
  <c r="BK19" i="2"/>
  <c r="BM5" i="2" l="1"/>
  <c r="BL19" i="2"/>
  <c r="BN5" i="2" l="1"/>
  <c r="BM19" i="2"/>
  <c r="BO5" i="2" l="1"/>
  <c r="BN19" i="2"/>
  <c r="BO19" i="2" l="1"/>
  <c r="BP5" i="2"/>
  <c r="BQ5" i="2" l="1"/>
  <c r="BP19" i="2"/>
  <c r="BQ19" i="2" l="1"/>
  <c r="BR5" i="2"/>
  <c r="BR19" i="2" l="1"/>
  <c r="BS5" i="2"/>
  <c r="BS19" i="2" l="1"/>
  <c r="BT5" i="2"/>
  <c r="BT19" i="2" l="1"/>
  <c r="BU5" i="2"/>
  <c r="BV5" i="2" l="1"/>
  <c r="BU19" i="2"/>
  <c r="BW5" i="2" l="1"/>
  <c r="BV19" i="2"/>
  <c r="BX5" i="2" l="1"/>
  <c r="BW19" i="2"/>
  <c r="BX19" i="2" l="1"/>
  <c r="BY5" i="2"/>
  <c r="BY19" i="2" l="1"/>
  <c r="BZ5" i="2"/>
  <c r="CA5" i="2" l="1"/>
  <c r="BZ19" i="2"/>
  <c r="CB5" i="2" l="1"/>
  <c r="CA19" i="2"/>
  <c r="CC5" i="2" l="1"/>
  <c r="CB19" i="2"/>
  <c r="CC19" i="2" l="1"/>
  <c r="CD5" i="2"/>
  <c r="CD19" i="2" l="1"/>
  <c r="CE5" i="2"/>
  <c r="CE19" i="2" l="1"/>
  <c r="CF5" i="2"/>
  <c r="CF19" i="2" l="1"/>
  <c r="CG5" i="2"/>
  <c r="CH5" i="2" l="1"/>
  <c r="CG19" i="2"/>
  <c r="CI5" i="2" l="1"/>
  <c r="CH19" i="2"/>
  <c r="CJ5" i="2" l="1"/>
  <c r="CI19" i="2"/>
  <c r="CJ19" i="2" l="1"/>
  <c r="CK5" i="2"/>
  <c r="CL5" i="2" l="1"/>
  <c r="CK19" i="2"/>
  <c r="CL19" i="2" l="1"/>
  <c r="CM5" i="2"/>
  <c r="CM19" i="2" l="1"/>
  <c r="CN5" i="2"/>
  <c r="CN19" i="2" l="1"/>
  <c r="CO5" i="2"/>
  <c r="CO19" i="2" l="1"/>
  <c r="CP5" i="2"/>
  <c r="CP19" i="2" l="1"/>
  <c r="CQ5" i="2"/>
  <c r="CQ19" i="2" l="1"/>
  <c r="CR5" i="2"/>
  <c r="CR19" i="2" l="1"/>
  <c r="CS5" i="2"/>
  <c r="CT5" i="2" l="1"/>
  <c r="CS19" i="2"/>
  <c r="CU5" i="2" l="1"/>
  <c r="CT19" i="2"/>
  <c r="CV5" i="2" l="1"/>
  <c r="CU19" i="2"/>
  <c r="CW5" i="2" l="1"/>
  <c r="CV19" i="2"/>
  <c r="CW19" i="2" l="1"/>
  <c r="CX5" i="2"/>
  <c r="CX19" i="2" l="1"/>
  <c r="CY5" i="2"/>
  <c r="CY19" i="2" l="1"/>
  <c r="CZ5" i="2"/>
  <c r="CZ19" i="2" l="1"/>
  <c r="DA5" i="2"/>
  <c r="DA19" i="2" l="1"/>
  <c r="DB5" i="2"/>
  <c r="DB19" i="2" l="1"/>
  <c r="DC5" i="2"/>
  <c r="DC19" i="2" l="1"/>
  <c r="DD5" i="2"/>
  <c r="DD19" i="2" l="1"/>
  <c r="DE5" i="2"/>
  <c r="DF5" i="2" l="1"/>
  <c r="DE19" i="2"/>
  <c r="DG5" i="2" l="1"/>
  <c r="DF19" i="2"/>
  <c r="DH5" i="2" l="1"/>
  <c r="DG19" i="2"/>
  <c r="DH19" i="2" l="1"/>
  <c r="DI5" i="2"/>
  <c r="DJ5" i="2" l="1"/>
  <c r="DI19" i="2"/>
  <c r="DK5" i="2" l="1"/>
  <c r="DJ19" i="2"/>
  <c r="DL5" i="2" l="1"/>
  <c r="DK19" i="2"/>
  <c r="DM5" i="2" l="1"/>
  <c r="DL19" i="2"/>
  <c r="DM19" i="2" l="1"/>
  <c r="DN5" i="2"/>
  <c r="DN19" i="2" l="1"/>
  <c r="DO5" i="2"/>
  <c r="DO19" i="2" l="1"/>
  <c r="DP5" i="2"/>
  <c r="DP19" i="2" l="1"/>
  <c r="DQ5" i="2"/>
  <c r="DR5" i="2" l="1"/>
  <c r="DQ19" i="2"/>
  <c r="DS5" i="2" l="1"/>
  <c r="DR19" i="2"/>
  <c r="DT5" i="2" l="1"/>
  <c r="DS19" i="2"/>
  <c r="DT19" i="2" l="1"/>
  <c r="DU5" i="2"/>
  <c r="DU19" i="2" l="1"/>
  <c r="DV5" i="2"/>
  <c r="DV19" i="2" l="1"/>
  <c r="DW5" i="2"/>
  <c r="DW19" i="2" l="1"/>
  <c r="DX5" i="2"/>
  <c r="DX19" i="2" l="1"/>
  <c r="DY5" i="2"/>
  <c r="DY19" i="2" l="1"/>
  <c r="DZ5" i="2"/>
  <c r="DZ19" i="2" l="1"/>
  <c r="EA5" i="2"/>
  <c r="EA19" i="2" l="1"/>
  <c r="EB5" i="2"/>
  <c r="EB19" i="2" l="1"/>
  <c r="EC5" i="2"/>
  <c r="ED5" i="2" l="1"/>
  <c r="EC19" i="2"/>
  <c r="EE5" i="2" l="1"/>
  <c r="ED19" i="2"/>
  <c r="EF5" i="2" l="1"/>
  <c r="EE19" i="2"/>
  <c r="EG5" i="2" l="1"/>
  <c r="EF19" i="2"/>
  <c r="EH5" i="2" l="1"/>
  <c r="EG19" i="2"/>
  <c r="EH19" i="2" l="1"/>
  <c r="EI5" i="2"/>
  <c r="EI19" i="2" l="1"/>
  <c r="EJ5" i="2"/>
  <c r="EK5" i="2" l="1"/>
  <c r="EJ19" i="2"/>
  <c r="EK19" i="2" l="1"/>
  <c r="EL5" i="2"/>
  <c r="EL19" i="2" l="1"/>
  <c r="EM5" i="2"/>
  <c r="EM19" i="2" l="1"/>
  <c r="EN5" i="2"/>
  <c r="EN19" i="2" l="1"/>
  <c r="EO5" i="2"/>
  <c r="EP5" i="2" l="1"/>
  <c r="EO19" i="2"/>
  <c r="EQ5" i="2" l="1"/>
  <c r="EP19" i="2"/>
  <c r="ER5" i="2" l="1"/>
  <c r="EQ19" i="2"/>
  <c r="ER19" i="2" l="1"/>
  <c r="ES5" i="2"/>
  <c r="ET5" i="2" l="1"/>
  <c r="ES19" i="2"/>
  <c r="ET19" i="2" l="1"/>
  <c r="EU5" i="2"/>
  <c r="EV5" i="2" l="1"/>
  <c r="EU19" i="2"/>
  <c r="EW5" i="2" l="1"/>
  <c r="EV19" i="2"/>
  <c r="EW19" i="2" l="1"/>
  <c r="EX5" i="2"/>
  <c r="EX19" i="2" l="1"/>
  <c r="EY5" i="2"/>
  <c r="EY19" i="2" l="1"/>
  <c r="EZ5" i="2"/>
  <c r="EZ19" i="2" l="1"/>
  <c r="FA5" i="2"/>
  <c r="FB5" i="2" l="1"/>
  <c r="FA19" i="2"/>
  <c r="FC5" i="2" l="1"/>
  <c r="FB19" i="2"/>
  <c r="FD5" i="2" l="1"/>
  <c r="FC19" i="2"/>
  <c r="FD19" i="2" l="1"/>
  <c r="FE5" i="2"/>
  <c r="FE19" i="2" l="1"/>
  <c r="FF5" i="2"/>
  <c r="FF19" i="2" l="1"/>
  <c r="FG5" i="2"/>
  <c r="FG19" i="2" l="1"/>
  <c r="FH5" i="2"/>
  <c r="FH19" i="2" l="1"/>
  <c r="FI5" i="2"/>
  <c r="FI19" i="2" l="1"/>
  <c r="FJ5" i="2"/>
  <c r="FJ19" i="2" l="1"/>
  <c r="FK5" i="2"/>
  <c r="FK19" i="2" l="1"/>
  <c r="FL5" i="2"/>
  <c r="FL19" i="2" l="1"/>
  <c r="FM5" i="2"/>
  <c r="FN5" i="2" l="1"/>
  <c r="FM19" i="2"/>
  <c r="FO5" i="2" l="1"/>
  <c r="FN19" i="2"/>
  <c r="FP5" i="2" l="1"/>
  <c r="FO19" i="2"/>
  <c r="FQ5" i="2" l="1"/>
  <c r="FP19" i="2"/>
  <c r="FQ19" i="2" l="1"/>
  <c r="FR5" i="2"/>
  <c r="FR19" i="2" l="1"/>
  <c r="FS5" i="2"/>
  <c r="FS19" i="2" l="1"/>
  <c r="FT5" i="2"/>
  <c r="FT19" i="2" l="1"/>
  <c r="FU5" i="2"/>
  <c r="FV5" i="2" l="1"/>
  <c r="FU19" i="2"/>
  <c r="FV19" i="2" l="1"/>
  <c r="FW5" i="2"/>
  <c r="FW19" i="2" l="1"/>
  <c r="FX5" i="2"/>
  <c r="FX19" i="2" l="1"/>
  <c r="FY5" i="2"/>
  <c r="FZ5" i="2" l="1"/>
  <c r="FY19" i="2"/>
  <c r="GA5" i="2" l="1"/>
  <c r="FZ19" i="2"/>
  <c r="GB5" i="2" l="1"/>
  <c r="GA19" i="2"/>
  <c r="GC5" i="2" l="1"/>
  <c r="GB19" i="2"/>
  <c r="GD5" i="2" l="1"/>
  <c r="GC19" i="2"/>
  <c r="GE5" i="2" l="1"/>
  <c r="GD19" i="2"/>
  <c r="GF5" i="2" l="1"/>
  <c r="GE19" i="2"/>
  <c r="GG5" i="2" l="1"/>
  <c r="GF19" i="2"/>
  <c r="GG19" i="2" l="1"/>
  <c r="GH5" i="2"/>
  <c r="GH19" i="2" l="1"/>
  <c r="GI5" i="2"/>
  <c r="GI19" i="2" l="1"/>
  <c r="GJ5" i="2"/>
  <c r="GJ19" i="2" l="1"/>
  <c r="GK5" i="2"/>
  <c r="GL5" i="2" l="1"/>
  <c r="GK19" i="2"/>
  <c r="GM5" i="2" l="1"/>
  <c r="GL19" i="2"/>
  <c r="GN5" i="2" l="1"/>
  <c r="GM19" i="2"/>
  <c r="GN19" i="2" l="1"/>
  <c r="GO5" i="2"/>
  <c r="GO19" i="2" l="1"/>
  <c r="GP5" i="2"/>
  <c r="GP19" i="2" l="1"/>
  <c r="GQ5" i="2"/>
  <c r="GQ19" i="2" l="1"/>
  <c r="GR5" i="2"/>
  <c r="GR19" i="2" l="1"/>
  <c r="GS5" i="2"/>
  <c r="GS19" i="2" l="1"/>
  <c r="GT5" i="2"/>
  <c r="GT19" i="2" l="1"/>
  <c r="GU5" i="2"/>
  <c r="GU19" i="2" l="1"/>
  <c r="GV5" i="2"/>
  <c r="GV19" i="2" l="1"/>
  <c r="GW5" i="2"/>
  <c r="GX5" i="2" l="1"/>
  <c r="GW19" i="2"/>
  <c r="GY5" i="2" l="1"/>
  <c r="GX19" i="2"/>
  <c r="GZ5" i="2" l="1"/>
  <c r="GY19" i="2"/>
  <c r="HA5" i="2" l="1"/>
  <c r="GZ19" i="2"/>
  <c r="HB5" i="2" l="1"/>
  <c r="HA19" i="2"/>
  <c r="HC5" i="2" l="1"/>
  <c r="HB19" i="2"/>
  <c r="HC19" i="2" l="1"/>
  <c r="HD5" i="2"/>
  <c r="HE5" i="2" l="1"/>
  <c r="HD19" i="2"/>
  <c r="HE19" i="2" l="1"/>
  <c r="HF5" i="2"/>
  <c r="HF19" i="2" l="1"/>
  <c r="HG5" i="2"/>
  <c r="HG19" i="2" l="1"/>
  <c r="HH5" i="2"/>
  <c r="HH19" i="2" l="1"/>
  <c r="HI5" i="2"/>
  <c r="HJ5" i="2" l="1"/>
  <c r="HI19" i="2"/>
  <c r="HK5" i="2" l="1"/>
  <c r="HJ19" i="2"/>
  <c r="HL5" i="2" l="1"/>
  <c r="HK19" i="2"/>
  <c r="HM5" i="2" l="1"/>
  <c r="HL19" i="2"/>
  <c r="HN5" i="2" l="1"/>
  <c r="HM19" i="2"/>
  <c r="HN19" i="2" l="1"/>
  <c r="HO5" i="2"/>
  <c r="HP5" i="2" l="1"/>
  <c r="HO19" i="2"/>
  <c r="HQ5" i="2" l="1"/>
  <c r="HP19" i="2"/>
  <c r="HQ19" i="2" l="1"/>
  <c r="HR5" i="2"/>
  <c r="HR19" i="2" l="1"/>
  <c r="HS5" i="2"/>
  <c r="HS19" i="2" l="1"/>
  <c r="HT5" i="2"/>
  <c r="HT19" i="2" l="1"/>
  <c r="HU5" i="2"/>
  <c r="HU19" i="2" s="1"/>
  <c r="Z26" i="2" s="1"/>
  <c r="Z27" i="2" s="1"/>
  <c r="Z28" i="2" s="1"/>
</calcChain>
</file>

<file path=xl/sharedStrings.xml><?xml version="1.0" encoding="utf-8"?>
<sst xmlns="http://schemas.openxmlformats.org/spreadsheetml/2006/main" count="115" uniqueCount="83">
  <si>
    <t>BIDU</t>
  </si>
  <si>
    <t>P</t>
  </si>
  <si>
    <t>S/O</t>
  </si>
  <si>
    <t>MC</t>
  </si>
  <si>
    <t>Cash</t>
  </si>
  <si>
    <t>Debt</t>
  </si>
  <si>
    <t>EV</t>
  </si>
  <si>
    <t>Main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</si>
  <si>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</si>
  <si>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</si>
  <si>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</si>
  <si>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</si>
  <si>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</si>
  <si>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</si>
  <si>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</si>
  <si>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</si>
  <si>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</si>
  <si>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Online Marketing</t>
  </si>
  <si>
    <t>Other</t>
  </si>
  <si>
    <t>Revenue</t>
  </si>
  <si>
    <t>COGS</t>
  </si>
  <si>
    <t>Gross Profit</t>
  </si>
  <si>
    <t>SG&amp;A</t>
  </si>
  <si>
    <t>R&amp;D</t>
  </si>
  <si>
    <t>Operating expenses</t>
  </si>
  <si>
    <t>Operating income</t>
  </si>
  <si>
    <t>Interest income</t>
  </si>
  <si>
    <t>FX gain</t>
  </si>
  <si>
    <t>Investments</t>
  </si>
  <si>
    <t>Others</t>
  </si>
  <si>
    <t>Total income</t>
  </si>
  <si>
    <t>Pre Tax income</t>
  </si>
  <si>
    <t>Taxes</t>
  </si>
  <si>
    <t>Net Income</t>
  </si>
  <si>
    <t>EPS</t>
  </si>
  <si>
    <t>Operating Income y/y</t>
  </si>
  <si>
    <t>Revenue y/y</t>
  </si>
  <si>
    <t>Maturity</t>
  </si>
  <si>
    <t>NI y/y</t>
  </si>
  <si>
    <t>Discount rate</t>
  </si>
  <si>
    <t>NPV</t>
  </si>
  <si>
    <t>Gross Margin</t>
  </si>
  <si>
    <t>net NPV</t>
  </si>
  <si>
    <t>Operating Margin</t>
  </si>
  <si>
    <t>Net Margin</t>
  </si>
  <si>
    <t>Interest Margin</t>
  </si>
  <si>
    <t>Tax Margin</t>
  </si>
  <si>
    <t>SG&amp;A Margin</t>
  </si>
  <si>
    <t>R&amp;D Margin</t>
  </si>
  <si>
    <t>Net Cash</t>
  </si>
  <si>
    <t>Cash and equivalents</t>
  </si>
  <si>
    <t>Restricted cash</t>
  </si>
  <si>
    <t>A/R</t>
  </si>
  <si>
    <t>OCA</t>
  </si>
  <si>
    <t>Fixed assets</t>
  </si>
  <si>
    <t>Intangibles</t>
  </si>
  <si>
    <t>Goodwill</t>
  </si>
  <si>
    <t>Deferred tax</t>
  </si>
  <si>
    <t>Lease ROU</t>
  </si>
  <si>
    <t>Prepaymetns</t>
  </si>
  <si>
    <t>ONCA</t>
  </si>
  <si>
    <t>Total Asets</t>
  </si>
  <si>
    <t>A/P</t>
  </si>
  <si>
    <t>D/R</t>
  </si>
  <si>
    <t>Notes</t>
  </si>
  <si>
    <t xml:space="preserve">Lease  </t>
  </si>
  <si>
    <t>ONCL</t>
  </si>
  <si>
    <t>Total Liabilities</t>
  </si>
  <si>
    <t>SE</t>
  </si>
  <si>
    <t>L+SE</t>
  </si>
  <si>
    <t>Model NI</t>
  </si>
  <si>
    <t>CFFO</t>
  </si>
  <si>
    <t>CFFI</t>
  </si>
  <si>
    <t>CFFF</t>
  </si>
  <si>
    <t>CF</t>
  </si>
  <si>
    <t>Capex</t>
  </si>
  <si>
    <t>FCF</t>
  </si>
  <si>
    <t>FCF y/y</t>
  </si>
  <si>
    <t>Interest expense</t>
  </si>
  <si>
    <t>Noncontrolling interest</t>
  </si>
  <si>
    <t>NI attributable to Baidu</t>
  </si>
  <si>
    <t>Q125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</si>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</sst>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0" borderId="0" xfId="0" applyFont="1"/>
    <xf numFmtId="4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38" fontId="0" fillId="0" borderId="0" xfId="0" applyNumberFormat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3:J14"/>
  <sheetViews>
    <sheetView tabSelected="1" workbookViewId="0">
      <selection activeCell="O9" sqref="O9"/>
    </sheetView>
  </sheetViews>
  <sheetFormatPr defaultRowHeight="14.4" x14ac:dyDescent="0.3"/>
  <sheetData>
    <row r="3" spans="9:10" x14ac:dyDescent="0.3">
      <c r="I3" s="1" t="s">
        <v>0</v>
      </c>
    </row>
    <row r="5" spans="9:10" x14ac:dyDescent="0.3">
      <c r="I5" s="2" t="s">
        <v>1</v>
      </c>
      <c r="J5" s="3">
        <v>87.55</v>
      </c>
    </row>
    <row r="6" spans="9:10" x14ac:dyDescent="0.3">
      <c r="I6" s="2" t="s">
        <v>2</v>
      </c>
      <c r="J6" s="4">
        <f>+'USD Model'!M20</f>
        <v>2720</v>
      </c>
    </row>
    <row r="7" spans="9:10" x14ac:dyDescent="0.3">
      <c r="I7" s="2" t="s">
        <v>3</v>
      </c>
      <c r="J7" s="4">
        <f>J6*J5</f>
        <v>238136</v>
      </c>
    </row>
    <row r="8" spans="9:10" x14ac:dyDescent="0.3">
      <c r="I8" s="2" t="s">
        <v>4</v>
      </c>
      <c r="J8" s="4">
        <f>+'USD Model'!M38</f>
        <v>38960</v>
      </c>
    </row>
    <row r="9" spans="9:10" x14ac:dyDescent="0.3">
      <c r="I9" s="2" t="s">
        <v>5</v>
      </c>
      <c r="J9" s="4">
        <f>+'USD Model'!M50+'USD Model'!M53</f>
        <v>11693</v>
      </c>
    </row>
    <row r="11" spans="9:10" x14ac:dyDescent="0.3">
      <c r="I11" s="2" t="s">
        <v>6</v>
      </c>
      <c r="J11" s="4">
        <f>J7-J8+J9</f>
        <v>210869</v>
      </c>
    </row>
    <row r="13" spans="9:10" x14ac:dyDescent="0.3">
      <c r="J13" s="3"/>
    </row>
    <row r="14" spans="9:10" x14ac:dyDescent="0.3">
      <c r="J14" s="3"/>
    </row>
  </sheetData>
  <hyperlinks>
    <hyperlink ref="I3" location="BIDU!A1" display="BIDU" xr:uid="{54D4C301-A18D-4859-B697-A920DC93FC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84E8-7694-4708-8615-1228C3BD1168}">
  <dimension ref="A1:HU70"/>
  <sheetViews>
    <sheetView zoomScale="89" zoomScaleNormal="25" workbookViewId="0">
      <pane xSplit="2" ySplit="2" topLeftCell="C39" activePane="bottomRight" state="frozen"/>
      <selection pane="topRight" activeCell="C1" sqref="C1"/>
      <selection pane="bottomLeft" activeCell="A3" sqref="A3"/>
      <selection pane="bottomRight" activeCell="M3" sqref="M3"/>
    </sheetView>
  </sheetViews>
  <sheetFormatPr defaultRowHeight="14.4" x14ac:dyDescent="0.3"/>
  <cols>
    <col min="2" max="2" width="18.6640625" bestFit="1" customWidth="1"/>
    <col min="3" max="3" width="8.88671875" style="4"/>
    <col min="14" max="14" width="8.88671875" style="4"/>
    <col min="26" max="26" width="8.33203125" customWidth="1"/>
  </cols>
  <sheetData>
    <row r="1" spans="1:229" x14ac:dyDescent="0.3">
      <c r="A1" s="1" t="s">
        <v>7</v>
      </c>
      <c r="C1"/>
    </row>
    <row r="2" spans="1:229" x14ac:dyDescent="0.3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81</v>
      </c>
      <c r="M2" t="s">
        <v>82</v>
      </c>
      <c r="P2">
        <v>2022</v>
      </c>
      <c r="Q2">
        <v>2023</v>
      </c>
      <c r="R2">
        <v>2024</v>
      </c>
      <c r="S2">
        <v>2025</v>
      </c>
      <c r="T2">
        <v>2026</v>
      </c>
      <c r="U2">
        <v>2027</v>
      </c>
      <c r="V2">
        <v>2028</v>
      </c>
      <c r="W2">
        <v>2029</v>
      </c>
      <c r="X2">
        <v>2030</v>
      </c>
      <c r="Y2">
        <v>2031</v>
      </c>
      <c r="Z2">
        <v>2032</v>
      </c>
      <c r="AA2">
        <v>2033</v>
      </c>
      <c r="AB2">
        <v>2034</v>
      </c>
      <c r="AC2">
        <v>2034</v>
      </c>
      <c r="AD2">
        <v>2035</v>
      </c>
      <c r="AE2">
        <v>2036</v>
      </c>
      <c r="AF2">
        <v>2037</v>
      </c>
      <c r="AG2">
        <v>2038</v>
      </c>
      <c r="AH2">
        <v>2039</v>
      </c>
      <c r="AI2">
        <v>2040</v>
      </c>
      <c r="AJ2">
        <v>2041</v>
      </c>
      <c r="AK2">
        <v>2042</v>
      </c>
      <c r="AL2">
        <v>2043</v>
      </c>
      <c r="AM2">
        <v>2044</v>
      </c>
      <c r="AN2">
        <v>2045</v>
      </c>
      <c r="AO2">
        <v>2046</v>
      </c>
      <c r="AP2">
        <v>2047</v>
      </c>
      <c r="AQ2">
        <v>2048</v>
      </c>
      <c r="AR2">
        <v>2049</v>
      </c>
      <c r="AS2">
        <v>2050</v>
      </c>
      <c r="AT2">
        <v>2051</v>
      </c>
      <c r="AU2">
        <v>2052</v>
      </c>
      <c r="AV2">
        <v>2053</v>
      </c>
      <c r="AW2">
        <v>2054</v>
      </c>
      <c r="AX2">
        <v>2055</v>
      </c>
      <c r="AY2">
        <v>2056</v>
      </c>
      <c r="AZ2">
        <v>2057</v>
      </c>
      <c r="BA2">
        <v>2058</v>
      </c>
      <c r="BB2">
        <v>2059</v>
      </c>
      <c r="BC2">
        <v>2060</v>
      </c>
      <c r="BD2">
        <v>2061</v>
      </c>
      <c r="BE2">
        <v>2062</v>
      </c>
      <c r="BF2">
        <v>2063</v>
      </c>
      <c r="BG2">
        <v>2064</v>
      </c>
      <c r="BH2">
        <v>2065</v>
      </c>
      <c r="BI2">
        <v>2066</v>
      </c>
      <c r="BJ2">
        <v>2067</v>
      </c>
      <c r="BK2">
        <v>2068</v>
      </c>
      <c r="BL2">
        <v>2069</v>
      </c>
      <c r="BM2">
        <v>2070</v>
      </c>
      <c r="BN2">
        <v>2071</v>
      </c>
      <c r="BO2">
        <v>2072</v>
      </c>
      <c r="BP2">
        <v>2073</v>
      </c>
      <c r="BQ2">
        <v>2074</v>
      </c>
      <c r="BR2">
        <v>2075</v>
      </c>
      <c r="BS2">
        <v>2076</v>
      </c>
      <c r="BT2">
        <v>2077</v>
      </c>
      <c r="BU2">
        <v>2078</v>
      </c>
      <c r="BV2">
        <v>2079</v>
      </c>
      <c r="BW2">
        <v>2080</v>
      </c>
      <c r="BX2">
        <v>2081</v>
      </c>
      <c r="BY2">
        <v>2082</v>
      </c>
      <c r="BZ2">
        <v>2083</v>
      </c>
      <c r="CA2">
        <v>2084</v>
      </c>
      <c r="CB2">
        <v>2085</v>
      </c>
      <c r="CC2">
        <v>2086</v>
      </c>
      <c r="CD2">
        <v>2087</v>
      </c>
      <c r="CE2">
        <v>2088</v>
      </c>
      <c r="CF2">
        <v>2089</v>
      </c>
      <c r="CG2">
        <v>2090</v>
      </c>
      <c r="CH2">
        <v>2091</v>
      </c>
      <c r="CI2">
        <v>2092</v>
      </c>
      <c r="CJ2">
        <v>2093</v>
      </c>
      <c r="CK2">
        <v>2094</v>
      </c>
      <c r="CL2">
        <v>2095</v>
      </c>
      <c r="CM2">
        <v>2096</v>
      </c>
      <c r="CN2">
        <v>2097</v>
      </c>
      <c r="CO2">
        <v>2098</v>
      </c>
      <c r="CP2">
        <v>2099</v>
      </c>
      <c r="CQ2">
        <v>2100</v>
      </c>
      <c r="CR2">
        <v>2101</v>
      </c>
      <c r="CS2">
        <v>2102</v>
      </c>
      <c r="CT2">
        <v>2103</v>
      </c>
      <c r="CU2">
        <v>2104</v>
      </c>
      <c r="CV2">
        <v>2105</v>
      </c>
      <c r="CW2">
        <v>2106</v>
      </c>
      <c r="CX2">
        <v>2107</v>
      </c>
      <c r="CY2">
        <v>2108</v>
      </c>
      <c r="CZ2">
        <v>2109</v>
      </c>
      <c r="DA2">
        <v>2110</v>
      </c>
      <c r="DB2">
        <v>2111</v>
      </c>
      <c r="DC2">
        <v>2112</v>
      </c>
      <c r="DD2">
        <v>2113</v>
      </c>
      <c r="DE2">
        <v>2114</v>
      </c>
      <c r="DF2">
        <v>2115</v>
      </c>
      <c r="DG2">
        <v>2116</v>
      </c>
      <c r="DH2">
        <v>2117</v>
      </c>
      <c r="DI2">
        <v>2118</v>
      </c>
      <c r="DJ2">
        <v>2119</v>
      </c>
      <c r="DK2">
        <v>2120</v>
      </c>
      <c r="DL2">
        <v>2121</v>
      </c>
      <c r="DM2">
        <v>2122</v>
      </c>
      <c r="DN2">
        <v>2123</v>
      </c>
      <c r="DO2">
        <v>2124</v>
      </c>
      <c r="DP2">
        <v>2125</v>
      </c>
      <c r="DQ2">
        <v>2126</v>
      </c>
      <c r="DR2">
        <v>2127</v>
      </c>
      <c r="DS2">
        <v>2128</v>
      </c>
      <c r="DT2">
        <v>2129</v>
      </c>
      <c r="DU2">
        <v>2130</v>
      </c>
      <c r="DV2">
        <v>2131</v>
      </c>
      <c r="DW2">
        <v>2132</v>
      </c>
      <c r="DX2">
        <v>2133</v>
      </c>
      <c r="DY2">
        <v>2134</v>
      </c>
      <c r="DZ2">
        <v>2135</v>
      </c>
      <c r="EA2">
        <v>2136</v>
      </c>
      <c r="EB2">
        <v>2137</v>
      </c>
      <c r="EC2">
        <v>2138</v>
      </c>
      <c r="ED2">
        <v>2139</v>
      </c>
      <c r="EE2">
        <v>2140</v>
      </c>
      <c r="EF2">
        <v>2141</v>
      </c>
      <c r="EG2">
        <v>2142</v>
      </c>
      <c r="EH2">
        <v>2143</v>
      </c>
      <c r="EI2">
        <v>2144</v>
      </c>
      <c r="EJ2">
        <v>2145</v>
      </c>
      <c r="EK2">
        <v>2146</v>
      </c>
      <c r="EL2">
        <v>2147</v>
      </c>
      <c r="EM2">
        <v>2148</v>
      </c>
      <c r="EN2">
        <v>2149</v>
      </c>
      <c r="EO2">
        <v>2150</v>
      </c>
      <c r="EP2">
        <v>2151</v>
      </c>
      <c r="EQ2">
        <v>2152</v>
      </c>
      <c r="ER2">
        <v>2153</v>
      </c>
      <c r="ES2">
        <v>2154</v>
      </c>
      <c r="ET2">
        <v>2155</v>
      </c>
      <c r="EU2">
        <v>2156</v>
      </c>
      <c r="EV2">
        <v>2157</v>
      </c>
      <c r="EW2">
        <v>2158</v>
      </c>
      <c r="EX2">
        <v>2159</v>
      </c>
      <c r="EY2">
        <v>2160</v>
      </c>
      <c r="EZ2">
        <v>2161</v>
      </c>
      <c r="FA2">
        <v>2162</v>
      </c>
      <c r="FB2">
        <v>2163</v>
      </c>
      <c r="FC2">
        <v>2164</v>
      </c>
      <c r="FD2">
        <v>2165</v>
      </c>
      <c r="FE2">
        <v>2166</v>
      </c>
      <c r="FF2">
        <v>2167</v>
      </c>
      <c r="FG2">
        <v>2168</v>
      </c>
      <c r="FH2">
        <v>2169</v>
      </c>
      <c r="FI2">
        <v>2170</v>
      </c>
      <c r="FJ2">
        <v>2171</v>
      </c>
      <c r="FK2">
        <v>2172</v>
      </c>
      <c r="FL2">
        <v>2173</v>
      </c>
      <c r="FM2">
        <v>2174</v>
      </c>
      <c r="FN2">
        <v>2175</v>
      </c>
      <c r="FO2">
        <v>2176</v>
      </c>
      <c r="FP2">
        <v>2177</v>
      </c>
      <c r="FQ2">
        <v>2178</v>
      </c>
      <c r="FR2">
        <v>2179</v>
      </c>
      <c r="FS2">
        <v>2180</v>
      </c>
      <c r="FT2">
        <v>2181</v>
      </c>
      <c r="FU2">
        <v>2182</v>
      </c>
      <c r="FV2">
        <v>2183</v>
      </c>
      <c r="FW2">
        <v>2184</v>
      </c>
      <c r="FX2">
        <v>2185</v>
      </c>
      <c r="FY2">
        <v>2186</v>
      </c>
      <c r="FZ2">
        <v>2187</v>
      </c>
      <c r="GA2">
        <v>2188</v>
      </c>
      <c r="GB2">
        <v>2189</v>
      </c>
      <c r="GC2">
        <v>2190</v>
      </c>
      <c r="GD2">
        <v>2191</v>
      </c>
      <c r="GE2">
        <v>2192</v>
      </c>
      <c r="GF2">
        <v>2193</v>
      </c>
      <c r="GG2">
        <v>2194</v>
      </c>
      <c r="GH2">
        <v>2195</v>
      </c>
      <c r="GI2">
        <v>2196</v>
      </c>
      <c r="GJ2">
        <v>2197</v>
      </c>
      <c r="GK2">
        <v>2198</v>
      </c>
      <c r="GL2">
        <v>2199</v>
      </c>
      <c r="GM2">
        <v>2200</v>
      </c>
      <c r="GN2">
        <v>2201</v>
      </c>
      <c r="GO2">
        <v>2202</v>
      </c>
      <c r="GP2">
        <v>2203</v>
      </c>
      <c r="GQ2">
        <v>2204</v>
      </c>
      <c r="GR2">
        <v>2205</v>
      </c>
      <c r="GS2">
        <v>2206</v>
      </c>
      <c r="GT2">
        <v>2207</v>
      </c>
      <c r="GU2">
        <v>2208</v>
      </c>
      <c r="GV2">
        <v>2209</v>
      </c>
      <c r="GW2">
        <v>2210</v>
      </c>
      <c r="GX2">
        <v>2211</v>
      </c>
      <c r="GY2">
        <v>2212</v>
      </c>
      <c r="GZ2">
        <v>2213</v>
      </c>
      <c r="HA2">
        <v>2214</v>
      </c>
      <c r="HB2">
        <v>2215</v>
      </c>
      <c r="HC2">
        <v>2216</v>
      </c>
      <c r="HD2">
        <v>2217</v>
      </c>
      <c r="HE2">
        <v>2218</v>
      </c>
      <c r="HF2">
        <v>2219</v>
      </c>
      <c r="HG2">
        <v>2220</v>
      </c>
      <c r="HH2">
        <v>2221</v>
      </c>
      <c r="HI2">
        <v>2222</v>
      </c>
      <c r="HJ2">
        <v>2223</v>
      </c>
      <c r="HK2">
        <v>2224</v>
      </c>
      <c r="HL2">
        <v>2225</v>
      </c>
      <c r="HM2">
        <v>2226</v>
      </c>
      <c r="HN2">
        <v>2227</v>
      </c>
      <c r="HO2">
        <v>2228</v>
      </c>
      <c r="HP2">
        <v>2229</v>
      </c>
      <c r="HQ2">
        <v>2230</v>
      </c>
      <c r="HR2">
        <v>2231</v>
      </c>
      <c r="HS2">
        <v>2232</v>
      </c>
      <c r="HT2">
        <v>2233</v>
      </c>
      <c r="HU2">
        <v>2234</v>
      </c>
    </row>
    <row r="3" spans="1:229" x14ac:dyDescent="0.3">
      <c r="B3" t="s">
        <v>17</v>
      </c>
      <c r="C3" s="4">
        <v>2838</v>
      </c>
      <c r="D3" s="4">
        <v>2617</v>
      </c>
      <c r="E3" s="4">
        <v>2907</v>
      </c>
      <c r="F3" s="4">
        <v>2926</v>
      </c>
      <c r="G3" s="4">
        <v>2930</v>
      </c>
      <c r="H3" s="4">
        <v>2561</v>
      </c>
      <c r="I3" s="4">
        <v>2838</v>
      </c>
      <c r="J3" s="4">
        <v>2865</v>
      </c>
      <c r="K3" s="4">
        <v>2650</v>
      </c>
      <c r="L3" s="4">
        <v>2385</v>
      </c>
      <c r="M3" s="4">
        <v>2441</v>
      </c>
      <c r="P3" s="4">
        <v>10832</v>
      </c>
      <c r="Q3" s="4">
        <f>SUM(D3:G3)</f>
        <v>11380</v>
      </c>
      <c r="R3" s="4">
        <v>10763</v>
      </c>
    </row>
    <row r="4" spans="1:229" x14ac:dyDescent="0.3">
      <c r="B4" t="s">
        <v>18</v>
      </c>
      <c r="C4" s="4">
        <v>1958</v>
      </c>
      <c r="D4" s="4">
        <v>1918</v>
      </c>
      <c r="E4" s="4">
        <v>1790</v>
      </c>
      <c r="F4" s="4">
        <v>1795</v>
      </c>
      <c r="G4" s="4">
        <v>1993</v>
      </c>
      <c r="H4" s="4">
        <v>1804</v>
      </c>
      <c r="I4" s="4">
        <v>1831</v>
      </c>
      <c r="J4" s="4">
        <v>1917</v>
      </c>
      <c r="K4" s="4">
        <v>2025</v>
      </c>
      <c r="L4" s="4">
        <v>2087</v>
      </c>
      <c r="M4" s="4">
        <v>2126</v>
      </c>
      <c r="P4" s="4">
        <v>7099</v>
      </c>
      <c r="Q4" s="4">
        <f>SUM(D4:G4)</f>
        <v>7496</v>
      </c>
      <c r="R4" s="4">
        <v>7475</v>
      </c>
    </row>
    <row r="5" spans="1:229" s="5" customFormat="1" x14ac:dyDescent="0.3">
      <c r="B5" s="5" t="s">
        <v>19</v>
      </c>
      <c r="C5" s="5">
        <f>SUM(C3:C4)</f>
        <v>4796</v>
      </c>
      <c r="D5" s="5">
        <f>SUM(D3:D4)</f>
        <v>4535</v>
      </c>
      <c r="E5" s="5">
        <v>4697</v>
      </c>
      <c r="F5" s="5">
        <f t="shared" ref="F5:K5" si="0">SUM(F3:F4)</f>
        <v>4721</v>
      </c>
      <c r="G5" s="5">
        <f t="shared" si="0"/>
        <v>4923</v>
      </c>
      <c r="H5" s="5">
        <f t="shared" si="0"/>
        <v>4365</v>
      </c>
      <c r="I5" s="5">
        <f t="shared" si="0"/>
        <v>4669</v>
      </c>
      <c r="J5" s="5">
        <f t="shared" si="0"/>
        <v>4782</v>
      </c>
      <c r="K5" s="5">
        <f t="shared" si="0"/>
        <v>4675</v>
      </c>
      <c r="L5" s="5">
        <f t="shared" ref="L5:M5" si="1">SUM(L3:L4)</f>
        <v>4472</v>
      </c>
      <c r="M5" s="5">
        <f t="shared" si="1"/>
        <v>4567</v>
      </c>
      <c r="P5" s="5">
        <f>SUM(P3:P4)</f>
        <v>17931</v>
      </c>
      <c r="Q5" s="5">
        <f t="shared" ref="Q5:R5" si="2">SUM(Q3:Q4)</f>
        <v>18876</v>
      </c>
      <c r="R5" s="5">
        <f t="shared" si="2"/>
        <v>18238</v>
      </c>
      <c r="S5" s="5">
        <f>139900*0.14</f>
        <v>19586.000000000004</v>
      </c>
      <c r="T5" s="5">
        <f>148100*0.14</f>
        <v>20734.000000000004</v>
      </c>
      <c r="U5" s="5">
        <f>156700*0.14</f>
        <v>21938.000000000004</v>
      </c>
      <c r="V5" s="5">
        <f>U5*1.06</f>
        <v>23254.280000000006</v>
      </c>
      <c r="W5" s="5">
        <f t="shared" ref="W5:AD5" si="3">V5*1.06</f>
        <v>24649.536800000009</v>
      </c>
      <c r="X5" s="5">
        <f t="shared" si="3"/>
        <v>26128.509008000012</v>
      </c>
      <c r="Y5" s="5">
        <f t="shared" si="3"/>
        <v>27696.219548480014</v>
      </c>
      <c r="Z5" s="5">
        <f t="shared" si="3"/>
        <v>29357.992721388815</v>
      </c>
      <c r="AA5" s="5">
        <f t="shared" si="3"/>
        <v>31119.472284672145</v>
      </c>
      <c r="AB5" s="5">
        <f t="shared" si="3"/>
        <v>32986.640621752478</v>
      </c>
      <c r="AC5" s="5">
        <f t="shared" si="3"/>
        <v>34965.839059057631</v>
      </c>
      <c r="AD5" s="5">
        <f t="shared" si="3"/>
        <v>37063.789402601091</v>
      </c>
      <c r="AE5" s="5">
        <f t="shared" ref="AE5:AK5" si="4">AD5*1.05</f>
        <v>38916.978872731146</v>
      </c>
      <c r="AF5" s="5">
        <f t="shared" si="4"/>
        <v>40862.827816367702</v>
      </c>
      <c r="AG5" s="5">
        <f t="shared" si="4"/>
        <v>42905.969207186092</v>
      </c>
      <c r="AH5" s="5">
        <f t="shared" si="4"/>
        <v>45051.267667545399</v>
      </c>
      <c r="AI5" s="5">
        <f t="shared" si="4"/>
        <v>47303.831050922672</v>
      </c>
      <c r="AJ5" s="5">
        <f t="shared" si="4"/>
        <v>49669.022603468809</v>
      </c>
      <c r="AK5" s="5">
        <f t="shared" si="4"/>
        <v>52152.473733642255</v>
      </c>
      <c r="AL5" s="5">
        <f>AK5*1.02</f>
        <v>53195.523208315099</v>
      </c>
      <c r="AM5" s="5">
        <f t="shared" ref="AM5:AW5" si="5">AL5*1.02</f>
        <v>54259.433672481398</v>
      </c>
      <c r="AN5" s="5">
        <f t="shared" si="5"/>
        <v>55344.622345931028</v>
      </c>
      <c r="AO5" s="5">
        <f t="shared" si="5"/>
        <v>56451.514792849652</v>
      </c>
      <c r="AP5" s="5">
        <f t="shared" si="5"/>
        <v>57580.545088706647</v>
      </c>
      <c r="AQ5" s="5">
        <f t="shared" si="5"/>
        <v>58732.15599048078</v>
      </c>
      <c r="AR5" s="5">
        <f t="shared" si="5"/>
        <v>59906.799110290398</v>
      </c>
      <c r="AS5" s="5">
        <f t="shared" si="5"/>
        <v>61104.935092496205</v>
      </c>
      <c r="AT5" s="5">
        <f t="shared" si="5"/>
        <v>62327.033794346127</v>
      </c>
      <c r="AU5" s="5">
        <f t="shared" si="5"/>
        <v>63573.574470233048</v>
      </c>
      <c r="AV5" s="5">
        <f t="shared" si="5"/>
        <v>64845.045959637711</v>
      </c>
      <c r="AW5" s="5">
        <f t="shared" si="5"/>
        <v>66141.946878830466</v>
      </c>
      <c r="AX5" s="5">
        <f t="shared" ref="AX5:DI5" si="6">AW5*0.98</f>
        <v>64819.107941253853</v>
      </c>
      <c r="AY5" s="5">
        <f t="shared" si="6"/>
        <v>63522.725782428774</v>
      </c>
      <c r="AZ5" s="5">
        <f t="shared" si="6"/>
        <v>62252.271266780197</v>
      </c>
      <c r="BA5" s="5">
        <f t="shared" si="6"/>
        <v>61007.22584144459</v>
      </c>
      <c r="BB5" s="5">
        <f t="shared" si="6"/>
        <v>59787.081324615698</v>
      </c>
      <c r="BC5" s="5">
        <f t="shared" si="6"/>
        <v>58591.339698123382</v>
      </c>
      <c r="BD5" s="5">
        <f t="shared" si="6"/>
        <v>57419.512904160911</v>
      </c>
      <c r="BE5" s="5">
        <f t="shared" si="6"/>
        <v>56271.122646077689</v>
      </c>
      <c r="BF5" s="5">
        <f t="shared" si="6"/>
        <v>55145.700193156132</v>
      </c>
      <c r="BG5" s="5">
        <f t="shared" si="6"/>
        <v>54042.786189293009</v>
      </c>
      <c r="BH5" s="5">
        <f t="shared" si="6"/>
        <v>52961.930465507146</v>
      </c>
      <c r="BI5" s="5">
        <f t="shared" si="6"/>
        <v>51902.691856197001</v>
      </c>
      <c r="BJ5" s="5">
        <f t="shared" si="6"/>
        <v>50864.638019073063</v>
      </c>
      <c r="BK5" s="5">
        <f t="shared" si="6"/>
        <v>49847.345258691603</v>
      </c>
      <c r="BL5" s="5">
        <f t="shared" si="6"/>
        <v>48850.398353517769</v>
      </c>
      <c r="BM5" s="5">
        <f t="shared" si="6"/>
        <v>47873.390386447412</v>
      </c>
      <c r="BN5" s="5">
        <f t="shared" si="6"/>
        <v>46915.922578718462</v>
      </c>
      <c r="BO5" s="5">
        <f t="shared" si="6"/>
        <v>45977.604127144092</v>
      </c>
      <c r="BP5" s="5">
        <f t="shared" si="6"/>
        <v>45058.052044601209</v>
      </c>
      <c r="BQ5" s="5">
        <f t="shared" si="6"/>
        <v>44156.891003709185</v>
      </c>
      <c r="BR5" s="5">
        <f t="shared" si="6"/>
        <v>43273.753183635003</v>
      </c>
      <c r="BS5" s="5">
        <f t="shared" si="6"/>
        <v>42408.278119962299</v>
      </c>
      <c r="BT5" s="5">
        <f t="shared" si="6"/>
        <v>41560.11255756305</v>
      </c>
      <c r="BU5" s="5">
        <f t="shared" si="6"/>
        <v>40728.910306411788</v>
      </c>
      <c r="BV5" s="5">
        <f t="shared" si="6"/>
        <v>39914.332100283551</v>
      </c>
      <c r="BW5" s="5">
        <f t="shared" si="6"/>
        <v>39116.045458277877</v>
      </c>
      <c r="BX5" s="5">
        <f t="shared" si="6"/>
        <v>38333.724549112318</v>
      </c>
      <c r="BY5" s="5">
        <f t="shared" si="6"/>
        <v>37567.050058130073</v>
      </c>
      <c r="BZ5" s="5">
        <f t="shared" si="6"/>
        <v>36815.709056967469</v>
      </c>
      <c r="CA5" s="5">
        <f t="shared" si="6"/>
        <v>36079.394875828119</v>
      </c>
      <c r="CB5" s="5">
        <f t="shared" si="6"/>
        <v>35357.806978311557</v>
      </c>
      <c r="CC5" s="5">
        <f t="shared" si="6"/>
        <v>34650.650838745329</v>
      </c>
      <c r="CD5" s="5">
        <f t="shared" si="6"/>
        <v>33957.63782197042</v>
      </c>
      <c r="CE5" s="5">
        <f t="shared" si="6"/>
        <v>33278.485065531015</v>
      </c>
      <c r="CF5" s="5">
        <f t="shared" si="6"/>
        <v>32612.915364220393</v>
      </c>
      <c r="CG5" s="5">
        <f t="shared" si="6"/>
        <v>31960.657056935983</v>
      </c>
      <c r="CH5" s="5">
        <f t="shared" si="6"/>
        <v>31321.443915797263</v>
      </c>
      <c r="CI5" s="5">
        <f t="shared" si="6"/>
        <v>30695.015037481317</v>
      </c>
      <c r="CJ5" s="5">
        <f t="shared" si="6"/>
        <v>30081.114736731688</v>
      </c>
      <c r="CK5" s="5">
        <f t="shared" si="6"/>
        <v>29479.492441997052</v>
      </c>
      <c r="CL5" s="5">
        <f t="shared" si="6"/>
        <v>28889.902593157112</v>
      </c>
      <c r="CM5" s="5">
        <f t="shared" si="6"/>
        <v>28312.104541293971</v>
      </c>
      <c r="CN5" s="5">
        <f t="shared" si="6"/>
        <v>27745.862450468092</v>
      </c>
      <c r="CO5" s="5">
        <f t="shared" si="6"/>
        <v>27190.94520145873</v>
      </c>
      <c r="CP5" s="5">
        <f t="shared" si="6"/>
        <v>26647.126297429553</v>
      </c>
      <c r="CQ5" s="5">
        <f t="shared" si="6"/>
        <v>26114.183771480963</v>
      </c>
      <c r="CR5" s="5">
        <f t="shared" si="6"/>
        <v>25591.900096051344</v>
      </c>
      <c r="CS5" s="5">
        <f t="shared" si="6"/>
        <v>25080.062094130317</v>
      </c>
      <c r="CT5" s="5">
        <f t="shared" si="6"/>
        <v>24578.46085224771</v>
      </c>
      <c r="CU5" s="5">
        <f t="shared" si="6"/>
        <v>24086.891635202755</v>
      </c>
      <c r="CV5" s="5">
        <f t="shared" si="6"/>
        <v>23605.153802498698</v>
      </c>
      <c r="CW5" s="5">
        <f t="shared" si="6"/>
        <v>23133.050726448724</v>
      </c>
      <c r="CX5" s="5">
        <f t="shared" si="6"/>
        <v>22670.38971191975</v>
      </c>
      <c r="CY5" s="5">
        <f t="shared" si="6"/>
        <v>22216.981917681354</v>
      </c>
      <c r="CZ5" s="5">
        <f t="shared" si="6"/>
        <v>21772.642279327727</v>
      </c>
      <c r="DA5" s="5">
        <f t="shared" si="6"/>
        <v>21337.189433741172</v>
      </c>
      <c r="DB5" s="5">
        <f t="shared" si="6"/>
        <v>20910.445645066349</v>
      </c>
      <c r="DC5" s="5">
        <f t="shared" si="6"/>
        <v>20492.236732165024</v>
      </c>
      <c r="DD5" s="5">
        <f t="shared" si="6"/>
        <v>20082.391997521721</v>
      </c>
      <c r="DE5" s="5">
        <f t="shared" si="6"/>
        <v>19680.744157571287</v>
      </c>
      <c r="DF5" s="5">
        <f t="shared" si="6"/>
        <v>19287.129274419862</v>
      </c>
      <c r="DG5" s="5">
        <f t="shared" si="6"/>
        <v>18901.386688931463</v>
      </c>
      <c r="DH5" s="5">
        <f t="shared" si="6"/>
        <v>18523.358955152835</v>
      </c>
      <c r="DI5" s="5">
        <f t="shared" si="6"/>
        <v>18152.891776049779</v>
      </c>
      <c r="DJ5" s="5">
        <f t="shared" ref="DJ5:FU5" si="7">DI5*0.98</f>
        <v>17789.833940528784</v>
      </c>
      <c r="DK5" s="5">
        <f t="shared" si="7"/>
        <v>17434.037261718207</v>
      </c>
      <c r="DL5" s="5">
        <f t="shared" si="7"/>
        <v>17085.356516483844</v>
      </c>
      <c r="DM5" s="5">
        <f t="shared" si="7"/>
        <v>16743.649386154168</v>
      </c>
      <c r="DN5" s="5">
        <f t="shared" si="7"/>
        <v>16408.776398431084</v>
      </c>
      <c r="DO5" s="5">
        <f t="shared" si="7"/>
        <v>16080.600870462462</v>
      </c>
      <c r="DP5" s="5">
        <f t="shared" si="7"/>
        <v>15758.988853053212</v>
      </c>
      <c r="DQ5" s="5">
        <f t="shared" si="7"/>
        <v>15443.809075992147</v>
      </c>
      <c r="DR5" s="5">
        <f t="shared" si="7"/>
        <v>15134.932894472304</v>
      </c>
      <c r="DS5" s="5">
        <f t="shared" si="7"/>
        <v>14832.234236582857</v>
      </c>
      <c r="DT5" s="5">
        <f t="shared" si="7"/>
        <v>14535.589551851201</v>
      </c>
      <c r="DU5" s="5">
        <f t="shared" si="7"/>
        <v>14244.877760814177</v>
      </c>
      <c r="DV5" s="5">
        <f t="shared" si="7"/>
        <v>13959.980205597893</v>
      </c>
      <c r="DW5" s="5">
        <f t="shared" si="7"/>
        <v>13680.780601485934</v>
      </c>
      <c r="DX5" s="5">
        <f t="shared" si="7"/>
        <v>13407.164989456216</v>
      </c>
      <c r="DY5" s="5">
        <f t="shared" si="7"/>
        <v>13139.021689667092</v>
      </c>
      <c r="DZ5" s="5">
        <f t="shared" si="7"/>
        <v>12876.241255873751</v>
      </c>
      <c r="EA5" s="5">
        <f t="shared" si="7"/>
        <v>12618.716430756276</v>
      </c>
      <c r="EB5" s="5">
        <f t="shared" si="7"/>
        <v>12366.34210214115</v>
      </c>
      <c r="EC5" s="5">
        <f t="shared" si="7"/>
        <v>12119.015260098327</v>
      </c>
      <c r="ED5" s="5">
        <f t="shared" si="7"/>
        <v>11876.634954896361</v>
      </c>
      <c r="EE5" s="5">
        <f t="shared" si="7"/>
        <v>11639.102255798434</v>
      </c>
      <c r="EF5" s="5">
        <f t="shared" si="7"/>
        <v>11406.320210682465</v>
      </c>
      <c r="EG5" s="5">
        <f t="shared" si="7"/>
        <v>11178.193806468815</v>
      </c>
      <c r="EH5" s="5">
        <f t="shared" si="7"/>
        <v>10954.629930339439</v>
      </c>
      <c r="EI5" s="5">
        <f t="shared" si="7"/>
        <v>10735.53733173265</v>
      </c>
      <c r="EJ5" s="5">
        <f t="shared" si="7"/>
        <v>10520.826585097997</v>
      </c>
      <c r="EK5" s="5">
        <f t="shared" si="7"/>
        <v>10310.410053396037</v>
      </c>
      <c r="EL5" s="5">
        <f t="shared" si="7"/>
        <v>10104.201852328117</v>
      </c>
      <c r="EM5" s="5">
        <f t="shared" si="7"/>
        <v>9902.1178152815537</v>
      </c>
      <c r="EN5" s="5">
        <f t="shared" si="7"/>
        <v>9704.0754589759217</v>
      </c>
      <c r="EO5" s="5">
        <f t="shared" si="7"/>
        <v>9509.9939497964024</v>
      </c>
      <c r="EP5" s="5">
        <f t="shared" si="7"/>
        <v>9319.7940708004735</v>
      </c>
      <c r="EQ5" s="5">
        <f t="shared" si="7"/>
        <v>9133.398189384463</v>
      </c>
      <c r="ER5" s="5">
        <f t="shared" si="7"/>
        <v>8950.7302255967734</v>
      </c>
      <c r="ES5" s="5">
        <f t="shared" si="7"/>
        <v>8771.715621084837</v>
      </c>
      <c r="ET5" s="5">
        <f t="shared" si="7"/>
        <v>8596.2813086631395</v>
      </c>
      <c r="EU5" s="5">
        <f t="shared" si="7"/>
        <v>8424.3556824898769</v>
      </c>
      <c r="EV5" s="5">
        <f t="shared" si="7"/>
        <v>8255.8685688400801</v>
      </c>
      <c r="EW5" s="5">
        <f t="shared" si="7"/>
        <v>8090.751197463278</v>
      </c>
      <c r="EX5" s="5">
        <f t="shared" si="7"/>
        <v>7928.9361735140119</v>
      </c>
      <c r="EY5" s="5">
        <f t="shared" si="7"/>
        <v>7770.3574500437317</v>
      </c>
      <c r="EZ5" s="5">
        <f t="shared" si="7"/>
        <v>7614.9503010428571</v>
      </c>
      <c r="FA5" s="5">
        <f t="shared" si="7"/>
        <v>7462.6512950219994</v>
      </c>
      <c r="FB5" s="5">
        <f t="shared" si="7"/>
        <v>7313.3982691215597</v>
      </c>
      <c r="FC5" s="5">
        <f t="shared" si="7"/>
        <v>7167.1303037391281</v>
      </c>
      <c r="FD5" s="5">
        <f t="shared" si="7"/>
        <v>7023.7876976643456</v>
      </c>
      <c r="FE5" s="5">
        <f t="shared" si="7"/>
        <v>6883.311943711059</v>
      </c>
      <c r="FF5" s="5">
        <f t="shared" si="7"/>
        <v>6745.6457048368375</v>
      </c>
      <c r="FG5" s="5">
        <f t="shared" si="7"/>
        <v>6610.7327907401004</v>
      </c>
      <c r="FH5" s="5">
        <f t="shared" si="7"/>
        <v>6478.518134925298</v>
      </c>
      <c r="FI5" s="5">
        <f t="shared" si="7"/>
        <v>6348.947772226792</v>
      </c>
      <c r="FJ5" s="5">
        <f t="shared" si="7"/>
        <v>6221.968816782256</v>
      </c>
      <c r="FK5" s="5">
        <f t="shared" si="7"/>
        <v>6097.5294404466104</v>
      </c>
      <c r="FL5" s="5">
        <f t="shared" si="7"/>
        <v>5975.5788516376779</v>
      </c>
      <c r="FM5" s="5">
        <f t="shared" si="7"/>
        <v>5856.067274604924</v>
      </c>
      <c r="FN5" s="5">
        <f t="shared" si="7"/>
        <v>5738.9459291128251</v>
      </c>
      <c r="FO5" s="5">
        <f t="shared" si="7"/>
        <v>5624.1670105305684</v>
      </c>
      <c r="FP5" s="5">
        <f t="shared" si="7"/>
        <v>5511.6836703199569</v>
      </c>
      <c r="FQ5" s="5">
        <f t="shared" si="7"/>
        <v>5401.4499969135577</v>
      </c>
      <c r="FR5" s="5">
        <f t="shared" si="7"/>
        <v>5293.4209969752865</v>
      </c>
      <c r="FS5" s="5">
        <f t="shared" si="7"/>
        <v>5187.5525770357808</v>
      </c>
      <c r="FT5" s="5">
        <f t="shared" si="7"/>
        <v>5083.8015254950651</v>
      </c>
      <c r="FU5" s="5">
        <f t="shared" si="7"/>
        <v>4982.1254949851636</v>
      </c>
      <c r="FV5" s="5">
        <f t="shared" ref="FV5:HU5" si="8">FU5*0.98</f>
        <v>4882.4829850854603</v>
      </c>
      <c r="FW5" s="5">
        <f t="shared" si="8"/>
        <v>4784.8333253837509</v>
      </c>
      <c r="FX5" s="5">
        <f t="shared" si="8"/>
        <v>4689.1366588760757</v>
      </c>
      <c r="FY5" s="5">
        <f t="shared" si="8"/>
        <v>4595.3539256985541</v>
      </c>
      <c r="FZ5" s="5">
        <f t="shared" si="8"/>
        <v>4503.446847184583</v>
      </c>
      <c r="GA5" s="5">
        <f t="shared" si="8"/>
        <v>4413.3779102408917</v>
      </c>
      <c r="GB5" s="5">
        <f t="shared" si="8"/>
        <v>4325.1103520360739</v>
      </c>
      <c r="GC5" s="5">
        <f t="shared" si="8"/>
        <v>4238.6081449953526</v>
      </c>
      <c r="GD5" s="5">
        <f t="shared" si="8"/>
        <v>4153.8359820954456</v>
      </c>
      <c r="GE5" s="5">
        <f t="shared" si="8"/>
        <v>4070.7592624535368</v>
      </c>
      <c r="GF5" s="5">
        <f t="shared" si="8"/>
        <v>3989.344077204466</v>
      </c>
      <c r="GG5" s="5">
        <f t="shared" si="8"/>
        <v>3909.5571956603767</v>
      </c>
      <c r="GH5" s="5">
        <f t="shared" si="8"/>
        <v>3831.366051747169</v>
      </c>
      <c r="GI5" s="5">
        <f t="shared" si="8"/>
        <v>3754.7387307122253</v>
      </c>
      <c r="GJ5" s="5">
        <f t="shared" si="8"/>
        <v>3679.6439560979807</v>
      </c>
      <c r="GK5" s="5">
        <f t="shared" si="8"/>
        <v>3606.0510769760208</v>
      </c>
      <c r="GL5" s="5">
        <f t="shared" si="8"/>
        <v>3533.9300554365004</v>
      </c>
      <c r="GM5" s="5">
        <f t="shared" si="8"/>
        <v>3463.2514543277703</v>
      </c>
      <c r="GN5" s="5">
        <f t="shared" si="8"/>
        <v>3393.9864252412149</v>
      </c>
      <c r="GO5" s="5">
        <f t="shared" si="8"/>
        <v>3326.1066967363904</v>
      </c>
      <c r="GP5" s="5">
        <f t="shared" si="8"/>
        <v>3259.5845628016627</v>
      </c>
      <c r="GQ5" s="5">
        <f t="shared" si="8"/>
        <v>3194.3928715456295</v>
      </c>
      <c r="GR5" s="5">
        <f t="shared" si="8"/>
        <v>3130.5050141147167</v>
      </c>
      <c r="GS5" s="5">
        <f t="shared" si="8"/>
        <v>3067.8949138324224</v>
      </c>
      <c r="GT5" s="5">
        <f t="shared" si="8"/>
        <v>3006.5370155557739</v>
      </c>
      <c r="GU5" s="5">
        <f t="shared" si="8"/>
        <v>2946.4062752446584</v>
      </c>
      <c r="GV5" s="5">
        <f t="shared" si="8"/>
        <v>2887.4781497397653</v>
      </c>
      <c r="GW5" s="5">
        <f t="shared" si="8"/>
        <v>2829.72858674497</v>
      </c>
      <c r="GX5" s="5">
        <f t="shared" si="8"/>
        <v>2773.1340150100705</v>
      </c>
      <c r="GY5" s="5">
        <f t="shared" si="8"/>
        <v>2717.6713347098689</v>
      </c>
      <c r="GZ5" s="5">
        <f t="shared" si="8"/>
        <v>2663.3179080156715</v>
      </c>
      <c r="HA5" s="5">
        <f t="shared" si="8"/>
        <v>2610.0515498553582</v>
      </c>
      <c r="HB5" s="5">
        <f t="shared" si="8"/>
        <v>2557.8505188582508</v>
      </c>
      <c r="HC5" s="5">
        <f t="shared" si="8"/>
        <v>2506.6935084810857</v>
      </c>
      <c r="HD5" s="5">
        <f t="shared" si="8"/>
        <v>2456.5596383114639</v>
      </c>
      <c r="HE5" s="5">
        <f t="shared" si="8"/>
        <v>2407.4284455452348</v>
      </c>
      <c r="HF5" s="5">
        <f t="shared" si="8"/>
        <v>2359.2798766343299</v>
      </c>
      <c r="HG5" s="5">
        <f t="shared" si="8"/>
        <v>2312.0942791016432</v>
      </c>
      <c r="HH5" s="5">
        <f t="shared" si="8"/>
        <v>2265.8523935196104</v>
      </c>
      <c r="HI5" s="5">
        <f t="shared" si="8"/>
        <v>2220.535345649218</v>
      </c>
      <c r="HJ5" s="5">
        <f t="shared" si="8"/>
        <v>2176.1246387362335</v>
      </c>
      <c r="HK5" s="5">
        <f t="shared" si="8"/>
        <v>2132.6021459615085</v>
      </c>
      <c r="HL5" s="5">
        <f t="shared" si="8"/>
        <v>2089.9501030422784</v>
      </c>
      <c r="HM5" s="5">
        <f t="shared" si="8"/>
        <v>2048.151100981433</v>
      </c>
      <c r="HN5" s="5">
        <f t="shared" si="8"/>
        <v>2007.1880789618044</v>
      </c>
      <c r="HO5" s="5">
        <f t="shared" si="8"/>
        <v>1967.0443173825684</v>
      </c>
      <c r="HP5" s="5">
        <f t="shared" si="8"/>
        <v>1927.703431034917</v>
      </c>
      <c r="HQ5" s="5">
        <f t="shared" si="8"/>
        <v>1889.1493624142186</v>
      </c>
      <c r="HR5" s="5">
        <f t="shared" si="8"/>
        <v>1851.3663751659342</v>
      </c>
      <c r="HS5" s="5">
        <f t="shared" si="8"/>
        <v>1814.3390476626155</v>
      </c>
      <c r="HT5" s="5">
        <f t="shared" si="8"/>
        <v>1778.052266709363</v>
      </c>
      <c r="HU5" s="5">
        <f t="shared" si="8"/>
        <v>1742.4912213751757</v>
      </c>
    </row>
    <row r="6" spans="1:229" x14ac:dyDescent="0.3">
      <c r="B6" t="s">
        <v>20</v>
      </c>
      <c r="C6" s="4">
        <v>2457</v>
      </c>
      <c r="D6" s="4">
        <v>2206</v>
      </c>
      <c r="E6" s="4">
        <v>2230</v>
      </c>
      <c r="F6" s="4">
        <v>2233</v>
      </c>
      <c r="G6" s="4">
        <v>2453</v>
      </c>
      <c r="H6" s="4">
        <v>2118</v>
      </c>
      <c r="I6" s="4">
        <v>2257</v>
      </c>
      <c r="J6" s="4">
        <v>2337</v>
      </c>
      <c r="K6" s="4">
        <v>2467</v>
      </c>
      <c r="L6" s="4">
        <v>2410</v>
      </c>
      <c r="M6" s="4">
        <v>2563</v>
      </c>
      <c r="P6" s="4">
        <v>9269</v>
      </c>
      <c r="Q6" s="4">
        <f>SUM(D6:G6)</f>
        <v>9122</v>
      </c>
      <c r="R6" s="4">
        <v>9056</v>
      </c>
      <c r="S6" s="4">
        <f>S5-S7</f>
        <v>9793.0000000000018</v>
      </c>
      <c r="T6" s="4">
        <f t="shared" ref="T6:U6" si="9">T5-T7</f>
        <v>10367.000000000002</v>
      </c>
      <c r="U6" s="4">
        <f t="shared" si="9"/>
        <v>10969.000000000002</v>
      </c>
    </row>
    <row r="7" spans="1:229" s="2" customFormat="1" x14ac:dyDescent="0.3">
      <c r="B7" s="2" t="s">
        <v>21</v>
      </c>
      <c r="C7" s="5">
        <f t="shared" ref="C7:K7" si="10">C5-C6</f>
        <v>2339</v>
      </c>
      <c r="D7" s="5">
        <f t="shared" si="10"/>
        <v>2329</v>
      </c>
      <c r="E7" s="5">
        <f t="shared" si="10"/>
        <v>2467</v>
      </c>
      <c r="F7" s="5">
        <f t="shared" si="10"/>
        <v>2488</v>
      </c>
      <c r="G7" s="5">
        <f t="shared" si="10"/>
        <v>2470</v>
      </c>
      <c r="H7" s="5">
        <f t="shared" si="10"/>
        <v>2247</v>
      </c>
      <c r="I7" s="5">
        <f t="shared" si="10"/>
        <v>2412</v>
      </c>
      <c r="J7" s="5">
        <f t="shared" si="10"/>
        <v>2445</v>
      </c>
      <c r="K7" s="5">
        <f t="shared" si="10"/>
        <v>2208</v>
      </c>
      <c r="L7" s="5">
        <f t="shared" ref="L7:M7" si="11">L5-L6</f>
        <v>2062</v>
      </c>
      <c r="M7" s="5">
        <f t="shared" si="11"/>
        <v>2004</v>
      </c>
      <c r="N7" s="5"/>
      <c r="P7" s="5">
        <f>P5-P6</f>
        <v>8662</v>
      </c>
      <c r="Q7" s="5">
        <f t="shared" ref="Q7:R7" si="12">Q5-Q6</f>
        <v>9754</v>
      </c>
      <c r="R7" s="5">
        <f t="shared" si="12"/>
        <v>9182</v>
      </c>
      <c r="S7" s="5">
        <f>S5*S27</f>
        <v>9793.0000000000018</v>
      </c>
      <c r="T7" s="5">
        <f>T5*T27</f>
        <v>10367.000000000002</v>
      </c>
      <c r="U7" s="5">
        <f>U5*U27</f>
        <v>10969.000000000002</v>
      </c>
    </row>
    <row r="8" spans="1:229" x14ac:dyDescent="0.3">
      <c r="B8" t="s">
        <v>22</v>
      </c>
      <c r="C8" s="4">
        <v>853</v>
      </c>
      <c r="D8" s="4">
        <v>814</v>
      </c>
      <c r="E8" s="4">
        <v>869</v>
      </c>
      <c r="F8" s="4">
        <v>792</v>
      </c>
      <c r="G8" s="4">
        <v>825</v>
      </c>
      <c r="H8" s="4">
        <v>745</v>
      </c>
      <c r="I8" s="4">
        <v>784</v>
      </c>
      <c r="J8" s="4">
        <v>836</v>
      </c>
      <c r="K8" s="4">
        <v>915</v>
      </c>
      <c r="L8" s="4">
        <v>815</v>
      </c>
      <c r="M8" s="4">
        <v>832</v>
      </c>
      <c r="P8" s="4">
        <v>2975</v>
      </c>
      <c r="Q8" s="4">
        <f>SUM(D8:G8)</f>
        <v>3300</v>
      </c>
      <c r="R8" s="4">
        <v>3236</v>
      </c>
      <c r="S8" s="4">
        <f>S7*S33</f>
        <v>3500.298914179918</v>
      </c>
      <c r="T8" s="4">
        <f>T7*T33</f>
        <v>3757.2979677630155</v>
      </c>
      <c r="U8" s="4">
        <f>U7*U33</f>
        <v>4030.3250239599224</v>
      </c>
    </row>
    <row r="9" spans="1:229" x14ac:dyDescent="0.3">
      <c r="B9" t="s">
        <v>23</v>
      </c>
      <c r="C9" s="4">
        <v>820</v>
      </c>
      <c r="D9" s="4">
        <v>790</v>
      </c>
      <c r="E9" s="4">
        <v>880</v>
      </c>
      <c r="F9" s="4">
        <v>836</v>
      </c>
      <c r="G9" s="4">
        <v>886</v>
      </c>
      <c r="H9" s="4">
        <v>742</v>
      </c>
      <c r="I9" s="4">
        <v>810</v>
      </c>
      <c r="J9" s="4">
        <v>765</v>
      </c>
      <c r="K9" s="4">
        <v>756</v>
      </c>
      <c r="L9" s="4">
        <v>626</v>
      </c>
      <c r="M9" s="4">
        <v>715</v>
      </c>
      <c r="P9" s="4">
        <v>3380</v>
      </c>
      <c r="Q9" s="4">
        <f>SUM(D9:G9)</f>
        <v>3392</v>
      </c>
      <c r="R9" s="4">
        <v>3032</v>
      </c>
      <c r="S9" s="4">
        <f>S7*S34</f>
        <v>3086.8640938793292</v>
      </c>
      <c r="T9" s="4">
        <f>T7*T34</f>
        <v>3112.2903702896974</v>
      </c>
      <c r="U9" s="4">
        <f>U7*U34</f>
        <v>3128.482562622522</v>
      </c>
    </row>
    <row r="10" spans="1:229" s="2" customFormat="1" x14ac:dyDescent="0.3">
      <c r="B10" s="2" t="s">
        <v>24</v>
      </c>
      <c r="C10" s="5">
        <f t="shared" ref="C10:K10" si="13">C9+C8</f>
        <v>1673</v>
      </c>
      <c r="D10" s="5">
        <f t="shared" si="13"/>
        <v>1604</v>
      </c>
      <c r="E10" s="5">
        <f t="shared" si="13"/>
        <v>1749</v>
      </c>
      <c r="F10" s="5">
        <f t="shared" si="13"/>
        <v>1628</v>
      </c>
      <c r="G10" s="5">
        <f t="shared" si="13"/>
        <v>1711</v>
      </c>
      <c r="H10" s="5">
        <f t="shared" si="13"/>
        <v>1487</v>
      </c>
      <c r="I10" s="5">
        <f t="shared" si="13"/>
        <v>1594</v>
      </c>
      <c r="J10" s="5">
        <f t="shared" si="13"/>
        <v>1601</v>
      </c>
      <c r="K10" s="5">
        <f t="shared" si="13"/>
        <v>1671</v>
      </c>
      <c r="L10" s="5">
        <f t="shared" ref="L10:M10" si="14">L9+L8</f>
        <v>1441</v>
      </c>
      <c r="M10" s="5">
        <f t="shared" si="14"/>
        <v>1547</v>
      </c>
      <c r="N10" s="5"/>
      <c r="P10" s="5">
        <f>P9+P8</f>
        <v>6355</v>
      </c>
      <c r="Q10" s="5">
        <f t="shared" ref="Q10:U10" si="15">Q9+Q8</f>
        <v>6692</v>
      </c>
      <c r="R10" s="5">
        <f t="shared" si="15"/>
        <v>6268</v>
      </c>
      <c r="S10" s="5">
        <f t="shared" si="15"/>
        <v>6587.1630080592477</v>
      </c>
      <c r="T10" s="5">
        <f t="shared" si="15"/>
        <v>6869.588338052713</v>
      </c>
      <c r="U10" s="5">
        <f t="shared" si="15"/>
        <v>7158.8075865824449</v>
      </c>
    </row>
    <row r="11" spans="1:229" s="2" customFormat="1" x14ac:dyDescent="0.3">
      <c r="B11" s="2" t="s">
        <v>25</v>
      </c>
      <c r="C11" s="5">
        <f t="shared" ref="C11:K11" si="16">C7-C10</f>
        <v>666</v>
      </c>
      <c r="D11" s="5">
        <f t="shared" si="16"/>
        <v>725</v>
      </c>
      <c r="E11" s="5">
        <f t="shared" si="16"/>
        <v>718</v>
      </c>
      <c r="F11" s="5">
        <f t="shared" si="16"/>
        <v>860</v>
      </c>
      <c r="G11" s="5">
        <f t="shared" si="16"/>
        <v>759</v>
      </c>
      <c r="H11" s="5">
        <f t="shared" si="16"/>
        <v>760</v>
      </c>
      <c r="I11" s="5">
        <f t="shared" si="16"/>
        <v>818</v>
      </c>
      <c r="J11" s="5">
        <f t="shared" si="16"/>
        <v>844</v>
      </c>
      <c r="K11" s="5">
        <f t="shared" si="16"/>
        <v>537</v>
      </c>
      <c r="L11" s="5">
        <f t="shared" ref="L11:M11" si="17">L7-L10</f>
        <v>621</v>
      </c>
      <c r="M11" s="5">
        <f t="shared" si="17"/>
        <v>457</v>
      </c>
      <c r="N11" s="5"/>
      <c r="P11" s="5">
        <f>P7-P10</f>
        <v>2307</v>
      </c>
      <c r="Q11" s="5">
        <f t="shared" ref="Q11:R11" si="18">Q7-Q10</f>
        <v>3062</v>
      </c>
      <c r="R11" s="5">
        <f t="shared" si="18"/>
        <v>2914</v>
      </c>
      <c r="S11" s="5">
        <f>25800*0.14</f>
        <v>3612.0000000000005</v>
      </c>
      <c r="T11" s="5">
        <f>28500*0.14</f>
        <v>3990.0000000000005</v>
      </c>
      <c r="U11" s="5">
        <f>32400*0.14</f>
        <v>4536</v>
      </c>
    </row>
    <row r="12" spans="1:229" x14ac:dyDescent="0.3">
      <c r="B12" t="s">
        <v>26</v>
      </c>
      <c r="C12" s="4">
        <f>239-107</f>
        <v>132</v>
      </c>
      <c r="D12" s="4">
        <f>279-117</f>
        <v>162</v>
      </c>
      <c r="E12" s="4">
        <f>269-113</f>
        <v>156</v>
      </c>
      <c r="F12" s="4">
        <f>285-117</f>
        <v>168</v>
      </c>
      <c r="G12" s="4">
        <f>291-109</f>
        <v>182</v>
      </c>
      <c r="H12" s="4">
        <f>290-106</f>
        <v>184</v>
      </c>
      <c r="I12" s="4">
        <f>274-102</f>
        <v>172</v>
      </c>
      <c r="J12" s="4">
        <f>267-96</f>
        <v>171</v>
      </c>
      <c r="K12" s="4">
        <f>274-88</f>
        <v>186</v>
      </c>
      <c r="L12" s="4">
        <f>367-110</f>
        <v>257</v>
      </c>
      <c r="M12" s="4">
        <f>273-98</f>
        <v>175</v>
      </c>
      <c r="P12">
        <f>905-422</f>
        <v>483</v>
      </c>
      <c r="Q12" s="4">
        <f>SUM(D12:G12)</f>
        <v>668</v>
      </c>
      <c r="R12" s="4">
        <f>1091-387</f>
        <v>704</v>
      </c>
      <c r="S12" s="4"/>
      <c r="T12" s="4"/>
      <c r="U12" s="4"/>
    </row>
    <row r="13" spans="1:229" x14ac:dyDescent="0.3">
      <c r="B13" t="s">
        <v>27</v>
      </c>
      <c r="C13" s="4">
        <v>-49</v>
      </c>
      <c r="D13" s="4">
        <v>-15</v>
      </c>
      <c r="E13" s="4">
        <v>162</v>
      </c>
      <c r="F13" s="4">
        <v>-4</v>
      </c>
      <c r="G13" s="4">
        <v>-63</v>
      </c>
      <c r="H13" s="4">
        <v>56</v>
      </c>
      <c r="I13" s="4">
        <v>13</v>
      </c>
      <c r="J13" s="4">
        <v>-156</v>
      </c>
      <c r="K13" s="4">
        <v>230</v>
      </c>
      <c r="L13" s="4">
        <v>-29</v>
      </c>
      <c r="M13" s="4">
        <v>-87</v>
      </c>
      <c r="P13" s="4">
        <v>-215</v>
      </c>
      <c r="Q13" s="4">
        <f>SUM(D13:G13)</f>
        <v>80</v>
      </c>
      <c r="R13" s="4">
        <v>147</v>
      </c>
      <c r="S13" s="4"/>
      <c r="T13" s="4"/>
      <c r="U13" s="4"/>
    </row>
    <row r="14" spans="1:229" x14ac:dyDescent="0.3">
      <c r="B14" t="s">
        <v>28</v>
      </c>
      <c r="C14" s="4">
        <v>-76</v>
      </c>
      <c r="D14" s="4">
        <v>-7</v>
      </c>
      <c r="E14" s="4">
        <v>-53</v>
      </c>
      <c r="F14" s="4">
        <v>-55</v>
      </c>
      <c r="G14" s="4">
        <v>-418</v>
      </c>
      <c r="H14" s="4">
        <v>-28</v>
      </c>
      <c r="I14" s="4">
        <v>-16</v>
      </c>
      <c r="J14" s="4">
        <v>5</v>
      </c>
      <c r="K14" s="4">
        <v>-55</v>
      </c>
      <c r="L14" s="4">
        <v>79</v>
      </c>
      <c r="M14" s="4">
        <v>97</v>
      </c>
      <c r="P14" s="4">
        <v>-277</v>
      </c>
      <c r="Q14" s="4">
        <f>SUM(D14:G14)</f>
        <v>-533</v>
      </c>
      <c r="R14" s="4">
        <v>-95</v>
      </c>
      <c r="S14" s="4"/>
      <c r="T14" s="4"/>
      <c r="U14" s="4"/>
    </row>
    <row r="15" spans="1:229" x14ac:dyDescent="0.3">
      <c r="B15" t="s">
        <v>29</v>
      </c>
      <c r="C15" s="4">
        <v>251</v>
      </c>
      <c r="D15" s="4">
        <v>238</v>
      </c>
      <c r="E15" s="4">
        <v>-76</v>
      </c>
      <c r="F15" s="4">
        <v>152</v>
      </c>
      <c r="G15" s="4">
        <v>-57</v>
      </c>
      <c r="H15" s="4">
        <v>-39</v>
      </c>
      <c r="I15" s="4">
        <v>-63</v>
      </c>
      <c r="J15" s="4">
        <v>361</v>
      </c>
      <c r="K15" s="4">
        <v>3</v>
      </c>
      <c r="L15" s="4">
        <v>311</v>
      </c>
      <c r="M15" s="4">
        <v>493</v>
      </c>
      <c r="P15" s="4">
        <v>-832</v>
      </c>
      <c r="Q15" s="4">
        <f>SUM(D15:G15)</f>
        <v>257</v>
      </c>
      <c r="R15" s="4">
        <v>251</v>
      </c>
      <c r="S15" s="4"/>
      <c r="T15" s="4"/>
      <c r="U15" s="4"/>
    </row>
    <row r="16" spans="1:229" s="2" customFormat="1" x14ac:dyDescent="0.3">
      <c r="B16" s="2" t="s">
        <v>30</v>
      </c>
      <c r="C16" s="5">
        <f t="shared" ref="C16:K16" si="19">SUM(C12:C15)</f>
        <v>258</v>
      </c>
      <c r="D16" s="5">
        <f t="shared" si="19"/>
        <v>378</v>
      </c>
      <c r="E16" s="5">
        <f t="shared" si="19"/>
        <v>189</v>
      </c>
      <c r="F16" s="5">
        <f t="shared" si="19"/>
        <v>261</v>
      </c>
      <c r="G16" s="5">
        <f t="shared" si="19"/>
        <v>-356</v>
      </c>
      <c r="H16" s="5">
        <f t="shared" si="19"/>
        <v>173</v>
      </c>
      <c r="I16" s="5">
        <f t="shared" si="19"/>
        <v>106</v>
      </c>
      <c r="J16" s="5">
        <f t="shared" si="19"/>
        <v>381</v>
      </c>
      <c r="K16" s="5">
        <f t="shared" si="19"/>
        <v>364</v>
      </c>
      <c r="L16" s="5">
        <f t="shared" ref="L16:M16" si="20">SUM(L12:L15)</f>
        <v>618</v>
      </c>
      <c r="M16" s="5">
        <f t="shared" si="20"/>
        <v>678</v>
      </c>
      <c r="N16" s="5"/>
      <c r="P16" s="5">
        <f>SUM(P12:P15)</f>
        <v>-841</v>
      </c>
      <c r="Q16" s="5">
        <f t="shared" ref="Q16:R16" si="21">SUM(Q12:Q15)</f>
        <v>472</v>
      </c>
      <c r="R16" s="5">
        <f t="shared" si="21"/>
        <v>1007</v>
      </c>
      <c r="S16" s="5">
        <f>$K$37*0.03</f>
        <v>808.19999999999993</v>
      </c>
      <c r="T16" s="5">
        <f t="shared" ref="T16:U16" si="22">$K$37*0.03</f>
        <v>808.19999999999993</v>
      </c>
      <c r="U16" s="5">
        <f t="shared" si="22"/>
        <v>808.19999999999993</v>
      </c>
    </row>
    <row r="17" spans="2:229" s="2" customFormat="1" x14ac:dyDescent="0.3">
      <c r="B17" s="2" t="s">
        <v>31</v>
      </c>
      <c r="C17" s="5">
        <f t="shared" ref="C17:K17" si="23">C11+C16</f>
        <v>924</v>
      </c>
      <c r="D17" s="5">
        <f t="shared" si="23"/>
        <v>1103</v>
      </c>
      <c r="E17" s="5">
        <f t="shared" si="23"/>
        <v>907</v>
      </c>
      <c r="F17" s="5">
        <f t="shared" si="23"/>
        <v>1121</v>
      </c>
      <c r="G17" s="5">
        <f t="shared" si="23"/>
        <v>403</v>
      </c>
      <c r="H17" s="5">
        <f t="shared" si="23"/>
        <v>933</v>
      </c>
      <c r="I17" s="5">
        <f t="shared" si="23"/>
        <v>924</v>
      </c>
      <c r="J17" s="5">
        <f t="shared" si="23"/>
        <v>1225</v>
      </c>
      <c r="K17" s="5">
        <f t="shared" si="23"/>
        <v>901</v>
      </c>
      <c r="L17" s="5">
        <f t="shared" ref="L17:M17" si="24">L11+L16</f>
        <v>1239</v>
      </c>
      <c r="M17" s="5">
        <f t="shared" si="24"/>
        <v>1135</v>
      </c>
      <c r="N17" s="5"/>
      <c r="P17" s="5">
        <f>P11+P16</f>
        <v>1466</v>
      </c>
      <c r="Q17" s="5">
        <f t="shared" ref="Q17:R17" si="25">Q11+Q16</f>
        <v>3534</v>
      </c>
      <c r="R17" s="5">
        <f t="shared" si="25"/>
        <v>3921</v>
      </c>
      <c r="S17" s="5">
        <f>S11+S16</f>
        <v>4420.2000000000007</v>
      </c>
      <c r="T17" s="5">
        <f t="shared" ref="T17:U17" si="26">T11+T16</f>
        <v>4798.2000000000007</v>
      </c>
      <c r="U17" s="5">
        <f t="shared" si="26"/>
        <v>5344.2</v>
      </c>
    </row>
    <row r="18" spans="2:229" x14ac:dyDescent="0.3">
      <c r="B18" t="s">
        <v>32</v>
      </c>
      <c r="C18" s="4">
        <f>181+25</f>
        <v>206</v>
      </c>
      <c r="D18" s="4">
        <f>174+81</f>
        <v>255</v>
      </c>
      <c r="E18" s="4">
        <f>175+14</f>
        <v>189</v>
      </c>
      <c r="F18" s="4">
        <f>175+30</f>
        <v>205</v>
      </c>
      <c r="G18" s="4">
        <f>-14+51</f>
        <v>37</v>
      </c>
      <c r="H18" s="4">
        <f>122+56</f>
        <v>178</v>
      </c>
      <c r="I18" s="4">
        <f>156+13</f>
        <v>169</v>
      </c>
      <c r="J18" s="4">
        <f>116+21</f>
        <v>137</v>
      </c>
      <c r="K18" s="4">
        <f>222-32</f>
        <v>190</v>
      </c>
      <c r="L18" s="4">
        <v>162</v>
      </c>
      <c r="M18" s="4">
        <v>123</v>
      </c>
      <c r="P18">
        <f>374-4</f>
        <v>370</v>
      </c>
      <c r="Q18" s="4">
        <f>SUM(D18:G18)</f>
        <v>686</v>
      </c>
      <c r="R18" s="4">
        <f>609+57</f>
        <v>666</v>
      </c>
      <c r="S18" s="4">
        <f>S17*0.17</f>
        <v>751.4340000000002</v>
      </c>
      <c r="T18" s="4">
        <f t="shared" ref="T18:U18" si="27">T17*0.17</f>
        <v>815.69400000000019</v>
      </c>
      <c r="U18" s="4">
        <f t="shared" si="27"/>
        <v>908.51400000000001</v>
      </c>
    </row>
    <row r="19" spans="2:229" s="5" customFormat="1" x14ac:dyDescent="0.3">
      <c r="B19" s="5" t="s">
        <v>33</v>
      </c>
      <c r="C19" s="5">
        <f t="shared" ref="C19:K19" si="28">C17-C18</f>
        <v>718</v>
      </c>
      <c r="D19" s="5">
        <f t="shared" si="28"/>
        <v>848</v>
      </c>
      <c r="E19" s="5">
        <f t="shared" si="28"/>
        <v>718</v>
      </c>
      <c r="F19" s="5">
        <f t="shared" si="28"/>
        <v>916</v>
      </c>
      <c r="G19" s="5">
        <f t="shared" si="28"/>
        <v>366</v>
      </c>
      <c r="H19" s="5">
        <f t="shared" si="28"/>
        <v>755</v>
      </c>
      <c r="I19" s="5">
        <f t="shared" si="28"/>
        <v>755</v>
      </c>
      <c r="J19" s="5">
        <f t="shared" si="28"/>
        <v>1088</v>
      </c>
      <c r="K19" s="5">
        <f t="shared" si="28"/>
        <v>711</v>
      </c>
      <c r="L19" s="5">
        <f t="shared" ref="L19:M19" si="29">L17-L18</f>
        <v>1077</v>
      </c>
      <c r="M19" s="5">
        <f t="shared" si="29"/>
        <v>1012</v>
      </c>
      <c r="P19" s="5">
        <f>P17-P18</f>
        <v>1096</v>
      </c>
      <c r="Q19" s="5">
        <f t="shared" ref="Q19:R19" si="30">Q17-Q18</f>
        <v>2848</v>
      </c>
      <c r="R19" s="5">
        <f t="shared" si="30"/>
        <v>3255</v>
      </c>
      <c r="S19" s="5">
        <f>25800*0.14</f>
        <v>3612.0000000000005</v>
      </c>
      <c r="T19" s="5">
        <f>27900*0.14</f>
        <v>3906.0000000000005</v>
      </c>
      <c r="U19" s="5">
        <f>32800*0.14</f>
        <v>4592</v>
      </c>
      <c r="V19" s="5">
        <f>V5*0.25</f>
        <v>5813.5700000000015</v>
      </c>
      <c r="W19" s="5">
        <f t="shared" ref="W19:CH19" si="31">W5*0.25</f>
        <v>6162.3842000000022</v>
      </c>
      <c r="X19" s="5">
        <f t="shared" si="31"/>
        <v>6532.127252000003</v>
      </c>
      <c r="Y19" s="5">
        <f t="shared" si="31"/>
        <v>6924.0548871200035</v>
      </c>
      <c r="Z19" s="5">
        <f t="shared" si="31"/>
        <v>7339.4981803472037</v>
      </c>
      <c r="AA19" s="5">
        <f t="shared" si="31"/>
        <v>7779.8680711680363</v>
      </c>
      <c r="AB19" s="5">
        <f t="shared" si="31"/>
        <v>8246.6601554381195</v>
      </c>
      <c r="AC19" s="5">
        <f t="shared" si="31"/>
        <v>8741.4597647644077</v>
      </c>
      <c r="AD19" s="5">
        <f t="shared" si="31"/>
        <v>9265.9473506502727</v>
      </c>
      <c r="AE19" s="5">
        <f t="shared" si="31"/>
        <v>9729.2447181827865</v>
      </c>
      <c r="AF19" s="5">
        <f t="shared" si="31"/>
        <v>10215.706954091926</v>
      </c>
      <c r="AG19" s="5">
        <f t="shared" si="31"/>
        <v>10726.492301796523</v>
      </c>
      <c r="AH19" s="5">
        <f t="shared" si="31"/>
        <v>11262.81691688635</v>
      </c>
      <c r="AI19" s="5">
        <f t="shared" si="31"/>
        <v>11825.957762730668</v>
      </c>
      <c r="AJ19" s="5">
        <f t="shared" si="31"/>
        <v>12417.255650867202</v>
      </c>
      <c r="AK19" s="5">
        <f t="shared" si="31"/>
        <v>13038.118433410564</v>
      </c>
      <c r="AL19" s="5">
        <f t="shared" si="31"/>
        <v>13298.880802078775</v>
      </c>
      <c r="AM19" s="5">
        <f t="shared" si="31"/>
        <v>13564.85841812035</v>
      </c>
      <c r="AN19" s="5">
        <f t="shared" si="31"/>
        <v>13836.155586482757</v>
      </c>
      <c r="AO19" s="5">
        <f t="shared" si="31"/>
        <v>14112.878698212413</v>
      </c>
      <c r="AP19" s="5">
        <f t="shared" si="31"/>
        <v>14395.136272176662</v>
      </c>
      <c r="AQ19" s="5">
        <f t="shared" si="31"/>
        <v>14683.038997620195</v>
      </c>
      <c r="AR19" s="5">
        <f t="shared" si="31"/>
        <v>14976.699777572599</v>
      </c>
      <c r="AS19" s="5">
        <f t="shared" si="31"/>
        <v>15276.233773124051</v>
      </c>
      <c r="AT19" s="5">
        <f t="shared" si="31"/>
        <v>15581.758448586532</v>
      </c>
      <c r="AU19" s="5">
        <f t="shared" si="31"/>
        <v>15893.393617558262</v>
      </c>
      <c r="AV19" s="5">
        <f t="shared" si="31"/>
        <v>16211.261489909428</v>
      </c>
      <c r="AW19" s="5">
        <f t="shared" si="31"/>
        <v>16535.486719707616</v>
      </c>
      <c r="AX19" s="5">
        <f t="shared" si="31"/>
        <v>16204.776985313463</v>
      </c>
      <c r="AY19" s="5">
        <f t="shared" si="31"/>
        <v>15880.681445607193</v>
      </c>
      <c r="AZ19" s="5">
        <f t="shared" si="31"/>
        <v>15563.067816695049</v>
      </c>
      <c r="BA19" s="5">
        <f t="shared" si="31"/>
        <v>15251.806460361147</v>
      </c>
      <c r="BB19" s="5">
        <f t="shared" si="31"/>
        <v>14946.770331153924</v>
      </c>
      <c r="BC19" s="5">
        <f t="shared" si="31"/>
        <v>14647.834924530845</v>
      </c>
      <c r="BD19" s="5">
        <f t="shared" si="31"/>
        <v>14354.878226040228</v>
      </c>
      <c r="BE19" s="5">
        <f t="shared" si="31"/>
        <v>14067.780661519422</v>
      </c>
      <c r="BF19" s="5">
        <f t="shared" si="31"/>
        <v>13786.425048289033</v>
      </c>
      <c r="BG19" s="5">
        <f t="shared" si="31"/>
        <v>13510.696547323252</v>
      </c>
      <c r="BH19" s="5">
        <f t="shared" si="31"/>
        <v>13240.482616376787</v>
      </c>
      <c r="BI19" s="5">
        <f t="shared" si="31"/>
        <v>12975.67296404925</v>
      </c>
      <c r="BJ19" s="5">
        <f t="shared" si="31"/>
        <v>12716.159504768266</v>
      </c>
      <c r="BK19" s="5">
        <f t="shared" si="31"/>
        <v>12461.836314672901</v>
      </c>
      <c r="BL19" s="5">
        <f t="shared" si="31"/>
        <v>12212.599588379442</v>
      </c>
      <c r="BM19" s="5">
        <f t="shared" si="31"/>
        <v>11968.347596611853</v>
      </c>
      <c r="BN19" s="5">
        <f t="shared" si="31"/>
        <v>11728.980644679616</v>
      </c>
      <c r="BO19" s="5">
        <f t="shared" si="31"/>
        <v>11494.401031786023</v>
      </c>
      <c r="BP19" s="5">
        <f t="shared" si="31"/>
        <v>11264.513011150302</v>
      </c>
      <c r="BQ19" s="5">
        <f t="shared" si="31"/>
        <v>11039.222750927296</v>
      </c>
      <c r="BR19" s="5">
        <f t="shared" si="31"/>
        <v>10818.438295908751</v>
      </c>
      <c r="BS19" s="5">
        <f t="shared" si="31"/>
        <v>10602.069529990575</v>
      </c>
      <c r="BT19" s="5">
        <f t="shared" si="31"/>
        <v>10390.028139390763</v>
      </c>
      <c r="BU19" s="5">
        <f t="shared" si="31"/>
        <v>10182.227576602947</v>
      </c>
      <c r="BV19" s="5">
        <f t="shared" si="31"/>
        <v>9978.5830250708877</v>
      </c>
      <c r="BW19" s="5">
        <f t="shared" si="31"/>
        <v>9779.0113645694692</v>
      </c>
      <c r="BX19" s="5">
        <f t="shared" si="31"/>
        <v>9583.4311372780794</v>
      </c>
      <c r="BY19" s="5">
        <f t="shared" si="31"/>
        <v>9391.7625145325183</v>
      </c>
      <c r="BZ19" s="5">
        <f t="shared" si="31"/>
        <v>9203.9272642418673</v>
      </c>
      <c r="CA19" s="5">
        <f t="shared" si="31"/>
        <v>9019.8487189570296</v>
      </c>
      <c r="CB19" s="5">
        <f t="shared" si="31"/>
        <v>8839.4517445778893</v>
      </c>
      <c r="CC19" s="5">
        <f t="shared" si="31"/>
        <v>8662.6627096863322</v>
      </c>
      <c r="CD19" s="5">
        <f t="shared" si="31"/>
        <v>8489.409455492605</v>
      </c>
      <c r="CE19" s="5">
        <f t="shared" si="31"/>
        <v>8319.6212663827537</v>
      </c>
      <c r="CF19" s="5">
        <f t="shared" si="31"/>
        <v>8153.2288410550982</v>
      </c>
      <c r="CG19" s="5">
        <f t="shared" si="31"/>
        <v>7990.1642642339957</v>
      </c>
      <c r="CH19" s="5">
        <f t="shared" si="31"/>
        <v>7830.3609789493157</v>
      </c>
      <c r="CI19" s="5">
        <f t="shared" ref="CI19:ET19" si="32">CI5*0.25</f>
        <v>7673.7537593703291</v>
      </c>
      <c r="CJ19" s="5">
        <f t="shared" si="32"/>
        <v>7520.278684182922</v>
      </c>
      <c r="CK19" s="5">
        <f t="shared" si="32"/>
        <v>7369.873110499263</v>
      </c>
      <c r="CL19" s="5">
        <f t="shared" si="32"/>
        <v>7222.4756482892781</v>
      </c>
      <c r="CM19" s="5">
        <f t="shared" si="32"/>
        <v>7078.0261353234928</v>
      </c>
      <c r="CN19" s="5">
        <f t="shared" si="32"/>
        <v>6936.465612617023</v>
      </c>
      <c r="CO19" s="5">
        <f t="shared" si="32"/>
        <v>6797.7363003646824</v>
      </c>
      <c r="CP19" s="5">
        <f t="shared" si="32"/>
        <v>6661.7815743573883</v>
      </c>
      <c r="CQ19" s="5">
        <f t="shared" si="32"/>
        <v>6528.5459428702407</v>
      </c>
      <c r="CR19" s="5">
        <f t="shared" si="32"/>
        <v>6397.975024012836</v>
      </c>
      <c r="CS19" s="5">
        <f t="shared" si="32"/>
        <v>6270.0155235325792</v>
      </c>
      <c r="CT19" s="5">
        <f t="shared" si="32"/>
        <v>6144.6152130619275</v>
      </c>
      <c r="CU19" s="5">
        <f t="shared" si="32"/>
        <v>6021.7229088006889</v>
      </c>
      <c r="CV19" s="5">
        <f t="shared" si="32"/>
        <v>5901.2884506246746</v>
      </c>
      <c r="CW19" s="5">
        <f t="shared" si="32"/>
        <v>5783.262681612181</v>
      </c>
      <c r="CX19" s="5">
        <f t="shared" si="32"/>
        <v>5667.5974279799375</v>
      </c>
      <c r="CY19" s="5">
        <f t="shared" si="32"/>
        <v>5554.2454794203386</v>
      </c>
      <c r="CZ19" s="5">
        <f t="shared" si="32"/>
        <v>5443.1605698319318</v>
      </c>
      <c r="DA19" s="5">
        <f t="shared" si="32"/>
        <v>5334.2973584352931</v>
      </c>
      <c r="DB19" s="5">
        <f t="shared" si="32"/>
        <v>5227.6114112665873</v>
      </c>
      <c r="DC19" s="5">
        <f t="shared" si="32"/>
        <v>5123.0591830412559</v>
      </c>
      <c r="DD19" s="5">
        <f t="shared" si="32"/>
        <v>5020.5979993804303</v>
      </c>
      <c r="DE19" s="5">
        <f t="shared" si="32"/>
        <v>4920.1860393928218</v>
      </c>
      <c r="DF19" s="5">
        <f t="shared" si="32"/>
        <v>4821.7823186049654</v>
      </c>
      <c r="DG19" s="5">
        <f t="shared" si="32"/>
        <v>4725.3466722328658</v>
      </c>
      <c r="DH19" s="5">
        <f t="shared" si="32"/>
        <v>4630.8397387882087</v>
      </c>
      <c r="DI19" s="5">
        <f t="shared" si="32"/>
        <v>4538.2229440124447</v>
      </c>
      <c r="DJ19" s="5">
        <f t="shared" si="32"/>
        <v>4447.4584851321961</v>
      </c>
      <c r="DK19" s="5">
        <f t="shared" si="32"/>
        <v>4358.5093154295519</v>
      </c>
      <c r="DL19" s="5">
        <f t="shared" si="32"/>
        <v>4271.3391291209609</v>
      </c>
      <c r="DM19" s="5">
        <f t="shared" si="32"/>
        <v>4185.9123465385419</v>
      </c>
      <c r="DN19" s="5">
        <f t="shared" si="32"/>
        <v>4102.194099607771</v>
      </c>
      <c r="DO19" s="5">
        <f t="shared" si="32"/>
        <v>4020.1502176156155</v>
      </c>
      <c r="DP19" s="5">
        <f t="shared" si="32"/>
        <v>3939.7472132633029</v>
      </c>
      <c r="DQ19" s="5">
        <f t="shared" si="32"/>
        <v>3860.9522689980367</v>
      </c>
      <c r="DR19" s="5">
        <f t="shared" si="32"/>
        <v>3783.733223618076</v>
      </c>
      <c r="DS19" s="5">
        <f t="shared" si="32"/>
        <v>3708.0585591457143</v>
      </c>
      <c r="DT19" s="5">
        <f t="shared" si="32"/>
        <v>3633.8973879628002</v>
      </c>
      <c r="DU19" s="5">
        <f t="shared" si="32"/>
        <v>3561.2194402035443</v>
      </c>
      <c r="DV19" s="5">
        <f t="shared" si="32"/>
        <v>3489.9950513994731</v>
      </c>
      <c r="DW19" s="5">
        <f t="shared" si="32"/>
        <v>3420.1951503714836</v>
      </c>
      <c r="DX19" s="5">
        <f t="shared" si="32"/>
        <v>3351.791247364054</v>
      </c>
      <c r="DY19" s="5">
        <f t="shared" si="32"/>
        <v>3284.7554224167729</v>
      </c>
      <c r="DZ19" s="5">
        <f t="shared" si="32"/>
        <v>3219.0603139684376</v>
      </c>
      <c r="EA19" s="5">
        <f t="shared" si="32"/>
        <v>3154.679107689069</v>
      </c>
      <c r="EB19" s="5">
        <f t="shared" si="32"/>
        <v>3091.5855255352876</v>
      </c>
      <c r="EC19" s="5">
        <f t="shared" si="32"/>
        <v>3029.7538150245819</v>
      </c>
      <c r="ED19" s="5">
        <f t="shared" si="32"/>
        <v>2969.1587387240902</v>
      </c>
      <c r="EE19" s="5">
        <f t="shared" si="32"/>
        <v>2909.7755639496086</v>
      </c>
      <c r="EF19" s="5">
        <f t="shared" si="32"/>
        <v>2851.5800526706162</v>
      </c>
      <c r="EG19" s="5">
        <f t="shared" si="32"/>
        <v>2794.5484516172037</v>
      </c>
      <c r="EH19" s="5">
        <f t="shared" si="32"/>
        <v>2738.6574825848597</v>
      </c>
      <c r="EI19" s="5">
        <f t="shared" si="32"/>
        <v>2683.8843329331626</v>
      </c>
      <c r="EJ19" s="5">
        <f t="shared" si="32"/>
        <v>2630.2066462744992</v>
      </c>
      <c r="EK19" s="5">
        <f t="shared" si="32"/>
        <v>2577.6025133490093</v>
      </c>
      <c r="EL19" s="5">
        <f t="shared" si="32"/>
        <v>2526.0504630820292</v>
      </c>
      <c r="EM19" s="5">
        <f t="shared" si="32"/>
        <v>2475.5294538203884</v>
      </c>
      <c r="EN19" s="5">
        <f t="shared" si="32"/>
        <v>2426.0188647439804</v>
      </c>
      <c r="EO19" s="5">
        <f t="shared" si="32"/>
        <v>2377.4984874491006</v>
      </c>
      <c r="EP19" s="5">
        <f t="shared" si="32"/>
        <v>2329.9485177001184</v>
      </c>
      <c r="EQ19" s="5">
        <f t="shared" si="32"/>
        <v>2283.3495473461157</v>
      </c>
      <c r="ER19" s="5">
        <f t="shared" si="32"/>
        <v>2237.6825563991933</v>
      </c>
      <c r="ES19" s="5">
        <f t="shared" si="32"/>
        <v>2192.9289052712093</v>
      </c>
      <c r="ET19" s="5">
        <f t="shared" si="32"/>
        <v>2149.0703271657849</v>
      </c>
      <c r="EU19" s="5">
        <f t="shared" ref="EU19:HF19" si="33">EU5*0.25</f>
        <v>2106.0889206224692</v>
      </c>
      <c r="EV19" s="5">
        <f t="shared" si="33"/>
        <v>2063.96714221002</v>
      </c>
      <c r="EW19" s="5">
        <f t="shared" si="33"/>
        <v>2022.6877993658195</v>
      </c>
      <c r="EX19" s="5">
        <f t="shared" si="33"/>
        <v>1982.234043378503</v>
      </c>
      <c r="EY19" s="5">
        <f t="shared" si="33"/>
        <v>1942.5893625109329</v>
      </c>
      <c r="EZ19" s="5">
        <f t="shared" si="33"/>
        <v>1903.7375752607143</v>
      </c>
      <c r="FA19" s="5">
        <f t="shared" si="33"/>
        <v>1865.6628237554999</v>
      </c>
      <c r="FB19" s="5">
        <f t="shared" si="33"/>
        <v>1828.3495672803899</v>
      </c>
      <c r="FC19" s="5">
        <f t="shared" si="33"/>
        <v>1791.782575934782</v>
      </c>
      <c r="FD19" s="5">
        <f t="shared" si="33"/>
        <v>1755.9469244160864</v>
      </c>
      <c r="FE19" s="5">
        <f t="shared" si="33"/>
        <v>1720.8279859277648</v>
      </c>
      <c r="FF19" s="5">
        <f t="shared" si="33"/>
        <v>1686.4114262092094</v>
      </c>
      <c r="FG19" s="5">
        <f t="shared" si="33"/>
        <v>1652.6831976850251</v>
      </c>
      <c r="FH19" s="5">
        <f t="shared" si="33"/>
        <v>1619.6295337313245</v>
      </c>
      <c r="FI19" s="5">
        <f t="shared" si="33"/>
        <v>1587.236943056698</v>
      </c>
      <c r="FJ19" s="5">
        <f t="shared" si="33"/>
        <v>1555.492204195564</v>
      </c>
      <c r="FK19" s="5">
        <f t="shared" si="33"/>
        <v>1524.3823601116526</v>
      </c>
      <c r="FL19" s="5">
        <f t="shared" si="33"/>
        <v>1493.8947129094195</v>
      </c>
      <c r="FM19" s="5">
        <f t="shared" si="33"/>
        <v>1464.016818651231</v>
      </c>
      <c r="FN19" s="5">
        <f t="shared" si="33"/>
        <v>1434.7364822782063</v>
      </c>
      <c r="FO19" s="5">
        <f t="shared" si="33"/>
        <v>1406.0417526326421</v>
      </c>
      <c r="FP19" s="5">
        <f t="shared" si="33"/>
        <v>1377.9209175799892</v>
      </c>
      <c r="FQ19" s="5">
        <f t="shared" si="33"/>
        <v>1350.3624992283894</v>
      </c>
      <c r="FR19" s="5">
        <f t="shared" si="33"/>
        <v>1323.3552492438216</v>
      </c>
      <c r="FS19" s="5">
        <f t="shared" si="33"/>
        <v>1296.8881442589452</v>
      </c>
      <c r="FT19" s="5">
        <f t="shared" si="33"/>
        <v>1270.9503813737663</v>
      </c>
      <c r="FU19" s="5">
        <f t="shared" si="33"/>
        <v>1245.5313737462909</v>
      </c>
      <c r="FV19" s="5">
        <f t="shared" si="33"/>
        <v>1220.6207462713651</v>
      </c>
      <c r="FW19" s="5">
        <f t="shared" si="33"/>
        <v>1196.2083313459377</v>
      </c>
      <c r="FX19" s="5">
        <f t="shared" si="33"/>
        <v>1172.2841647190189</v>
      </c>
      <c r="FY19" s="5">
        <f t="shared" si="33"/>
        <v>1148.8384814246385</v>
      </c>
      <c r="FZ19" s="5">
        <f t="shared" si="33"/>
        <v>1125.8617117961458</v>
      </c>
      <c r="GA19" s="5">
        <f t="shared" si="33"/>
        <v>1103.3444775602229</v>
      </c>
      <c r="GB19" s="5">
        <f t="shared" si="33"/>
        <v>1081.2775880090185</v>
      </c>
      <c r="GC19" s="5">
        <f t="shared" si="33"/>
        <v>1059.6520362488382</v>
      </c>
      <c r="GD19" s="5">
        <f t="shared" si="33"/>
        <v>1038.4589955238614</v>
      </c>
      <c r="GE19" s="5">
        <f t="shared" si="33"/>
        <v>1017.6898156133842</v>
      </c>
      <c r="GF19" s="5">
        <f t="shared" si="33"/>
        <v>997.33601930111649</v>
      </c>
      <c r="GG19" s="5">
        <f t="shared" si="33"/>
        <v>977.38929891509417</v>
      </c>
      <c r="GH19" s="5">
        <f t="shared" si="33"/>
        <v>957.84151293679224</v>
      </c>
      <c r="GI19" s="5">
        <f t="shared" si="33"/>
        <v>938.68468267805633</v>
      </c>
      <c r="GJ19" s="5">
        <f t="shared" si="33"/>
        <v>919.91098902449517</v>
      </c>
      <c r="GK19" s="5">
        <f t="shared" si="33"/>
        <v>901.5127692440052</v>
      </c>
      <c r="GL19" s="5">
        <f t="shared" si="33"/>
        <v>883.48251385912511</v>
      </c>
      <c r="GM19" s="5">
        <f t="shared" si="33"/>
        <v>865.81286358194257</v>
      </c>
      <c r="GN19" s="5">
        <f t="shared" si="33"/>
        <v>848.49660631030372</v>
      </c>
      <c r="GO19" s="5">
        <f t="shared" si="33"/>
        <v>831.5266741840976</v>
      </c>
      <c r="GP19" s="5">
        <f t="shared" si="33"/>
        <v>814.89614070041569</v>
      </c>
      <c r="GQ19" s="5">
        <f t="shared" si="33"/>
        <v>798.59821788640738</v>
      </c>
      <c r="GR19" s="5">
        <f t="shared" si="33"/>
        <v>782.62625352867917</v>
      </c>
      <c r="GS19" s="5">
        <f t="shared" si="33"/>
        <v>766.9737284581056</v>
      </c>
      <c r="GT19" s="5">
        <f t="shared" si="33"/>
        <v>751.63425388894348</v>
      </c>
      <c r="GU19" s="5">
        <f t="shared" si="33"/>
        <v>736.60156881116461</v>
      </c>
      <c r="GV19" s="5">
        <f t="shared" si="33"/>
        <v>721.86953743494132</v>
      </c>
      <c r="GW19" s="5">
        <f t="shared" si="33"/>
        <v>707.4321466862425</v>
      </c>
      <c r="GX19" s="5">
        <f t="shared" si="33"/>
        <v>693.28350375251762</v>
      </c>
      <c r="GY19" s="5">
        <f t="shared" si="33"/>
        <v>679.41783367746723</v>
      </c>
      <c r="GZ19" s="5">
        <f t="shared" si="33"/>
        <v>665.82947700391787</v>
      </c>
      <c r="HA19" s="5">
        <f t="shared" si="33"/>
        <v>652.51288746383955</v>
      </c>
      <c r="HB19" s="5">
        <f t="shared" si="33"/>
        <v>639.46262971456269</v>
      </c>
      <c r="HC19" s="5">
        <f t="shared" si="33"/>
        <v>626.67337712027143</v>
      </c>
      <c r="HD19" s="5">
        <f t="shared" si="33"/>
        <v>614.13990957786598</v>
      </c>
      <c r="HE19" s="5">
        <f t="shared" si="33"/>
        <v>601.8571113863087</v>
      </c>
      <c r="HF19" s="5">
        <f t="shared" si="33"/>
        <v>589.81996915858247</v>
      </c>
      <c r="HG19" s="5">
        <f t="shared" ref="HG19:HU19" si="34">HG5*0.25</f>
        <v>578.02356977541081</v>
      </c>
      <c r="HH19" s="5">
        <f t="shared" si="34"/>
        <v>566.46309837990259</v>
      </c>
      <c r="HI19" s="5">
        <f t="shared" si="34"/>
        <v>555.1338364123045</v>
      </c>
      <c r="HJ19" s="5">
        <f t="shared" si="34"/>
        <v>544.03115968405837</v>
      </c>
      <c r="HK19" s="5">
        <f t="shared" si="34"/>
        <v>533.15053649037714</v>
      </c>
      <c r="HL19" s="5">
        <f t="shared" si="34"/>
        <v>522.48752576056961</v>
      </c>
      <c r="HM19" s="5">
        <f t="shared" si="34"/>
        <v>512.03777524535826</v>
      </c>
      <c r="HN19" s="5">
        <f t="shared" si="34"/>
        <v>501.79701974045111</v>
      </c>
      <c r="HO19" s="5">
        <f t="shared" si="34"/>
        <v>491.76107934564209</v>
      </c>
      <c r="HP19" s="5">
        <f t="shared" si="34"/>
        <v>481.92585775872925</v>
      </c>
      <c r="HQ19" s="5">
        <f t="shared" si="34"/>
        <v>472.28734060355464</v>
      </c>
      <c r="HR19" s="5">
        <f t="shared" si="34"/>
        <v>462.84159379148355</v>
      </c>
      <c r="HS19" s="5">
        <f t="shared" si="34"/>
        <v>453.58476191565387</v>
      </c>
      <c r="HT19" s="5">
        <f t="shared" si="34"/>
        <v>444.51306667734076</v>
      </c>
      <c r="HU19" s="5">
        <f t="shared" si="34"/>
        <v>435.62280534379391</v>
      </c>
    </row>
    <row r="20" spans="2:229" x14ac:dyDescent="0.3">
      <c r="B20" t="s">
        <v>2</v>
      </c>
      <c r="C20" s="4">
        <v>2758</v>
      </c>
      <c r="D20" s="4">
        <v>2798</v>
      </c>
      <c r="E20" s="4">
        <v>2804</v>
      </c>
      <c r="F20" s="4">
        <v>2814</v>
      </c>
      <c r="G20" s="4">
        <v>2812</v>
      </c>
      <c r="H20" s="4">
        <v>2804</v>
      </c>
      <c r="I20" s="4">
        <v>2796</v>
      </c>
      <c r="J20" s="4">
        <v>2785</v>
      </c>
      <c r="K20" s="4">
        <v>2775</v>
      </c>
      <c r="L20" s="4">
        <v>2751</v>
      </c>
      <c r="M20" s="4">
        <v>2720</v>
      </c>
      <c r="P20" s="4">
        <v>2782</v>
      </c>
      <c r="Q20" s="4">
        <f>G20</f>
        <v>2812</v>
      </c>
      <c r="R20" s="4">
        <v>2790</v>
      </c>
      <c r="S20" s="4"/>
      <c r="T20" s="4"/>
      <c r="U20" s="4"/>
    </row>
    <row r="21" spans="2:229" x14ac:dyDescent="0.3">
      <c r="B21" s="2" t="s">
        <v>34</v>
      </c>
      <c r="C21" s="3">
        <f t="shared" ref="C21:K21" si="35">C19/C20</f>
        <v>0.26033357505438726</v>
      </c>
      <c r="D21" s="3">
        <f t="shared" si="35"/>
        <v>0.3030736240171551</v>
      </c>
      <c r="E21" s="3">
        <f t="shared" si="35"/>
        <v>0.25606276747503565</v>
      </c>
      <c r="F21" s="3">
        <f t="shared" si="35"/>
        <v>0.32551528073916136</v>
      </c>
      <c r="G21" s="3">
        <f t="shared" si="35"/>
        <v>0.13015647226173541</v>
      </c>
      <c r="H21" s="3">
        <f t="shared" si="35"/>
        <v>0.26925820256776034</v>
      </c>
      <c r="I21" s="3">
        <f t="shared" si="35"/>
        <v>0.27002861230329039</v>
      </c>
      <c r="J21" s="3">
        <f t="shared" si="35"/>
        <v>0.39066427289048472</v>
      </c>
      <c r="K21" s="3">
        <f t="shared" si="35"/>
        <v>0.25621621621621621</v>
      </c>
      <c r="L21" s="3">
        <f t="shared" ref="L21:M21" si="36">L19/L20</f>
        <v>0.39149400218102509</v>
      </c>
      <c r="M21" s="3">
        <f t="shared" si="36"/>
        <v>0.37205882352941178</v>
      </c>
      <c r="P21" s="3">
        <f>P19/P20</f>
        <v>0.393961179007908</v>
      </c>
      <c r="Q21" s="3">
        <f t="shared" ref="Q21:R21" si="37">Q19/Q20</f>
        <v>1.0128022759601707</v>
      </c>
      <c r="R21" s="3">
        <f t="shared" si="37"/>
        <v>1.1666666666666667</v>
      </c>
    </row>
    <row r="22" spans="2:229" x14ac:dyDescent="0.3"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P22" s="3"/>
      <c r="Q22" s="3"/>
      <c r="R22" s="3"/>
    </row>
    <row r="23" spans="2:229" x14ac:dyDescent="0.3">
      <c r="B23" s="2" t="s">
        <v>35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P23" s="3"/>
      <c r="Q23" s="6">
        <f>Q11/P11-1</f>
        <v>0.32726484612050277</v>
      </c>
      <c r="R23" s="6">
        <f t="shared" ref="R23:U23" si="38">R11/Q11-1</f>
        <v>-4.833442194644022E-2</v>
      </c>
      <c r="S23" s="6"/>
      <c r="T23" s="6">
        <f t="shared" si="38"/>
        <v>0.10465116279069764</v>
      </c>
      <c r="U23" s="6">
        <f t="shared" si="38"/>
        <v>0.13684210526315788</v>
      </c>
    </row>
    <row r="24" spans="2:229" x14ac:dyDescent="0.3">
      <c r="B24" s="2" t="s">
        <v>36</v>
      </c>
      <c r="C24" s="3"/>
      <c r="D24" s="3"/>
      <c r="E24" s="3"/>
      <c r="F24" s="3"/>
      <c r="G24" s="6">
        <f t="shared" ref="G24:J24" si="39">G5/C5-1</f>
        <v>2.6480400333611431E-2</v>
      </c>
      <c r="H24" s="6">
        <f t="shared" si="39"/>
        <v>-3.7486218302094865E-2</v>
      </c>
      <c r="I24" s="6">
        <f t="shared" si="39"/>
        <v>-5.9612518628912037E-3</v>
      </c>
      <c r="J24" s="6">
        <f t="shared" si="39"/>
        <v>1.2920991315399366E-2</v>
      </c>
      <c r="K24" s="6">
        <f>K5/G5-1</f>
        <v>-5.0375787121673787E-2</v>
      </c>
      <c r="L24" s="6">
        <f>L5/H5-1</f>
        <v>2.4513172966781127E-2</v>
      </c>
      <c r="M24" s="6">
        <f>M5/I5-1</f>
        <v>-2.1846219747269191E-2</v>
      </c>
      <c r="P24" s="3"/>
      <c r="Q24" s="6">
        <f t="shared" ref="Q24" si="40">Q5/P5-1</f>
        <v>5.2702024426970029E-2</v>
      </c>
      <c r="R24" s="6">
        <f>R5/Q5-1</f>
        <v>-3.3799533799533821E-2</v>
      </c>
      <c r="S24" s="6">
        <f t="shared" ref="S24:U24" si="41">S5/R5-1</f>
        <v>7.391161311547334E-2</v>
      </c>
      <c r="T24" s="6">
        <f t="shared" si="41"/>
        <v>5.8613295210864891E-2</v>
      </c>
      <c r="U24" s="6">
        <f t="shared" si="41"/>
        <v>5.8068872383524539E-2</v>
      </c>
      <c r="Y24" t="s">
        <v>37</v>
      </c>
      <c r="Z24" s="6">
        <v>0.02</v>
      </c>
    </row>
    <row r="25" spans="2:229" x14ac:dyDescent="0.3">
      <c r="B25" s="2" t="s">
        <v>38</v>
      </c>
      <c r="C25" s="3"/>
      <c r="D25" s="3"/>
      <c r="E25" s="3"/>
      <c r="F25" s="3"/>
      <c r="G25" s="6"/>
      <c r="H25" s="6"/>
      <c r="I25" s="6"/>
      <c r="J25" s="6"/>
      <c r="K25" s="6"/>
      <c r="L25" s="6"/>
      <c r="M25" s="6"/>
      <c r="P25" s="3"/>
      <c r="Q25" s="6">
        <f>Q19/P19-1</f>
        <v>1.5985401459854014</v>
      </c>
      <c r="R25" s="6">
        <f t="shared" ref="R25:U25" si="42">R19/Q19-1</f>
        <v>0.14290730337078661</v>
      </c>
      <c r="S25" s="6">
        <f t="shared" si="42"/>
        <v>0.10967741935483888</v>
      </c>
      <c r="T25" s="6">
        <f t="shared" si="42"/>
        <v>8.1395348837209225E-2</v>
      </c>
      <c r="U25" s="6">
        <f t="shared" si="42"/>
        <v>0.17562724014336895</v>
      </c>
      <c r="V25" s="6"/>
      <c r="W25" s="6"/>
      <c r="Y25" t="s">
        <v>39</v>
      </c>
      <c r="Z25" s="6">
        <v>7.2900000000000006E-2</v>
      </c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2:229" x14ac:dyDescent="0.3">
      <c r="B26" s="2"/>
      <c r="C26" s="3"/>
      <c r="D26" s="3"/>
      <c r="E26" s="3"/>
      <c r="F26" s="3"/>
      <c r="G26" s="6"/>
      <c r="H26" s="6"/>
      <c r="I26" s="6"/>
      <c r="J26" s="6"/>
      <c r="K26" s="6"/>
      <c r="L26" s="6"/>
      <c r="M26" s="6"/>
      <c r="P26" s="3"/>
      <c r="Q26" s="6"/>
      <c r="R26" s="6"/>
      <c r="S26" s="6"/>
      <c r="T26" s="6"/>
      <c r="U26" s="6"/>
      <c r="Y26" t="s">
        <v>40</v>
      </c>
      <c r="Z26" s="7">
        <f>NPV(Z25,S19:HU19)</f>
        <v>123442.73832783496</v>
      </c>
    </row>
    <row r="27" spans="2:229" x14ac:dyDescent="0.3">
      <c r="B27" s="2" t="s">
        <v>41</v>
      </c>
      <c r="C27" s="6">
        <f t="shared" ref="C27:K27" si="43">C7/C5</f>
        <v>0.48769808173477897</v>
      </c>
      <c r="D27" s="6">
        <f t="shared" si="43"/>
        <v>0.51356119073869899</v>
      </c>
      <c r="E27" s="6">
        <f t="shared" si="43"/>
        <v>0.52522886949116454</v>
      </c>
      <c r="F27" s="6">
        <f t="shared" si="43"/>
        <v>0.52700699004448215</v>
      </c>
      <c r="G27" s="6">
        <f t="shared" si="43"/>
        <v>0.50172658947796056</v>
      </c>
      <c r="H27" s="6">
        <f t="shared" si="43"/>
        <v>0.51477663230240545</v>
      </c>
      <c r="I27" s="6">
        <f t="shared" si="43"/>
        <v>0.51659884343542517</v>
      </c>
      <c r="J27" s="6">
        <f t="shared" si="43"/>
        <v>0.51129234629861986</v>
      </c>
      <c r="K27" s="6">
        <f t="shared" si="43"/>
        <v>0.4722994652406417</v>
      </c>
      <c r="L27" s="6">
        <f t="shared" ref="L27:M27" si="44">L7/L5</f>
        <v>0.4610912343470483</v>
      </c>
      <c r="M27" s="6">
        <f t="shared" si="44"/>
        <v>0.43880008758484784</v>
      </c>
      <c r="P27" s="6">
        <f>P7/P5</f>
        <v>0.48307400591154981</v>
      </c>
      <c r="Q27" s="6">
        <f>Q7/Q5</f>
        <v>0.5167408349226531</v>
      </c>
      <c r="R27" s="6">
        <f>R7/R5</f>
        <v>0.50345432613225138</v>
      </c>
      <c r="S27" s="6">
        <v>0.5</v>
      </c>
      <c r="T27" s="6">
        <v>0.5</v>
      </c>
      <c r="U27" s="6">
        <v>0.5</v>
      </c>
      <c r="Y27" t="s">
        <v>42</v>
      </c>
      <c r="Z27" s="7">
        <f>Z26+K37</f>
        <v>150382.73832783496</v>
      </c>
    </row>
    <row r="28" spans="2:229" x14ac:dyDescent="0.3">
      <c r="B28" s="2" t="s">
        <v>43</v>
      </c>
      <c r="C28" s="6">
        <f t="shared" ref="C28:K28" si="45">C11/C5</f>
        <v>0.13886572143452877</v>
      </c>
      <c r="D28" s="6">
        <f t="shared" si="45"/>
        <v>0.15986769570011025</v>
      </c>
      <c r="E28" s="6">
        <f t="shared" si="45"/>
        <v>0.15286352991271024</v>
      </c>
      <c r="F28" s="6">
        <f t="shared" si="45"/>
        <v>0.18216479559415377</v>
      </c>
      <c r="G28" s="6">
        <f t="shared" si="45"/>
        <v>0.15417428397318708</v>
      </c>
      <c r="H28" s="6">
        <f t="shared" si="45"/>
        <v>0.17411225658648338</v>
      </c>
      <c r="I28" s="6">
        <f t="shared" si="45"/>
        <v>0.17519811522810025</v>
      </c>
      <c r="J28" s="6">
        <f t="shared" si="45"/>
        <v>0.17649519029694688</v>
      </c>
      <c r="K28" s="6">
        <f t="shared" si="45"/>
        <v>0.11486631016042781</v>
      </c>
      <c r="L28" s="6">
        <f t="shared" ref="L28:M28" si="46">L11/L5</f>
        <v>0.13886404293381038</v>
      </c>
      <c r="M28" s="6">
        <f t="shared" si="46"/>
        <v>0.100065688635866</v>
      </c>
      <c r="P28" s="6">
        <f t="shared" ref="P28:U28" si="47">P11/P5</f>
        <v>0.12865986280742847</v>
      </c>
      <c r="Q28" s="6">
        <f t="shared" si="47"/>
        <v>0.16221657130748041</v>
      </c>
      <c r="R28" s="6">
        <f t="shared" si="47"/>
        <v>0.15977629126000659</v>
      </c>
      <c r="S28" s="6">
        <f t="shared" si="47"/>
        <v>0.18441744102930663</v>
      </c>
      <c r="T28" s="6">
        <f t="shared" si="47"/>
        <v>0.19243754220121539</v>
      </c>
      <c r="U28" s="6">
        <f t="shared" si="47"/>
        <v>0.20676451818761962</v>
      </c>
      <c r="Y28" t="s">
        <v>40</v>
      </c>
      <c r="Z28" s="3">
        <f>Z27/R20</f>
        <v>53.900623056571668</v>
      </c>
    </row>
    <row r="29" spans="2:229" x14ac:dyDescent="0.3">
      <c r="B29" s="2" t="s">
        <v>44</v>
      </c>
      <c r="C29" s="6">
        <f t="shared" ref="C29:K29" si="48">C16/C19</f>
        <v>0.35933147632311979</v>
      </c>
      <c r="D29" s="6">
        <f t="shared" si="48"/>
        <v>0.44575471698113206</v>
      </c>
      <c r="E29" s="6">
        <f t="shared" si="48"/>
        <v>0.26323119777158777</v>
      </c>
      <c r="F29" s="6">
        <f t="shared" si="48"/>
        <v>0.28493449781659391</v>
      </c>
      <c r="G29" s="6">
        <f t="shared" si="48"/>
        <v>-0.97267759562841527</v>
      </c>
      <c r="H29" s="6">
        <f t="shared" si="48"/>
        <v>0.22913907284768212</v>
      </c>
      <c r="I29" s="6">
        <f t="shared" si="48"/>
        <v>0.1403973509933775</v>
      </c>
      <c r="J29" s="6">
        <f t="shared" si="48"/>
        <v>0.35018382352941174</v>
      </c>
      <c r="K29" s="6">
        <f t="shared" si="48"/>
        <v>0.51195499296765123</v>
      </c>
      <c r="L29" s="6">
        <f t="shared" ref="L29:M29" si="49">L16/L19</f>
        <v>0.57381615598885793</v>
      </c>
      <c r="M29" s="6">
        <f t="shared" si="49"/>
        <v>0.66996047430830041</v>
      </c>
      <c r="O29" s="6"/>
      <c r="P29" s="6">
        <f>P16/P19</f>
        <v>-0.76733576642335766</v>
      </c>
      <c r="Q29" s="6">
        <f>Q16/Q19</f>
        <v>0.16573033707865167</v>
      </c>
      <c r="R29" s="6">
        <f>R16/R19</f>
        <v>0.30937019969278035</v>
      </c>
      <c r="S29" s="6">
        <f t="shared" ref="S29:U29" si="50">S16/S19</f>
        <v>0.22375415282392022</v>
      </c>
      <c r="T29" s="6">
        <f t="shared" si="50"/>
        <v>0.20691244239631332</v>
      </c>
      <c r="U29" s="6">
        <f t="shared" si="50"/>
        <v>0.17600174216027872</v>
      </c>
    </row>
    <row r="30" spans="2:229" x14ac:dyDescent="0.3">
      <c r="B30" s="2" t="s">
        <v>45</v>
      </c>
      <c r="C30" s="6">
        <f>C16/C11</f>
        <v>0.38738738738738737</v>
      </c>
      <c r="D30" s="6">
        <f t="shared" ref="D30:K30" si="51">D16/D11</f>
        <v>0.52137931034482754</v>
      </c>
      <c r="E30" s="6">
        <f t="shared" si="51"/>
        <v>0.26323119777158777</v>
      </c>
      <c r="F30" s="6">
        <f t="shared" si="51"/>
        <v>0.30348837209302326</v>
      </c>
      <c r="G30" s="6">
        <f t="shared" si="51"/>
        <v>-0.46903820816864294</v>
      </c>
      <c r="H30" s="6">
        <f t="shared" si="51"/>
        <v>0.22763157894736843</v>
      </c>
      <c r="I30" s="6">
        <f t="shared" si="51"/>
        <v>0.1295843520782396</v>
      </c>
      <c r="J30" s="6">
        <f t="shared" si="51"/>
        <v>0.45142180094786732</v>
      </c>
      <c r="K30" s="6">
        <f t="shared" si="51"/>
        <v>0.67783985102420852</v>
      </c>
      <c r="L30" s="6">
        <f t="shared" ref="L30:M30" si="52">L16/L11</f>
        <v>0.99516908212560384</v>
      </c>
      <c r="M30" s="6">
        <f t="shared" si="52"/>
        <v>1.4835886214442013</v>
      </c>
      <c r="P30" s="6">
        <f t="shared" ref="P30:U30" si="53">P16/P11</f>
        <v>-0.36454269614217599</v>
      </c>
      <c r="Q30" s="6">
        <f t="shared" si="53"/>
        <v>0.1541476159372959</v>
      </c>
      <c r="R30" s="6">
        <f t="shared" si="53"/>
        <v>0.34557309540150993</v>
      </c>
      <c r="S30" s="6">
        <f t="shared" si="53"/>
        <v>0.22375415282392022</v>
      </c>
      <c r="T30" s="6">
        <f t="shared" si="53"/>
        <v>0.20255639097744357</v>
      </c>
      <c r="U30" s="6">
        <f t="shared" si="53"/>
        <v>0.17817460317460315</v>
      </c>
    </row>
    <row r="31" spans="2:229" x14ac:dyDescent="0.3">
      <c r="C31"/>
    </row>
    <row r="32" spans="2:229" x14ac:dyDescent="0.3">
      <c r="B32" s="2" t="s">
        <v>46</v>
      </c>
      <c r="C32" s="6">
        <f t="shared" ref="C32:K32" si="54">C18/C17</f>
        <v>0.22294372294372294</v>
      </c>
      <c r="D32" s="6">
        <f t="shared" si="54"/>
        <v>0.23118766999093382</v>
      </c>
      <c r="E32" s="6">
        <f t="shared" si="54"/>
        <v>0.20837927232635062</v>
      </c>
      <c r="F32" s="6">
        <f t="shared" si="54"/>
        <v>0.18287243532560213</v>
      </c>
      <c r="G32" s="6">
        <f t="shared" si="54"/>
        <v>9.1811414392059559E-2</v>
      </c>
      <c r="H32" s="6">
        <f t="shared" si="54"/>
        <v>0.19078242229367631</v>
      </c>
      <c r="I32" s="6">
        <f t="shared" si="54"/>
        <v>0.1829004329004329</v>
      </c>
      <c r="J32" s="6">
        <f t="shared" si="54"/>
        <v>0.11183673469387755</v>
      </c>
      <c r="K32" s="6">
        <f t="shared" si="54"/>
        <v>0.21087680355160932</v>
      </c>
      <c r="L32" s="6">
        <f t="shared" ref="L32:M32" si="55">L18/L17</f>
        <v>0.13075060532687652</v>
      </c>
      <c r="M32" s="6">
        <f t="shared" si="55"/>
        <v>0.10837004405286343</v>
      </c>
      <c r="P32" s="6">
        <f>P18/P17</f>
        <v>0.252387448840382</v>
      </c>
      <c r="Q32" s="6">
        <f>Q18/Q17</f>
        <v>0.19411431805319751</v>
      </c>
      <c r="R32" s="6">
        <f>R18/R17</f>
        <v>0.16985462892119357</v>
      </c>
      <c r="S32" s="6">
        <f t="shared" ref="S32:U32" si="56">S18/S17</f>
        <v>0.17</v>
      </c>
      <c r="T32" s="6">
        <f t="shared" si="56"/>
        <v>0.17</v>
      </c>
      <c r="U32" s="6">
        <f t="shared" si="56"/>
        <v>0.17</v>
      </c>
    </row>
    <row r="33" spans="2:21" x14ac:dyDescent="0.3">
      <c r="B33" s="2" t="s">
        <v>47</v>
      </c>
      <c r="C33" s="6">
        <f t="shared" ref="C33:K33" si="57">C8/C7</f>
        <v>0.36468576314664386</v>
      </c>
      <c r="D33" s="6">
        <f t="shared" si="57"/>
        <v>0.34950622584800345</v>
      </c>
      <c r="E33" s="6">
        <f t="shared" si="57"/>
        <v>0.35224969598702877</v>
      </c>
      <c r="F33" s="6">
        <f t="shared" si="57"/>
        <v>0.31832797427652731</v>
      </c>
      <c r="G33" s="6">
        <f t="shared" si="57"/>
        <v>0.33400809716599189</v>
      </c>
      <c r="H33" s="6">
        <f t="shared" si="57"/>
        <v>0.33155318202047174</v>
      </c>
      <c r="I33" s="6">
        <f t="shared" si="57"/>
        <v>0.3250414593698176</v>
      </c>
      <c r="J33" s="6">
        <f t="shared" si="57"/>
        <v>0.34192229038854804</v>
      </c>
      <c r="K33" s="6">
        <f t="shared" si="57"/>
        <v>0.41440217391304346</v>
      </c>
      <c r="L33" s="6">
        <f t="shared" ref="L33:M33" si="58">L8/L7</f>
        <v>0.39524733268671192</v>
      </c>
      <c r="M33" s="6">
        <f t="shared" si="58"/>
        <v>0.41516966067864269</v>
      </c>
      <c r="P33" s="6">
        <f>P8/P7</f>
        <v>0.34345416762872316</v>
      </c>
      <c r="Q33" s="6">
        <f>Q8/Q7</f>
        <v>0.33832273938896862</v>
      </c>
      <c r="R33" s="6">
        <f>R8/R7</f>
        <v>0.35242866477891527</v>
      </c>
      <c r="S33" s="6">
        <f>R33+0.005</f>
        <v>0.35742866477891527</v>
      </c>
      <c r="T33" s="6">
        <f t="shared" ref="T33:U33" si="59">S33+0.005</f>
        <v>0.36242866477891528</v>
      </c>
      <c r="U33" s="6">
        <f t="shared" si="59"/>
        <v>0.36742866477891528</v>
      </c>
    </row>
    <row r="34" spans="2:21" x14ac:dyDescent="0.3">
      <c r="B34" s="2" t="s">
        <v>48</v>
      </c>
      <c r="C34" s="6">
        <f t="shared" ref="C34:K34" si="60">C9/C7</f>
        <v>0.35057716973065411</v>
      </c>
      <c r="D34" s="6">
        <f t="shared" si="60"/>
        <v>0.33920137398024902</v>
      </c>
      <c r="E34" s="6">
        <f t="shared" si="60"/>
        <v>0.35670855289825698</v>
      </c>
      <c r="F34" s="6">
        <f t="shared" si="60"/>
        <v>0.33601286173633438</v>
      </c>
      <c r="G34" s="6">
        <f t="shared" si="60"/>
        <v>0.35870445344129553</v>
      </c>
      <c r="H34" s="6">
        <f t="shared" si="60"/>
        <v>0.33021806853582553</v>
      </c>
      <c r="I34" s="6">
        <f t="shared" si="60"/>
        <v>0.33582089552238809</v>
      </c>
      <c r="J34" s="6">
        <f t="shared" si="60"/>
        <v>0.31288343558282211</v>
      </c>
      <c r="K34" s="6">
        <f t="shared" si="60"/>
        <v>0.34239130434782611</v>
      </c>
      <c r="L34" s="6">
        <f t="shared" ref="L34:M34" si="61">L9/L7</f>
        <v>0.30358874878758485</v>
      </c>
      <c r="M34" s="6">
        <f t="shared" si="61"/>
        <v>0.35678642714570857</v>
      </c>
      <c r="P34" s="6">
        <f>P9/P7</f>
        <v>0.39021011313784343</v>
      </c>
      <c r="Q34" s="6">
        <f>Q9/Q7</f>
        <v>0.34775476727496413</v>
      </c>
      <c r="R34" s="6">
        <f>R9/R7</f>
        <v>0.33021128294489216</v>
      </c>
      <c r="S34" s="6">
        <f>+R34-0.015</f>
        <v>0.31521128294489215</v>
      </c>
      <c r="T34" s="6">
        <f t="shared" ref="T34:U34" si="62">+S34-0.015</f>
        <v>0.30021128294489213</v>
      </c>
      <c r="U34" s="6">
        <f t="shared" si="62"/>
        <v>0.28521128294489212</v>
      </c>
    </row>
    <row r="35" spans="2:21" x14ac:dyDescent="0.3">
      <c r="B35" s="2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P35" s="6"/>
      <c r="Q35" s="6"/>
      <c r="R35" s="6"/>
    </row>
    <row r="36" spans="2:21" x14ac:dyDescent="0.3">
      <c r="B36" s="2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P36" s="6"/>
      <c r="Q36" s="6"/>
      <c r="R36" s="6"/>
    </row>
    <row r="37" spans="2:21" s="2" customFormat="1" x14ac:dyDescent="0.3">
      <c r="B37" s="2" t="s">
        <v>49</v>
      </c>
      <c r="C37" s="5">
        <f t="shared" ref="C37:J37" si="63">C38-C50-C53</f>
        <v>24529</v>
      </c>
      <c r="D37" s="5">
        <f t="shared" si="63"/>
        <v>24743</v>
      </c>
      <c r="E37" s="5">
        <f t="shared" si="63"/>
        <v>0</v>
      </c>
      <c r="F37" s="5">
        <f t="shared" si="63"/>
        <v>0</v>
      </c>
      <c r="G37" s="5">
        <f t="shared" si="63"/>
        <v>26773</v>
      </c>
      <c r="H37" s="5">
        <f t="shared" si="63"/>
        <v>26475</v>
      </c>
      <c r="I37" s="5">
        <f t="shared" si="63"/>
        <v>26762</v>
      </c>
      <c r="J37" s="5">
        <f t="shared" si="63"/>
        <v>28026</v>
      </c>
      <c r="K37" s="5">
        <f>K38-K50-K53</f>
        <v>26940</v>
      </c>
      <c r="L37" s="5">
        <f>L38-L50</f>
        <v>27283</v>
      </c>
      <c r="M37" s="5">
        <f t="shared" ref="M37" si="64">M38-M50</f>
        <v>35558</v>
      </c>
      <c r="N37" s="5"/>
      <c r="P37" s="5">
        <f t="shared" ref="P37:R37" si="65">P38-P50</f>
        <v>33905</v>
      </c>
      <c r="Q37" s="5">
        <f t="shared" si="65"/>
        <v>34092</v>
      </c>
      <c r="R37" s="5">
        <f t="shared" si="65"/>
        <v>33052</v>
      </c>
    </row>
    <row r="38" spans="2:21" x14ac:dyDescent="0.3">
      <c r="B38" t="s">
        <v>50</v>
      </c>
      <c r="C38" s="4">
        <f>7707+17520+3426+8017</f>
        <v>36670</v>
      </c>
      <c r="D38" s="4">
        <f>3442+23171+2719+8076</f>
        <v>37408</v>
      </c>
      <c r="E38" s="4"/>
      <c r="F38" s="4"/>
      <c r="G38" s="4">
        <f>3554+23757+6755+3474</f>
        <v>37540</v>
      </c>
      <c r="H38" s="4">
        <f>4213+20744+6502+6289</f>
        <v>37748</v>
      </c>
      <c r="I38" s="4">
        <f>5990+14699+6356+9976</f>
        <v>37021</v>
      </c>
      <c r="J38" s="4">
        <f>4087+14838+12618+6361</f>
        <v>37904</v>
      </c>
      <c r="K38" s="4">
        <f>3402+14057+5716+13499</f>
        <v>36674</v>
      </c>
      <c r="L38" s="4">
        <f>6780+12756+5990+14636</f>
        <v>40162</v>
      </c>
      <c r="M38" s="4">
        <f>4179+13112+6296+15373</f>
        <v>38960</v>
      </c>
      <c r="P38" s="4">
        <f>7707+17520+3426+8017</f>
        <v>36670</v>
      </c>
      <c r="Q38" s="4">
        <f>3554+23757+6755+3474</f>
        <v>37540</v>
      </c>
      <c r="R38" s="4">
        <f>3402+14057+5716+13499</f>
        <v>36674</v>
      </c>
    </row>
    <row r="39" spans="2:21" x14ac:dyDescent="0.3">
      <c r="B39" t="s">
        <v>51</v>
      </c>
      <c r="C39" s="4">
        <v>1643</v>
      </c>
      <c r="D39" s="4">
        <v>1638</v>
      </c>
      <c r="E39" s="4"/>
      <c r="F39" s="4"/>
      <c r="G39" s="4">
        <v>1620</v>
      </c>
      <c r="H39" s="4">
        <v>1605</v>
      </c>
      <c r="I39" s="4">
        <v>1603</v>
      </c>
      <c r="J39" s="4">
        <v>1662</v>
      </c>
      <c r="K39" s="4">
        <v>1602</v>
      </c>
      <c r="L39" s="4">
        <v>33</v>
      </c>
      <c r="M39" s="4">
        <v>45</v>
      </c>
      <c r="P39" s="4">
        <v>1643</v>
      </c>
      <c r="Q39" s="4">
        <v>1620</v>
      </c>
      <c r="R39" s="4">
        <v>1602</v>
      </c>
    </row>
    <row r="40" spans="2:21" x14ac:dyDescent="0.3">
      <c r="B40" t="s">
        <v>52</v>
      </c>
      <c r="C40" s="4">
        <f>1701+788+9</f>
        <v>2498</v>
      </c>
      <c r="D40" s="4">
        <f>1572+759+14</f>
        <v>2345</v>
      </c>
      <c r="E40" s="4"/>
      <c r="F40" s="4"/>
      <c r="G40" s="4">
        <f>1528+201+27</f>
        <v>1756</v>
      </c>
      <c r="H40" s="4">
        <f>1514+162+40</f>
        <v>1716</v>
      </c>
      <c r="I40" s="4">
        <f>1529+192+29</f>
        <v>1750</v>
      </c>
      <c r="J40" s="4">
        <f>1403+197+17</f>
        <v>1617</v>
      </c>
      <c r="K40" s="4">
        <f>1384+108+19</f>
        <v>1511</v>
      </c>
      <c r="L40" s="4">
        <f>1527+102+37</f>
        <v>1666</v>
      </c>
      <c r="M40" s="4">
        <f>1615+106+17</f>
        <v>1738</v>
      </c>
      <c r="P40" s="4">
        <f>1701+788+9</f>
        <v>2498</v>
      </c>
      <c r="Q40" s="4">
        <f>1528+201+27</f>
        <v>1756</v>
      </c>
      <c r="R40" s="4">
        <f>1384+108+19</f>
        <v>1511</v>
      </c>
    </row>
    <row r="41" spans="2:21" x14ac:dyDescent="0.3">
      <c r="B41" t="s">
        <v>53</v>
      </c>
      <c r="C41" s="4">
        <v>1501</v>
      </c>
      <c r="D41" s="4">
        <v>2793</v>
      </c>
      <c r="E41" s="4"/>
      <c r="F41" s="4"/>
      <c r="G41" s="4">
        <v>1772</v>
      </c>
      <c r="H41" s="4">
        <v>1882</v>
      </c>
      <c r="I41" s="4">
        <v>1756</v>
      </c>
      <c r="J41" s="4">
        <v>2339</v>
      </c>
      <c r="K41" s="4">
        <v>2580</v>
      </c>
      <c r="L41" s="4">
        <v>3032</v>
      </c>
      <c r="M41" s="4">
        <v>2890</v>
      </c>
      <c r="P41" s="4">
        <v>1501</v>
      </c>
      <c r="Q41" s="4">
        <v>1772</v>
      </c>
      <c r="R41" s="4">
        <v>2580</v>
      </c>
    </row>
    <row r="42" spans="2:21" x14ac:dyDescent="0.3">
      <c r="B42" t="s">
        <v>54</v>
      </c>
      <c r="C42" s="4">
        <v>3476</v>
      </c>
      <c r="D42" s="4">
        <v>3345</v>
      </c>
      <c r="E42" s="4"/>
      <c r="F42" s="4"/>
      <c r="G42" s="4">
        <v>3938</v>
      </c>
      <c r="H42" s="4">
        <v>3900</v>
      </c>
      <c r="I42" s="4">
        <v>4012</v>
      </c>
      <c r="J42" s="4">
        <v>4232</v>
      </c>
      <c r="K42" s="4">
        <v>4124</v>
      </c>
      <c r="L42" s="4">
        <v>4229</v>
      </c>
      <c r="M42" s="4">
        <v>4531</v>
      </c>
      <c r="P42" s="4">
        <v>3476</v>
      </c>
      <c r="Q42" s="4">
        <v>3938</v>
      </c>
      <c r="R42" s="4">
        <v>4124</v>
      </c>
    </row>
    <row r="43" spans="2:21" x14ac:dyDescent="0.3">
      <c r="B43" t="s">
        <v>55</v>
      </c>
      <c r="C43" s="4">
        <f>992+1885+182</f>
        <v>3059</v>
      </c>
      <c r="D43" s="4">
        <f>1835+976+172</f>
        <v>2983</v>
      </c>
      <c r="E43" s="4"/>
      <c r="F43" s="4"/>
      <c r="G43" s="4">
        <f>981+1884+124</f>
        <v>2989</v>
      </c>
      <c r="H43" s="4">
        <f>958+1885+121</f>
        <v>2964</v>
      </c>
      <c r="I43" s="4">
        <f>951+1970+112</f>
        <v>3033</v>
      </c>
      <c r="J43" s="4">
        <f>978+2040+107</f>
        <v>3125</v>
      </c>
      <c r="K43" s="4">
        <f>949+2013+106</f>
        <v>3068</v>
      </c>
      <c r="L43" s="4">
        <f>894+1981+357</f>
        <v>3232</v>
      </c>
      <c r="M43" s="4">
        <f>931+2020+456</f>
        <v>3407</v>
      </c>
      <c r="P43" s="4">
        <f>992+1885+182</f>
        <v>3059</v>
      </c>
      <c r="Q43" s="4">
        <f>981+1884+124</f>
        <v>2989</v>
      </c>
      <c r="R43" s="4">
        <f>949+2013+106</f>
        <v>3068</v>
      </c>
    </row>
    <row r="44" spans="2:21" x14ac:dyDescent="0.3">
      <c r="B44" t="s">
        <v>56</v>
      </c>
      <c r="C44" s="4">
        <v>3259</v>
      </c>
      <c r="D44" s="4">
        <v>3289</v>
      </c>
      <c r="E44" s="4"/>
      <c r="F44" s="4"/>
      <c r="G44" s="4">
        <v>3181</v>
      </c>
      <c r="H44" s="4">
        <v>3128</v>
      </c>
      <c r="I44" s="4">
        <v>3108</v>
      </c>
      <c r="J44" s="4">
        <v>3218</v>
      </c>
      <c r="K44" s="4">
        <v>3094</v>
      </c>
      <c r="L44" s="4">
        <v>5187</v>
      </c>
      <c r="M44" s="4">
        <v>5254</v>
      </c>
      <c r="P44" s="4">
        <v>3259</v>
      </c>
      <c r="Q44" s="4">
        <v>3181</v>
      </c>
      <c r="R44" s="4">
        <v>3094</v>
      </c>
    </row>
    <row r="45" spans="2:21" x14ac:dyDescent="0.3">
      <c r="B45" t="s">
        <v>57</v>
      </c>
      <c r="C45" s="4">
        <v>309</v>
      </c>
      <c r="D45" s="4">
        <v>304</v>
      </c>
      <c r="E45" s="4"/>
      <c r="F45" s="4"/>
      <c r="G45" s="4">
        <v>296</v>
      </c>
      <c r="H45" s="4">
        <v>312</v>
      </c>
      <c r="I45" s="4">
        <v>322</v>
      </c>
      <c r="J45" s="4">
        <v>406</v>
      </c>
      <c r="K45" s="4">
        <v>300</v>
      </c>
      <c r="L45" s="4">
        <v>299</v>
      </c>
      <c r="M45" s="4">
        <v>328</v>
      </c>
      <c r="P45" s="4">
        <v>309</v>
      </c>
      <c r="Q45" s="4">
        <v>296</v>
      </c>
      <c r="R45" s="4">
        <v>300</v>
      </c>
    </row>
    <row r="46" spans="2:21" x14ac:dyDescent="0.3">
      <c r="B46" t="s">
        <v>58</v>
      </c>
      <c r="C46" s="4">
        <v>1503</v>
      </c>
      <c r="D46" s="4">
        <v>1483</v>
      </c>
      <c r="E46" s="4"/>
      <c r="F46" s="4"/>
      <c r="G46" s="4">
        <v>1528</v>
      </c>
      <c r="H46" s="4">
        <v>1481</v>
      </c>
      <c r="I46" s="4">
        <v>1503</v>
      </c>
      <c r="J46" s="4">
        <v>1524</v>
      </c>
      <c r="K46" s="4">
        <v>1493</v>
      </c>
      <c r="L46" s="4">
        <v>1544</v>
      </c>
      <c r="M46" s="4">
        <v>1491</v>
      </c>
      <c r="P46" s="4">
        <v>1503</v>
      </c>
      <c r="Q46" s="4">
        <v>1528</v>
      </c>
      <c r="R46" s="4">
        <v>1493</v>
      </c>
    </row>
    <row r="47" spans="2:21" x14ac:dyDescent="0.3">
      <c r="B47" t="s">
        <v>59</v>
      </c>
      <c r="D47" s="4"/>
      <c r="E47" s="4"/>
      <c r="F47" s="4"/>
      <c r="H47" s="4"/>
      <c r="I47" s="4"/>
      <c r="J47" s="4"/>
      <c r="K47" s="4">
        <v>1856</v>
      </c>
      <c r="L47" s="4"/>
      <c r="M47" s="4"/>
      <c r="P47" s="4"/>
      <c r="R47" s="4">
        <v>1856</v>
      </c>
    </row>
    <row r="48" spans="2:21" x14ac:dyDescent="0.3">
      <c r="B48" t="s">
        <v>60</v>
      </c>
      <c r="C48" s="4">
        <v>2768</v>
      </c>
      <c r="D48" s="4">
        <v>2798</v>
      </c>
      <c r="E48" s="4"/>
      <c r="F48" s="4"/>
      <c r="G48" s="4">
        <v>2671</v>
      </c>
      <c r="H48" s="4">
        <v>2699</v>
      </c>
      <c r="I48" s="4">
        <v>3071</v>
      </c>
      <c r="J48" s="4">
        <v>3440</v>
      </c>
      <c r="K48" s="4">
        <v>2304</v>
      </c>
      <c r="L48" s="4">
        <v>3176</v>
      </c>
      <c r="M48" s="4">
        <v>4253</v>
      </c>
      <c r="P48" s="4">
        <v>2768</v>
      </c>
      <c r="Q48" s="4">
        <v>2671</v>
      </c>
      <c r="R48" s="4">
        <v>2304</v>
      </c>
    </row>
    <row r="49" spans="2:18" s="2" customFormat="1" x14ac:dyDescent="0.3">
      <c r="B49" s="2" t="s">
        <v>61</v>
      </c>
      <c r="C49" s="5">
        <f>SUM(C38:C48)</f>
        <v>56686</v>
      </c>
      <c r="D49" s="5">
        <f>SUM(D38:D48)</f>
        <v>58386</v>
      </c>
      <c r="E49" s="5"/>
      <c r="F49" s="5"/>
      <c r="G49" s="5">
        <f>SUM(G38:G48)</f>
        <v>57291</v>
      </c>
      <c r="H49" s="5">
        <f>SUM(H38:H48)</f>
        <v>57435</v>
      </c>
      <c r="I49" s="5">
        <f>SUM(I38:I48)</f>
        <v>57179</v>
      </c>
      <c r="J49" s="5">
        <f>SUM(J38:J48)</f>
        <v>59467</v>
      </c>
      <c r="K49" s="5">
        <f>SUM(K38:K48)</f>
        <v>58606</v>
      </c>
      <c r="L49" s="5">
        <f t="shared" ref="L49:M49" si="66">SUM(L38:L48)</f>
        <v>62560</v>
      </c>
      <c r="M49" s="5">
        <f t="shared" si="66"/>
        <v>62897</v>
      </c>
      <c r="N49" s="5"/>
      <c r="P49" s="5">
        <f>SUM(P38:P48)</f>
        <v>56686</v>
      </c>
      <c r="Q49" s="5">
        <f>SUM(Q38:Q48)</f>
        <v>57291</v>
      </c>
      <c r="R49" s="5">
        <f>SUM(R38:R48)</f>
        <v>58606</v>
      </c>
    </row>
    <row r="50" spans="2:18" x14ac:dyDescent="0.3">
      <c r="B50" t="s">
        <v>5</v>
      </c>
      <c r="C50" s="4">
        <f>775+1990</f>
        <v>2765</v>
      </c>
      <c r="D50" s="4">
        <f>995+1992</f>
        <v>2987</v>
      </c>
      <c r="E50" s="4"/>
      <c r="F50" s="4"/>
      <c r="G50" s="4">
        <f>1445+2003</f>
        <v>3448</v>
      </c>
      <c r="H50" s="4">
        <f>1900+3+2037</f>
        <v>3940</v>
      </c>
      <c r="I50" s="4">
        <f>1722+4+2045</f>
        <v>3771</v>
      </c>
      <c r="J50" s="4">
        <f>1706+2064+5</f>
        <v>3775</v>
      </c>
      <c r="K50" s="4">
        <f>1462+2137+23</f>
        <v>3622</v>
      </c>
      <c r="L50" s="4">
        <f>1064+77+294+1101+2215+7194+934</f>
        <v>12879</v>
      </c>
      <c r="M50" s="4">
        <f>984+2097+321</f>
        <v>3402</v>
      </c>
      <c r="P50" s="4">
        <f>775+1990</f>
        <v>2765</v>
      </c>
      <c r="Q50" s="4">
        <f>1445+2003</f>
        <v>3448</v>
      </c>
      <c r="R50" s="4">
        <f>1462+2137+23</f>
        <v>3622</v>
      </c>
    </row>
    <row r="51" spans="2:18" x14ac:dyDescent="0.3">
      <c r="B51" t="s">
        <v>62</v>
      </c>
      <c r="C51" s="4">
        <f>5512+735+14</f>
        <v>6261</v>
      </c>
      <c r="D51" s="4">
        <f>4957+759+14</f>
        <v>5730</v>
      </c>
      <c r="E51" s="4"/>
      <c r="F51" s="4"/>
      <c r="G51" s="4">
        <f>5312+226+11</f>
        <v>5549</v>
      </c>
      <c r="H51" s="4">
        <f>5089+204+10</f>
        <v>5303</v>
      </c>
      <c r="I51" s="4">
        <f>5227+252+9</f>
        <v>5488</v>
      </c>
      <c r="J51" s="4">
        <f>5557+279+9</f>
        <v>5845</v>
      </c>
      <c r="K51" s="4">
        <f>5677+246+8</f>
        <v>5931</v>
      </c>
      <c r="L51" s="4">
        <f>5342+232+7</f>
        <v>5581</v>
      </c>
      <c r="M51" s="4">
        <f>5334+228+6</f>
        <v>5568</v>
      </c>
      <c r="P51" s="4">
        <f>5512+735+14</f>
        <v>6261</v>
      </c>
      <c r="Q51" s="4">
        <f>5312+226+11</f>
        <v>5549</v>
      </c>
      <c r="R51" s="4">
        <f>5677+246+8</f>
        <v>5931</v>
      </c>
    </row>
    <row r="52" spans="2:18" x14ac:dyDescent="0.3">
      <c r="B52" t="s">
        <v>63</v>
      </c>
      <c r="C52" s="4">
        <f>1902+10+23+48</f>
        <v>1983</v>
      </c>
      <c r="D52" s="4">
        <f>2026+21+17+55</f>
        <v>2119</v>
      </c>
      <c r="E52" s="4"/>
      <c r="F52" s="4"/>
      <c r="G52" s="4">
        <f>2060+43+28+68</f>
        <v>2199</v>
      </c>
      <c r="H52" s="4">
        <f>1889+32+27+70</f>
        <v>2018</v>
      </c>
      <c r="I52" s="4">
        <f>40+1932+39+72</f>
        <v>2083</v>
      </c>
      <c r="J52" s="4">
        <f>2039+43+38+76</f>
        <v>2196</v>
      </c>
      <c r="K52" s="4">
        <f>2003+94+32+80</f>
        <v>2209</v>
      </c>
      <c r="L52" s="4">
        <f>1917+84+26+92</f>
        <v>2119</v>
      </c>
      <c r="M52" s="4">
        <f>68+1835+27+93</f>
        <v>2023</v>
      </c>
      <c r="P52" s="4">
        <f>1902+10+23+48</f>
        <v>1983</v>
      </c>
      <c r="Q52" s="4">
        <f>2060+43+28+68</f>
        <v>2199</v>
      </c>
      <c r="R52" s="4">
        <f>2003+94+32+80</f>
        <v>2209</v>
      </c>
    </row>
    <row r="53" spans="2:18" x14ac:dyDescent="0.3">
      <c r="B53" t="s">
        <v>64</v>
      </c>
      <c r="C53" s="4">
        <f>1204+1001+5784+1387</f>
        <v>9376</v>
      </c>
      <c r="D53" s="4">
        <f>1203+1000+5776+1699</f>
        <v>9678</v>
      </c>
      <c r="E53" s="4"/>
      <c r="F53" s="4"/>
      <c r="G53" s="4">
        <f>395+849+1147+4928</f>
        <v>7319</v>
      </c>
      <c r="H53" s="4">
        <f>395+850+4931+1157</f>
        <v>7333</v>
      </c>
      <c r="I53" s="4">
        <f>1099+398+3834+1157</f>
        <v>6488</v>
      </c>
      <c r="J53" s="4">
        <f>2+1099+1167+3835</f>
        <v>6103</v>
      </c>
      <c r="K53" s="4">
        <f>33+1100+3835+1144</f>
        <v>6112</v>
      </c>
      <c r="L53" s="4"/>
      <c r="M53" s="4">
        <f>207+650+6493+941</f>
        <v>8291</v>
      </c>
      <c r="P53" s="4">
        <f>1204+1001+5784+1387</f>
        <v>9376</v>
      </c>
      <c r="Q53" s="4">
        <f>395+849+1147+4928</f>
        <v>7319</v>
      </c>
      <c r="R53" s="4">
        <f>33+1100+3835+1144</f>
        <v>6112</v>
      </c>
    </row>
    <row r="54" spans="2:18" x14ac:dyDescent="0.3">
      <c r="B54" t="s">
        <v>65</v>
      </c>
      <c r="C54" s="4">
        <f>407+697</f>
        <v>1104</v>
      </c>
      <c r="D54" s="4">
        <f>407+677</f>
        <v>1084</v>
      </c>
      <c r="E54" s="4"/>
      <c r="F54" s="4"/>
      <c r="G54" s="4">
        <f>438+710</f>
        <v>1148</v>
      </c>
      <c r="H54" s="4">
        <f>431+677</f>
        <v>1108</v>
      </c>
      <c r="I54" s="4">
        <f>440+696</f>
        <v>1136</v>
      </c>
      <c r="J54" s="4">
        <f>445+700</f>
        <v>1145</v>
      </c>
      <c r="K54" s="4">
        <f>453+681</f>
        <v>1134</v>
      </c>
      <c r="L54" s="4">
        <f>481+705</f>
        <v>1186</v>
      </c>
      <c r="M54" s="4">
        <f>480+648</f>
        <v>1128</v>
      </c>
      <c r="P54" s="4">
        <f>407+697</f>
        <v>1104</v>
      </c>
      <c r="Q54" s="4">
        <f>438+710</f>
        <v>1148</v>
      </c>
      <c r="R54" s="4">
        <f>453+681</f>
        <v>1134</v>
      </c>
    </row>
    <row r="55" spans="2:18" x14ac:dyDescent="0.3">
      <c r="B55" t="s">
        <v>57</v>
      </c>
      <c r="C55" s="4">
        <v>420</v>
      </c>
      <c r="D55" s="4">
        <v>439</v>
      </c>
      <c r="E55" s="4"/>
      <c r="F55" s="4"/>
      <c r="G55" s="4">
        <v>384</v>
      </c>
      <c r="H55" s="4">
        <v>390</v>
      </c>
      <c r="I55" s="4">
        <v>405</v>
      </c>
      <c r="J55" s="4">
        <v>411</v>
      </c>
      <c r="K55" s="4">
        <v>530</v>
      </c>
      <c r="L55" s="4">
        <v>553</v>
      </c>
      <c r="M55" s="4">
        <v>586</v>
      </c>
      <c r="P55" s="4">
        <v>420</v>
      </c>
      <c r="Q55" s="4">
        <v>384</v>
      </c>
      <c r="R55" s="4">
        <v>530</v>
      </c>
    </row>
    <row r="56" spans="2:18" x14ac:dyDescent="0.3">
      <c r="B56" t="s">
        <v>66</v>
      </c>
      <c r="C56" s="4">
        <v>299</v>
      </c>
      <c r="D56" s="4">
        <v>300</v>
      </c>
      <c r="E56" s="4"/>
      <c r="F56" s="4"/>
      <c r="G56" s="4">
        <v>257</v>
      </c>
      <c r="H56" s="4">
        <v>258</v>
      </c>
      <c r="I56" s="4">
        <v>250</v>
      </c>
      <c r="J56" s="4">
        <v>208</v>
      </c>
      <c r="K56" s="4">
        <v>213</v>
      </c>
      <c r="L56" s="4">
        <v>269</v>
      </c>
      <c r="M56" s="4">
        <v>312</v>
      </c>
      <c r="P56" s="4">
        <v>299</v>
      </c>
      <c r="Q56" s="4">
        <v>257</v>
      </c>
      <c r="R56" s="4">
        <v>213</v>
      </c>
    </row>
    <row r="57" spans="2:18" s="2" customFormat="1" x14ac:dyDescent="0.3">
      <c r="B57" s="2" t="s">
        <v>67</v>
      </c>
      <c r="C57" s="5">
        <f>SUM(C50:C56)</f>
        <v>22208</v>
      </c>
      <c r="D57" s="5">
        <f>SUM(D50:D56)</f>
        <v>22337</v>
      </c>
      <c r="E57" s="5"/>
      <c r="F57" s="5"/>
      <c r="G57" s="5">
        <f>SUM(G50:G56)</f>
        <v>20304</v>
      </c>
      <c r="H57" s="5">
        <f>SUM(H50:H56)</f>
        <v>20350</v>
      </c>
      <c r="I57" s="5">
        <f>SUM(I50:I56)</f>
        <v>19621</v>
      </c>
      <c r="J57" s="5">
        <f>SUM(J50:J56)</f>
        <v>19683</v>
      </c>
      <c r="K57" s="5">
        <f>SUM(K50:K56)</f>
        <v>19751</v>
      </c>
      <c r="L57" s="5">
        <f t="shared" ref="L57:M57" si="67">SUM(L50:L56)</f>
        <v>22587</v>
      </c>
      <c r="M57" s="5">
        <f t="shared" si="67"/>
        <v>21310</v>
      </c>
      <c r="N57" s="5"/>
      <c r="P57" s="5">
        <f>SUM(P50:P56)</f>
        <v>22208</v>
      </c>
      <c r="Q57" s="5">
        <f>SUM(Q50:Q56)</f>
        <v>20304</v>
      </c>
      <c r="R57" s="5">
        <f>SUM(R50:R56)</f>
        <v>19751</v>
      </c>
    </row>
    <row r="58" spans="2:18" x14ac:dyDescent="0.3">
      <c r="B58" t="s">
        <v>68</v>
      </c>
      <c r="C58" s="4">
        <f>1217+33261</f>
        <v>34478</v>
      </c>
      <c r="D58" s="4">
        <f>1268+34781</f>
        <v>36049</v>
      </c>
      <c r="E58" s="4"/>
      <c r="F58" s="4"/>
      <c r="G58" s="4">
        <f>1333+35654</f>
        <v>36987</v>
      </c>
      <c r="H58" s="4">
        <f>1372+35713</f>
        <v>37085</v>
      </c>
      <c r="I58" s="4">
        <f>1391+36167</f>
        <v>37558</v>
      </c>
      <c r="J58" s="4">
        <f>1327+38457</f>
        <v>39784</v>
      </c>
      <c r="K58" s="4">
        <f>37503+1352</f>
        <v>38855</v>
      </c>
      <c r="L58" s="4">
        <f>38586+1387</f>
        <v>39973</v>
      </c>
      <c r="M58" s="4">
        <f>1766+39821</f>
        <v>41587</v>
      </c>
      <c r="P58" s="4">
        <f>1217+33261</f>
        <v>34478</v>
      </c>
      <c r="Q58" s="4">
        <f>1333+35654</f>
        <v>36987</v>
      </c>
      <c r="R58" s="4">
        <f>37503+1352</f>
        <v>38855</v>
      </c>
    </row>
    <row r="59" spans="2:18" s="2" customFormat="1" x14ac:dyDescent="0.3">
      <c r="B59" s="2" t="s">
        <v>69</v>
      </c>
      <c r="C59" s="5">
        <f>C57+C58</f>
        <v>56686</v>
      </c>
      <c r="D59" s="5">
        <f>D57+D58</f>
        <v>58386</v>
      </c>
      <c r="E59" s="5"/>
      <c r="F59" s="5"/>
      <c r="G59" s="5">
        <f>G57+G58</f>
        <v>57291</v>
      </c>
      <c r="H59" s="5">
        <f>H57+H58</f>
        <v>57435</v>
      </c>
      <c r="I59" s="5">
        <f>I57+I58</f>
        <v>57179</v>
      </c>
      <c r="J59" s="5">
        <f>J57+J58</f>
        <v>59467</v>
      </c>
      <c r="K59" s="5">
        <f>K57+K58</f>
        <v>58606</v>
      </c>
      <c r="L59" s="5">
        <f t="shared" ref="L59:M59" si="68">L57+L58</f>
        <v>62560</v>
      </c>
      <c r="M59" s="5">
        <f t="shared" si="68"/>
        <v>62897</v>
      </c>
      <c r="N59" s="5"/>
      <c r="P59" s="5">
        <f>P57+P58</f>
        <v>56686</v>
      </c>
      <c r="Q59" s="5">
        <f>Q57+Q58</f>
        <v>57291</v>
      </c>
      <c r="R59" s="5">
        <f>R57+R58</f>
        <v>58606</v>
      </c>
    </row>
    <row r="61" spans="2:18" x14ac:dyDescent="0.3">
      <c r="B61" s="2" t="s">
        <v>70</v>
      </c>
      <c r="C61" s="4">
        <f t="shared" ref="C61:J61" si="69">C19</f>
        <v>718</v>
      </c>
      <c r="D61" s="4">
        <f t="shared" si="69"/>
        <v>848</v>
      </c>
      <c r="E61" s="4">
        <f t="shared" si="69"/>
        <v>718</v>
      </c>
      <c r="F61" s="4">
        <f t="shared" si="69"/>
        <v>916</v>
      </c>
      <c r="G61" s="4">
        <f t="shared" si="69"/>
        <v>366</v>
      </c>
      <c r="H61" s="4">
        <f t="shared" si="69"/>
        <v>755</v>
      </c>
      <c r="I61" s="4">
        <f t="shared" si="69"/>
        <v>755</v>
      </c>
      <c r="J61" s="4">
        <f t="shared" si="69"/>
        <v>1088</v>
      </c>
      <c r="K61" s="4">
        <f>K19</f>
        <v>711</v>
      </c>
      <c r="L61" s="4">
        <f t="shared" ref="L61:M61" si="70">L19</f>
        <v>1077</v>
      </c>
      <c r="M61" s="4">
        <f t="shared" si="70"/>
        <v>1012</v>
      </c>
    </row>
    <row r="62" spans="2:18" x14ac:dyDescent="0.3">
      <c r="B62" t="s">
        <v>71</v>
      </c>
      <c r="C62" s="4">
        <v>1139</v>
      </c>
      <c r="D62">
        <v>850</v>
      </c>
      <c r="E62">
        <v>1466</v>
      </c>
      <c r="F62">
        <v>1306</v>
      </c>
      <c r="G62">
        <v>1496</v>
      </c>
      <c r="H62">
        <v>861</v>
      </c>
      <c r="I62">
        <v>1153</v>
      </c>
      <c r="J62">
        <v>610</v>
      </c>
      <c r="K62">
        <v>323</v>
      </c>
      <c r="L62">
        <v>-827</v>
      </c>
      <c r="M62">
        <v>-122</v>
      </c>
      <c r="P62">
        <v>3794</v>
      </c>
      <c r="Q62" s="4">
        <f>SUM(D62:G62)</f>
        <v>5118</v>
      </c>
      <c r="R62">
        <f>SUM(H62:K62)</f>
        <v>2947</v>
      </c>
    </row>
    <row r="63" spans="2:18" x14ac:dyDescent="0.3">
      <c r="B63" t="s">
        <v>72</v>
      </c>
      <c r="C63" s="4">
        <v>-772</v>
      </c>
      <c r="D63">
        <v>-4754</v>
      </c>
      <c r="E63">
        <v>950</v>
      </c>
      <c r="F63">
        <v>-1563</v>
      </c>
      <c r="G63">
        <v>-1864</v>
      </c>
      <c r="H63">
        <v>-432</v>
      </c>
      <c r="I63">
        <v>1946</v>
      </c>
      <c r="J63">
        <v>-1990</v>
      </c>
      <c r="K63">
        <v>-772</v>
      </c>
      <c r="L63">
        <v>-166</v>
      </c>
      <c r="M63">
        <v>-1192</v>
      </c>
      <c r="P63">
        <v>-572</v>
      </c>
      <c r="Q63" s="4">
        <f>SUM(D63:G63)</f>
        <v>-7231</v>
      </c>
      <c r="R63">
        <f>SUM(H63:K63)</f>
        <v>-1248</v>
      </c>
    </row>
    <row r="64" spans="2:18" x14ac:dyDescent="0.3">
      <c r="B64" t="s">
        <v>73</v>
      </c>
      <c r="C64" s="4">
        <v>-328</v>
      </c>
      <c r="D64">
        <v>-335</v>
      </c>
      <c r="E64">
        <v>101</v>
      </c>
      <c r="F64">
        <v>-683</v>
      </c>
      <c r="G64">
        <v>-1072</v>
      </c>
      <c r="H64">
        <v>331</v>
      </c>
      <c r="I64">
        <v>-1249</v>
      </c>
      <c r="J64">
        <v>-769</v>
      </c>
      <c r="K64">
        <v>-229</v>
      </c>
      <c r="L64">
        <v>2825</v>
      </c>
      <c r="M64">
        <v>-1278</v>
      </c>
      <c r="P64">
        <v>-926</v>
      </c>
      <c r="Q64" s="4">
        <f>SUM(D64:G64)</f>
        <v>-1989</v>
      </c>
      <c r="R64">
        <f>SUM(H64:K64)</f>
        <v>-1916</v>
      </c>
    </row>
    <row r="65" spans="2:18" s="2" customFormat="1" x14ac:dyDescent="0.3">
      <c r="B65" s="2" t="s">
        <v>74</v>
      </c>
      <c r="C65" s="2">
        <f t="shared" ref="C65:K65" si="71">C62+C63+C64</f>
        <v>39</v>
      </c>
      <c r="D65" s="2">
        <f t="shared" si="71"/>
        <v>-4239</v>
      </c>
      <c r="E65" s="2">
        <f t="shared" si="71"/>
        <v>2517</v>
      </c>
      <c r="F65" s="2">
        <f t="shared" si="71"/>
        <v>-940</v>
      </c>
      <c r="G65" s="2">
        <f t="shared" si="71"/>
        <v>-1440</v>
      </c>
      <c r="H65" s="2">
        <f t="shared" si="71"/>
        <v>760</v>
      </c>
      <c r="I65" s="2">
        <f t="shared" si="71"/>
        <v>1850</v>
      </c>
      <c r="J65" s="2">
        <f t="shared" si="71"/>
        <v>-2149</v>
      </c>
      <c r="K65" s="2">
        <f t="shared" si="71"/>
        <v>-678</v>
      </c>
      <c r="L65" s="2">
        <f t="shared" ref="L65:M65" si="72">L62+L63+L64</f>
        <v>1832</v>
      </c>
      <c r="M65" s="2">
        <f t="shared" si="72"/>
        <v>-2592</v>
      </c>
      <c r="N65" s="5"/>
      <c r="P65" s="2">
        <f>P62+P63+P64</f>
        <v>2296</v>
      </c>
      <c r="Q65" s="2">
        <f>Q62+Q63+Q64</f>
        <v>-4102</v>
      </c>
      <c r="R65" s="2">
        <f>R62+R63+R64</f>
        <v>-217</v>
      </c>
    </row>
    <row r="67" spans="2:18" x14ac:dyDescent="0.3">
      <c r="B67" t="s">
        <v>75</v>
      </c>
      <c r="C67" s="4">
        <v>-280</v>
      </c>
      <c r="D67">
        <v>-189</v>
      </c>
      <c r="E67">
        <v>-373</v>
      </c>
      <c r="F67">
        <v>-484</v>
      </c>
      <c r="G67">
        <v>-516</v>
      </c>
      <c r="H67">
        <v>-282</v>
      </c>
      <c r="I67">
        <v>-291</v>
      </c>
      <c r="J67">
        <v>-234</v>
      </c>
      <c r="K67">
        <v>-320</v>
      </c>
      <c r="L67">
        <v>-399</v>
      </c>
      <c r="M67">
        <v>-531</v>
      </c>
      <c r="P67">
        <v>-1201</v>
      </c>
      <c r="Q67" s="4">
        <f>SUM(D67:G67)</f>
        <v>-1562</v>
      </c>
      <c r="R67">
        <f>SUM(H67:K67)</f>
        <v>-1127</v>
      </c>
    </row>
    <row r="69" spans="2:18" s="2" customFormat="1" x14ac:dyDescent="0.3">
      <c r="B69" s="2" t="s">
        <v>76</v>
      </c>
      <c r="C69" s="2">
        <f t="shared" ref="C69:K69" si="73">C62+C67</f>
        <v>859</v>
      </c>
      <c r="D69" s="2">
        <f t="shared" si="73"/>
        <v>661</v>
      </c>
      <c r="E69" s="2">
        <f t="shared" si="73"/>
        <v>1093</v>
      </c>
      <c r="F69" s="2">
        <f t="shared" si="73"/>
        <v>822</v>
      </c>
      <c r="G69" s="2">
        <f t="shared" si="73"/>
        <v>980</v>
      </c>
      <c r="H69" s="2">
        <f t="shared" si="73"/>
        <v>579</v>
      </c>
      <c r="I69" s="2">
        <f t="shared" si="73"/>
        <v>862</v>
      </c>
      <c r="J69" s="2">
        <f t="shared" si="73"/>
        <v>376</v>
      </c>
      <c r="K69" s="2">
        <f t="shared" si="73"/>
        <v>3</v>
      </c>
      <c r="L69" s="2">
        <f t="shared" ref="L69:M69" si="74">L62+L67</f>
        <v>-1226</v>
      </c>
      <c r="M69" s="2">
        <f t="shared" si="74"/>
        <v>-653</v>
      </c>
      <c r="N69" s="5"/>
      <c r="P69" s="2">
        <f>P62+P67</f>
        <v>2593</v>
      </c>
      <c r="Q69" s="2">
        <f>Q62+Q67</f>
        <v>3556</v>
      </c>
      <c r="R69" s="2">
        <f>R62+R67</f>
        <v>1820</v>
      </c>
    </row>
    <row r="70" spans="2:18" s="8" customFormat="1" x14ac:dyDescent="0.3">
      <c r="B70" s="8" t="s">
        <v>77</v>
      </c>
      <c r="G70" s="8">
        <f t="shared" ref="G70:L70" si="75">G69/C69-1</f>
        <v>0.14086146682188594</v>
      </c>
      <c r="H70" s="8">
        <f t="shared" si="75"/>
        <v>-0.12405446293494704</v>
      </c>
      <c r="I70" s="8">
        <f t="shared" si="75"/>
        <v>-0.21134492223238788</v>
      </c>
      <c r="J70" s="8">
        <f t="shared" si="75"/>
        <v>-0.54257907542579076</v>
      </c>
      <c r="K70" s="8">
        <f t="shared" si="75"/>
        <v>-0.99693877551020404</v>
      </c>
      <c r="L70" s="8">
        <f t="shared" si="75"/>
        <v>-3.1174438687392056</v>
      </c>
      <c r="M70" s="8">
        <f>M69/I69-1</f>
        <v>-1.7575406032482599</v>
      </c>
      <c r="Q70" s="8">
        <f>Q69/P69-1</f>
        <v>0.37138449672194374</v>
      </c>
      <c r="R70" s="8">
        <f>R69/Q69-1</f>
        <v>-0.48818897637795278</v>
      </c>
    </row>
  </sheetData>
  <phoneticPr fontId="3" type="noConversion"/>
  <hyperlinks>
    <hyperlink ref="A1" location="Main!I3" display="Main" xr:uid="{B1CB5103-9BF0-49F6-A723-B78AE79A89C1}"/>
  </hyperlinks>
  <pageMargins left="0.7" right="0.7" top="0.75" bottom="0.75" header="0.3" footer="0.3"/>
  <ignoredErrors>
    <ignoredError sqref="P5 Q3:Q4 Q8:Q15 Q6 R5 Q62:R64 Q67:R67" formulaRange="1"/>
    <ignoredError sqref="Q7 Q5" formula="1" formulaRange="1"/>
    <ignoredError sqref="L38 L43 L40 L5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35949-8981-455D-9A80-81D8871C75B9}">
  <dimension ref="A1:J24"/>
  <sheetViews>
    <sheetView zoomScale="99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4" x14ac:dyDescent="0.3"/>
  <sheetData>
    <row r="1" spans="1:10" x14ac:dyDescent="0.3">
      <c r="A1" t="s">
        <v>7</v>
      </c>
    </row>
    <row r="2" spans="1:10" x14ac:dyDescent="0.3"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">
      <c r="B3" t="s">
        <v>17</v>
      </c>
      <c r="C3" s="4"/>
      <c r="D3" s="4"/>
      <c r="E3" s="4"/>
      <c r="F3" s="4"/>
      <c r="G3" s="4"/>
      <c r="H3" s="4">
        <v>20108</v>
      </c>
      <c r="I3" s="4">
        <v>20108</v>
      </c>
      <c r="J3" s="4">
        <v>19340</v>
      </c>
    </row>
    <row r="4" spans="1:10" x14ac:dyDescent="0.3">
      <c r="B4" t="s">
        <v>18</v>
      </c>
      <c r="C4" s="4"/>
      <c r="D4" s="4"/>
      <c r="E4" s="4"/>
      <c r="F4" s="4"/>
      <c r="G4" s="4"/>
      <c r="H4" s="4">
        <v>13449</v>
      </c>
      <c r="I4" s="4">
        <v>13449</v>
      </c>
      <c r="J4" s="4">
        <v>14784</v>
      </c>
    </row>
    <row r="5" spans="1:10" s="2" customFormat="1" x14ac:dyDescent="0.3">
      <c r="B5" s="5" t="s">
        <v>19</v>
      </c>
      <c r="C5" s="5"/>
      <c r="D5" s="5"/>
      <c r="E5" s="5"/>
      <c r="F5" s="5"/>
      <c r="G5" s="5"/>
      <c r="H5" s="5">
        <f>H4+H3</f>
        <v>33557</v>
      </c>
      <c r="I5" s="5">
        <f>I4+I3</f>
        <v>33557</v>
      </c>
      <c r="J5" s="5">
        <f>J4+J3</f>
        <v>34124</v>
      </c>
    </row>
    <row r="6" spans="1:10" x14ac:dyDescent="0.3">
      <c r="B6" t="s">
        <v>20</v>
      </c>
      <c r="C6" s="4"/>
      <c r="D6" s="4"/>
      <c r="E6" s="4"/>
      <c r="F6" s="4"/>
      <c r="G6" s="4"/>
      <c r="H6" s="4">
        <v>16399</v>
      </c>
      <c r="I6" s="4">
        <v>16399</v>
      </c>
      <c r="J6" s="4">
        <f>18014</f>
        <v>18014</v>
      </c>
    </row>
    <row r="7" spans="1:10" s="2" customFormat="1" x14ac:dyDescent="0.3">
      <c r="B7" s="2" t="s">
        <v>21</v>
      </c>
      <c r="C7" s="5"/>
      <c r="D7" s="5"/>
      <c r="E7" s="5"/>
      <c r="F7" s="5"/>
      <c r="G7" s="5"/>
      <c r="H7" s="5">
        <f>H5-H6</f>
        <v>17158</v>
      </c>
      <c r="I7" s="5">
        <f>I5-I6</f>
        <v>17158</v>
      </c>
      <c r="J7" s="5">
        <f>J5-J6</f>
        <v>16110</v>
      </c>
    </row>
    <row r="8" spans="1:10" x14ac:dyDescent="0.3">
      <c r="B8" t="s">
        <v>22</v>
      </c>
      <c r="C8" s="4"/>
      <c r="D8" s="4"/>
      <c r="E8" s="4"/>
      <c r="F8" s="4"/>
      <c r="G8" s="4"/>
      <c r="H8" s="4">
        <v>5867</v>
      </c>
      <c r="I8" s="4">
        <v>5867</v>
      </c>
      <c r="J8" s="4">
        <v>6678</v>
      </c>
    </row>
    <row r="9" spans="1:10" x14ac:dyDescent="0.3">
      <c r="B9" t="s">
        <v>23</v>
      </c>
      <c r="C9" s="4"/>
      <c r="D9" s="4"/>
      <c r="E9" s="4"/>
      <c r="F9" s="4"/>
      <c r="G9" s="4"/>
      <c r="H9" s="4">
        <v>5366</v>
      </c>
      <c r="I9" s="4">
        <v>5366</v>
      </c>
      <c r="J9" s="4">
        <v>5515</v>
      </c>
    </row>
    <row r="10" spans="1:10" s="2" customFormat="1" x14ac:dyDescent="0.3">
      <c r="B10" s="2" t="s">
        <v>24</v>
      </c>
      <c r="C10" s="5"/>
      <c r="D10" s="5"/>
      <c r="E10" s="5"/>
      <c r="F10" s="5"/>
      <c r="G10" s="5"/>
      <c r="H10" s="5">
        <f>+H9+H8</f>
        <v>11233</v>
      </c>
      <c r="I10" s="5">
        <f>+I9+I8</f>
        <v>11233</v>
      </c>
      <c r="J10" s="5">
        <f>+J9+J8</f>
        <v>12193</v>
      </c>
    </row>
    <row r="11" spans="1:10" s="2" customFormat="1" x14ac:dyDescent="0.3">
      <c r="B11" s="2" t="s">
        <v>25</v>
      </c>
      <c r="C11" s="5"/>
      <c r="D11" s="5"/>
      <c r="E11" s="5"/>
      <c r="F11" s="5"/>
      <c r="G11" s="5"/>
      <c r="H11" s="5">
        <f>H7-H10</f>
        <v>5925</v>
      </c>
      <c r="I11" s="5">
        <f>I7-I10</f>
        <v>5925</v>
      </c>
      <c r="J11" s="5">
        <f>J7-J10</f>
        <v>3917</v>
      </c>
    </row>
    <row r="12" spans="1:10" x14ac:dyDescent="0.3">
      <c r="B12" t="s">
        <v>26</v>
      </c>
      <c r="C12" s="4"/>
      <c r="D12" s="4"/>
      <c r="E12" s="4"/>
      <c r="F12" s="4"/>
      <c r="G12" s="4"/>
      <c r="H12" s="4">
        <v>1877</v>
      </c>
      <c r="I12" s="4">
        <v>1877</v>
      </c>
      <c r="J12" s="4">
        <v>2001</v>
      </c>
    </row>
    <row r="13" spans="1:10" x14ac:dyDescent="0.3">
      <c r="B13" t="s">
        <v>78</v>
      </c>
      <c r="C13" s="4"/>
      <c r="D13" s="4"/>
      <c r="E13" s="4"/>
      <c r="F13" s="4"/>
      <c r="G13" s="4"/>
      <c r="H13" s="4">
        <v>-673</v>
      </c>
      <c r="I13" s="4">
        <v>-673</v>
      </c>
      <c r="J13" s="4">
        <v>-643</v>
      </c>
    </row>
    <row r="14" spans="1:10" x14ac:dyDescent="0.3">
      <c r="B14" t="s">
        <v>27</v>
      </c>
      <c r="C14" s="4"/>
      <c r="D14" s="4"/>
      <c r="E14" s="4"/>
      <c r="F14" s="4"/>
      <c r="G14" s="4"/>
      <c r="H14" s="4">
        <v>-1096</v>
      </c>
      <c r="I14" s="4">
        <v>-1096</v>
      </c>
      <c r="J14" s="4">
        <v>1678</v>
      </c>
    </row>
    <row r="15" spans="1:10" x14ac:dyDescent="0.3">
      <c r="B15" t="s">
        <v>28</v>
      </c>
      <c r="C15" s="4"/>
      <c r="D15" s="4"/>
      <c r="E15" s="4"/>
      <c r="F15" s="4"/>
      <c r="G15" s="4"/>
      <c r="H15" s="4">
        <v>32</v>
      </c>
      <c r="I15" s="4">
        <v>32</v>
      </c>
      <c r="J15" s="4">
        <v>-399</v>
      </c>
    </row>
    <row r="16" spans="1:10" x14ac:dyDescent="0.3">
      <c r="B16" t="s">
        <v>29</v>
      </c>
      <c r="C16" s="4"/>
      <c r="D16" s="4"/>
      <c r="E16" s="4"/>
      <c r="F16" s="4"/>
      <c r="G16" s="4"/>
      <c r="H16" s="4">
        <v>2535</v>
      </c>
      <c r="I16" s="4">
        <v>2535</v>
      </c>
      <c r="J16" s="4">
        <v>23</v>
      </c>
    </row>
    <row r="17" spans="2:10" s="2" customFormat="1" x14ac:dyDescent="0.3">
      <c r="B17" s="2" t="s">
        <v>30</v>
      </c>
      <c r="C17" s="5"/>
      <c r="D17" s="5"/>
      <c r="E17" s="5"/>
      <c r="F17" s="5"/>
      <c r="G17" s="5"/>
      <c r="H17" s="5">
        <f>SUM(H12:H16)</f>
        <v>2675</v>
      </c>
      <c r="I17" s="5">
        <f>SUM(I12:I16)</f>
        <v>2675</v>
      </c>
      <c r="J17" s="5">
        <f>SUM(J12:J16)</f>
        <v>2660</v>
      </c>
    </row>
    <row r="18" spans="2:10" s="2" customFormat="1" x14ac:dyDescent="0.3">
      <c r="B18" s="2" t="s">
        <v>31</v>
      </c>
      <c r="C18" s="5"/>
      <c r="D18" s="5"/>
      <c r="E18" s="5"/>
      <c r="F18" s="5"/>
      <c r="G18" s="5"/>
      <c r="H18" s="5">
        <f>H11+H17</f>
        <v>8600</v>
      </c>
      <c r="I18" s="5">
        <f>I11+I17</f>
        <v>8600</v>
      </c>
      <c r="J18" s="5">
        <f>J11+J17</f>
        <v>6577</v>
      </c>
    </row>
    <row r="19" spans="2:10" x14ac:dyDescent="0.3">
      <c r="B19" t="s">
        <v>32</v>
      </c>
      <c r="C19" s="4"/>
      <c r="D19" s="4"/>
      <c r="E19" s="4"/>
      <c r="F19" s="4"/>
      <c r="G19" s="4"/>
      <c r="H19" s="4">
        <v>814</v>
      </c>
      <c r="I19" s="4">
        <v>814</v>
      </c>
      <c r="J19" s="4">
        <v>1619</v>
      </c>
    </row>
    <row r="20" spans="2:10" s="2" customFormat="1" x14ac:dyDescent="0.3">
      <c r="B20" s="5" t="s">
        <v>33</v>
      </c>
      <c r="C20" s="5"/>
      <c r="D20" s="5"/>
      <c r="E20" s="5"/>
      <c r="F20" s="5"/>
      <c r="G20" s="5"/>
      <c r="H20" s="5">
        <f>H18-H19</f>
        <v>7786</v>
      </c>
      <c r="I20" s="5">
        <f>I18-I19</f>
        <v>7786</v>
      </c>
      <c r="J20" s="5">
        <f>J18-J19</f>
        <v>4958</v>
      </c>
    </row>
    <row r="21" spans="2:10" x14ac:dyDescent="0.3">
      <c r="B21" s="4" t="s">
        <v>79</v>
      </c>
      <c r="C21" s="4"/>
      <c r="D21" s="4"/>
      <c r="E21" s="4"/>
      <c r="F21" s="4"/>
      <c r="G21" s="4"/>
      <c r="H21" s="4">
        <v>154</v>
      </c>
      <c r="I21" s="4">
        <v>154</v>
      </c>
      <c r="J21" s="4">
        <v>-234</v>
      </c>
    </row>
    <row r="22" spans="2:10" s="2" customFormat="1" x14ac:dyDescent="0.3">
      <c r="B22" s="5" t="s">
        <v>80</v>
      </c>
      <c r="C22" s="5"/>
      <c r="D22" s="5"/>
      <c r="E22" s="5"/>
      <c r="F22" s="5"/>
      <c r="G22" s="5"/>
      <c r="H22" s="5">
        <f>H20-H21</f>
        <v>7632</v>
      </c>
      <c r="I22" s="5">
        <f>I20-I21</f>
        <v>7632</v>
      </c>
      <c r="J22" s="5">
        <f>J20-J21</f>
        <v>5192</v>
      </c>
    </row>
    <row r="23" spans="2:10" x14ac:dyDescent="0.3">
      <c r="B23" t="s">
        <v>2</v>
      </c>
      <c r="C23" s="4"/>
      <c r="D23" s="4"/>
      <c r="E23" s="4"/>
      <c r="F23" s="4"/>
      <c r="G23" s="4"/>
      <c r="H23" s="4">
        <v>2785</v>
      </c>
      <c r="I23" s="4">
        <v>2785</v>
      </c>
      <c r="J23" s="4">
        <f>2775</f>
        <v>2775</v>
      </c>
    </row>
    <row r="24" spans="2:10" x14ac:dyDescent="0.3">
      <c r="B24" s="2" t="s">
        <v>34</v>
      </c>
      <c r="H24" s="3">
        <f>+H22/H23</f>
        <v>2.7403949730700181</v>
      </c>
      <c r="I24" s="3">
        <f>+I22/I23</f>
        <v>2.7403949730700181</v>
      </c>
      <c r="J24" s="3">
        <f>+J22/J23</f>
        <v>1.870990990990991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USD Model</vt:lpstr>
      <vt:lpstr>RMB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2025-08-20T14:53:09Z</dcterms:modified>
</cp:coreProperties>
</file>