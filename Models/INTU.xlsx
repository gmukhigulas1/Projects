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8D9469D0-CEE8-4960-A842-FE372A68B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2" i="2" l="1"/>
  <c r="AJ32" i="2"/>
  <c r="J25" i="1"/>
  <c r="J23" i="1"/>
  <c r="J24" i="1"/>
  <c r="J21" i="1"/>
  <c r="J20" i="1"/>
  <c r="Q51" i="2"/>
  <c r="P51" i="2"/>
  <c r="O51" i="2"/>
  <c r="N51" i="2"/>
  <c r="M51" i="2"/>
  <c r="L51" i="2"/>
  <c r="K51" i="2"/>
  <c r="Q50" i="2"/>
  <c r="P50" i="2"/>
  <c r="O50" i="2"/>
  <c r="N50" i="2"/>
  <c r="M50" i="2"/>
  <c r="L50" i="2"/>
  <c r="K50" i="2"/>
  <c r="Q49" i="2"/>
  <c r="P49" i="2"/>
  <c r="O49" i="2"/>
  <c r="N49" i="2"/>
  <c r="M49" i="2"/>
  <c r="L49" i="2"/>
  <c r="K49" i="2"/>
  <c r="Q48" i="2"/>
  <c r="P48" i="2"/>
  <c r="O48" i="2"/>
  <c r="N48" i="2"/>
  <c r="M48" i="2"/>
  <c r="L48" i="2"/>
  <c r="K48" i="2"/>
  <c r="Q47" i="2"/>
  <c r="P47" i="2"/>
  <c r="O47" i="2"/>
  <c r="N47" i="2"/>
  <c r="M47" i="2"/>
  <c r="L47" i="2"/>
  <c r="K47" i="2"/>
  <c r="Q46" i="2"/>
  <c r="P46" i="2"/>
  <c r="O46" i="2"/>
  <c r="N46" i="2"/>
  <c r="M46" i="2"/>
  <c r="L46" i="2"/>
  <c r="K46" i="2"/>
  <c r="Q45" i="2"/>
  <c r="P45" i="2"/>
  <c r="O45" i="2"/>
  <c r="N45" i="2"/>
  <c r="M45" i="2"/>
  <c r="L45" i="2"/>
  <c r="K45" i="2"/>
  <c r="Q44" i="2"/>
  <c r="P44" i="2"/>
  <c r="O44" i="2"/>
  <c r="N44" i="2"/>
  <c r="M44" i="2"/>
  <c r="L44" i="2"/>
  <c r="K44" i="2"/>
  <c r="Q43" i="2"/>
  <c r="P43" i="2"/>
  <c r="O43" i="2"/>
  <c r="N43" i="2"/>
  <c r="M43" i="2"/>
  <c r="L43" i="2"/>
  <c r="K43" i="2"/>
  <c r="Q42" i="2"/>
  <c r="P42" i="2"/>
  <c r="O42" i="2"/>
  <c r="N42" i="2"/>
  <c r="M42" i="2"/>
  <c r="L42" i="2"/>
  <c r="K42" i="2"/>
  <c r="Q41" i="2"/>
  <c r="P41" i="2"/>
  <c r="O41" i="2"/>
  <c r="N41" i="2"/>
  <c r="M41" i="2"/>
  <c r="L41" i="2"/>
  <c r="K41" i="2"/>
  <c r="S51" i="2"/>
  <c r="S50" i="2"/>
  <c r="S49" i="2"/>
  <c r="S48" i="2"/>
  <c r="S47" i="2"/>
  <c r="S46" i="2"/>
  <c r="S45" i="2"/>
  <c r="S44" i="2"/>
  <c r="S43" i="2"/>
  <c r="S42" i="2"/>
  <c r="S41" i="2"/>
  <c r="R51" i="2"/>
  <c r="R50" i="2"/>
  <c r="R49" i="2"/>
  <c r="R48" i="2"/>
  <c r="R47" i="2"/>
  <c r="R46" i="2"/>
  <c r="R45" i="2"/>
  <c r="R44" i="2"/>
  <c r="R43" i="2"/>
  <c r="R42" i="2"/>
  <c r="R41" i="2"/>
  <c r="AJ64" i="2"/>
  <c r="AI64" i="2"/>
  <c r="AH64" i="2"/>
  <c r="AG64" i="2"/>
  <c r="AJ63" i="2"/>
  <c r="AI63" i="2"/>
  <c r="AH63" i="2"/>
  <c r="AG63" i="2"/>
  <c r="AJ62" i="2"/>
  <c r="AI62" i="2"/>
  <c r="AH62" i="2"/>
  <c r="AG62" i="2"/>
  <c r="AJ61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AF58" i="2"/>
  <c r="AE58" i="2"/>
  <c r="AJ58" i="2"/>
  <c r="AJ65" i="2" s="1"/>
  <c r="AI58" i="2"/>
  <c r="AH58" i="2"/>
  <c r="AG58" i="2"/>
  <c r="S58" i="2"/>
  <c r="R58" i="2"/>
  <c r="Q58" i="2"/>
  <c r="P58" i="2"/>
  <c r="O58" i="2"/>
  <c r="N58" i="2"/>
  <c r="M58" i="2"/>
  <c r="L58" i="2"/>
  <c r="K58" i="2"/>
  <c r="J58" i="2"/>
  <c r="I58" i="2"/>
  <c r="H58" i="2"/>
  <c r="F58" i="2"/>
  <c r="E58" i="2"/>
  <c r="D58" i="2"/>
  <c r="C58" i="2"/>
  <c r="G58" i="2"/>
  <c r="S8" i="2"/>
  <c r="S5" i="2"/>
  <c r="AI8" i="2"/>
  <c r="AH8" i="2"/>
  <c r="AG8" i="2"/>
  <c r="AF8" i="2"/>
  <c r="AE8" i="2"/>
  <c r="Q8" i="2"/>
  <c r="P8" i="2"/>
  <c r="O8" i="2"/>
  <c r="N8" i="2"/>
  <c r="M8" i="2"/>
  <c r="L8" i="2"/>
  <c r="K8" i="2"/>
  <c r="J8" i="2"/>
  <c r="I8" i="2"/>
  <c r="H8" i="2"/>
  <c r="G8" i="2"/>
  <c r="F8" i="2"/>
  <c r="F9" i="2" s="1"/>
  <c r="F13" i="2" s="1"/>
  <c r="E8" i="2"/>
  <c r="D8" i="2"/>
  <c r="C8" i="2"/>
  <c r="R8" i="2"/>
  <c r="AI5" i="2"/>
  <c r="AH5" i="2"/>
  <c r="AG5" i="2"/>
  <c r="AF5" i="2"/>
  <c r="AE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R5" i="2"/>
  <c r="AI24" i="2"/>
  <c r="AI16" i="2"/>
  <c r="AF24" i="2"/>
  <c r="AE24" i="2"/>
  <c r="AF16" i="2"/>
  <c r="AE16" i="2"/>
  <c r="AH24" i="2"/>
  <c r="AH16" i="2"/>
  <c r="AG24" i="2"/>
  <c r="AG16" i="2"/>
  <c r="R160" i="2"/>
  <c r="R159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S157" i="2"/>
  <c r="R157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S118" i="2"/>
  <c r="R118" i="2"/>
  <c r="R147" i="2" s="1"/>
  <c r="Q118" i="2"/>
  <c r="P118" i="2"/>
  <c r="O118" i="2"/>
  <c r="O147" i="2" s="1"/>
  <c r="N118" i="2"/>
  <c r="N147" i="2" s="1"/>
  <c r="M118" i="2"/>
  <c r="M147" i="2" s="1"/>
  <c r="L118" i="2"/>
  <c r="L147" i="2" s="1"/>
  <c r="K118" i="2"/>
  <c r="K147" i="2" s="1"/>
  <c r="J118" i="2"/>
  <c r="J147" i="2" s="1"/>
  <c r="I118" i="2"/>
  <c r="I147" i="2" s="1"/>
  <c r="H118" i="2"/>
  <c r="H147" i="2" s="1"/>
  <c r="G118" i="2"/>
  <c r="G147" i="2" s="1"/>
  <c r="F118" i="2"/>
  <c r="E118" i="2"/>
  <c r="E147" i="2" s="1"/>
  <c r="D118" i="2"/>
  <c r="C118" i="2"/>
  <c r="C147" i="2" s="1"/>
  <c r="AH150" i="2"/>
  <c r="AG150" i="2"/>
  <c r="AF150" i="2"/>
  <c r="AE150" i="2"/>
  <c r="AI150" i="2"/>
  <c r="AE144" i="2"/>
  <c r="AH141" i="2"/>
  <c r="AG141" i="2"/>
  <c r="AF141" i="2"/>
  <c r="AE141" i="2"/>
  <c r="AI141" i="2"/>
  <c r="AH128" i="2"/>
  <c r="AG128" i="2"/>
  <c r="AF128" i="2"/>
  <c r="AE128" i="2"/>
  <c r="AI128" i="2"/>
  <c r="AH118" i="2"/>
  <c r="AH147" i="2" s="1"/>
  <c r="AG118" i="2"/>
  <c r="AG147" i="2" s="1"/>
  <c r="AF118" i="2"/>
  <c r="AE118" i="2"/>
  <c r="AI118" i="2"/>
  <c r="N73" i="2"/>
  <c r="N84" i="2" s="1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S69" i="2"/>
  <c r="R69" i="2"/>
  <c r="J11" i="1"/>
  <c r="J12" i="1" s="1"/>
  <c r="J14" i="1"/>
  <c r="J13" i="1"/>
  <c r="S94" i="2"/>
  <c r="S96" i="2" s="1"/>
  <c r="Q94" i="2"/>
  <c r="Q96" i="2" s="1"/>
  <c r="P94" i="2"/>
  <c r="P96" i="2" s="1"/>
  <c r="O94" i="2"/>
  <c r="O96" i="2" s="1"/>
  <c r="N94" i="2"/>
  <c r="N96" i="2" s="1"/>
  <c r="M94" i="2"/>
  <c r="M96" i="2" s="1"/>
  <c r="L94" i="2"/>
  <c r="L96" i="2" s="1"/>
  <c r="K94" i="2"/>
  <c r="K96" i="2" s="1"/>
  <c r="J94" i="2"/>
  <c r="J96" i="2" s="1"/>
  <c r="I94" i="2"/>
  <c r="I96" i="2" s="1"/>
  <c r="H94" i="2"/>
  <c r="H96" i="2" s="1"/>
  <c r="G94" i="2"/>
  <c r="G96" i="2" s="1"/>
  <c r="F94" i="2"/>
  <c r="F96" i="2" s="1"/>
  <c r="E94" i="2"/>
  <c r="E96" i="2" s="1"/>
  <c r="D94" i="2"/>
  <c r="D96" i="2" s="1"/>
  <c r="C94" i="2"/>
  <c r="C96" i="2" s="1"/>
  <c r="R94" i="2"/>
  <c r="R96" i="2" s="1"/>
  <c r="S84" i="2"/>
  <c r="Q84" i="2"/>
  <c r="P84" i="2"/>
  <c r="O84" i="2"/>
  <c r="M84" i="2"/>
  <c r="L84" i="2"/>
  <c r="K84" i="2"/>
  <c r="J84" i="2"/>
  <c r="I84" i="2"/>
  <c r="H84" i="2"/>
  <c r="G84" i="2"/>
  <c r="F84" i="2"/>
  <c r="E84" i="2"/>
  <c r="D84" i="2"/>
  <c r="C84" i="2"/>
  <c r="R84" i="2"/>
  <c r="S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R24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S16" i="2"/>
  <c r="R16" i="2"/>
  <c r="K9" i="2" l="1"/>
  <c r="K13" i="2" s="1"/>
  <c r="K65" i="2" s="1"/>
  <c r="E9" i="2"/>
  <c r="E13" i="2" s="1"/>
  <c r="Q9" i="2"/>
  <c r="Q13" i="2" s="1"/>
  <c r="Q65" i="2" s="1"/>
  <c r="Q61" i="2"/>
  <c r="H9" i="2"/>
  <c r="G9" i="2"/>
  <c r="AF9" i="2"/>
  <c r="AF13" i="2" s="1"/>
  <c r="AF17" i="2" s="1"/>
  <c r="AF25" i="2" s="1"/>
  <c r="AF28" i="2" s="1"/>
  <c r="AF30" i="2" s="1"/>
  <c r="AE9" i="2"/>
  <c r="AE13" i="2" s="1"/>
  <c r="AE17" i="2" s="1"/>
  <c r="AE25" i="2" s="1"/>
  <c r="AE28" i="2" s="1"/>
  <c r="AE30" i="2" s="1"/>
  <c r="AG9" i="2"/>
  <c r="R9" i="2"/>
  <c r="L9" i="2"/>
  <c r="J9" i="2"/>
  <c r="AI9" i="2"/>
  <c r="M9" i="2"/>
  <c r="AH9" i="2"/>
  <c r="N9" i="2"/>
  <c r="I9" i="2"/>
  <c r="C9" i="2"/>
  <c r="C13" i="2" s="1"/>
  <c r="C17" i="2" s="1"/>
  <c r="C25" i="2" s="1"/>
  <c r="O9" i="2"/>
  <c r="D9" i="2"/>
  <c r="D13" i="2" s="1"/>
  <c r="D17" i="2" s="1"/>
  <c r="D25" i="2" s="1"/>
  <c r="P9" i="2"/>
  <c r="S9" i="2"/>
  <c r="I143" i="2"/>
  <c r="G143" i="2"/>
  <c r="M149" i="2"/>
  <c r="AI143" i="2"/>
  <c r="AF143" i="2"/>
  <c r="AI147" i="2"/>
  <c r="H143" i="2"/>
  <c r="AF147" i="2"/>
  <c r="S143" i="2"/>
  <c r="E148" i="2"/>
  <c r="AE143" i="2"/>
  <c r="AE145" i="2" s="1"/>
  <c r="AF144" i="2" s="1"/>
  <c r="AG143" i="2"/>
  <c r="AH143" i="2"/>
  <c r="R149" i="2"/>
  <c r="K149" i="2"/>
  <c r="G149" i="2"/>
  <c r="D143" i="2"/>
  <c r="Q143" i="2"/>
  <c r="Q147" i="2"/>
  <c r="AH149" i="2"/>
  <c r="D147" i="2"/>
  <c r="O149" i="2"/>
  <c r="P143" i="2"/>
  <c r="P147" i="2"/>
  <c r="E143" i="2"/>
  <c r="F143" i="2"/>
  <c r="AE147" i="2"/>
  <c r="S147" i="2"/>
  <c r="L149" i="2"/>
  <c r="N149" i="2"/>
  <c r="F147" i="2"/>
  <c r="I149" i="2"/>
  <c r="R143" i="2"/>
  <c r="J143" i="2"/>
  <c r="K143" i="2"/>
  <c r="L143" i="2"/>
  <c r="M143" i="2"/>
  <c r="N143" i="2"/>
  <c r="C143" i="2"/>
  <c r="C145" i="2" s="1"/>
  <c r="D144" i="2" s="1"/>
  <c r="O143" i="2"/>
  <c r="J16" i="1"/>
  <c r="E17" i="2"/>
  <c r="E25" i="2" s="1"/>
  <c r="F17" i="2"/>
  <c r="F25" i="2" s="1"/>
  <c r="Q17" i="2"/>
  <c r="Q25" i="2" s="1"/>
  <c r="K148" i="2" l="1"/>
  <c r="K17" i="2"/>
  <c r="K25" i="2" s="1"/>
  <c r="K61" i="2"/>
  <c r="M13" i="2"/>
  <c r="M61" i="2"/>
  <c r="P13" i="2"/>
  <c r="P61" i="2"/>
  <c r="R13" i="2"/>
  <c r="R61" i="2"/>
  <c r="AG13" i="2"/>
  <c r="AG61" i="2"/>
  <c r="O13" i="2"/>
  <c r="O61" i="2"/>
  <c r="I13" i="2"/>
  <c r="I61" i="2"/>
  <c r="G13" i="2"/>
  <c r="G61" i="2"/>
  <c r="N13" i="2"/>
  <c r="N61" i="2"/>
  <c r="H13" i="2"/>
  <c r="H61" i="2"/>
  <c r="AH13" i="2"/>
  <c r="AH61" i="2"/>
  <c r="AI13" i="2"/>
  <c r="AI61" i="2"/>
  <c r="J13" i="2"/>
  <c r="J61" i="2"/>
  <c r="S13" i="2"/>
  <c r="S61" i="2"/>
  <c r="L13" i="2"/>
  <c r="L61" i="2"/>
  <c r="AF148" i="2"/>
  <c r="AE148" i="2"/>
  <c r="L148" i="2"/>
  <c r="N17" i="2"/>
  <c r="N35" i="2" s="1"/>
  <c r="M148" i="2"/>
  <c r="G148" i="2"/>
  <c r="C148" i="2"/>
  <c r="D148" i="2"/>
  <c r="AE101" i="2"/>
  <c r="AE32" i="2"/>
  <c r="AG149" i="2"/>
  <c r="AF149" i="2"/>
  <c r="AF32" i="2"/>
  <c r="AF101" i="2"/>
  <c r="Q28" i="2"/>
  <c r="Q30" i="2" s="1"/>
  <c r="Q32" i="2" s="1"/>
  <c r="D28" i="2"/>
  <c r="D30" i="2" s="1"/>
  <c r="D32" i="2" s="1"/>
  <c r="C28" i="2"/>
  <c r="C30" i="2" s="1"/>
  <c r="C32" i="2" s="1"/>
  <c r="F28" i="2"/>
  <c r="F30" i="2" s="1"/>
  <c r="F32" i="2" s="1"/>
  <c r="K28" i="2"/>
  <c r="K30" i="2" s="1"/>
  <c r="K32" i="2" s="1"/>
  <c r="E28" i="2"/>
  <c r="E30" i="2" s="1"/>
  <c r="E32" i="2" s="1"/>
  <c r="AI149" i="2"/>
  <c r="AF145" i="2"/>
  <c r="AG144" i="2" s="1"/>
  <c r="AG145" i="2" s="1"/>
  <c r="AH145" i="2" s="1"/>
  <c r="AI144" i="2" s="1"/>
  <c r="AI145" i="2" s="1"/>
  <c r="H149" i="2"/>
  <c r="S148" i="2"/>
  <c r="S149" i="2"/>
  <c r="Q148" i="2"/>
  <c r="Q149" i="2"/>
  <c r="P148" i="2"/>
  <c r="P149" i="2"/>
  <c r="F148" i="2"/>
  <c r="J149" i="2"/>
  <c r="D145" i="2"/>
  <c r="E144" i="2" s="1"/>
  <c r="E145" i="2" s="1"/>
  <c r="F144" i="2" s="1"/>
  <c r="F145" i="2" s="1"/>
  <c r="G144" i="2" s="1"/>
  <c r="G145" i="2" s="1"/>
  <c r="H144" i="2" s="1"/>
  <c r="H145" i="2" s="1"/>
  <c r="I144" i="2" s="1"/>
  <c r="I145" i="2" s="1"/>
  <c r="J144" i="2" s="1"/>
  <c r="J145" i="2" s="1"/>
  <c r="K144" i="2" s="1"/>
  <c r="K145" i="2" s="1"/>
  <c r="L144" i="2" s="1"/>
  <c r="L145" i="2" s="1"/>
  <c r="M144" i="2" s="1"/>
  <c r="M145" i="2" s="1"/>
  <c r="N144" i="2" s="1"/>
  <c r="N145" i="2" s="1"/>
  <c r="O144" i="2" s="1"/>
  <c r="O145" i="2" s="1"/>
  <c r="P144" i="2" s="1"/>
  <c r="P145" i="2" s="1"/>
  <c r="Q144" i="2" s="1"/>
  <c r="Q145" i="2" s="1"/>
  <c r="R144" i="2" s="1"/>
  <c r="R145" i="2" s="1"/>
  <c r="S144" i="2" s="1"/>
  <c r="S145" i="2" s="1"/>
  <c r="J17" i="2" l="1"/>
  <c r="J25" i="2" s="1"/>
  <c r="J28" i="2" s="1"/>
  <c r="J30" i="2" s="1"/>
  <c r="J32" i="2" s="1"/>
  <c r="J65" i="2"/>
  <c r="I148" i="2"/>
  <c r="I65" i="2"/>
  <c r="I17" i="2"/>
  <c r="I25" i="2" s="1"/>
  <c r="I28" i="2" s="1"/>
  <c r="I30" i="2" s="1"/>
  <c r="I32" i="2" s="1"/>
  <c r="AI17" i="2"/>
  <c r="AI25" i="2" s="1"/>
  <c r="AI28" i="2" s="1"/>
  <c r="AI30" i="2" s="1"/>
  <c r="AI65" i="2"/>
  <c r="O148" i="2"/>
  <c r="O65" i="2"/>
  <c r="O17" i="2"/>
  <c r="O25" i="2" s="1"/>
  <c r="O28" i="2" s="1"/>
  <c r="O30" i="2" s="1"/>
  <c r="O32" i="2" s="1"/>
  <c r="AH17" i="2"/>
  <c r="AH25" i="2" s="1"/>
  <c r="AH28" i="2" s="1"/>
  <c r="AH30" i="2" s="1"/>
  <c r="AH65" i="2"/>
  <c r="AH148" i="2"/>
  <c r="AG17" i="2"/>
  <c r="AG25" i="2" s="1"/>
  <c r="AG28" i="2" s="1"/>
  <c r="AG30" i="2" s="1"/>
  <c r="AG148" i="2"/>
  <c r="AG65" i="2"/>
  <c r="H65" i="2"/>
  <c r="H17" i="2"/>
  <c r="H25" i="2" s="1"/>
  <c r="H28" i="2" s="1"/>
  <c r="H30" i="2" s="1"/>
  <c r="H32" i="2" s="1"/>
  <c r="H148" i="2"/>
  <c r="R65" i="2"/>
  <c r="R17" i="2"/>
  <c r="R148" i="2"/>
  <c r="L17" i="2"/>
  <c r="L25" i="2" s="1"/>
  <c r="L28" i="2" s="1"/>
  <c r="L30" i="2" s="1"/>
  <c r="L32" i="2" s="1"/>
  <c r="L65" i="2"/>
  <c r="N65" i="2"/>
  <c r="N148" i="2"/>
  <c r="P17" i="2"/>
  <c r="P25" i="2" s="1"/>
  <c r="P28" i="2" s="1"/>
  <c r="P30" i="2" s="1"/>
  <c r="P32" i="2" s="1"/>
  <c r="P65" i="2"/>
  <c r="J148" i="2"/>
  <c r="S17" i="2"/>
  <c r="S65" i="2"/>
  <c r="AI148" i="2"/>
  <c r="G17" i="2"/>
  <c r="G25" i="2" s="1"/>
  <c r="G28" i="2" s="1"/>
  <c r="G30" i="2" s="1"/>
  <c r="G32" i="2" s="1"/>
  <c r="G65" i="2"/>
  <c r="M17" i="2"/>
  <c r="M25" i="2" s="1"/>
  <c r="M28" i="2" s="1"/>
  <c r="M30" i="2" s="1"/>
  <c r="M32" i="2" s="1"/>
  <c r="M65" i="2"/>
  <c r="N25" i="2"/>
  <c r="N36" i="2" s="1"/>
  <c r="C101" i="2"/>
  <c r="I101" i="2"/>
  <c r="D101" i="2"/>
  <c r="Q101" i="2"/>
  <c r="E101" i="2"/>
  <c r="K101" i="2"/>
  <c r="P101" i="2"/>
  <c r="F101" i="2"/>
  <c r="J19" i="1" l="1"/>
  <c r="J18" i="1"/>
  <c r="AH32" i="2"/>
  <c r="AH101" i="2"/>
  <c r="R25" i="2"/>
  <c r="R35" i="2"/>
  <c r="J101" i="2"/>
  <c r="S35" i="2"/>
  <c r="S25" i="2"/>
  <c r="O101" i="2"/>
  <c r="AI32" i="2"/>
  <c r="AI101" i="2"/>
  <c r="H101" i="2"/>
  <c r="M101" i="2"/>
  <c r="L101" i="2"/>
  <c r="G101" i="2"/>
  <c r="AG32" i="2"/>
  <c r="AG101" i="2"/>
  <c r="N28" i="2"/>
  <c r="S36" i="2" l="1"/>
  <c r="S28" i="2"/>
  <c r="R28" i="2"/>
  <c r="R36" i="2"/>
  <c r="N37" i="2"/>
  <c r="N30" i="2"/>
  <c r="R30" i="2" l="1"/>
  <c r="R37" i="2"/>
  <c r="S30" i="2"/>
  <c r="S37" i="2"/>
  <c r="N32" i="2"/>
  <c r="N101" i="2"/>
  <c r="N38" i="2"/>
  <c r="S32" i="2" l="1"/>
  <c r="S101" i="2"/>
  <c r="S38" i="2"/>
  <c r="R32" i="2"/>
  <c r="R101" i="2"/>
  <c r="R38" i="2"/>
  <c r="J22" i="1" l="1"/>
</calcChain>
</file>

<file path=xl/sharedStrings.xml><?xml version="1.0" encoding="utf-8"?>
<sst xmlns="http://schemas.openxmlformats.org/spreadsheetml/2006/main" count="208" uniqueCount="170">
  <si>
    <t>P</t>
  </si>
  <si>
    <t>S/O</t>
  </si>
  <si>
    <t>MC</t>
  </si>
  <si>
    <t>C</t>
  </si>
  <si>
    <t>D</t>
  </si>
  <si>
    <t>EV</t>
  </si>
  <si>
    <t>Q4FY25</t>
  </si>
  <si>
    <t>Q3FY25</t>
  </si>
  <si>
    <t>Q2FY25</t>
  </si>
  <si>
    <t>Q1FY25</t>
  </si>
  <si>
    <t>Q4FY24</t>
  </si>
  <si>
    <t>Q3FY24</t>
  </si>
  <si>
    <t>Q1FY23</t>
  </si>
  <si>
    <t>Q2FY23</t>
  </si>
  <si>
    <t>Q3FY23</t>
  </si>
  <si>
    <t>Q4FY23</t>
  </si>
  <si>
    <t>Q2FY24</t>
  </si>
  <si>
    <t>Q1FY24</t>
  </si>
  <si>
    <t>Q1FY26</t>
  </si>
  <si>
    <t>Q2FY26</t>
  </si>
  <si>
    <t>Q3FY26</t>
  </si>
  <si>
    <t>Q4FY26</t>
  </si>
  <si>
    <t>Q1FY27</t>
  </si>
  <si>
    <t>Q2FY27</t>
  </si>
  <si>
    <t>Q3FY27</t>
  </si>
  <si>
    <t>Q4FY27</t>
  </si>
  <si>
    <t>Q1FY22</t>
  </si>
  <si>
    <t>Q2FY22</t>
  </si>
  <si>
    <t>Q3FY22</t>
  </si>
  <si>
    <t>Q4FY22</t>
  </si>
  <si>
    <t>Total Revenues</t>
  </si>
  <si>
    <t>COGS</t>
  </si>
  <si>
    <t>Service costs</t>
  </si>
  <si>
    <t>Product costs</t>
  </si>
  <si>
    <t>Gross Profit</t>
  </si>
  <si>
    <t>S&amp;M</t>
  </si>
  <si>
    <t>R&amp;D</t>
  </si>
  <si>
    <t>G&amp;A</t>
  </si>
  <si>
    <t>Amortization on acquisitions</t>
  </si>
  <si>
    <t>Amortization on intangibles</t>
  </si>
  <si>
    <t>Restructuring</t>
  </si>
  <si>
    <t>OpEx</t>
  </si>
  <si>
    <t>OpInc</t>
  </si>
  <si>
    <t>Interest expense</t>
  </si>
  <si>
    <t>Interest income</t>
  </si>
  <si>
    <t>Pretax Income</t>
  </si>
  <si>
    <t>Taxes</t>
  </si>
  <si>
    <t>Net Income</t>
  </si>
  <si>
    <t>EPS</t>
  </si>
  <si>
    <t>Gross Margin</t>
  </si>
  <si>
    <t>Op. Margin</t>
  </si>
  <si>
    <t>Tax Margin</t>
  </si>
  <si>
    <t>Net Margin</t>
  </si>
  <si>
    <t>Cash</t>
  </si>
  <si>
    <t>Net Cash</t>
  </si>
  <si>
    <t>Investments</t>
  </si>
  <si>
    <t>A/R</t>
  </si>
  <si>
    <t>Tax receivable</t>
  </si>
  <si>
    <t>Prepaids</t>
  </si>
  <si>
    <t>Funds receivable</t>
  </si>
  <si>
    <t>Notes receivable</t>
  </si>
  <si>
    <t>Long-term investments</t>
  </si>
  <si>
    <t>Operating lease ROU</t>
  </si>
  <si>
    <t>Goodwill</t>
  </si>
  <si>
    <t>Acquired intangible assets</t>
  </si>
  <si>
    <t>Other</t>
  </si>
  <si>
    <t>Total assets</t>
  </si>
  <si>
    <t>Short-term debt</t>
  </si>
  <si>
    <t>A/P</t>
  </si>
  <si>
    <t>Accrued compensation</t>
  </si>
  <si>
    <t>Deferred revenue</t>
  </si>
  <si>
    <t>OCL</t>
  </si>
  <si>
    <t>Funds payable</t>
  </si>
  <si>
    <t>Long-term deferred income tax</t>
  </si>
  <si>
    <t>Long-term debt</t>
  </si>
  <si>
    <t>Operating lease liabilities</t>
  </si>
  <si>
    <t>Operating long-term obligations</t>
  </si>
  <si>
    <t>Total liabilities</t>
  </si>
  <si>
    <t>SE</t>
  </si>
  <si>
    <t>L+SE</t>
  </si>
  <si>
    <t>PP&amp;A</t>
  </si>
  <si>
    <t>Model NI</t>
  </si>
  <si>
    <t>GAAP NI</t>
  </si>
  <si>
    <t>A</t>
  </si>
  <si>
    <t>Non-cash operating lease</t>
  </si>
  <si>
    <t>Share-based comp.</t>
  </si>
  <si>
    <t>Deferred income tax</t>
  </si>
  <si>
    <t>Notes</t>
  </si>
  <si>
    <t>Other liabilities</t>
  </si>
  <si>
    <t>CFFO</t>
  </si>
  <si>
    <t>Maturutues</t>
  </si>
  <si>
    <t>Sales</t>
  </si>
  <si>
    <t>Purch. of corp. and cust. fund investments</t>
  </si>
  <si>
    <t>CapEx</t>
  </si>
  <si>
    <t>Acquisitions of businesses</t>
  </si>
  <si>
    <t>Purchases of notes</t>
  </si>
  <si>
    <t>Principal repayments</t>
  </si>
  <si>
    <t>CFFI</t>
  </si>
  <si>
    <t>Issuance of debt</t>
  </si>
  <si>
    <t>Repayment</t>
  </si>
  <si>
    <t>Borrowings under unsecured revolving credit facility</t>
  </si>
  <si>
    <t>Repayments</t>
  </si>
  <si>
    <t xml:space="preserve">Borrowings under secured </t>
  </si>
  <si>
    <t>Issuance of stock under employee stock plans</t>
  </si>
  <si>
    <t>Payments for employee taxes witheld upon vesting of restricted stock units</t>
  </si>
  <si>
    <t>Treasury stock</t>
  </si>
  <si>
    <t>Dividends</t>
  </si>
  <si>
    <t>CFFF</t>
  </si>
  <si>
    <t>FX adj</t>
  </si>
  <si>
    <t>CF</t>
  </si>
  <si>
    <t>BOP Cash</t>
  </si>
  <si>
    <t>EOP Cash</t>
  </si>
  <si>
    <t>FCF</t>
  </si>
  <si>
    <t>FCF Margin</t>
  </si>
  <si>
    <t>FCF YoY</t>
  </si>
  <si>
    <t>CapEx Margin</t>
  </si>
  <si>
    <t>FY25</t>
  </si>
  <si>
    <t>FY24</t>
  </si>
  <si>
    <t>FY21</t>
  </si>
  <si>
    <t>FY22</t>
  </si>
  <si>
    <t>FY23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</si>
  <si>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</si>
  <si>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</si>
  <si>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</si>
  <si>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</si>
  <si>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</si>
  <si>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</si>
  <si>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</si>
  <si>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</si>
  <si>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</si>
  <si>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</si>
  <si>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</si>
  <si>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</si>
  <si>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</si>
  <si>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FY39</t>
  </si>
  <si>
    <t>FY40</t>
  </si>
  <si>
    <t>FY41</t>
  </si>
  <si>
    <t>FY42</t>
  </si>
  <si>
    <t>FY43</t>
  </si>
  <si>
    <t>FY44</t>
  </si>
  <si>
    <t>FY45</t>
  </si>
  <si>
    <t>Desktop Units</t>
  </si>
  <si>
    <t>TurboTax Federal Unit Data</t>
  </si>
  <si>
    <t>Online Units</t>
  </si>
  <si>
    <t>Total U.S Turbo Tax Units</t>
  </si>
  <si>
    <t>YoY Desktop Units</t>
  </si>
  <si>
    <t>YoY Online Units</t>
  </si>
  <si>
    <t>Global Business Solutions</t>
  </si>
  <si>
    <t>Consumer</t>
  </si>
  <si>
    <t>Credit Karma</t>
  </si>
  <si>
    <t>ProTax</t>
  </si>
  <si>
    <t>QuickBooks Online Accounting</t>
  </si>
  <si>
    <t>Online Services</t>
  </si>
  <si>
    <t>Total Online Ecosystem</t>
  </si>
  <si>
    <t>QuickBooks Desktop Accounting</t>
  </si>
  <si>
    <t>Desktop Services and Supplies</t>
  </si>
  <si>
    <t>Total Desktop Ecosystem</t>
  </si>
  <si>
    <t>Main</t>
  </si>
  <si>
    <t>SaaS</t>
  </si>
  <si>
    <t>Total</t>
  </si>
  <si>
    <t>YoY Growth</t>
  </si>
  <si>
    <t>Total Revenue</t>
  </si>
  <si>
    <t>P/E</t>
  </si>
  <si>
    <t>EV/E</t>
  </si>
  <si>
    <t>P/S</t>
  </si>
  <si>
    <t>EV/S</t>
  </si>
  <si>
    <t>Fwd FY26 P/E</t>
  </si>
  <si>
    <t>Fwd FY27 P/S</t>
  </si>
  <si>
    <t>Fwd FY27 P/E</t>
  </si>
  <si>
    <t xml:space="preserve">Fwd FY26 P/S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</si>
</sst>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2" formatCode="#,##0.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15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3" fontId="0" fillId="0" borderId="0" xfId="0" applyNumberFormat="1" applyFont="1"/>
    <xf numFmtId="3" fontId="2" fillId="0" borderId="0" xfId="0" applyNumberFormat="1" applyFont="1" applyAlignment="1">
      <alignment horizontal="left" indent="1"/>
    </xf>
    <xf numFmtId="0" fontId="3" fillId="0" borderId="0" xfId="1"/>
    <xf numFmtId="10" fontId="2" fillId="0" borderId="0" xfId="0" applyNumberFormat="1" applyFont="1"/>
    <xf numFmtId="10" fontId="2" fillId="0" borderId="0" xfId="0" applyNumberFormat="1" applyFont="1" applyAlignment="1">
      <alignment horizontal="left" indent="1"/>
    </xf>
    <xf numFmtId="171" fontId="1" fillId="0" borderId="0" xfId="0" applyNumberFormat="1" applyFont="1"/>
    <xf numFmtId="17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594360</xdr:colOff>
      <xdr:row>0</xdr:row>
      <xdr:rowOff>60960</xdr:rowOff>
    </xdr:from>
    <xdr:to>
      <xdr:col>35</xdr:col>
      <xdr:colOff>0</xdr:colOff>
      <xdr:row>48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984AB71-6EB0-6EC4-5C55-46D48BAD7908}"/>
            </a:ext>
          </a:extLst>
        </xdr:cNvPr>
        <xdr:cNvCxnSpPr/>
      </xdr:nvCxnSpPr>
      <xdr:spPr>
        <a:xfrm>
          <a:off x="21320760" y="60960"/>
          <a:ext cx="15240" cy="8252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aa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4" workbookViewId="0">
      <selection activeCell="J22" sqref="J22"/>
    </sheetView>
  </sheetViews>
  <sheetFormatPr defaultRowHeight="13.2" x14ac:dyDescent="0.25"/>
  <cols>
    <col min="1" max="10" width="8.88671875" style="1"/>
    <col min="11" max="11" width="9.109375" style="1" bestFit="1" customWidth="1"/>
    <col min="12" max="16384" width="8.88671875" style="1"/>
  </cols>
  <sheetData>
    <row r="1" spans="1:11" ht="14.4" x14ac:dyDescent="0.3">
      <c r="A1" s="12" t="s">
        <v>158</v>
      </c>
    </row>
    <row r="10" spans="1:11" x14ac:dyDescent="0.25">
      <c r="I10" s="1" t="s">
        <v>0</v>
      </c>
      <c r="J10" s="1">
        <v>661.8</v>
      </c>
      <c r="K10" s="2">
        <v>45896</v>
      </c>
    </row>
    <row r="11" spans="1:11" x14ac:dyDescent="0.25">
      <c r="I11" s="1" t="s">
        <v>1</v>
      </c>
      <c r="J11" s="4">
        <f>Model!AI31</f>
        <v>279</v>
      </c>
    </row>
    <row r="12" spans="1:11" x14ac:dyDescent="0.25">
      <c r="I12" s="1" t="s">
        <v>2</v>
      </c>
      <c r="J12" s="4">
        <f>+J10*J11</f>
        <v>184642.19999999998</v>
      </c>
    </row>
    <row r="13" spans="1:11" x14ac:dyDescent="0.25">
      <c r="I13" s="1" t="s">
        <v>3</v>
      </c>
      <c r="J13" s="4">
        <f>Model!R70+Model!R71+Model!R77</f>
        <v>4646</v>
      </c>
      <c r="K13" s="1" t="s">
        <v>6</v>
      </c>
    </row>
    <row r="14" spans="1:11" x14ac:dyDescent="0.25">
      <c r="I14" s="1" t="s">
        <v>4</v>
      </c>
      <c r="J14" s="4">
        <f>Model!R85+Model!R91</f>
        <v>5973</v>
      </c>
      <c r="K14" s="1" t="s">
        <v>6</v>
      </c>
    </row>
    <row r="15" spans="1:11" x14ac:dyDescent="0.25">
      <c r="J15" s="4"/>
    </row>
    <row r="16" spans="1:11" x14ac:dyDescent="0.25">
      <c r="I16" s="1" t="s">
        <v>5</v>
      </c>
      <c r="J16" s="4">
        <f>J12-J13+J14</f>
        <v>185969.19999999998</v>
      </c>
    </row>
    <row r="18" spans="9:10" x14ac:dyDescent="0.25">
      <c r="I18" s="1" t="s">
        <v>162</v>
      </c>
      <c r="J18" s="15">
        <f>J12/Model!AI30</f>
        <v>47.723494443008526</v>
      </c>
    </row>
    <row r="19" spans="9:10" x14ac:dyDescent="0.25">
      <c r="I19" s="1" t="s">
        <v>163</v>
      </c>
      <c r="J19" s="15">
        <f>J16/Model!AI30</f>
        <v>48.066477125872311</v>
      </c>
    </row>
    <row r="20" spans="9:10" x14ac:dyDescent="0.25">
      <c r="I20" s="1" t="s">
        <v>164</v>
      </c>
      <c r="J20" s="16">
        <f>J12/Model!AI13</f>
        <v>9.8052254261589926</v>
      </c>
    </row>
    <row r="21" spans="9:10" x14ac:dyDescent="0.25">
      <c r="I21" s="1" t="s">
        <v>165</v>
      </c>
      <c r="J21" s="15">
        <f>J16/Model!AI13</f>
        <v>9.8756943338112677</v>
      </c>
    </row>
    <row r="22" spans="9:10" x14ac:dyDescent="0.25">
      <c r="I22" s="1" t="s">
        <v>166</v>
      </c>
      <c r="J22" s="15">
        <f>$J$12/Model!AJ30</f>
        <v>41.731011757048122</v>
      </c>
    </row>
    <row r="23" spans="9:10" x14ac:dyDescent="0.25">
      <c r="I23" s="1" t="s">
        <v>169</v>
      </c>
      <c r="J23" s="15">
        <f>$J$16/Model!AJ13</f>
        <v>8.7779288209194739</v>
      </c>
    </row>
    <row r="24" spans="9:10" x14ac:dyDescent="0.25">
      <c r="I24" s="1" t="s">
        <v>168</v>
      </c>
      <c r="J24" s="15">
        <f>$J$12/Model!AK30</f>
        <v>34.772542372881354</v>
      </c>
    </row>
    <row r="25" spans="9:10" x14ac:dyDescent="0.25">
      <c r="I25" s="1" t="s">
        <v>167</v>
      </c>
      <c r="J25" s="15">
        <f>$J$16/Model!AK13</f>
        <v>7.8072712006717033</v>
      </c>
    </row>
  </sheetData>
  <hyperlinks>
    <hyperlink ref="A1" r:id="rId1" xr:uid="{978F6E2F-F51B-4684-BA41-509E631E83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71D3-4DD5-4240-89DB-435CFFA7BF25}">
  <dimension ref="A1:BC160"/>
  <sheetViews>
    <sheetView workbookViewId="0">
      <pane xSplit="2" ySplit="2" topLeftCell="U9" activePane="bottomRight" state="frozen"/>
      <selection pane="topRight" activeCell="C1" sqref="C1"/>
      <selection pane="bottomLeft" activeCell="A3" sqref="A3"/>
      <selection pane="bottomRight" activeCell="B35" sqref="B35"/>
    </sheetView>
  </sheetViews>
  <sheetFormatPr defaultRowHeight="13.2" x14ac:dyDescent="0.25"/>
  <cols>
    <col min="1" max="16384" width="8.88671875" style="1"/>
  </cols>
  <sheetData>
    <row r="1" spans="1:55" ht="14.4" x14ac:dyDescent="0.3">
      <c r="A1" s="12" t="s">
        <v>157</v>
      </c>
      <c r="R1" s="7">
        <v>45869</v>
      </c>
    </row>
    <row r="2" spans="1:55" x14ac:dyDescent="0.25">
      <c r="C2" s="1" t="s">
        <v>26</v>
      </c>
      <c r="D2" s="1" t="s">
        <v>27</v>
      </c>
      <c r="E2" s="1" t="s">
        <v>28</v>
      </c>
      <c r="F2" s="1" t="s">
        <v>29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17</v>
      </c>
      <c r="L2" s="1" t="s">
        <v>16</v>
      </c>
      <c r="M2" s="1" t="s">
        <v>11</v>
      </c>
      <c r="N2" s="1" t="s">
        <v>10</v>
      </c>
      <c r="O2" s="1" t="s">
        <v>9</v>
      </c>
      <c r="P2" s="1" t="s">
        <v>8</v>
      </c>
      <c r="Q2" s="1" t="s">
        <v>7</v>
      </c>
      <c r="R2" s="1" t="s">
        <v>6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E2" s="1" t="s">
        <v>118</v>
      </c>
      <c r="AF2" s="1" t="s">
        <v>119</v>
      </c>
      <c r="AG2" s="1" t="s">
        <v>120</v>
      </c>
      <c r="AH2" s="1" t="s">
        <v>117</v>
      </c>
      <c r="AI2" s="1" t="s">
        <v>116</v>
      </c>
      <c r="AJ2" s="1" t="s">
        <v>121</v>
      </c>
      <c r="AK2" s="1" t="s">
        <v>122</v>
      </c>
      <c r="AL2" s="1" t="s">
        <v>123</v>
      </c>
      <c r="AM2" s="1" t="s">
        <v>124</v>
      </c>
      <c r="AN2" s="1" t="s">
        <v>125</v>
      </c>
      <c r="AO2" s="1" t="s">
        <v>126</v>
      </c>
      <c r="AP2" s="1" t="s">
        <v>127</v>
      </c>
      <c r="AQ2" s="1" t="s">
        <v>128</v>
      </c>
      <c r="AR2" s="1" t="s">
        <v>129</v>
      </c>
      <c r="AS2" s="1" t="s">
        <v>130</v>
      </c>
      <c r="AT2" s="1" t="s">
        <v>131</v>
      </c>
      <c r="AU2" s="1" t="s">
        <v>132</v>
      </c>
      <c r="AV2" s="1" t="s">
        <v>133</v>
      </c>
      <c r="AW2" s="1" t="s">
        <v>134</v>
      </c>
      <c r="AX2" s="1" t="s">
        <v>135</v>
      </c>
      <c r="AY2" s="1" t="s">
        <v>136</v>
      </c>
      <c r="AZ2" s="1" t="s">
        <v>137</v>
      </c>
      <c r="BA2" s="1" t="s">
        <v>138</v>
      </c>
      <c r="BB2" s="1" t="s">
        <v>139</v>
      </c>
      <c r="BC2" s="1" t="s">
        <v>140</v>
      </c>
    </row>
    <row r="3" spans="1:55" s="4" customFormat="1" ht="14.4" x14ac:dyDescent="0.3">
      <c r="B3" s="4" t="s">
        <v>151</v>
      </c>
      <c r="G3">
        <v>668</v>
      </c>
      <c r="H3" s="4">
        <v>696</v>
      </c>
      <c r="I3" s="4">
        <v>723</v>
      </c>
      <c r="J3" s="4">
        <v>762</v>
      </c>
      <c r="K3" s="4">
        <v>798</v>
      </c>
      <c r="L3" s="4">
        <v>826</v>
      </c>
      <c r="M3" s="4">
        <v>860</v>
      </c>
      <c r="N3" s="4">
        <v>895</v>
      </c>
      <c r="O3" s="4">
        <v>965</v>
      </c>
      <c r="P3" s="4">
        <v>1008</v>
      </c>
      <c r="Q3" s="4">
        <v>1044</v>
      </c>
      <c r="R3" s="4">
        <v>1103</v>
      </c>
      <c r="AG3" s="10">
        <v>2849</v>
      </c>
      <c r="AH3" s="4">
        <v>3379</v>
      </c>
      <c r="AI3" s="4">
        <v>4120</v>
      </c>
    </row>
    <row r="4" spans="1:55" s="4" customFormat="1" ht="14.4" x14ac:dyDescent="0.3">
      <c r="B4" s="4" t="s">
        <v>152</v>
      </c>
      <c r="G4">
        <v>681</v>
      </c>
      <c r="H4" s="4">
        <v>695</v>
      </c>
      <c r="I4" s="4">
        <v>745</v>
      </c>
      <c r="J4" s="4">
        <v>789</v>
      </c>
      <c r="K4" s="4">
        <v>820</v>
      </c>
      <c r="L4" s="4">
        <v>862</v>
      </c>
      <c r="M4" s="4">
        <v>894</v>
      </c>
      <c r="N4" s="4">
        <v>937</v>
      </c>
      <c r="O4" s="4">
        <v>978</v>
      </c>
      <c r="P4" s="4">
        <v>1030</v>
      </c>
      <c r="Q4" s="4">
        <v>1059</v>
      </c>
      <c r="R4" s="4">
        <v>1115</v>
      </c>
      <c r="AG4" s="10">
        <v>2910</v>
      </c>
      <c r="AH4" s="4">
        <v>3513</v>
      </c>
      <c r="AI4" s="4">
        <v>4182</v>
      </c>
    </row>
    <row r="5" spans="1:55" s="5" customFormat="1" x14ac:dyDescent="0.25">
      <c r="B5" s="11" t="s">
        <v>153</v>
      </c>
      <c r="C5" s="5">
        <f t="shared" ref="C5:Q5" si="0">SUM(C3:C4)</f>
        <v>0</v>
      </c>
      <c r="D5" s="5">
        <f t="shared" si="0"/>
        <v>0</v>
      </c>
      <c r="E5" s="5">
        <f t="shared" si="0"/>
        <v>0</v>
      </c>
      <c r="F5" s="5">
        <f t="shared" si="0"/>
        <v>0</v>
      </c>
      <c r="G5" s="5">
        <f t="shared" si="0"/>
        <v>1349</v>
      </c>
      <c r="H5" s="5">
        <f t="shared" si="0"/>
        <v>1391</v>
      </c>
      <c r="I5" s="5">
        <f t="shared" si="0"/>
        <v>1468</v>
      </c>
      <c r="J5" s="5">
        <f t="shared" si="0"/>
        <v>1551</v>
      </c>
      <c r="K5" s="5">
        <f t="shared" si="0"/>
        <v>1618</v>
      </c>
      <c r="L5" s="5">
        <f t="shared" si="0"/>
        <v>1688</v>
      </c>
      <c r="M5" s="5">
        <f t="shared" si="0"/>
        <v>1754</v>
      </c>
      <c r="N5" s="5">
        <f t="shared" si="0"/>
        <v>1832</v>
      </c>
      <c r="O5" s="5">
        <f t="shared" si="0"/>
        <v>1943</v>
      </c>
      <c r="P5" s="5">
        <f t="shared" si="0"/>
        <v>2038</v>
      </c>
      <c r="Q5" s="5">
        <f t="shared" si="0"/>
        <v>2103</v>
      </c>
      <c r="R5" s="5">
        <f>SUM(R3:R4)</f>
        <v>2218</v>
      </c>
      <c r="S5" s="5">
        <f t="shared" ref="S5" si="1">SUM(S3:S4)</f>
        <v>0</v>
      </c>
      <c r="AE5" s="5">
        <f t="shared" ref="AE5:AI5" si="2">SUM(AE3:AE4)</f>
        <v>0</v>
      </c>
      <c r="AF5" s="5">
        <f t="shared" si="2"/>
        <v>0</v>
      </c>
      <c r="AG5" s="5">
        <f t="shared" si="2"/>
        <v>5759</v>
      </c>
      <c r="AH5" s="5">
        <f t="shared" si="2"/>
        <v>6892</v>
      </c>
      <c r="AI5" s="5">
        <f t="shared" si="2"/>
        <v>8302</v>
      </c>
    </row>
    <row r="6" spans="1:55" s="4" customFormat="1" ht="14.4" x14ac:dyDescent="0.3">
      <c r="B6" s="4" t="s">
        <v>154</v>
      </c>
      <c r="G6">
        <v>375</v>
      </c>
      <c r="H6" s="4">
        <v>228</v>
      </c>
      <c r="I6" s="4">
        <v>292</v>
      </c>
      <c r="J6" s="4">
        <v>316</v>
      </c>
      <c r="K6" s="4">
        <v>467</v>
      </c>
      <c r="L6" s="4">
        <v>291</v>
      </c>
      <c r="M6" s="4">
        <v>363</v>
      </c>
      <c r="N6" s="4">
        <v>454</v>
      </c>
      <c r="O6" s="4">
        <v>329</v>
      </c>
      <c r="P6" s="4">
        <v>355</v>
      </c>
      <c r="Q6" s="4">
        <v>476</v>
      </c>
      <c r="R6" s="4">
        <v>512</v>
      </c>
      <c r="AG6" s="10">
        <v>1211</v>
      </c>
      <c r="AH6" s="4">
        <v>1575</v>
      </c>
      <c r="AI6" s="4">
        <v>1672</v>
      </c>
    </row>
    <row r="7" spans="1:55" s="4" customFormat="1" ht="14.4" x14ac:dyDescent="0.3">
      <c r="B7" s="4" t="s">
        <v>155</v>
      </c>
      <c r="G7">
        <v>264</v>
      </c>
      <c r="H7" s="4">
        <v>278</v>
      </c>
      <c r="I7" s="4">
        <v>261</v>
      </c>
      <c r="J7" s="4">
        <v>265</v>
      </c>
      <c r="K7" s="4">
        <v>259</v>
      </c>
      <c r="L7" s="4">
        <v>266</v>
      </c>
      <c r="M7" s="4">
        <v>270</v>
      </c>
      <c r="N7" s="4">
        <v>271</v>
      </c>
      <c r="O7" s="4">
        <v>272</v>
      </c>
      <c r="P7" s="4">
        <v>278</v>
      </c>
      <c r="Q7" s="4">
        <v>270</v>
      </c>
      <c r="R7" s="4">
        <v>283</v>
      </c>
      <c r="AG7" s="10">
        <v>1068</v>
      </c>
      <c r="AH7" s="4">
        <v>1066</v>
      </c>
      <c r="AI7" s="4">
        <v>1103</v>
      </c>
    </row>
    <row r="8" spans="1:55" s="5" customFormat="1" x14ac:dyDescent="0.25">
      <c r="B8" s="11" t="s">
        <v>156</v>
      </c>
      <c r="C8" s="5">
        <f t="shared" ref="C8:Q8" si="3">SUM(C6:C7)</f>
        <v>0</v>
      </c>
      <c r="D8" s="5">
        <f t="shared" si="3"/>
        <v>0</v>
      </c>
      <c r="E8" s="5">
        <f t="shared" si="3"/>
        <v>0</v>
      </c>
      <c r="F8" s="5">
        <f t="shared" si="3"/>
        <v>0</v>
      </c>
      <c r="G8" s="5">
        <f t="shared" si="3"/>
        <v>639</v>
      </c>
      <c r="H8" s="5">
        <f t="shared" si="3"/>
        <v>506</v>
      </c>
      <c r="I8" s="5">
        <f t="shared" si="3"/>
        <v>553</v>
      </c>
      <c r="J8" s="5">
        <f t="shared" si="3"/>
        <v>581</v>
      </c>
      <c r="K8" s="5">
        <f t="shared" si="3"/>
        <v>726</v>
      </c>
      <c r="L8" s="5">
        <f t="shared" si="3"/>
        <v>557</v>
      </c>
      <c r="M8" s="5">
        <f t="shared" si="3"/>
        <v>633</v>
      </c>
      <c r="N8" s="5">
        <f t="shared" si="3"/>
        <v>725</v>
      </c>
      <c r="O8" s="5">
        <f t="shared" si="3"/>
        <v>601</v>
      </c>
      <c r="P8" s="5">
        <f t="shared" si="3"/>
        <v>633</v>
      </c>
      <c r="Q8" s="5">
        <f t="shared" si="3"/>
        <v>746</v>
      </c>
      <c r="R8" s="5">
        <f>SUM(R6:R7)</f>
        <v>795</v>
      </c>
      <c r="S8" s="5">
        <f t="shared" ref="S8" si="4">SUM(S6:S7)</f>
        <v>0</v>
      </c>
      <c r="AE8" s="5">
        <f t="shared" ref="AE8:AI8" si="5">SUM(AE6:AE7)</f>
        <v>0</v>
      </c>
      <c r="AF8" s="5">
        <f t="shared" si="5"/>
        <v>0</v>
      </c>
      <c r="AG8" s="5">
        <f t="shared" si="5"/>
        <v>2279</v>
      </c>
      <c r="AH8" s="5">
        <f t="shared" si="5"/>
        <v>2641</v>
      </c>
      <c r="AI8" s="5">
        <f t="shared" si="5"/>
        <v>2775</v>
      </c>
    </row>
    <row r="9" spans="1:55" s="5" customFormat="1" x14ac:dyDescent="0.25">
      <c r="B9" s="5" t="s">
        <v>147</v>
      </c>
      <c r="C9" s="5">
        <f t="shared" ref="C9:R9" si="6">C5+C8</f>
        <v>0</v>
      </c>
      <c r="D9" s="5">
        <f t="shared" si="6"/>
        <v>0</v>
      </c>
      <c r="E9" s="5">
        <f t="shared" si="6"/>
        <v>0</v>
      </c>
      <c r="F9" s="5">
        <f t="shared" si="6"/>
        <v>0</v>
      </c>
      <c r="G9" s="5">
        <f t="shared" si="6"/>
        <v>1988</v>
      </c>
      <c r="H9" s="5">
        <f t="shared" si="6"/>
        <v>1897</v>
      </c>
      <c r="I9" s="5">
        <f t="shared" si="6"/>
        <v>2021</v>
      </c>
      <c r="J9" s="5">
        <f t="shared" si="6"/>
        <v>2132</v>
      </c>
      <c r="K9" s="5">
        <f t="shared" si="6"/>
        <v>2344</v>
      </c>
      <c r="L9" s="5">
        <f t="shared" si="6"/>
        <v>2245</v>
      </c>
      <c r="M9" s="5">
        <f t="shared" si="6"/>
        <v>2387</v>
      </c>
      <c r="N9" s="5">
        <f t="shared" si="6"/>
        <v>2557</v>
      </c>
      <c r="O9" s="5">
        <f t="shared" si="6"/>
        <v>2544</v>
      </c>
      <c r="P9" s="5">
        <f t="shared" si="6"/>
        <v>2671</v>
      </c>
      <c r="Q9" s="5">
        <f t="shared" si="6"/>
        <v>2849</v>
      </c>
      <c r="R9" s="5">
        <f t="shared" si="6"/>
        <v>3013</v>
      </c>
      <c r="S9" s="5">
        <f t="shared" ref="S9" si="7">S5+S8</f>
        <v>0</v>
      </c>
      <c r="AE9" s="5">
        <f t="shared" ref="AE9:AH9" si="8">AE5+AE8</f>
        <v>0</v>
      </c>
      <c r="AF9" s="5">
        <f t="shared" si="8"/>
        <v>0</v>
      </c>
      <c r="AG9" s="5">
        <f t="shared" si="8"/>
        <v>8038</v>
      </c>
      <c r="AH9" s="5">
        <f t="shared" si="8"/>
        <v>9533</v>
      </c>
      <c r="AI9" s="5">
        <f>AI5+AI8</f>
        <v>11077</v>
      </c>
    </row>
    <row r="10" spans="1:55" s="4" customFormat="1" ht="14.4" x14ac:dyDescent="0.3">
      <c r="B10" s="4" t="s">
        <v>148</v>
      </c>
      <c r="G10" s="9">
        <v>150</v>
      </c>
      <c r="H10" s="4">
        <v>516</v>
      </c>
      <c r="I10" s="4">
        <v>3341</v>
      </c>
      <c r="J10" s="4">
        <v>128</v>
      </c>
      <c r="K10" s="4">
        <v>187</v>
      </c>
      <c r="L10" s="4">
        <v>492</v>
      </c>
      <c r="M10" s="4">
        <v>3653</v>
      </c>
      <c r="N10" s="4">
        <v>113</v>
      </c>
      <c r="O10" s="4">
        <v>176</v>
      </c>
      <c r="P10" s="4">
        <v>509</v>
      </c>
      <c r="Q10" s="4">
        <v>4048</v>
      </c>
      <c r="R10" s="4">
        <v>137</v>
      </c>
      <c r="AG10" s="4">
        <v>4135</v>
      </c>
      <c r="AH10" s="4">
        <v>4445</v>
      </c>
      <c r="AI10" s="4">
        <v>4870</v>
      </c>
    </row>
    <row r="11" spans="1:55" s="4" customFormat="1" ht="14.4" x14ac:dyDescent="0.3">
      <c r="B11" s="4" t="s">
        <v>149</v>
      </c>
      <c r="G11" s="9">
        <v>425</v>
      </c>
      <c r="H11" s="4">
        <v>375</v>
      </c>
      <c r="I11" s="4">
        <v>410</v>
      </c>
      <c r="J11" s="4">
        <v>424</v>
      </c>
      <c r="K11" s="4">
        <v>405</v>
      </c>
      <c r="L11" s="4">
        <v>375</v>
      </c>
      <c r="M11" s="4">
        <v>443</v>
      </c>
      <c r="N11" s="4">
        <v>485</v>
      </c>
      <c r="O11" s="4">
        <v>524</v>
      </c>
      <c r="P11" s="4">
        <v>511</v>
      </c>
      <c r="Q11" s="4">
        <v>579</v>
      </c>
      <c r="R11" s="4">
        <v>649</v>
      </c>
      <c r="AG11" s="4">
        <v>1634</v>
      </c>
      <c r="AH11" s="4">
        <v>1708</v>
      </c>
      <c r="AI11" s="4">
        <v>2263</v>
      </c>
    </row>
    <row r="12" spans="1:55" s="4" customFormat="1" ht="14.4" x14ac:dyDescent="0.3">
      <c r="B12" s="4" t="s">
        <v>150</v>
      </c>
      <c r="G12" s="9">
        <v>34</v>
      </c>
      <c r="H12" s="4">
        <v>253</v>
      </c>
      <c r="I12" s="4">
        <v>246</v>
      </c>
      <c r="J12" s="4">
        <v>28</v>
      </c>
      <c r="K12" s="4">
        <v>42</v>
      </c>
      <c r="L12" s="4">
        <v>274</v>
      </c>
      <c r="M12" s="4">
        <v>254</v>
      </c>
      <c r="N12" s="4">
        <v>29</v>
      </c>
      <c r="O12" s="4">
        <v>39</v>
      </c>
      <c r="P12" s="4">
        <v>272</v>
      </c>
      <c r="Q12" s="4">
        <v>278</v>
      </c>
      <c r="R12" s="4">
        <v>32</v>
      </c>
      <c r="AG12" s="4">
        <v>561</v>
      </c>
      <c r="AH12" s="4">
        <v>599</v>
      </c>
      <c r="AI12" s="4">
        <v>621</v>
      </c>
    </row>
    <row r="13" spans="1:55" s="5" customFormat="1" x14ac:dyDescent="0.25">
      <c r="B13" s="5" t="s">
        <v>30</v>
      </c>
      <c r="C13" s="5">
        <f>SUM(C9:C12)</f>
        <v>0</v>
      </c>
      <c r="D13" s="5">
        <f t="shared" ref="D13:S13" si="9">SUM(D9:D12)</f>
        <v>0</v>
      </c>
      <c r="E13" s="5">
        <f t="shared" si="9"/>
        <v>0</v>
      </c>
      <c r="F13" s="5">
        <f t="shared" si="9"/>
        <v>0</v>
      </c>
      <c r="G13" s="5">
        <f t="shared" si="9"/>
        <v>2597</v>
      </c>
      <c r="H13" s="5">
        <f t="shared" si="9"/>
        <v>3041</v>
      </c>
      <c r="I13" s="5">
        <f t="shared" si="9"/>
        <v>6018</v>
      </c>
      <c r="J13" s="5">
        <f t="shared" si="9"/>
        <v>2712</v>
      </c>
      <c r="K13" s="5">
        <f t="shared" si="9"/>
        <v>2978</v>
      </c>
      <c r="L13" s="5">
        <f t="shared" si="9"/>
        <v>3386</v>
      </c>
      <c r="M13" s="5">
        <f t="shared" si="9"/>
        <v>6737</v>
      </c>
      <c r="N13" s="5">
        <f t="shared" si="9"/>
        <v>3184</v>
      </c>
      <c r="O13" s="5">
        <f t="shared" si="9"/>
        <v>3283</v>
      </c>
      <c r="P13" s="5">
        <f t="shared" si="9"/>
        <v>3963</v>
      </c>
      <c r="Q13" s="5">
        <f t="shared" si="9"/>
        <v>7754</v>
      </c>
      <c r="R13" s="5">
        <f t="shared" si="9"/>
        <v>3831</v>
      </c>
      <c r="S13" s="5">
        <f t="shared" si="9"/>
        <v>0</v>
      </c>
      <c r="AE13" s="5">
        <f t="shared" ref="AE13" si="10">SUM(AE9:AE12)</f>
        <v>0</v>
      </c>
      <c r="AF13" s="5">
        <f t="shared" ref="AF13" si="11">SUM(AF9:AF12)</f>
        <v>0</v>
      </c>
      <c r="AG13" s="5">
        <f t="shared" ref="AG13" si="12">SUM(AG9:AG12)</f>
        <v>14368</v>
      </c>
      <c r="AH13" s="5">
        <f t="shared" ref="AH13:AI13" si="13">SUM(AH9:AH12)</f>
        <v>16285</v>
      </c>
      <c r="AI13" s="5">
        <f t="shared" si="13"/>
        <v>18831</v>
      </c>
      <c r="AJ13" s="5">
        <v>21186</v>
      </c>
      <c r="AK13" s="5">
        <v>23820</v>
      </c>
    </row>
    <row r="14" spans="1:55" s="4" customFormat="1" x14ac:dyDescent="0.25">
      <c r="B14" s="4" t="s">
        <v>32</v>
      </c>
      <c r="N14" s="4">
        <v>733</v>
      </c>
      <c r="R14" s="4">
        <v>834</v>
      </c>
      <c r="AH14" s="4">
        <v>3250</v>
      </c>
      <c r="AI14" s="4">
        <v>3624</v>
      </c>
    </row>
    <row r="15" spans="1:55" s="4" customFormat="1" x14ac:dyDescent="0.25">
      <c r="B15" s="4" t="s">
        <v>33</v>
      </c>
      <c r="N15" s="4">
        <v>14</v>
      </c>
      <c r="R15" s="4">
        <v>16</v>
      </c>
      <c r="AH15" s="4">
        <v>69</v>
      </c>
      <c r="AI15" s="4">
        <v>68</v>
      </c>
    </row>
    <row r="16" spans="1:55" s="5" customFormat="1" x14ac:dyDescent="0.25">
      <c r="B16" s="5" t="s">
        <v>31</v>
      </c>
      <c r="C16" s="5">
        <f t="shared" ref="C16:Q16" si="14">SUM(C14:C15)</f>
        <v>0</v>
      </c>
      <c r="D16" s="5">
        <f t="shared" si="14"/>
        <v>0</v>
      </c>
      <c r="E16" s="5">
        <f t="shared" si="14"/>
        <v>0</v>
      </c>
      <c r="F16" s="5">
        <f t="shared" si="14"/>
        <v>0</v>
      </c>
      <c r="G16" s="5">
        <f t="shared" si="14"/>
        <v>0</v>
      </c>
      <c r="H16" s="5">
        <f t="shared" si="14"/>
        <v>0</v>
      </c>
      <c r="I16" s="5">
        <f t="shared" si="14"/>
        <v>0</v>
      </c>
      <c r="J16" s="5">
        <f t="shared" si="14"/>
        <v>0</v>
      </c>
      <c r="K16" s="5">
        <f t="shared" si="14"/>
        <v>0</v>
      </c>
      <c r="L16" s="5">
        <f t="shared" si="14"/>
        <v>0</v>
      </c>
      <c r="M16" s="5">
        <f t="shared" si="14"/>
        <v>0</v>
      </c>
      <c r="N16" s="5">
        <f t="shared" si="14"/>
        <v>747</v>
      </c>
      <c r="O16" s="5">
        <f t="shared" si="14"/>
        <v>0</v>
      </c>
      <c r="P16" s="5">
        <f t="shared" si="14"/>
        <v>0</v>
      </c>
      <c r="Q16" s="5">
        <f t="shared" si="14"/>
        <v>0</v>
      </c>
      <c r="R16" s="5">
        <f>SUM(R14:R15)</f>
        <v>850</v>
      </c>
      <c r="S16" s="5">
        <f t="shared" ref="S16" si="15">SUM(S14:S15)</f>
        <v>0</v>
      </c>
      <c r="AE16" s="5">
        <f t="shared" ref="AE16" si="16">SUM(AE14:AE15)</f>
        <v>0</v>
      </c>
      <c r="AF16" s="5">
        <f t="shared" ref="AF16" si="17">SUM(AF14:AF15)</f>
        <v>0</v>
      </c>
      <c r="AG16" s="5">
        <f t="shared" ref="AG16" si="18">SUM(AG14:AG15)</f>
        <v>0</v>
      </c>
      <c r="AH16" s="5">
        <f t="shared" ref="AH16:AI16" si="19">SUM(AH14:AH15)</f>
        <v>3319</v>
      </c>
      <c r="AI16" s="5">
        <f t="shared" si="19"/>
        <v>3692</v>
      </c>
    </row>
    <row r="17" spans="2:37" s="5" customFormat="1" x14ac:dyDescent="0.25">
      <c r="B17" s="5" t="s">
        <v>34</v>
      </c>
      <c r="C17" s="5">
        <f t="shared" ref="C17:Q17" si="20">C13-C16</f>
        <v>0</v>
      </c>
      <c r="D17" s="5">
        <f t="shared" si="20"/>
        <v>0</v>
      </c>
      <c r="E17" s="5">
        <f t="shared" si="20"/>
        <v>0</v>
      </c>
      <c r="F17" s="5">
        <f t="shared" si="20"/>
        <v>0</v>
      </c>
      <c r="G17" s="5">
        <f t="shared" si="20"/>
        <v>2597</v>
      </c>
      <c r="H17" s="5">
        <f t="shared" si="20"/>
        <v>3041</v>
      </c>
      <c r="I17" s="5">
        <f t="shared" si="20"/>
        <v>6018</v>
      </c>
      <c r="J17" s="5">
        <f t="shared" si="20"/>
        <v>2712</v>
      </c>
      <c r="K17" s="5">
        <f t="shared" si="20"/>
        <v>2978</v>
      </c>
      <c r="L17" s="5">
        <f t="shared" si="20"/>
        <v>3386</v>
      </c>
      <c r="M17" s="5">
        <f t="shared" si="20"/>
        <v>6737</v>
      </c>
      <c r="N17" s="5">
        <f t="shared" si="20"/>
        <v>2437</v>
      </c>
      <c r="O17" s="5">
        <f t="shared" si="20"/>
        <v>3283</v>
      </c>
      <c r="P17" s="5">
        <f t="shared" si="20"/>
        <v>3963</v>
      </c>
      <c r="Q17" s="5">
        <f t="shared" si="20"/>
        <v>7754</v>
      </c>
      <c r="R17" s="5">
        <f>R13-R16</f>
        <v>2981</v>
      </c>
      <c r="S17" s="5">
        <f t="shared" ref="S17" si="21">S13-S16</f>
        <v>0</v>
      </c>
      <c r="AE17" s="5">
        <f t="shared" ref="AE17" si="22">AE13-AE16</f>
        <v>0</v>
      </c>
      <c r="AF17" s="5">
        <f t="shared" ref="AF17" si="23">AF13-AF16</f>
        <v>0</v>
      </c>
      <c r="AG17" s="5">
        <f t="shared" ref="AG17" si="24">AG13-AG16</f>
        <v>14368</v>
      </c>
      <c r="AH17" s="5">
        <f t="shared" ref="AH17:AI17" si="25">AH13-AH16</f>
        <v>12966</v>
      </c>
      <c r="AI17" s="5">
        <f t="shared" si="25"/>
        <v>15139</v>
      </c>
    </row>
    <row r="18" spans="2:37" s="4" customFormat="1" x14ac:dyDescent="0.25">
      <c r="B18" s="4" t="s">
        <v>38</v>
      </c>
      <c r="N18" s="4">
        <v>36</v>
      </c>
      <c r="R18" s="4">
        <v>44</v>
      </c>
      <c r="AH18" s="4">
        <v>146</v>
      </c>
      <c r="AI18" s="4">
        <v>156</v>
      </c>
    </row>
    <row r="19" spans="2:37" s="4" customFormat="1" x14ac:dyDescent="0.25">
      <c r="B19" s="4" t="s">
        <v>35</v>
      </c>
      <c r="N19" s="4">
        <v>1104</v>
      </c>
      <c r="R19" s="4">
        <v>1251</v>
      </c>
      <c r="AH19" s="4">
        <v>4312</v>
      </c>
      <c r="AI19" s="4">
        <v>5035</v>
      </c>
    </row>
    <row r="20" spans="2:37" s="4" customFormat="1" x14ac:dyDescent="0.25">
      <c r="B20" s="4" t="s">
        <v>36</v>
      </c>
      <c r="N20" s="4">
        <v>725</v>
      </c>
      <c r="R20" s="4">
        <v>801</v>
      </c>
      <c r="AH20" s="4">
        <v>2754</v>
      </c>
      <c r="AI20" s="4">
        <v>2928</v>
      </c>
    </row>
    <row r="21" spans="2:37" s="4" customFormat="1" x14ac:dyDescent="0.25">
      <c r="B21" s="4" t="s">
        <v>37</v>
      </c>
      <c r="N21" s="4">
        <v>377</v>
      </c>
      <c r="R21" s="4">
        <v>424</v>
      </c>
      <c r="AH21" s="4">
        <v>1418</v>
      </c>
      <c r="AI21" s="4">
        <v>1601</v>
      </c>
    </row>
    <row r="22" spans="2:37" s="4" customFormat="1" x14ac:dyDescent="0.25">
      <c r="B22" s="4" t="s">
        <v>39</v>
      </c>
      <c r="N22" s="4">
        <v>123</v>
      </c>
      <c r="R22" s="4">
        <v>121</v>
      </c>
      <c r="AH22" s="4">
        <v>483</v>
      </c>
      <c r="AI22" s="4">
        <v>481</v>
      </c>
    </row>
    <row r="23" spans="2:37" s="4" customFormat="1" x14ac:dyDescent="0.25">
      <c r="B23" s="4" t="s">
        <v>40</v>
      </c>
      <c r="N23" s="4">
        <v>223</v>
      </c>
      <c r="R23" s="4">
        <v>1</v>
      </c>
      <c r="AH23" s="4">
        <v>223</v>
      </c>
      <c r="AI23" s="4">
        <v>15</v>
      </c>
    </row>
    <row r="24" spans="2:37" s="5" customFormat="1" x14ac:dyDescent="0.25">
      <c r="B24" s="5" t="s">
        <v>41</v>
      </c>
      <c r="C24" s="5">
        <f t="shared" ref="C24:Q24" si="26">SUM(C18:C23)</f>
        <v>0</v>
      </c>
      <c r="D24" s="5">
        <f t="shared" si="26"/>
        <v>0</v>
      </c>
      <c r="E24" s="5">
        <f t="shared" si="26"/>
        <v>0</v>
      </c>
      <c r="F24" s="5">
        <f t="shared" si="26"/>
        <v>0</v>
      </c>
      <c r="G24" s="5">
        <f t="shared" si="26"/>
        <v>0</v>
      </c>
      <c r="H24" s="5">
        <f t="shared" si="26"/>
        <v>0</v>
      </c>
      <c r="I24" s="5">
        <f t="shared" si="26"/>
        <v>0</v>
      </c>
      <c r="J24" s="5">
        <f t="shared" si="26"/>
        <v>0</v>
      </c>
      <c r="K24" s="5">
        <f t="shared" si="26"/>
        <v>0</v>
      </c>
      <c r="L24" s="5">
        <f t="shared" si="26"/>
        <v>0</v>
      </c>
      <c r="M24" s="5">
        <f t="shared" si="26"/>
        <v>0</v>
      </c>
      <c r="N24" s="5">
        <f t="shared" si="26"/>
        <v>2588</v>
      </c>
      <c r="O24" s="5">
        <f t="shared" si="26"/>
        <v>0</v>
      </c>
      <c r="P24" s="5">
        <f t="shared" si="26"/>
        <v>0</v>
      </c>
      <c r="Q24" s="5">
        <f t="shared" si="26"/>
        <v>0</v>
      </c>
      <c r="R24" s="5">
        <f>SUM(R18:R23)</f>
        <v>2642</v>
      </c>
      <c r="S24" s="5">
        <f t="shared" ref="S24" si="27">SUM(S18:S23)</f>
        <v>0</v>
      </c>
      <c r="AE24" s="5">
        <f t="shared" ref="AE24" si="28">SUM(AE18:AE23)</f>
        <v>0</v>
      </c>
      <c r="AF24" s="5">
        <f t="shared" ref="AF24" si="29">SUM(AF18:AF23)</f>
        <v>0</v>
      </c>
      <c r="AG24" s="5">
        <f t="shared" ref="AG24" si="30">SUM(AG18:AG23)</f>
        <v>0</v>
      </c>
      <c r="AH24" s="5">
        <f t="shared" ref="AH24:AI24" si="31">SUM(AH18:AH23)</f>
        <v>9336</v>
      </c>
      <c r="AI24" s="5">
        <f t="shared" si="31"/>
        <v>10216</v>
      </c>
    </row>
    <row r="25" spans="2:37" s="5" customFormat="1" x14ac:dyDescent="0.25">
      <c r="B25" s="5" t="s">
        <v>42</v>
      </c>
      <c r="C25" s="5">
        <f t="shared" ref="C25:Q25" si="32">C17-C24</f>
        <v>0</v>
      </c>
      <c r="D25" s="5">
        <f t="shared" si="32"/>
        <v>0</v>
      </c>
      <c r="E25" s="5">
        <f t="shared" si="32"/>
        <v>0</v>
      </c>
      <c r="F25" s="5">
        <f t="shared" si="32"/>
        <v>0</v>
      </c>
      <c r="G25" s="5">
        <f t="shared" si="32"/>
        <v>2597</v>
      </c>
      <c r="H25" s="5">
        <f t="shared" si="32"/>
        <v>3041</v>
      </c>
      <c r="I25" s="5">
        <f t="shared" si="32"/>
        <v>6018</v>
      </c>
      <c r="J25" s="5">
        <f t="shared" si="32"/>
        <v>2712</v>
      </c>
      <c r="K25" s="5">
        <f t="shared" si="32"/>
        <v>2978</v>
      </c>
      <c r="L25" s="5">
        <f t="shared" si="32"/>
        <v>3386</v>
      </c>
      <c r="M25" s="5">
        <f t="shared" si="32"/>
        <v>6737</v>
      </c>
      <c r="N25" s="5">
        <f t="shared" si="32"/>
        <v>-151</v>
      </c>
      <c r="O25" s="5">
        <f t="shared" si="32"/>
        <v>3283</v>
      </c>
      <c r="P25" s="5">
        <f t="shared" si="32"/>
        <v>3963</v>
      </c>
      <c r="Q25" s="5">
        <f t="shared" si="32"/>
        <v>7754</v>
      </c>
      <c r="R25" s="5">
        <f>R17-R24</f>
        <v>339</v>
      </c>
      <c r="S25" s="5">
        <f t="shared" ref="S25" si="33">S17-S24</f>
        <v>0</v>
      </c>
      <c r="AE25" s="5">
        <f t="shared" ref="AE25" si="34">AE17-AE24</f>
        <v>0</v>
      </c>
      <c r="AF25" s="5">
        <f t="shared" ref="AF25" si="35">AF17-AF24</f>
        <v>0</v>
      </c>
      <c r="AG25" s="5">
        <f t="shared" ref="AG25" si="36">AG17-AG24</f>
        <v>14368</v>
      </c>
      <c r="AH25" s="5">
        <f t="shared" ref="AH25:AI25" si="37">AH17-AH24</f>
        <v>3630</v>
      </c>
      <c r="AI25" s="5">
        <f t="shared" si="37"/>
        <v>4923</v>
      </c>
    </row>
    <row r="26" spans="2:37" s="4" customFormat="1" ht="14.4" x14ac:dyDescent="0.3">
      <c r="B26" s="4" t="s">
        <v>43</v>
      </c>
      <c r="G26" s="9">
        <v>-49</v>
      </c>
      <c r="H26" s="4">
        <v>-65</v>
      </c>
      <c r="I26" s="4">
        <v>-66</v>
      </c>
      <c r="J26" s="4">
        <v>-68</v>
      </c>
      <c r="K26" s="4">
        <v>-65</v>
      </c>
      <c r="L26" s="4">
        <v>-57</v>
      </c>
      <c r="M26" s="4">
        <v>-60</v>
      </c>
      <c r="N26" s="4">
        <v>-60</v>
      </c>
      <c r="O26" s="4">
        <v>-60</v>
      </c>
      <c r="P26" s="4">
        <v>-60</v>
      </c>
      <c r="Q26" s="4">
        <v>-68</v>
      </c>
      <c r="R26" s="4">
        <v>-59</v>
      </c>
      <c r="AG26" s="4">
        <v>-248</v>
      </c>
      <c r="AH26" s="4">
        <v>-242</v>
      </c>
      <c r="AI26" s="4">
        <v>-247</v>
      </c>
    </row>
    <row r="27" spans="2:37" s="4" customFormat="1" ht="14.4" x14ac:dyDescent="0.3">
      <c r="B27" s="4" t="s">
        <v>44</v>
      </c>
      <c r="G27" s="9">
        <v>5</v>
      </c>
      <c r="H27" s="4">
        <v>23</v>
      </c>
      <c r="I27" s="4">
        <v>22</v>
      </c>
      <c r="J27" s="4">
        <v>46</v>
      </c>
      <c r="K27" s="4">
        <v>22</v>
      </c>
      <c r="L27" s="4">
        <v>42</v>
      </c>
      <c r="M27" s="4">
        <v>27</v>
      </c>
      <c r="N27" s="4">
        <v>71</v>
      </c>
      <c r="O27" s="4">
        <v>2</v>
      </c>
      <c r="P27" s="4">
        <v>38</v>
      </c>
      <c r="Q27" s="4">
        <v>32</v>
      </c>
      <c r="R27" s="4">
        <v>86</v>
      </c>
      <c r="AG27" s="4">
        <v>96</v>
      </c>
      <c r="AH27" s="4">
        <v>162</v>
      </c>
      <c r="AI27" s="4">
        <v>158</v>
      </c>
    </row>
    <row r="28" spans="2:37" s="5" customFormat="1" x14ac:dyDescent="0.25">
      <c r="B28" s="5" t="s">
        <v>45</v>
      </c>
      <c r="C28" s="5">
        <f>C25+C26+C27</f>
        <v>0</v>
      </c>
      <c r="D28" s="5">
        <f t="shared" ref="D28:S28" si="38">D25+D26+D27</f>
        <v>0</v>
      </c>
      <c r="E28" s="5">
        <f t="shared" si="38"/>
        <v>0</v>
      </c>
      <c r="F28" s="5">
        <f t="shared" si="38"/>
        <v>0</v>
      </c>
      <c r="G28" s="5">
        <f t="shared" si="38"/>
        <v>2553</v>
      </c>
      <c r="H28" s="5">
        <f t="shared" si="38"/>
        <v>2999</v>
      </c>
      <c r="I28" s="5">
        <f t="shared" si="38"/>
        <v>5974</v>
      </c>
      <c r="J28" s="5">
        <f t="shared" si="38"/>
        <v>2690</v>
      </c>
      <c r="K28" s="5">
        <f t="shared" si="38"/>
        <v>2935</v>
      </c>
      <c r="L28" s="5">
        <f t="shared" si="38"/>
        <v>3371</v>
      </c>
      <c r="M28" s="5">
        <f t="shared" si="38"/>
        <v>6704</v>
      </c>
      <c r="N28" s="5">
        <f t="shared" si="38"/>
        <v>-140</v>
      </c>
      <c r="O28" s="5">
        <f t="shared" si="38"/>
        <v>3225</v>
      </c>
      <c r="P28" s="5">
        <f t="shared" si="38"/>
        <v>3941</v>
      </c>
      <c r="Q28" s="5">
        <f t="shared" si="38"/>
        <v>7718</v>
      </c>
      <c r="R28" s="5">
        <f t="shared" si="38"/>
        <v>366</v>
      </c>
      <c r="S28" s="5">
        <f t="shared" si="38"/>
        <v>0</v>
      </c>
      <c r="AE28" s="5">
        <f t="shared" ref="AE28" si="39">AE25+AE26+AE27</f>
        <v>0</v>
      </c>
      <c r="AF28" s="5">
        <f t="shared" ref="AF28" si="40">AF25+AF26+AF27</f>
        <v>0</v>
      </c>
      <c r="AG28" s="5">
        <f t="shared" ref="AG28" si="41">AG25+AG26+AG27</f>
        <v>14216</v>
      </c>
      <c r="AH28" s="5">
        <f t="shared" ref="AH28" si="42">AH25+AH26+AH27</f>
        <v>3550</v>
      </c>
      <c r="AI28" s="5">
        <f t="shared" ref="AI28" si="43">AI25+AI26+AI27</f>
        <v>4834</v>
      </c>
    </row>
    <row r="29" spans="2:37" s="4" customFormat="1" x14ac:dyDescent="0.25">
      <c r="B29" s="4" t="s">
        <v>46</v>
      </c>
      <c r="N29" s="4">
        <v>-120</v>
      </c>
      <c r="R29" s="4">
        <v>-15</v>
      </c>
      <c r="AH29" s="4">
        <v>587</v>
      </c>
      <c r="AI29" s="4">
        <v>965</v>
      </c>
    </row>
    <row r="30" spans="2:37" s="5" customFormat="1" x14ac:dyDescent="0.25">
      <c r="B30" s="5" t="s">
        <v>47</v>
      </c>
      <c r="C30" s="5">
        <f t="shared" ref="C30:Q30" si="44">+C28-C29</f>
        <v>0</v>
      </c>
      <c r="D30" s="5">
        <f t="shared" si="44"/>
        <v>0</v>
      </c>
      <c r="E30" s="5">
        <f t="shared" si="44"/>
        <v>0</v>
      </c>
      <c r="F30" s="5">
        <f t="shared" si="44"/>
        <v>0</v>
      </c>
      <c r="G30" s="5">
        <f t="shared" si="44"/>
        <v>2553</v>
      </c>
      <c r="H30" s="5">
        <f t="shared" si="44"/>
        <v>2999</v>
      </c>
      <c r="I30" s="5">
        <f t="shared" si="44"/>
        <v>5974</v>
      </c>
      <c r="J30" s="5">
        <f t="shared" si="44"/>
        <v>2690</v>
      </c>
      <c r="K30" s="5">
        <f t="shared" si="44"/>
        <v>2935</v>
      </c>
      <c r="L30" s="5">
        <f t="shared" si="44"/>
        <v>3371</v>
      </c>
      <c r="M30" s="5">
        <f t="shared" si="44"/>
        <v>6704</v>
      </c>
      <c r="N30" s="5">
        <f t="shared" si="44"/>
        <v>-20</v>
      </c>
      <c r="O30" s="5">
        <f t="shared" si="44"/>
        <v>3225</v>
      </c>
      <c r="P30" s="5">
        <f t="shared" si="44"/>
        <v>3941</v>
      </c>
      <c r="Q30" s="5">
        <f t="shared" si="44"/>
        <v>7718</v>
      </c>
      <c r="R30" s="5">
        <f>+R28-R29</f>
        <v>381</v>
      </c>
      <c r="S30" s="5">
        <f t="shared" ref="S30" si="45">+S28-S29</f>
        <v>0</v>
      </c>
      <c r="AE30" s="5">
        <f t="shared" ref="AE30" si="46">+AE28-AE29</f>
        <v>0</v>
      </c>
      <c r="AF30" s="5">
        <f t="shared" ref="AF30" si="47">+AF28-AF29</f>
        <v>0</v>
      </c>
      <c r="AG30" s="5">
        <f t="shared" ref="AG30" si="48">+AG28-AG29</f>
        <v>14216</v>
      </c>
      <c r="AH30" s="5">
        <f t="shared" ref="AH30:AI30" si="49">+AH28-AH29</f>
        <v>2963</v>
      </c>
      <c r="AI30" s="5">
        <f t="shared" si="49"/>
        <v>3869</v>
      </c>
      <c r="AJ30" s="5">
        <v>4424.58</v>
      </c>
      <c r="AK30" s="5">
        <v>5310</v>
      </c>
    </row>
    <row r="31" spans="2:37" s="4" customFormat="1" ht="14.4" x14ac:dyDescent="0.3">
      <c r="B31" s="4" t="s">
        <v>1</v>
      </c>
      <c r="G31">
        <v>281</v>
      </c>
      <c r="H31" s="4">
        <v>281</v>
      </c>
      <c r="I31" s="4">
        <v>281</v>
      </c>
      <c r="J31" s="4">
        <v>280</v>
      </c>
      <c r="K31" s="4">
        <v>280</v>
      </c>
      <c r="L31" s="4">
        <v>280</v>
      </c>
      <c r="M31" s="4">
        <v>280</v>
      </c>
      <c r="N31" s="4">
        <v>280</v>
      </c>
      <c r="O31" s="4">
        <v>280</v>
      </c>
      <c r="P31" s="4">
        <v>280</v>
      </c>
      <c r="Q31" s="4">
        <v>280</v>
      </c>
      <c r="R31" s="4">
        <v>279</v>
      </c>
      <c r="AG31" s="4">
        <v>281</v>
      </c>
      <c r="AH31" s="4">
        <v>280</v>
      </c>
      <c r="AI31" s="4">
        <v>279</v>
      </c>
      <c r="AJ31" s="4">
        <v>279</v>
      </c>
      <c r="AK31" s="4">
        <v>279</v>
      </c>
    </row>
    <row r="32" spans="2:37" s="6" customFormat="1" x14ac:dyDescent="0.25">
      <c r="B32" s="6" t="s">
        <v>48</v>
      </c>
      <c r="C32" s="6" t="e">
        <f t="shared" ref="C32:R32" si="50">+C30/C31</f>
        <v>#DIV/0!</v>
      </c>
      <c r="D32" s="6" t="e">
        <f t="shared" si="50"/>
        <v>#DIV/0!</v>
      </c>
      <c r="E32" s="6" t="e">
        <f t="shared" si="50"/>
        <v>#DIV/0!</v>
      </c>
      <c r="F32" s="6" t="e">
        <f t="shared" si="50"/>
        <v>#DIV/0!</v>
      </c>
      <c r="G32" s="6">
        <f t="shared" si="50"/>
        <v>9.0854092526690398</v>
      </c>
      <c r="H32" s="6">
        <f t="shared" si="50"/>
        <v>10.672597864768683</v>
      </c>
      <c r="I32" s="6">
        <f t="shared" si="50"/>
        <v>21.259786476868328</v>
      </c>
      <c r="J32" s="6">
        <f t="shared" si="50"/>
        <v>9.6071428571428577</v>
      </c>
      <c r="K32" s="6">
        <f t="shared" si="50"/>
        <v>10.482142857142858</v>
      </c>
      <c r="L32" s="6">
        <f t="shared" si="50"/>
        <v>12.039285714285715</v>
      </c>
      <c r="M32" s="6">
        <f t="shared" si="50"/>
        <v>23.942857142857143</v>
      </c>
      <c r="N32" s="6">
        <f t="shared" si="50"/>
        <v>-7.1428571428571425E-2</v>
      </c>
      <c r="O32" s="6">
        <f t="shared" si="50"/>
        <v>11.517857142857142</v>
      </c>
      <c r="P32" s="6">
        <f t="shared" si="50"/>
        <v>14.074999999999999</v>
      </c>
      <c r="Q32" s="6">
        <f t="shared" si="50"/>
        <v>27.564285714285713</v>
      </c>
      <c r="R32" s="6">
        <f t="shared" si="50"/>
        <v>1.3655913978494623</v>
      </c>
      <c r="S32" s="6" t="e">
        <f>+S30/S31</f>
        <v>#DIV/0!</v>
      </c>
      <c r="AE32" s="6" t="e">
        <f t="shared" ref="AE32" si="51">+AE30/AE31</f>
        <v>#DIV/0!</v>
      </c>
      <c r="AF32" s="6" t="e">
        <f>+AF30/AF31</f>
        <v>#DIV/0!</v>
      </c>
      <c r="AG32" s="6">
        <f t="shared" ref="AG32:AJ32" si="52">+AG30/AG31</f>
        <v>50.590747330960852</v>
      </c>
      <c r="AH32" s="6">
        <f t="shared" si="52"/>
        <v>10.582142857142857</v>
      </c>
      <c r="AI32" s="6">
        <f t="shared" si="52"/>
        <v>13.867383512544803</v>
      </c>
      <c r="AJ32" s="6">
        <f>+AJ30/AJ31</f>
        <v>15.858709677419355</v>
      </c>
      <c r="AK32" s="6">
        <f t="shared" ref="AK32" si="53">+AK30/AK31</f>
        <v>19.032258064516128</v>
      </c>
    </row>
    <row r="35" spans="2:19" s="8" customFormat="1" x14ac:dyDescent="0.25">
      <c r="B35" s="8" t="s">
        <v>49</v>
      </c>
      <c r="N35" s="8">
        <f>N17/N13</f>
        <v>0.76538944723618085</v>
      </c>
      <c r="R35" s="8">
        <f>R17/R13</f>
        <v>0.77812581571391282</v>
      </c>
      <c r="S35" s="8" t="e">
        <f>S17/S13</f>
        <v>#DIV/0!</v>
      </c>
    </row>
    <row r="36" spans="2:19" s="8" customFormat="1" x14ac:dyDescent="0.25">
      <c r="B36" s="8" t="s">
        <v>50</v>
      </c>
      <c r="N36" s="8">
        <f>N25/N13</f>
        <v>-4.7424623115577887E-2</v>
      </c>
      <c r="R36" s="8">
        <f>R25/R13</f>
        <v>8.848864526233359E-2</v>
      </c>
      <c r="S36" s="8" t="e">
        <f>S25/S13</f>
        <v>#DIV/0!</v>
      </c>
    </row>
    <row r="37" spans="2:19" s="8" customFormat="1" x14ac:dyDescent="0.25">
      <c r="B37" s="8" t="s">
        <v>51</v>
      </c>
      <c r="N37" s="8">
        <f>N29/N28</f>
        <v>0.8571428571428571</v>
      </c>
      <c r="R37" s="8">
        <f>R29/R28</f>
        <v>-4.0983606557377046E-2</v>
      </c>
      <c r="S37" s="8" t="e">
        <f>S29/S28</f>
        <v>#DIV/0!</v>
      </c>
    </row>
    <row r="38" spans="2:19" s="8" customFormat="1" x14ac:dyDescent="0.25">
      <c r="B38" s="8" t="s">
        <v>52</v>
      </c>
      <c r="N38" s="8">
        <f>N30/N13</f>
        <v>-6.2814070351758797E-3</v>
      </c>
      <c r="R38" s="8">
        <f>R30/R13</f>
        <v>9.9451840250587314E-2</v>
      </c>
      <c r="S38" s="8" t="e">
        <f>S30/S13</f>
        <v>#DIV/0!</v>
      </c>
    </row>
    <row r="39" spans="2:19" s="8" customFormat="1" x14ac:dyDescent="0.25"/>
    <row r="40" spans="2:19" s="8" customFormat="1" x14ac:dyDescent="0.25">
      <c r="B40" s="8" t="s">
        <v>160</v>
      </c>
    </row>
    <row r="41" spans="2:19" s="8" customFormat="1" x14ac:dyDescent="0.25">
      <c r="B41" s="8" t="s">
        <v>151</v>
      </c>
      <c r="K41" s="8">
        <f t="shared" ref="K41:Q41" si="54">K3/G3-1</f>
        <v>0.1946107784431137</v>
      </c>
      <c r="L41" s="8">
        <f t="shared" si="54"/>
        <v>0.18678160919540221</v>
      </c>
      <c r="M41" s="8">
        <f t="shared" si="54"/>
        <v>0.18948824343015214</v>
      </c>
      <c r="N41" s="8">
        <f t="shared" si="54"/>
        <v>0.17454068241469822</v>
      </c>
      <c r="O41" s="8">
        <f t="shared" si="54"/>
        <v>0.2092731829573935</v>
      </c>
      <c r="P41" s="8">
        <f t="shared" si="54"/>
        <v>0.22033898305084754</v>
      </c>
      <c r="Q41" s="8">
        <f t="shared" si="54"/>
        <v>0.21395348837209305</v>
      </c>
      <c r="R41" s="8">
        <f>R3/N3-1</f>
        <v>0.23240223463687149</v>
      </c>
      <c r="S41" s="8">
        <f>S3/O3-1</f>
        <v>-1</v>
      </c>
    </row>
    <row r="42" spans="2:19" s="8" customFormat="1" x14ac:dyDescent="0.25">
      <c r="B42" s="8" t="s">
        <v>152</v>
      </c>
      <c r="K42" s="8">
        <f t="shared" ref="K42:Q42" si="55">K4/G4-1</f>
        <v>0.20411160058737154</v>
      </c>
      <c r="L42" s="8">
        <f t="shared" si="55"/>
        <v>0.24028776978417277</v>
      </c>
      <c r="M42" s="8">
        <f t="shared" si="55"/>
        <v>0.19999999999999996</v>
      </c>
      <c r="N42" s="8">
        <f t="shared" si="55"/>
        <v>0.18757921419518375</v>
      </c>
      <c r="O42" s="8">
        <f t="shared" si="55"/>
        <v>0.19268292682926824</v>
      </c>
      <c r="P42" s="8">
        <f t="shared" si="55"/>
        <v>0.19489559164733183</v>
      </c>
      <c r="Q42" s="8">
        <f t="shared" si="55"/>
        <v>0.18456375838926165</v>
      </c>
      <c r="R42" s="8">
        <f>R4/N4-1</f>
        <v>0.18996798292422623</v>
      </c>
      <c r="S42" s="8">
        <f>S4/O4-1</f>
        <v>-1</v>
      </c>
    </row>
    <row r="43" spans="2:19" s="8" customFormat="1" x14ac:dyDescent="0.25">
      <c r="B43" s="14" t="s">
        <v>153</v>
      </c>
      <c r="K43" s="8">
        <f t="shared" ref="K43:Q43" si="56">K5/G5-1</f>
        <v>0.19940696812453673</v>
      </c>
      <c r="L43" s="8">
        <f t="shared" si="56"/>
        <v>0.21351545650611081</v>
      </c>
      <c r="M43" s="8">
        <f t="shared" si="56"/>
        <v>0.19482288828337868</v>
      </c>
      <c r="N43" s="8">
        <f t="shared" si="56"/>
        <v>0.18117343649258544</v>
      </c>
      <c r="O43" s="8">
        <f t="shared" si="56"/>
        <v>0.2008652657601977</v>
      </c>
      <c r="P43" s="8">
        <f t="shared" si="56"/>
        <v>0.20734597156398094</v>
      </c>
      <c r="Q43" s="8">
        <f t="shared" si="56"/>
        <v>0.19897377423033058</v>
      </c>
      <c r="R43" s="8">
        <f>R5/N5-1</f>
        <v>0.2106986899563319</v>
      </c>
      <c r="S43" s="8">
        <f>S5/O5-1</f>
        <v>-1</v>
      </c>
    </row>
    <row r="44" spans="2:19" s="8" customFormat="1" x14ac:dyDescent="0.25">
      <c r="B44" s="8" t="s">
        <v>154</v>
      </c>
      <c r="K44" s="8">
        <f t="shared" ref="K44:Q44" si="57">K6/G6-1</f>
        <v>0.2453333333333334</v>
      </c>
      <c r="L44" s="8">
        <f t="shared" si="57"/>
        <v>0.27631578947368429</v>
      </c>
      <c r="M44" s="8">
        <f t="shared" si="57"/>
        <v>0.24315068493150682</v>
      </c>
      <c r="N44" s="8">
        <f t="shared" si="57"/>
        <v>0.43670886075949378</v>
      </c>
      <c r="O44" s="8">
        <f t="shared" si="57"/>
        <v>-0.2955032119914347</v>
      </c>
      <c r="P44" s="8">
        <f t="shared" si="57"/>
        <v>0.21993127147766334</v>
      </c>
      <c r="Q44" s="8">
        <f t="shared" si="57"/>
        <v>0.31129476584022031</v>
      </c>
      <c r="R44" s="8">
        <f>R6/N6-1</f>
        <v>0.12775330396475781</v>
      </c>
      <c r="S44" s="8">
        <f>S6/O6-1</f>
        <v>-1</v>
      </c>
    </row>
    <row r="45" spans="2:19" s="8" customFormat="1" x14ac:dyDescent="0.25">
      <c r="B45" s="8" t="s">
        <v>155</v>
      </c>
      <c r="K45" s="8">
        <f t="shared" ref="K45:Q45" si="58">K7/G7-1</f>
        <v>-1.8939393939393923E-2</v>
      </c>
      <c r="L45" s="8">
        <f t="shared" si="58"/>
        <v>-4.3165467625899234E-2</v>
      </c>
      <c r="M45" s="8">
        <f t="shared" si="58"/>
        <v>3.4482758620689724E-2</v>
      </c>
      <c r="N45" s="8">
        <f t="shared" si="58"/>
        <v>2.2641509433962259E-2</v>
      </c>
      <c r="O45" s="8">
        <f t="shared" si="58"/>
        <v>5.0193050193050093E-2</v>
      </c>
      <c r="P45" s="8">
        <f t="shared" si="58"/>
        <v>4.5112781954887327E-2</v>
      </c>
      <c r="Q45" s="8">
        <f t="shared" si="58"/>
        <v>0</v>
      </c>
      <c r="R45" s="8">
        <f>R7/N7-1</f>
        <v>4.4280442804428111E-2</v>
      </c>
      <c r="S45" s="8">
        <f>S7/O7-1</f>
        <v>-1</v>
      </c>
    </row>
    <row r="46" spans="2:19" s="8" customFormat="1" x14ac:dyDescent="0.25">
      <c r="B46" s="14" t="s">
        <v>156</v>
      </c>
      <c r="K46" s="8">
        <f t="shared" ref="K46:Q46" si="59">K8/G8-1</f>
        <v>0.136150234741784</v>
      </c>
      <c r="L46" s="8">
        <f t="shared" si="59"/>
        <v>0.10079051383399218</v>
      </c>
      <c r="M46" s="8">
        <f t="shared" si="59"/>
        <v>0.1446654611211573</v>
      </c>
      <c r="N46" s="8">
        <f t="shared" si="59"/>
        <v>0.24784853700516352</v>
      </c>
      <c r="O46" s="8">
        <f t="shared" si="59"/>
        <v>-0.17217630853994492</v>
      </c>
      <c r="P46" s="8">
        <f t="shared" si="59"/>
        <v>0.13644524236983835</v>
      </c>
      <c r="Q46" s="8">
        <f t="shared" si="59"/>
        <v>0.17851500789889418</v>
      </c>
      <c r="R46" s="8">
        <f>R8/N8-1</f>
        <v>9.6551724137931005E-2</v>
      </c>
      <c r="S46" s="8">
        <f>S8/O8-1</f>
        <v>-1</v>
      </c>
    </row>
    <row r="47" spans="2:19" s="8" customFormat="1" x14ac:dyDescent="0.25">
      <c r="B47" s="13" t="s">
        <v>147</v>
      </c>
      <c r="K47" s="8">
        <f t="shared" ref="K47:Q47" si="60">K9/G9-1</f>
        <v>0.17907444668008043</v>
      </c>
      <c r="L47" s="8">
        <f t="shared" si="60"/>
        <v>0.18344754876120195</v>
      </c>
      <c r="M47" s="8">
        <f t="shared" si="60"/>
        <v>0.18109846610588809</v>
      </c>
      <c r="N47" s="8">
        <f t="shared" si="60"/>
        <v>0.19934333958724193</v>
      </c>
      <c r="O47" s="8">
        <f t="shared" si="60"/>
        <v>8.53242320819112E-2</v>
      </c>
      <c r="P47" s="8">
        <f t="shared" si="60"/>
        <v>0.18975501113585747</v>
      </c>
      <c r="Q47" s="8">
        <f t="shared" si="60"/>
        <v>0.19354838709677424</v>
      </c>
      <c r="R47" s="8">
        <f>R9/N9-1</f>
        <v>0.17833398513883458</v>
      </c>
      <c r="S47" s="8">
        <f>S9/O9-1</f>
        <v>-1</v>
      </c>
    </row>
    <row r="48" spans="2:19" s="8" customFormat="1" x14ac:dyDescent="0.25">
      <c r="B48" s="8" t="s">
        <v>148</v>
      </c>
      <c r="K48" s="8">
        <f t="shared" ref="K48:Q48" si="61">K10/G10-1</f>
        <v>0.24666666666666659</v>
      </c>
      <c r="L48" s="8">
        <f t="shared" si="61"/>
        <v>-4.6511627906976716E-2</v>
      </c>
      <c r="M48" s="8">
        <f t="shared" si="61"/>
        <v>9.3385214007781991E-2</v>
      </c>
      <c r="N48" s="8">
        <f t="shared" si="61"/>
        <v>-0.1171875</v>
      </c>
      <c r="O48" s="8">
        <f t="shared" si="61"/>
        <v>-5.8823529411764719E-2</v>
      </c>
      <c r="P48" s="8">
        <f t="shared" si="61"/>
        <v>3.4552845528455389E-2</v>
      </c>
      <c r="Q48" s="8">
        <f t="shared" si="61"/>
        <v>0.10813030385984113</v>
      </c>
      <c r="R48" s="8">
        <f>R10/N10-1</f>
        <v>0.21238938053097356</v>
      </c>
      <c r="S48" s="8">
        <f>S10/O10-1</f>
        <v>-1</v>
      </c>
    </row>
    <row r="49" spans="2:36" s="8" customFormat="1" x14ac:dyDescent="0.25">
      <c r="B49" s="8" t="s">
        <v>149</v>
      </c>
      <c r="K49" s="8">
        <f t="shared" ref="K49:Q49" si="62">K11/G11-1</f>
        <v>-4.705882352941182E-2</v>
      </c>
      <c r="L49" s="8">
        <f t="shared" si="62"/>
        <v>0</v>
      </c>
      <c r="M49" s="8">
        <f t="shared" si="62"/>
        <v>8.0487804878048852E-2</v>
      </c>
      <c r="N49" s="8">
        <f t="shared" si="62"/>
        <v>0.14386792452830188</v>
      </c>
      <c r="O49" s="8">
        <f t="shared" si="62"/>
        <v>0.29382716049382718</v>
      </c>
      <c r="P49" s="8">
        <f t="shared" si="62"/>
        <v>0.36266666666666669</v>
      </c>
      <c r="Q49" s="8">
        <f t="shared" si="62"/>
        <v>0.30699774266365698</v>
      </c>
      <c r="R49" s="8">
        <f>R11/N11-1</f>
        <v>0.33814432989690713</v>
      </c>
      <c r="S49" s="8">
        <f>S11/O11-1</f>
        <v>-1</v>
      </c>
    </row>
    <row r="50" spans="2:36" s="8" customFormat="1" x14ac:dyDescent="0.25">
      <c r="B50" s="8" t="s">
        <v>150</v>
      </c>
      <c r="K50" s="8">
        <f t="shared" ref="K50:Q50" si="63">K12/G12-1</f>
        <v>0.23529411764705888</v>
      </c>
      <c r="L50" s="8">
        <f t="shared" si="63"/>
        <v>8.3003952569169925E-2</v>
      </c>
      <c r="M50" s="8">
        <f t="shared" si="63"/>
        <v>3.2520325203251987E-2</v>
      </c>
      <c r="N50" s="8">
        <f t="shared" si="63"/>
        <v>3.5714285714285809E-2</v>
      </c>
      <c r="O50" s="8">
        <f t="shared" si="63"/>
        <v>-7.1428571428571397E-2</v>
      </c>
      <c r="P50" s="8">
        <f t="shared" si="63"/>
        <v>-7.2992700729926918E-3</v>
      </c>
      <c r="Q50" s="8">
        <f t="shared" si="63"/>
        <v>9.4488188976378007E-2</v>
      </c>
      <c r="R50" s="8">
        <f>R12/N12-1</f>
        <v>0.10344827586206895</v>
      </c>
      <c r="S50" s="8">
        <f>S12/O12-1</f>
        <v>-1</v>
      </c>
    </row>
    <row r="51" spans="2:36" s="13" customFormat="1" x14ac:dyDescent="0.25">
      <c r="B51" s="14" t="s">
        <v>161</v>
      </c>
      <c r="K51" s="8">
        <f t="shared" ref="K51:Q51" si="64">K13/G13-1</f>
        <v>0.14670773969965345</v>
      </c>
      <c r="L51" s="8">
        <f t="shared" si="64"/>
        <v>0.11344952318316337</v>
      </c>
      <c r="M51" s="8">
        <f t="shared" si="64"/>
        <v>0.11947490860751087</v>
      </c>
      <c r="N51" s="8">
        <f t="shared" si="64"/>
        <v>0.17404129793510315</v>
      </c>
      <c r="O51" s="8">
        <f t="shared" si="64"/>
        <v>0.10241773002014765</v>
      </c>
      <c r="P51" s="8">
        <f t="shared" si="64"/>
        <v>0.1704075605434141</v>
      </c>
      <c r="Q51" s="8">
        <f t="shared" si="64"/>
        <v>0.15095739943595077</v>
      </c>
      <c r="R51" s="8">
        <f>R13/N13-1</f>
        <v>0.20320351758793964</v>
      </c>
      <c r="S51" s="8">
        <f>S13/O13-1</f>
        <v>-1</v>
      </c>
    </row>
    <row r="53" spans="2:36" x14ac:dyDescent="0.25">
      <c r="B53" s="3" t="s">
        <v>42</v>
      </c>
    </row>
    <row r="54" spans="2:36" s="4" customFormat="1" ht="14.4" x14ac:dyDescent="0.3">
      <c r="B54" s="4" t="s">
        <v>147</v>
      </c>
      <c r="G54" s="9">
        <v>1501</v>
      </c>
      <c r="H54" s="4">
        <v>1367</v>
      </c>
      <c r="I54" s="4">
        <v>1469</v>
      </c>
      <c r="J54" s="4">
        <v>1563</v>
      </c>
      <c r="K54" s="4">
        <v>1824</v>
      </c>
      <c r="L54" s="4">
        <v>1673</v>
      </c>
      <c r="M54" s="4">
        <v>1804</v>
      </c>
      <c r="N54" s="4">
        <v>1856</v>
      </c>
      <c r="O54" s="4">
        <v>1999</v>
      </c>
      <c r="P54" s="4">
        <v>2049</v>
      </c>
      <c r="Q54" s="4">
        <v>2188</v>
      </c>
      <c r="R54" s="4">
        <v>2231</v>
      </c>
      <c r="AG54" s="4">
        <v>5900</v>
      </c>
      <c r="AH54" s="4">
        <v>7157</v>
      </c>
      <c r="AI54" s="4">
        <v>8467</v>
      </c>
    </row>
    <row r="55" spans="2:36" s="4" customFormat="1" ht="14.4" x14ac:dyDescent="0.3">
      <c r="B55" s="4" t="s">
        <v>148</v>
      </c>
      <c r="G55">
        <v>104</v>
      </c>
      <c r="H55" s="4">
        <v>314</v>
      </c>
      <c r="I55" s="4">
        <v>2851</v>
      </c>
      <c r="J55" s="4">
        <v>81</v>
      </c>
      <c r="K55" s="4">
        <v>132</v>
      </c>
      <c r="L55" s="4">
        <v>263</v>
      </c>
      <c r="M55" s="4">
        <v>3055</v>
      </c>
      <c r="N55" s="4">
        <v>43</v>
      </c>
      <c r="O55" s="4">
        <v>76</v>
      </c>
      <c r="P55" s="4">
        <v>229</v>
      </c>
      <c r="Q55" s="4">
        <v>3422</v>
      </c>
      <c r="R55" s="4">
        <v>59</v>
      </c>
      <c r="AG55" s="4">
        <v>3350</v>
      </c>
      <c r="AH55" s="4">
        <v>3493</v>
      </c>
      <c r="AI55" s="4">
        <v>3786</v>
      </c>
    </row>
    <row r="56" spans="2:36" s="4" customFormat="1" ht="14.4" x14ac:dyDescent="0.3">
      <c r="B56" s="4" t="s">
        <v>149</v>
      </c>
      <c r="G56">
        <v>94</v>
      </c>
      <c r="H56" s="4">
        <v>96</v>
      </c>
      <c r="I56" s="4">
        <v>111</v>
      </c>
      <c r="J56" s="4">
        <v>127</v>
      </c>
      <c r="K56" s="4">
        <v>106</v>
      </c>
      <c r="L56" s="4">
        <v>64</v>
      </c>
      <c r="M56" s="4">
        <v>110</v>
      </c>
      <c r="N56" s="4">
        <v>134</v>
      </c>
      <c r="O56" s="4">
        <v>180</v>
      </c>
      <c r="P56" s="4">
        <v>168</v>
      </c>
      <c r="Q56" s="4">
        <v>207</v>
      </c>
      <c r="R56" s="4">
        <v>280</v>
      </c>
      <c r="AG56" s="4">
        <v>428</v>
      </c>
      <c r="AH56" s="4">
        <v>414</v>
      </c>
      <c r="AI56" s="4">
        <v>835</v>
      </c>
    </row>
    <row r="57" spans="2:36" s="4" customFormat="1" ht="14.4" x14ac:dyDescent="0.3">
      <c r="B57" s="4" t="s">
        <v>150</v>
      </c>
      <c r="G57">
        <v>17</v>
      </c>
      <c r="H57" s="4">
        <v>235</v>
      </c>
      <c r="I57" s="4">
        <v>229</v>
      </c>
      <c r="J57" s="4">
        <v>8</v>
      </c>
      <c r="K57" s="4">
        <v>22</v>
      </c>
      <c r="L57" s="4">
        <v>255</v>
      </c>
      <c r="M57" s="4">
        <v>235</v>
      </c>
      <c r="N57" s="4">
        <v>8</v>
      </c>
      <c r="O57" s="4">
        <v>20</v>
      </c>
      <c r="P57" s="4">
        <v>249</v>
      </c>
      <c r="Q57" s="4">
        <v>256</v>
      </c>
      <c r="R57" s="4">
        <v>8</v>
      </c>
      <c r="AG57" s="4">
        <v>489</v>
      </c>
      <c r="AH57" s="4">
        <v>520</v>
      </c>
      <c r="AI57" s="4">
        <v>533</v>
      </c>
    </row>
    <row r="58" spans="2:36" s="5" customFormat="1" x14ac:dyDescent="0.25">
      <c r="B58" s="5" t="s">
        <v>159</v>
      </c>
      <c r="C58" s="5">
        <f t="shared" ref="C58:F58" si="65">SUM(C54:C57)</f>
        <v>0</v>
      </c>
      <c r="D58" s="5">
        <f t="shared" si="65"/>
        <v>0</v>
      </c>
      <c r="E58" s="5">
        <f t="shared" si="65"/>
        <v>0</v>
      </c>
      <c r="F58" s="5">
        <f t="shared" si="65"/>
        <v>0</v>
      </c>
      <c r="G58" s="5">
        <f>SUM(G54:G57)</f>
        <v>1716</v>
      </c>
      <c r="H58" s="5">
        <f t="shared" ref="H58:S58" si="66">SUM(H54:H57)</f>
        <v>2012</v>
      </c>
      <c r="I58" s="5">
        <f t="shared" si="66"/>
        <v>4660</v>
      </c>
      <c r="J58" s="5">
        <f t="shared" si="66"/>
        <v>1779</v>
      </c>
      <c r="K58" s="5">
        <f t="shared" si="66"/>
        <v>2084</v>
      </c>
      <c r="L58" s="5">
        <f t="shared" si="66"/>
        <v>2255</v>
      </c>
      <c r="M58" s="5">
        <f t="shared" si="66"/>
        <v>5204</v>
      </c>
      <c r="N58" s="5">
        <f t="shared" si="66"/>
        <v>2041</v>
      </c>
      <c r="O58" s="5">
        <f t="shared" si="66"/>
        <v>2275</v>
      </c>
      <c r="P58" s="5">
        <f t="shared" si="66"/>
        <v>2695</v>
      </c>
      <c r="Q58" s="5">
        <f t="shared" si="66"/>
        <v>6073</v>
      </c>
      <c r="R58" s="5">
        <f t="shared" si="66"/>
        <v>2578</v>
      </c>
      <c r="S58" s="5">
        <f t="shared" si="66"/>
        <v>0</v>
      </c>
      <c r="AE58" s="5">
        <f t="shared" ref="AE58:AF58" si="67">SUM(AE54:AE57)</f>
        <v>0</v>
      </c>
      <c r="AF58" s="5">
        <f t="shared" si="67"/>
        <v>0</v>
      </c>
      <c r="AG58" s="5">
        <f t="shared" ref="AG58:AJ58" si="68">SUM(AG54:AG57)</f>
        <v>10167</v>
      </c>
      <c r="AH58" s="5">
        <f t="shared" si="68"/>
        <v>11584</v>
      </c>
      <c r="AI58" s="5">
        <f t="shared" si="68"/>
        <v>13621</v>
      </c>
      <c r="AJ58" s="5">
        <f t="shared" si="68"/>
        <v>0</v>
      </c>
    </row>
    <row r="60" spans="2:36" s="8" customFormat="1" x14ac:dyDescent="0.25">
      <c r="B60" s="13" t="s">
        <v>50</v>
      </c>
    </row>
    <row r="61" spans="2:36" s="8" customFormat="1" x14ac:dyDescent="0.25">
      <c r="B61" s="8" t="s">
        <v>147</v>
      </c>
      <c r="G61" s="8">
        <f>G54/G9</f>
        <v>0.75503018108651909</v>
      </c>
      <c r="H61" s="8">
        <f>H54/H9</f>
        <v>0.72061149182920403</v>
      </c>
      <c r="I61" s="8">
        <f>I54/I9</f>
        <v>0.72686788718456208</v>
      </c>
      <c r="J61" s="8">
        <f>J54/J9</f>
        <v>0.73311444652908064</v>
      </c>
      <c r="K61" s="8">
        <f>K54/K9</f>
        <v>0.77815699658703075</v>
      </c>
      <c r="L61" s="8">
        <f>L54/L9</f>
        <v>0.74521158129175946</v>
      </c>
      <c r="M61" s="8">
        <f>M54/M9</f>
        <v>0.75576036866359442</v>
      </c>
      <c r="N61" s="8">
        <f>N54/N9</f>
        <v>0.72585060617911612</v>
      </c>
      <c r="O61" s="8">
        <f>O54/O9</f>
        <v>0.78577044025157228</v>
      </c>
      <c r="P61" s="8">
        <f>P54/P9</f>
        <v>0.76712841632347439</v>
      </c>
      <c r="Q61" s="8">
        <f>Q54/Q9</f>
        <v>0.76798876798876803</v>
      </c>
      <c r="R61" s="8">
        <f>R54/R9</f>
        <v>0.74045801526717558</v>
      </c>
      <c r="S61" s="8" t="e">
        <f>S54/S9</f>
        <v>#DIV/0!</v>
      </c>
      <c r="AG61" s="8">
        <f>AG54/AG9</f>
        <v>0.73401343617815373</v>
      </c>
      <c r="AH61" s="8">
        <f>AH54/AH9</f>
        <v>0.75076051610196159</v>
      </c>
      <c r="AI61" s="8">
        <f>AI54/AI9</f>
        <v>0.76437663627335917</v>
      </c>
      <c r="AJ61" s="8" t="e">
        <f>AJ54/AJ9</f>
        <v>#DIV/0!</v>
      </c>
    </row>
    <row r="62" spans="2:36" s="8" customFormat="1" x14ac:dyDescent="0.25">
      <c r="B62" s="8" t="s">
        <v>148</v>
      </c>
      <c r="G62" s="8">
        <f>G55/G10</f>
        <v>0.69333333333333336</v>
      </c>
      <c r="H62" s="8">
        <f>H55/H10</f>
        <v>0.60852713178294571</v>
      </c>
      <c r="I62" s="8">
        <f>I55/I10</f>
        <v>0.85333732415444474</v>
      </c>
      <c r="J62" s="8">
        <f>J55/J10</f>
        <v>0.6328125</v>
      </c>
      <c r="K62" s="8">
        <f>K55/K10</f>
        <v>0.70588235294117652</v>
      </c>
      <c r="L62" s="8">
        <f>L55/L10</f>
        <v>0.53455284552845528</v>
      </c>
      <c r="M62" s="8">
        <f>M55/M10</f>
        <v>0.83629893238434161</v>
      </c>
      <c r="N62" s="8">
        <f>N55/N10</f>
        <v>0.38053097345132741</v>
      </c>
      <c r="O62" s="8">
        <f>O55/O10</f>
        <v>0.43181818181818182</v>
      </c>
      <c r="P62" s="8">
        <f>P55/P10</f>
        <v>0.44990176817288802</v>
      </c>
      <c r="Q62" s="8">
        <f>Q55/Q10</f>
        <v>0.84535573122529639</v>
      </c>
      <c r="R62" s="8">
        <f>R55/R10</f>
        <v>0.43065693430656932</v>
      </c>
      <c r="S62" s="8" t="e">
        <f>S55/S10</f>
        <v>#DIV/0!</v>
      </c>
      <c r="AG62" s="8">
        <f>AG55/AG10</f>
        <v>0.81015719467956471</v>
      </c>
      <c r="AH62" s="8">
        <f>AH55/AH10</f>
        <v>0.78582677165354331</v>
      </c>
      <c r="AI62" s="8">
        <f>AI55/AI10</f>
        <v>0.77741273100616015</v>
      </c>
      <c r="AJ62" s="8" t="e">
        <f>AJ55/AJ10</f>
        <v>#DIV/0!</v>
      </c>
    </row>
    <row r="63" spans="2:36" s="8" customFormat="1" x14ac:dyDescent="0.25">
      <c r="B63" s="8" t="s">
        <v>149</v>
      </c>
      <c r="G63" s="8">
        <f>G56/G11</f>
        <v>0.22117647058823531</v>
      </c>
      <c r="H63" s="8">
        <f>H56/H11</f>
        <v>0.25600000000000001</v>
      </c>
      <c r="I63" s="8">
        <f>I56/I11</f>
        <v>0.27073170731707319</v>
      </c>
      <c r="J63" s="8">
        <f>J56/J11</f>
        <v>0.29952830188679247</v>
      </c>
      <c r="K63" s="8">
        <f>K56/K11</f>
        <v>0.2617283950617284</v>
      </c>
      <c r="L63" s="8">
        <f>L56/L11</f>
        <v>0.17066666666666666</v>
      </c>
      <c r="M63" s="8">
        <f>M56/M11</f>
        <v>0.24830699774266365</v>
      </c>
      <c r="N63" s="8">
        <f>N56/N11</f>
        <v>0.27628865979381445</v>
      </c>
      <c r="O63" s="8">
        <f>O56/O11</f>
        <v>0.34351145038167941</v>
      </c>
      <c r="P63" s="8">
        <f>P56/P11</f>
        <v>0.32876712328767121</v>
      </c>
      <c r="Q63" s="8">
        <f>Q56/Q11</f>
        <v>0.35751295336787564</v>
      </c>
      <c r="R63" s="8">
        <f>R56/R11</f>
        <v>0.43143297380585516</v>
      </c>
      <c r="S63" s="8" t="e">
        <f>S56/S11</f>
        <v>#DIV/0!</v>
      </c>
      <c r="AG63" s="8">
        <f>AG56/AG11</f>
        <v>0.26193390452876375</v>
      </c>
      <c r="AH63" s="8">
        <f>AH56/AH11</f>
        <v>0.2423887587822014</v>
      </c>
      <c r="AI63" s="8">
        <f>AI56/AI11</f>
        <v>0.36897923110914715</v>
      </c>
      <c r="AJ63" s="8" t="e">
        <f>AJ56/AJ11</f>
        <v>#DIV/0!</v>
      </c>
    </row>
    <row r="64" spans="2:36" s="8" customFormat="1" x14ac:dyDescent="0.25">
      <c r="B64" s="8" t="s">
        <v>150</v>
      </c>
      <c r="G64" s="8">
        <f>G57/G12</f>
        <v>0.5</v>
      </c>
      <c r="H64" s="8">
        <f>H57/H12</f>
        <v>0.92885375494071143</v>
      </c>
      <c r="I64" s="8">
        <f>I57/I12</f>
        <v>0.93089430894308944</v>
      </c>
      <c r="J64" s="8">
        <f>J57/J12</f>
        <v>0.2857142857142857</v>
      </c>
      <c r="K64" s="8">
        <f>K57/K12</f>
        <v>0.52380952380952384</v>
      </c>
      <c r="L64" s="8">
        <f>L57/L12</f>
        <v>0.93065693430656937</v>
      </c>
      <c r="M64" s="8">
        <f>M57/M12</f>
        <v>0.92519685039370081</v>
      </c>
      <c r="N64" s="8">
        <f>N57/N12</f>
        <v>0.27586206896551724</v>
      </c>
      <c r="O64" s="8">
        <f>O57/O12</f>
        <v>0.51282051282051277</v>
      </c>
      <c r="P64" s="8">
        <f>P57/P12</f>
        <v>0.9154411764705882</v>
      </c>
      <c r="Q64" s="8">
        <f>Q57/Q12</f>
        <v>0.92086330935251803</v>
      </c>
      <c r="R64" s="8">
        <f>R57/R12</f>
        <v>0.25</v>
      </c>
      <c r="S64" s="8" t="e">
        <f>S57/S12</f>
        <v>#DIV/0!</v>
      </c>
      <c r="AG64" s="8">
        <f>AG57/AG12</f>
        <v>0.87165775401069523</v>
      </c>
      <c r="AH64" s="8">
        <f>AH57/AH12</f>
        <v>0.86811352253756258</v>
      </c>
      <c r="AI64" s="8">
        <f>AI57/AI12</f>
        <v>0.85829307568438007</v>
      </c>
      <c r="AJ64" s="8" t="e">
        <f>AJ57/AJ12</f>
        <v>#DIV/0!</v>
      </c>
    </row>
    <row r="65" spans="2:36" s="8" customFormat="1" x14ac:dyDescent="0.25">
      <c r="B65" s="8" t="s">
        <v>159</v>
      </c>
      <c r="G65" s="8">
        <f>G58/G13</f>
        <v>0.66076241817481707</v>
      </c>
      <c r="H65" s="8">
        <f>H58/H13</f>
        <v>0.66162446563630384</v>
      </c>
      <c r="I65" s="8">
        <f>I58/I13</f>
        <v>0.77434363575938847</v>
      </c>
      <c r="J65" s="8">
        <f>J58/J13</f>
        <v>0.65597345132743368</v>
      </c>
      <c r="K65" s="8">
        <f>K58/K13</f>
        <v>0.69979852249832097</v>
      </c>
      <c r="L65" s="8">
        <f>L58/L13</f>
        <v>0.66597755463673947</v>
      </c>
      <c r="M65" s="8">
        <f>M58/M13</f>
        <v>0.77245064568799171</v>
      </c>
      <c r="N65" s="8">
        <f>N58/N13</f>
        <v>0.64101758793969854</v>
      </c>
      <c r="O65" s="8">
        <f>O58/O13</f>
        <v>0.69296375266524524</v>
      </c>
      <c r="P65" s="8">
        <f>P58/P13</f>
        <v>0.68004037345445367</v>
      </c>
      <c r="Q65" s="8">
        <f>Q58/Q13</f>
        <v>0.78320866649471244</v>
      </c>
      <c r="R65" s="8">
        <f>R58/R13</f>
        <v>0.67293134951709732</v>
      </c>
      <c r="S65" s="8" t="e">
        <f>S58/S13</f>
        <v>#DIV/0!</v>
      </c>
      <c r="AG65" s="8">
        <f>AG58/AG13</f>
        <v>0.70761414253897548</v>
      </c>
      <c r="AH65" s="8">
        <f>AH58/AH13</f>
        <v>0.71132944427387168</v>
      </c>
      <c r="AI65" s="8">
        <f>AI58/AI13</f>
        <v>0.72332855398013918</v>
      </c>
      <c r="AJ65" s="8">
        <f>AJ58/AJ13</f>
        <v>0</v>
      </c>
    </row>
    <row r="69" spans="2:36" s="4" customFormat="1" x14ac:dyDescent="0.25">
      <c r="B69" s="4" t="s">
        <v>54</v>
      </c>
      <c r="C69" s="4">
        <f t="shared" ref="C69:Q69" si="69">+C70+C71+C77-C85-C91</f>
        <v>0</v>
      </c>
      <c r="D69" s="4">
        <f t="shared" si="69"/>
        <v>0</v>
      </c>
      <c r="E69" s="4">
        <f t="shared" si="69"/>
        <v>0</v>
      </c>
      <c r="F69" s="4">
        <f t="shared" si="69"/>
        <v>0</v>
      </c>
      <c r="G69" s="4">
        <f t="shared" si="69"/>
        <v>0</v>
      </c>
      <c r="H69" s="4">
        <f t="shared" si="69"/>
        <v>0</v>
      </c>
      <c r="I69" s="4">
        <f t="shared" si="69"/>
        <v>0</v>
      </c>
      <c r="J69" s="4">
        <f t="shared" si="69"/>
        <v>0</v>
      </c>
      <c r="K69" s="4">
        <f t="shared" si="69"/>
        <v>0</v>
      </c>
      <c r="L69" s="4">
        <f t="shared" si="69"/>
        <v>0</v>
      </c>
      <c r="M69" s="4">
        <f t="shared" si="69"/>
        <v>0</v>
      </c>
      <c r="N69" s="4">
        <f t="shared" si="69"/>
        <v>-1833</v>
      </c>
      <c r="O69" s="4">
        <f t="shared" si="69"/>
        <v>0</v>
      </c>
      <c r="P69" s="4">
        <f t="shared" si="69"/>
        <v>0</v>
      </c>
      <c r="Q69" s="4">
        <f t="shared" si="69"/>
        <v>0</v>
      </c>
      <c r="R69" s="4">
        <f>+R70+R71+R77-R85-R91</f>
        <v>-1327</v>
      </c>
      <c r="S69" s="4">
        <f t="shared" ref="S69" si="70">+S70+S71+S77-S85-S91</f>
        <v>0</v>
      </c>
    </row>
    <row r="70" spans="2:36" s="4" customFormat="1" x14ac:dyDescent="0.25">
      <c r="B70" s="4" t="s">
        <v>53</v>
      </c>
      <c r="N70" s="4">
        <v>3609</v>
      </c>
      <c r="R70" s="4">
        <v>2884</v>
      </c>
    </row>
    <row r="71" spans="2:36" s="4" customFormat="1" x14ac:dyDescent="0.25">
      <c r="B71" s="4" t="s">
        <v>55</v>
      </c>
      <c r="N71" s="4">
        <v>465</v>
      </c>
      <c r="R71" s="4">
        <v>1668</v>
      </c>
    </row>
    <row r="72" spans="2:36" s="4" customFormat="1" x14ac:dyDescent="0.25">
      <c r="B72" s="4" t="s">
        <v>56</v>
      </c>
      <c r="N72" s="4">
        <v>457</v>
      </c>
      <c r="R72" s="4">
        <v>530</v>
      </c>
    </row>
    <row r="73" spans="2:36" s="4" customFormat="1" x14ac:dyDescent="0.25">
      <c r="B73" s="4" t="s">
        <v>60</v>
      </c>
      <c r="N73" s="4">
        <f>779+3</f>
        <v>782</v>
      </c>
      <c r="R73" s="4">
        <v>1403</v>
      </c>
    </row>
    <row r="74" spans="2:36" s="4" customFormat="1" x14ac:dyDescent="0.25">
      <c r="B74" s="4" t="s">
        <v>57</v>
      </c>
      <c r="N74" s="4">
        <v>78</v>
      </c>
      <c r="R74" s="4">
        <v>50</v>
      </c>
    </row>
    <row r="75" spans="2:36" s="4" customFormat="1" x14ac:dyDescent="0.25">
      <c r="B75" s="4" t="s">
        <v>58</v>
      </c>
      <c r="N75" s="4">
        <v>366</v>
      </c>
      <c r="R75" s="4">
        <v>496</v>
      </c>
    </row>
    <row r="76" spans="2:36" s="4" customFormat="1" x14ac:dyDescent="0.25">
      <c r="B76" s="4" t="s">
        <v>59</v>
      </c>
      <c r="N76" s="4">
        <v>3921</v>
      </c>
      <c r="R76" s="4">
        <v>7076</v>
      </c>
    </row>
    <row r="77" spans="2:36" s="4" customFormat="1" x14ac:dyDescent="0.25">
      <c r="B77" s="4" t="s">
        <v>61</v>
      </c>
      <c r="N77" s="4">
        <v>131</v>
      </c>
      <c r="R77" s="4">
        <v>94</v>
      </c>
    </row>
    <row r="78" spans="2:36" s="4" customFormat="1" x14ac:dyDescent="0.25">
      <c r="B78" s="4" t="s">
        <v>80</v>
      </c>
      <c r="N78" s="4">
        <v>1009</v>
      </c>
      <c r="R78" s="4">
        <v>961</v>
      </c>
    </row>
    <row r="79" spans="2:36" s="4" customFormat="1" x14ac:dyDescent="0.25">
      <c r="B79" s="4" t="s">
        <v>62</v>
      </c>
      <c r="N79" s="4">
        <v>411</v>
      </c>
      <c r="R79" s="4">
        <v>541</v>
      </c>
    </row>
    <row r="80" spans="2:36" s="4" customFormat="1" x14ac:dyDescent="0.25">
      <c r="B80" s="4" t="s">
        <v>63</v>
      </c>
      <c r="N80" s="4">
        <v>13844</v>
      </c>
      <c r="R80" s="4">
        <v>13980</v>
      </c>
    </row>
    <row r="81" spans="2:19" s="4" customFormat="1" x14ac:dyDescent="0.25">
      <c r="B81" s="4" t="s">
        <v>64</v>
      </c>
      <c r="N81" s="4">
        <v>5820</v>
      </c>
      <c r="R81" s="4">
        <v>5302</v>
      </c>
    </row>
    <row r="82" spans="2:19" s="4" customFormat="1" x14ac:dyDescent="0.25">
      <c r="B82" s="4" t="s">
        <v>73</v>
      </c>
      <c r="N82" s="4">
        <v>698</v>
      </c>
      <c r="R82" s="4">
        <v>1222</v>
      </c>
    </row>
    <row r="83" spans="2:19" s="4" customFormat="1" x14ac:dyDescent="0.25">
      <c r="B83" s="4" t="s">
        <v>65</v>
      </c>
      <c r="N83" s="4">
        <v>541</v>
      </c>
      <c r="R83" s="4">
        <v>751</v>
      </c>
    </row>
    <row r="84" spans="2:19" s="5" customFormat="1" x14ac:dyDescent="0.25">
      <c r="B84" s="5" t="s">
        <v>66</v>
      </c>
      <c r="C84" s="5">
        <f t="shared" ref="C84:Q84" si="71">SUM(C70:C83)</f>
        <v>0</v>
      </c>
      <c r="D84" s="5">
        <f t="shared" si="71"/>
        <v>0</v>
      </c>
      <c r="E84" s="5">
        <f t="shared" si="71"/>
        <v>0</v>
      </c>
      <c r="F84" s="5">
        <f t="shared" si="71"/>
        <v>0</v>
      </c>
      <c r="G84" s="5">
        <f t="shared" si="71"/>
        <v>0</v>
      </c>
      <c r="H84" s="5">
        <f t="shared" si="71"/>
        <v>0</v>
      </c>
      <c r="I84" s="5">
        <f t="shared" si="71"/>
        <v>0</v>
      </c>
      <c r="J84" s="5">
        <f t="shared" si="71"/>
        <v>0</v>
      </c>
      <c r="K84" s="5">
        <f t="shared" si="71"/>
        <v>0</v>
      </c>
      <c r="L84" s="5">
        <f t="shared" si="71"/>
        <v>0</v>
      </c>
      <c r="M84" s="5">
        <f t="shared" si="71"/>
        <v>0</v>
      </c>
      <c r="N84" s="5">
        <f>SUM(N70:N83)</f>
        <v>32132</v>
      </c>
      <c r="O84" s="5">
        <f t="shared" si="71"/>
        <v>0</v>
      </c>
      <c r="P84" s="5">
        <f t="shared" si="71"/>
        <v>0</v>
      </c>
      <c r="Q84" s="5">
        <f t="shared" si="71"/>
        <v>0</v>
      </c>
      <c r="R84" s="5">
        <f>SUM(R70:R83)</f>
        <v>36958</v>
      </c>
      <c r="S84" s="5">
        <f>SUM(S70:S83)</f>
        <v>0</v>
      </c>
    </row>
    <row r="85" spans="2:19" s="4" customFormat="1" x14ac:dyDescent="0.25">
      <c r="B85" s="4" t="s">
        <v>67</v>
      </c>
      <c r="N85" s="4">
        <v>499</v>
      </c>
    </row>
    <row r="86" spans="2:19" s="4" customFormat="1" x14ac:dyDescent="0.25">
      <c r="B86" s="4" t="s">
        <v>68</v>
      </c>
      <c r="N86" s="4">
        <v>721</v>
      </c>
      <c r="R86" s="4">
        <v>792</v>
      </c>
    </row>
    <row r="87" spans="2:19" s="4" customFormat="1" x14ac:dyDescent="0.25">
      <c r="B87" s="4" t="s">
        <v>69</v>
      </c>
      <c r="N87" s="4">
        <v>921</v>
      </c>
      <c r="R87" s="4">
        <v>858</v>
      </c>
    </row>
    <row r="88" spans="2:19" s="4" customFormat="1" x14ac:dyDescent="0.25">
      <c r="B88" s="4" t="s">
        <v>70</v>
      </c>
      <c r="N88" s="4">
        <v>872</v>
      </c>
      <c r="R88" s="4">
        <v>1019</v>
      </c>
    </row>
    <row r="89" spans="2:19" s="4" customFormat="1" x14ac:dyDescent="0.25">
      <c r="B89" s="4" t="s">
        <v>71</v>
      </c>
      <c r="N89" s="4">
        <v>557</v>
      </c>
      <c r="R89" s="4">
        <v>625</v>
      </c>
    </row>
    <row r="90" spans="2:19" s="4" customFormat="1" x14ac:dyDescent="0.25">
      <c r="B90" s="4" t="s">
        <v>72</v>
      </c>
      <c r="N90" s="4">
        <v>3921</v>
      </c>
      <c r="R90" s="4">
        <v>7076</v>
      </c>
    </row>
    <row r="91" spans="2:19" s="4" customFormat="1" x14ac:dyDescent="0.25">
      <c r="B91" s="4" t="s">
        <v>74</v>
      </c>
      <c r="N91" s="4">
        <v>5539</v>
      </c>
      <c r="R91" s="4">
        <v>5973</v>
      </c>
    </row>
    <row r="92" spans="2:19" s="4" customFormat="1" x14ac:dyDescent="0.25">
      <c r="B92" s="4" t="s">
        <v>75</v>
      </c>
      <c r="N92" s="4">
        <v>458</v>
      </c>
      <c r="R92" s="4">
        <v>597</v>
      </c>
    </row>
    <row r="93" spans="2:19" s="4" customFormat="1" x14ac:dyDescent="0.25">
      <c r="B93" s="4" t="s">
        <v>76</v>
      </c>
      <c r="N93" s="4">
        <v>208</v>
      </c>
      <c r="R93" s="4">
        <v>308</v>
      </c>
    </row>
    <row r="94" spans="2:19" s="5" customFormat="1" x14ac:dyDescent="0.25">
      <c r="B94" s="5" t="s">
        <v>77</v>
      </c>
      <c r="C94" s="5">
        <f t="shared" ref="C94:Q94" si="72">SUM(C85:C93)</f>
        <v>0</v>
      </c>
      <c r="D94" s="5">
        <f t="shared" si="72"/>
        <v>0</v>
      </c>
      <c r="E94" s="5">
        <f t="shared" si="72"/>
        <v>0</v>
      </c>
      <c r="F94" s="5">
        <f t="shared" si="72"/>
        <v>0</v>
      </c>
      <c r="G94" s="5">
        <f t="shared" si="72"/>
        <v>0</v>
      </c>
      <c r="H94" s="5">
        <f t="shared" si="72"/>
        <v>0</v>
      </c>
      <c r="I94" s="5">
        <f t="shared" si="72"/>
        <v>0</v>
      </c>
      <c r="J94" s="5">
        <f t="shared" si="72"/>
        <v>0</v>
      </c>
      <c r="K94" s="5">
        <f t="shared" si="72"/>
        <v>0</v>
      </c>
      <c r="L94" s="5">
        <f t="shared" si="72"/>
        <v>0</v>
      </c>
      <c r="M94" s="5">
        <f t="shared" si="72"/>
        <v>0</v>
      </c>
      <c r="N94" s="5">
        <f t="shared" si="72"/>
        <v>13696</v>
      </c>
      <c r="O94" s="5">
        <f t="shared" si="72"/>
        <v>0</v>
      </c>
      <c r="P94" s="5">
        <f t="shared" si="72"/>
        <v>0</v>
      </c>
      <c r="Q94" s="5">
        <f t="shared" si="72"/>
        <v>0</v>
      </c>
      <c r="R94" s="5">
        <f>SUM(R85:R93)</f>
        <v>17248</v>
      </c>
      <c r="S94" s="5">
        <f t="shared" ref="S94" si="73">SUM(S85:S93)</f>
        <v>0</v>
      </c>
    </row>
    <row r="95" spans="2:19" s="4" customFormat="1" x14ac:dyDescent="0.25">
      <c r="B95" s="4" t="s">
        <v>78</v>
      </c>
      <c r="N95" s="4">
        <v>18436</v>
      </c>
      <c r="R95" s="4">
        <v>19710</v>
      </c>
    </row>
    <row r="96" spans="2:19" s="5" customFormat="1" x14ac:dyDescent="0.25">
      <c r="B96" s="5" t="s">
        <v>79</v>
      </c>
      <c r="C96" s="5">
        <f t="shared" ref="C96:Q96" si="74">C94+C95</f>
        <v>0</v>
      </c>
      <c r="D96" s="5">
        <f t="shared" si="74"/>
        <v>0</v>
      </c>
      <c r="E96" s="5">
        <f t="shared" si="74"/>
        <v>0</v>
      </c>
      <c r="F96" s="5">
        <f t="shared" si="74"/>
        <v>0</v>
      </c>
      <c r="G96" s="5">
        <f t="shared" si="74"/>
        <v>0</v>
      </c>
      <c r="H96" s="5">
        <f t="shared" si="74"/>
        <v>0</v>
      </c>
      <c r="I96" s="5">
        <f t="shared" si="74"/>
        <v>0</v>
      </c>
      <c r="J96" s="5">
        <f t="shared" si="74"/>
        <v>0</v>
      </c>
      <c r="K96" s="5">
        <f t="shared" si="74"/>
        <v>0</v>
      </c>
      <c r="L96" s="5">
        <f t="shared" si="74"/>
        <v>0</v>
      </c>
      <c r="M96" s="5">
        <f t="shared" si="74"/>
        <v>0</v>
      </c>
      <c r="N96" s="5">
        <f t="shared" si="74"/>
        <v>32132</v>
      </c>
      <c r="O96" s="5">
        <f t="shared" si="74"/>
        <v>0</v>
      </c>
      <c r="P96" s="5">
        <f t="shared" si="74"/>
        <v>0</v>
      </c>
      <c r="Q96" s="5">
        <f t="shared" si="74"/>
        <v>0</v>
      </c>
      <c r="R96" s="5">
        <f>R94+R95</f>
        <v>36958</v>
      </c>
      <c r="S96" s="5">
        <f t="shared" ref="S96" si="75">S94+S95</f>
        <v>0</v>
      </c>
    </row>
    <row r="101" spans="2:35" s="4" customFormat="1" x14ac:dyDescent="0.25">
      <c r="B101" s="4" t="s">
        <v>81</v>
      </c>
      <c r="C101" s="4">
        <f>C30</f>
        <v>0</v>
      </c>
      <c r="D101" s="4">
        <f>D30</f>
        <v>0</v>
      </c>
      <c r="E101" s="4">
        <f>E30</f>
        <v>0</v>
      </c>
      <c r="F101" s="4">
        <f>F30</f>
        <v>0</v>
      </c>
      <c r="G101" s="4">
        <f>G30</f>
        <v>2553</v>
      </c>
      <c r="H101" s="4">
        <f>H30</f>
        <v>2999</v>
      </c>
      <c r="I101" s="4">
        <f>I30</f>
        <v>5974</v>
      </c>
      <c r="J101" s="4">
        <f>J30</f>
        <v>2690</v>
      </c>
      <c r="K101" s="4">
        <f>K30</f>
        <v>2935</v>
      </c>
      <c r="L101" s="4">
        <f>L30</f>
        <v>3371</v>
      </c>
      <c r="M101" s="4">
        <f>M30</f>
        <v>6704</v>
      </c>
      <c r="N101" s="4">
        <f>N30</f>
        <v>-20</v>
      </c>
      <c r="O101" s="4">
        <f>O30</f>
        <v>3225</v>
      </c>
      <c r="P101" s="4">
        <f>P30</f>
        <v>3941</v>
      </c>
      <c r="Q101" s="4">
        <f>Q30</f>
        <v>7718</v>
      </c>
      <c r="R101" s="4">
        <f>R30</f>
        <v>381</v>
      </c>
      <c r="S101" s="4">
        <f>S30</f>
        <v>0</v>
      </c>
      <c r="AE101" s="4">
        <f>AE30</f>
        <v>0</v>
      </c>
      <c r="AF101" s="4">
        <f>AF30</f>
        <v>0</v>
      </c>
      <c r="AG101" s="4">
        <f>AG30</f>
        <v>14216</v>
      </c>
      <c r="AH101" s="4">
        <f>AH30</f>
        <v>2963</v>
      </c>
      <c r="AI101" s="4">
        <f>AI30</f>
        <v>3869</v>
      </c>
    </row>
    <row r="102" spans="2:35" s="4" customFormat="1" x14ac:dyDescent="0.25">
      <c r="B102" s="4" t="s">
        <v>82</v>
      </c>
      <c r="AI102" s="4">
        <v>3869</v>
      </c>
    </row>
    <row r="103" spans="2:35" s="4" customFormat="1" x14ac:dyDescent="0.25">
      <c r="B103" s="4" t="s">
        <v>4</v>
      </c>
      <c r="AI103" s="4">
        <v>172</v>
      </c>
    </row>
    <row r="104" spans="2:35" s="4" customFormat="1" x14ac:dyDescent="0.25">
      <c r="B104" s="4" t="s">
        <v>83</v>
      </c>
      <c r="AI104" s="4">
        <v>637</v>
      </c>
    </row>
    <row r="105" spans="2:35" s="4" customFormat="1" x14ac:dyDescent="0.25">
      <c r="B105" s="4" t="s">
        <v>84</v>
      </c>
      <c r="AI105" s="4">
        <v>75</v>
      </c>
    </row>
    <row r="106" spans="2:35" s="4" customFormat="1" x14ac:dyDescent="0.25">
      <c r="B106" s="4" t="s">
        <v>85</v>
      </c>
      <c r="AI106" s="4">
        <v>1968</v>
      </c>
    </row>
    <row r="107" spans="2:35" s="4" customFormat="1" x14ac:dyDescent="0.25">
      <c r="B107" s="4" t="s">
        <v>86</v>
      </c>
      <c r="AI107" s="4">
        <v>-435</v>
      </c>
    </row>
    <row r="108" spans="2:35" s="4" customFormat="1" x14ac:dyDescent="0.25">
      <c r="B108" s="4" t="s">
        <v>65</v>
      </c>
      <c r="AI108" s="4">
        <v>127</v>
      </c>
    </row>
    <row r="109" spans="2:35" s="4" customFormat="1" x14ac:dyDescent="0.25">
      <c r="B109" s="4" t="s">
        <v>87</v>
      </c>
    </row>
    <row r="110" spans="2:35" s="4" customFormat="1" x14ac:dyDescent="0.25">
      <c r="B110" s="4" t="s">
        <v>56</v>
      </c>
      <c r="AI110" s="4">
        <v>-71</v>
      </c>
    </row>
    <row r="111" spans="2:35" s="4" customFormat="1" x14ac:dyDescent="0.25">
      <c r="B111" s="4" t="s">
        <v>57</v>
      </c>
      <c r="AI111" s="4">
        <v>27</v>
      </c>
    </row>
    <row r="112" spans="2:35" s="4" customFormat="1" x14ac:dyDescent="0.25">
      <c r="B112" s="4" t="s">
        <v>58</v>
      </c>
      <c r="AI112" s="4">
        <v>-283</v>
      </c>
    </row>
    <row r="113" spans="2:35" s="4" customFormat="1" x14ac:dyDescent="0.25">
      <c r="B113" s="4" t="s">
        <v>68</v>
      </c>
      <c r="AI113" s="4">
        <v>73</v>
      </c>
    </row>
    <row r="114" spans="2:35" s="4" customFormat="1" x14ac:dyDescent="0.25">
      <c r="B114" s="4" t="s">
        <v>69</v>
      </c>
      <c r="AI114" s="4">
        <v>-64</v>
      </c>
    </row>
    <row r="115" spans="2:35" s="4" customFormat="1" x14ac:dyDescent="0.25">
      <c r="B115" s="4" t="s">
        <v>70</v>
      </c>
      <c r="AI115" s="4">
        <v>142</v>
      </c>
    </row>
    <row r="116" spans="2:35" s="4" customFormat="1" x14ac:dyDescent="0.25">
      <c r="B116" s="4" t="s">
        <v>75</v>
      </c>
      <c r="AI116" s="4">
        <v>-77</v>
      </c>
    </row>
    <row r="117" spans="2:35" s="4" customFormat="1" x14ac:dyDescent="0.25">
      <c r="B117" s="4" t="s">
        <v>88</v>
      </c>
      <c r="AI117" s="4">
        <v>47</v>
      </c>
    </row>
    <row r="118" spans="2:35" s="5" customFormat="1" x14ac:dyDescent="0.25">
      <c r="B118" s="5" t="s">
        <v>89</v>
      </c>
      <c r="C118" s="5">
        <f t="shared" ref="C118" si="76">SUM(C102:C117)</f>
        <v>0</v>
      </c>
      <c r="D118" s="5">
        <f t="shared" ref="D118" si="77">SUM(D102:D117)</f>
        <v>0</v>
      </c>
      <c r="E118" s="5">
        <f t="shared" ref="E118" si="78">SUM(E102:E117)</f>
        <v>0</v>
      </c>
      <c r="F118" s="5">
        <f t="shared" ref="F118" si="79">SUM(F102:F117)</f>
        <v>0</v>
      </c>
      <c r="G118" s="5">
        <f t="shared" ref="G118" si="80">SUM(G102:G117)</f>
        <v>0</v>
      </c>
      <c r="H118" s="5">
        <f t="shared" ref="H118" si="81">SUM(H102:H117)</f>
        <v>0</v>
      </c>
      <c r="I118" s="5">
        <f t="shared" ref="I118" si="82">SUM(I102:I117)</f>
        <v>0</v>
      </c>
      <c r="J118" s="5">
        <f t="shared" ref="J118" si="83">SUM(J102:J117)</f>
        <v>0</v>
      </c>
      <c r="K118" s="5">
        <f t="shared" ref="K118" si="84">SUM(K102:K117)</f>
        <v>0</v>
      </c>
      <c r="L118" s="5">
        <f t="shared" ref="L118" si="85">SUM(L102:L117)</f>
        <v>0</v>
      </c>
      <c r="M118" s="5">
        <f t="shared" ref="M118" si="86">SUM(M102:M117)</f>
        <v>0</v>
      </c>
      <c r="N118" s="5">
        <f t="shared" ref="N118" si="87">SUM(N102:N117)</f>
        <v>0</v>
      </c>
      <c r="O118" s="5">
        <f t="shared" ref="O118" si="88">SUM(O102:O117)</f>
        <v>0</v>
      </c>
      <c r="P118" s="5">
        <f t="shared" ref="P118" si="89">SUM(P102:P117)</f>
        <v>0</v>
      </c>
      <c r="Q118" s="5">
        <f t="shared" ref="Q118" si="90">SUM(Q102:Q117)</f>
        <v>0</v>
      </c>
      <c r="R118" s="5">
        <f t="shared" ref="R118" si="91">SUM(R102:R117)</f>
        <v>0</v>
      </c>
      <c r="S118" s="5">
        <f t="shared" ref="S118" si="92">SUM(S102:S117)</f>
        <v>0</v>
      </c>
      <c r="AE118" s="5">
        <f t="shared" ref="AE118:AH118" si="93">SUM(AE102:AE117)</f>
        <v>0</v>
      </c>
      <c r="AF118" s="5">
        <f t="shared" si="93"/>
        <v>0</v>
      </c>
      <c r="AG118" s="5">
        <f t="shared" si="93"/>
        <v>0</v>
      </c>
      <c r="AH118" s="5">
        <f t="shared" si="93"/>
        <v>0</v>
      </c>
      <c r="AI118" s="5">
        <f>SUM(AI102:AI117)</f>
        <v>6207</v>
      </c>
    </row>
    <row r="119" spans="2:35" s="4" customFormat="1" x14ac:dyDescent="0.25">
      <c r="B119" s="4" t="s">
        <v>92</v>
      </c>
      <c r="AI119" s="4">
        <v>-2363</v>
      </c>
    </row>
    <row r="120" spans="2:35" s="4" customFormat="1" x14ac:dyDescent="0.25">
      <c r="B120" s="4" t="s">
        <v>91</v>
      </c>
      <c r="AI120" s="4">
        <v>320</v>
      </c>
    </row>
    <row r="121" spans="2:35" s="4" customFormat="1" x14ac:dyDescent="0.25">
      <c r="B121" s="4" t="s">
        <v>90</v>
      </c>
      <c r="AI121" s="4">
        <v>864</v>
      </c>
    </row>
    <row r="122" spans="2:35" s="4" customFormat="1" x14ac:dyDescent="0.25">
      <c r="B122" s="4" t="s">
        <v>93</v>
      </c>
      <c r="AI122" s="4">
        <v>-124</v>
      </c>
    </row>
    <row r="123" spans="2:35" s="4" customFormat="1" x14ac:dyDescent="0.25">
      <c r="B123" s="4" t="s">
        <v>94</v>
      </c>
      <c r="AI123" s="4">
        <v>-184</v>
      </c>
    </row>
    <row r="124" spans="2:35" s="4" customFormat="1" x14ac:dyDescent="0.25">
      <c r="B124" s="4" t="s">
        <v>95</v>
      </c>
      <c r="AI124" s="4">
        <v>-3992</v>
      </c>
    </row>
    <row r="125" spans="2:35" s="4" customFormat="1" x14ac:dyDescent="0.25">
      <c r="B125" s="4" t="s">
        <v>91</v>
      </c>
      <c r="AI125" s="4">
        <v>562</v>
      </c>
    </row>
    <row r="126" spans="2:35" s="4" customFormat="1" x14ac:dyDescent="0.25">
      <c r="B126" s="4" t="s">
        <v>96</v>
      </c>
      <c r="AI126" s="4">
        <v>2706</v>
      </c>
    </row>
    <row r="127" spans="2:35" s="4" customFormat="1" x14ac:dyDescent="0.25">
      <c r="B127" s="4" t="s">
        <v>65</v>
      </c>
      <c r="AI127" s="4">
        <v>-107</v>
      </c>
    </row>
    <row r="128" spans="2:35" s="5" customFormat="1" x14ac:dyDescent="0.25">
      <c r="B128" s="5" t="s">
        <v>97</v>
      </c>
      <c r="C128" s="5">
        <f t="shared" ref="C128" si="94">SUM(C119:C127)</f>
        <v>0</v>
      </c>
      <c r="D128" s="5">
        <f t="shared" ref="D128" si="95">SUM(D119:D127)</f>
        <v>0</v>
      </c>
      <c r="E128" s="5">
        <f t="shared" ref="E128" si="96">SUM(E119:E127)</f>
        <v>0</v>
      </c>
      <c r="F128" s="5">
        <f t="shared" ref="F128" si="97">SUM(F119:F127)</f>
        <v>0</v>
      </c>
      <c r="G128" s="5">
        <f t="shared" ref="G128" si="98">SUM(G119:G127)</f>
        <v>0</v>
      </c>
      <c r="H128" s="5">
        <f t="shared" ref="H128" si="99">SUM(H119:H127)</f>
        <v>0</v>
      </c>
      <c r="I128" s="5">
        <f t="shared" ref="I128" si="100">SUM(I119:I127)</f>
        <v>0</v>
      </c>
      <c r="J128" s="5">
        <f t="shared" ref="J128" si="101">SUM(J119:J127)</f>
        <v>0</v>
      </c>
      <c r="K128" s="5">
        <f t="shared" ref="K128" si="102">SUM(K119:K127)</f>
        <v>0</v>
      </c>
      <c r="L128" s="5">
        <f t="shared" ref="L128" si="103">SUM(L119:L127)</f>
        <v>0</v>
      </c>
      <c r="M128" s="5">
        <f t="shared" ref="M128" si="104">SUM(M119:M127)</f>
        <v>0</v>
      </c>
      <c r="N128" s="5">
        <f t="shared" ref="N128" si="105">SUM(N119:N127)</f>
        <v>0</v>
      </c>
      <c r="O128" s="5">
        <f t="shared" ref="O128" si="106">SUM(O119:O127)</f>
        <v>0</v>
      </c>
      <c r="P128" s="5">
        <f t="shared" ref="P128" si="107">SUM(P119:P127)</f>
        <v>0</v>
      </c>
      <c r="Q128" s="5">
        <f t="shared" ref="Q128" si="108">SUM(Q119:Q127)</f>
        <v>0</v>
      </c>
      <c r="R128" s="5">
        <f t="shared" ref="R128" si="109">SUM(R119:R127)</f>
        <v>0</v>
      </c>
      <c r="S128" s="5">
        <f t="shared" ref="S128" si="110">SUM(S119:S127)</f>
        <v>0</v>
      </c>
      <c r="AE128" s="5">
        <f t="shared" ref="AE128:AH128" si="111">SUM(AE119:AE127)</f>
        <v>0</v>
      </c>
      <c r="AF128" s="5">
        <f t="shared" si="111"/>
        <v>0</v>
      </c>
      <c r="AG128" s="5">
        <f t="shared" si="111"/>
        <v>0</v>
      </c>
      <c r="AH128" s="5">
        <f t="shared" si="111"/>
        <v>0</v>
      </c>
      <c r="AI128" s="5">
        <f>SUM(AI119:AI127)</f>
        <v>-2318</v>
      </c>
    </row>
    <row r="129" spans="2:35" s="4" customFormat="1" x14ac:dyDescent="0.25">
      <c r="B129" s="4" t="s">
        <v>98</v>
      </c>
    </row>
    <row r="130" spans="2:35" s="4" customFormat="1" x14ac:dyDescent="0.25">
      <c r="B130" s="4" t="s">
        <v>99</v>
      </c>
      <c r="AI130" s="4">
        <v>-500</v>
      </c>
    </row>
    <row r="131" spans="2:35" s="4" customFormat="1" x14ac:dyDescent="0.25">
      <c r="B131" s="4" t="s">
        <v>100</v>
      </c>
    </row>
    <row r="132" spans="2:35" s="4" customFormat="1" x14ac:dyDescent="0.25">
      <c r="B132" s="4" t="s">
        <v>101</v>
      </c>
    </row>
    <row r="133" spans="2:35" s="4" customFormat="1" x14ac:dyDescent="0.25">
      <c r="B133" s="4" t="s">
        <v>102</v>
      </c>
      <c r="AI133" s="4">
        <v>429</v>
      </c>
    </row>
    <row r="134" spans="2:35" s="4" customFormat="1" x14ac:dyDescent="0.25">
      <c r="B134" s="4" t="s">
        <v>101</v>
      </c>
    </row>
    <row r="135" spans="2:35" s="4" customFormat="1" x14ac:dyDescent="0.25">
      <c r="B135" s="4" t="s">
        <v>103</v>
      </c>
      <c r="AI135" s="4">
        <v>398</v>
      </c>
    </row>
    <row r="136" spans="2:35" s="4" customFormat="1" x14ac:dyDescent="0.25">
      <c r="B136" s="4" t="s">
        <v>104</v>
      </c>
      <c r="AI136" s="4">
        <v>-982</v>
      </c>
    </row>
    <row r="137" spans="2:35" s="4" customFormat="1" x14ac:dyDescent="0.25">
      <c r="B137" s="4" t="s">
        <v>105</v>
      </c>
      <c r="AI137" s="4">
        <v>-2772</v>
      </c>
    </row>
    <row r="138" spans="2:35" s="4" customFormat="1" x14ac:dyDescent="0.25">
      <c r="B138" s="4" t="s">
        <v>106</v>
      </c>
      <c r="AI138" s="4">
        <v>-1189</v>
      </c>
    </row>
    <row r="139" spans="2:35" s="4" customFormat="1" x14ac:dyDescent="0.25">
      <c r="B139" s="4" t="s">
        <v>72</v>
      </c>
      <c r="AI139" s="4">
        <v>3107</v>
      </c>
    </row>
    <row r="140" spans="2:35" s="4" customFormat="1" x14ac:dyDescent="0.25">
      <c r="B140" s="4" t="s">
        <v>65</v>
      </c>
      <c r="AI140" s="4">
        <v>-1</v>
      </c>
    </row>
    <row r="141" spans="2:35" s="5" customFormat="1" x14ac:dyDescent="0.25">
      <c r="B141" s="5" t="s">
        <v>107</v>
      </c>
      <c r="C141" s="5">
        <f t="shared" ref="C141" si="112">SUM(C129:C140)</f>
        <v>0</v>
      </c>
      <c r="D141" s="5">
        <f t="shared" ref="D141" si="113">SUM(D129:D140)</f>
        <v>0</v>
      </c>
      <c r="E141" s="5">
        <f t="shared" ref="E141" si="114">SUM(E129:E140)</f>
        <v>0</v>
      </c>
      <c r="F141" s="5">
        <f t="shared" ref="F141" si="115">SUM(F129:F140)</f>
        <v>0</v>
      </c>
      <c r="G141" s="5">
        <f t="shared" ref="G141" si="116">SUM(G129:G140)</f>
        <v>0</v>
      </c>
      <c r="H141" s="5">
        <f t="shared" ref="H141" si="117">SUM(H129:H140)</f>
        <v>0</v>
      </c>
      <c r="I141" s="5">
        <f t="shared" ref="I141" si="118">SUM(I129:I140)</f>
        <v>0</v>
      </c>
      <c r="J141" s="5">
        <f t="shared" ref="J141" si="119">SUM(J129:J140)</f>
        <v>0</v>
      </c>
      <c r="K141" s="5">
        <f t="shared" ref="K141" si="120">SUM(K129:K140)</f>
        <v>0</v>
      </c>
      <c r="L141" s="5">
        <f t="shared" ref="L141" si="121">SUM(L129:L140)</f>
        <v>0</v>
      </c>
      <c r="M141" s="5">
        <f t="shared" ref="M141" si="122">SUM(M129:M140)</f>
        <v>0</v>
      </c>
      <c r="N141" s="5">
        <f t="shared" ref="N141" si="123">SUM(N129:N140)</f>
        <v>0</v>
      </c>
      <c r="O141" s="5">
        <f t="shared" ref="O141" si="124">SUM(O129:O140)</f>
        <v>0</v>
      </c>
      <c r="P141" s="5">
        <f t="shared" ref="P141" si="125">SUM(P129:P140)</f>
        <v>0</v>
      </c>
      <c r="Q141" s="5">
        <f t="shared" ref="Q141" si="126">SUM(Q129:Q140)</f>
        <v>0</v>
      </c>
      <c r="R141" s="5">
        <f t="shared" ref="R141" si="127">SUM(R129:R140)</f>
        <v>0</v>
      </c>
      <c r="S141" s="5">
        <f t="shared" ref="S141" si="128">SUM(S129:S140)</f>
        <v>0</v>
      </c>
      <c r="AE141" s="5">
        <f t="shared" ref="AE141:AH141" si="129">SUM(AE129:AE140)</f>
        <v>0</v>
      </c>
      <c r="AF141" s="5">
        <f t="shared" si="129"/>
        <v>0</v>
      </c>
      <c r="AG141" s="5">
        <f t="shared" si="129"/>
        <v>0</v>
      </c>
      <c r="AH141" s="5">
        <f t="shared" si="129"/>
        <v>0</v>
      </c>
      <c r="AI141" s="5">
        <f>SUM(AI129:AI140)</f>
        <v>-1510</v>
      </c>
    </row>
    <row r="142" spans="2:35" s="4" customFormat="1" x14ac:dyDescent="0.25">
      <c r="B142" s="4" t="s">
        <v>108</v>
      </c>
      <c r="AI142" s="4">
        <v>3</v>
      </c>
    </row>
    <row r="143" spans="2:35" s="5" customFormat="1" x14ac:dyDescent="0.25">
      <c r="B143" s="5" t="s">
        <v>109</v>
      </c>
      <c r="C143" s="5">
        <f t="shared" ref="C143" si="130">C118+C128+C141+C142</f>
        <v>0</v>
      </c>
      <c r="D143" s="5">
        <f t="shared" ref="D143" si="131">D118+D128+D141+D142</f>
        <v>0</v>
      </c>
      <c r="E143" s="5">
        <f t="shared" ref="E143" si="132">E118+E128+E141+E142</f>
        <v>0</v>
      </c>
      <c r="F143" s="5">
        <f t="shared" ref="F143" si="133">F118+F128+F141+F142</f>
        <v>0</v>
      </c>
      <c r="G143" s="5">
        <f t="shared" ref="G143" si="134">G118+G128+G141+G142</f>
        <v>0</v>
      </c>
      <c r="H143" s="5">
        <f t="shared" ref="H143" si="135">H118+H128+H141+H142</f>
        <v>0</v>
      </c>
      <c r="I143" s="5">
        <f t="shared" ref="I143" si="136">I118+I128+I141+I142</f>
        <v>0</v>
      </c>
      <c r="J143" s="5">
        <f t="shared" ref="J143" si="137">J118+J128+J141+J142</f>
        <v>0</v>
      </c>
      <c r="K143" s="5">
        <f t="shared" ref="K143" si="138">K118+K128+K141+K142</f>
        <v>0</v>
      </c>
      <c r="L143" s="5">
        <f t="shared" ref="L143" si="139">L118+L128+L141+L142</f>
        <v>0</v>
      </c>
      <c r="M143" s="5">
        <f t="shared" ref="M143" si="140">M118+M128+M141+M142</f>
        <v>0</v>
      </c>
      <c r="N143" s="5">
        <f t="shared" ref="N143" si="141">N118+N128+N141+N142</f>
        <v>0</v>
      </c>
      <c r="O143" s="5">
        <f t="shared" ref="O143" si="142">O118+O128+O141+O142</f>
        <v>0</v>
      </c>
      <c r="P143" s="5">
        <f t="shared" ref="P143" si="143">P118+P128+P141+P142</f>
        <v>0</v>
      </c>
      <c r="Q143" s="5">
        <f t="shared" ref="Q143" si="144">Q118+Q128+Q141+Q142</f>
        <v>0</v>
      </c>
      <c r="R143" s="5">
        <f t="shared" ref="R143" si="145">R118+R128+R141+R142</f>
        <v>0</v>
      </c>
      <c r="S143" s="5">
        <f t="shared" ref="S143" si="146">S118+S128+S141+S142</f>
        <v>0</v>
      </c>
      <c r="AE143" s="5">
        <f t="shared" ref="AE143:AH143" si="147">AE118+AE128+AE141+AE142</f>
        <v>0</v>
      </c>
      <c r="AF143" s="5">
        <f t="shared" si="147"/>
        <v>0</v>
      </c>
      <c r="AG143" s="5">
        <f t="shared" si="147"/>
        <v>0</v>
      </c>
      <c r="AH143" s="5">
        <f t="shared" si="147"/>
        <v>0</v>
      </c>
      <c r="AI143" s="5">
        <f>AI118+AI128+AI141+AI142</f>
        <v>2382</v>
      </c>
    </row>
    <row r="144" spans="2:35" s="4" customFormat="1" x14ac:dyDescent="0.25">
      <c r="B144" s="4" t="s">
        <v>110</v>
      </c>
      <c r="D144" s="4">
        <f t="shared" ref="D144:S144" si="148">C145</f>
        <v>0</v>
      </c>
      <c r="E144" s="4">
        <f t="shared" si="148"/>
        <v>0</v>
      </c>
      <c r="F144" s="4">
        <f t="shared" si="148"/>
        <v>0</v>
      </c>
      <c r="G144" s="4">
        <f t="shared" si="148"/>
        <v>0</v>
      </c>
      <c r="H144" s="4">
        <f t="shared" si="148"/>
        <v>0</v>
      </c>
      <c r="I144" s="4">
        <f t="shared" si="148"/>
        <v>0</v>
      </c>
      <c r="J144" s="4">
        <f t="shared" si="148"/>
        <v>0</v>
      </c>
      <c r="K144" s="4">
        <f t="shared" si="148"/>
        <v>0</v>
      </c>
      <c r="L144" s="4">
        <f t="shared" si="148"/>
        <v>0</v>
      </c>
      <c r="M144" s="4">
        <f t="shared" si="148"/>
        <v>0</v>
      </c>
      <c r="N144" s="4">
        <f t="shared" si="148"/>
        <v>0</v>
      </c>
      <c r="O144" s="4">
        <f t="shared" si="148"/>
        <v>0</v>
      </c>
      <c r="P144" s="4">
        <f t="shared" si="148"/>
        <v>0</v>
      </c>
      <c r="Q144" s="4">
        <f t="shared" si="148"/>
        <v>0</v>
      </c>
      <c r="R144" s="4">
        <f t="shared" si="148"/>
        <v>0</v>
      </c>
      <c r="S144" s="4">
        <f t="shared" si="148"/>
        <v>0</v>
      </c>
      <c r="AE144" s="4">
        <f t="shared" ref="AE144:AG144" si="149">AD145</f>
        <v>0</v>
      </c>
      <c r="AF144" s="4">
        <f t="shared" si="149"/>
        <v>0</v>
      </c>
      <c r="AG144" s="4">
        <f t="shared" si="149"/>
        <v>0</v>
      </c>
      <c r="AH144" s="4">
        <v>2852</v>
      </c>
      <c r="AI144" s="4">
        <f>AH145</f>
        <v>2852</v>
      </c>
    </row>
    <row r="145" spans="2:35" s="4" customFormat="1" x14ac:dyDescent="0.25">
      <c r="B145" s="4" t="s">
        <v>111</v>
      </c>
      <c r="C145" s="4">
        <f t="shared" ref="C145" si="150">C143+C144</f>
        <v>0</v>
      </c>
      <c r="D145" s="4">
        <f t="shared" ref="D145" si="151">D143+D144</f>
        <v>0</v>
      </c>
      <c r="E145" s="4">
        <f t="shared" ref="E145" si="152">E143+E144</f>
        <v>0</v>
      </c>
      <c r="F145" s="4">
        <f t="shared" ref="F145" si="153">F143+F144</f>
        <v>0</v>
      </c>
      <c r="G145" s="4">
        <f t="shared" ref="G145" si="154">G143+G144</f>
        <v>0</v>
      </c>
      <c r="H145" s="4">
        <f t="shared" ref="H145" si="155">H143+H144</f>
        <v>0</v>
      </c>
      <c r="I145" s="4">
        <f t="shared" ref="I145" si="156">I143+I144</f>
        <v>0</v>
      </c>
      <c r="J145" s="4">
        <f t="shared" ref="J145" si="157">J143+J144</f>
        <v>0</v>
      </c>
      <c r="K145" s="4">
        <f t="shared" ref="K145" si="158">K143+K144</f>
        <v>0</v>
      </c>
      <c r="L145" s="4">
        <f t="shared" ref="L145" si="159">L143+L144</f>
        <v>0</v>
      </c>
      <c r="M145" s="4">
        <f t="shared" ref="M145" si="160">M143+M144</f>
        <v>0</v>
      </c>
      <c r="N145" s="4">
        <f t="shared" ref="N145" si="161">N143+N144</f>
        <v>0</v>
      </c>
      <c r="O145" s="4">
        <f t="shared" ref="O145" si="162">O143+O144</f>
        <v>0</v>
      </c>
      <c r="P145" s="4">
        <f t="shared" ref="P145" si="163">P143+P144</f>
        <v>0</v>
      </c>
      <c r="Q145" s="4">
        <f t="shared" ref="Q145" si="164">Q143+Q144</f>
        <v>0</v>
      </c>
      <c r="R145" s="4">
        <f t="shared" ref="R145" si="165">R143+R144</f>
        <v>0</v>
      </c>
      <c r="S145" s="4">
        <f t="shared" ref="S145" si="166">S143+S144</f>
        <v>0</v>
      </c>
      <c r="AE145" s="4">
        <f t="shared" ref="AE145:AH145" si="167">AE143+AE144</f>
        <v>0</v>
      </c>
      <c r="AF145" s="4">
        <f t="shared" si="167"/>
        <v>0</v>
      </c>
      <c r="AG145" s="4">
        <f t="shared" si="167"/>
        <v>0</v>
      </c>
      <c r="AH145" s="4">
        <f t="shared" si="167"/>
        <v>2852</v>
      </c>
      <c r="AI145" s="4">
        <f>AI143+AI144</f>
        <v>5234</v>
      </c>
    </row>
    <row r="146" spans="2:35" s="4" customFormat="1" x14ac:dyDescent="0.25"/>
    <row r="147" spans="2:35" s="4" customFormat="1" x14ac:dyDescent="0.25">
      <c r="B147" s="4" t="s">
        <v>112</v>
      </c>
      <c r="C147" s="4">
        <f t="shared" ref="C147:S147" si="168">C118-C122</f>
        <v>0</v>
      </c>
      <c r="D147" s="4">
        <f t="shared" si="168"/>
        <v>0</v>
      </c>
      <c r="E147" s="4">
        <f t="shared" si="168"/>
        <v>0</v>
      </c>
      <c r="F147" s="4">
        <f t="shared" si="168"/>
        <v>0</v>
      </c>
      <c r="G147" s="4">
        <f t="shared" si="168"/>
        <v>0</v>
      </c>
      <c r="H147" s="4">
        <f t="shared" si="168"/>
        <v>0</v>
      </c>
      <c r="I147" s="4">
        <f t="shared" si="168"/>
        <v>0</v>
      </c>
      <c r="J147" s="4">
        <f t="shared" si="168"/>
        <v>0</v>
      </c>
      <c r="K147" s="4">
        <f t="shared" si="168"/>
        <v>0</v>
      </c>
      <c r="L147" s="4">
        <f t="shared" si="168"/>
        <v>0</v>
      </c>
      <c r="M147" s="4">
        <f t="shared" si="168"/>
        <v>0</v>
      </c>
      <c r="N147" s="4">
        <f t="shared" si="168"/>
        <v>0</v>
      </c>
      <c r="O147" s="4">
        <f t="shared" si="168"/>
        <v>0</v>
      </c>
      <c r="P147" s="4">
        <f t="shared" si="168"/>
        <v>0</v>
      </c>
      <c r="Q147" s="4">
        <f t="shared" si="168"/>
        <v>0</v>
      </c>
      <c r="R147" s="4">
        <f t="shared" si="168"/>
        <v>0</v>
      </c>
      <c r="S147" s="4">
        <f t="shared" si="168"/>
        <v>0</v>
      </c>
      <c r="AE147" s="4">
        <f t="shared" ref="AE147:AI147" si="169">AE118-AE122</f>
        <v>0</v>
      </c>
      <c r="AF147" s="4">
        <f t="shared" si="169"/>
        <v>0</v>
      </c>
      <c r="AG147" s="4">
        <f t="shared" si="169"/>
        <v>0</v>
      </c>
      <c r="AH147" s="4">
        <f t="shared" si="169"/>
        <v>0</v>
      </c>
      <c r="AI147" s="4">
        <f>AI118-AI122</f>
        <v>6331</v>
      </c>
    </row>
    <row r="148" spans="2:35" s="8" customFormat="1" x14ac:dyDescent="0.25">
      <c r="B148" s="8" t="s">
        <v>113</v>
      </c>
      <c r="C148" s="8" t="e">
        <f>C147/C13</f>
        <v>#DIV/0!</v>
      </c>
      <c r="D148" s="8" t="e">
        <f>D147/D13</f>
        <v>#DIV/0!</v>
      </c>
      <c r="E148" s="8" t="e">
        <f>E147/E13</f>
        <v>#DIV/0!</v>
      </c>
      <c r="F148" s="8" t="e">
        <f>F147/F13</f>
        <v>#DIV/0!</v>
      </c>
      <c r="G148" s="8">
        <f>G147/G13</f>
        <v>0</v>
      </c>
      <c r="H148" s="8">
        <f>H147/H13</f>
        <v>0</v>
      </c>
      <c r="I148" s="8">
        <f>I147/I13</f>
        <v>0</v>
      </c>
      <c r="J148" s="8">
        <f>J147/J13</f>
        <v>0</v>
      </c>
      <c r="K148" s="8">
        <f>K147/K13</f>
        <v>0</v>
      </c>
      <c r="L148" s="8">
        <f>L147/L13</f>
        <v>0</v>
      </c>
      <c r="M148" s="8">
        <f>M147/M13</f>
        <v>0</v>
      </c>
      <c r="N148" s="8">
        <f>N147/N13</f>
        <v>0</v>
      </c>
      <c r="O148" s="8">
        <f>O147/O13</f>
        <v>0</v>
      </c>
      <c r="P148" s="8">
        <f>P147/P13</f>
        <v>0</v>
      </c>
      <c r="Q148" s="8">
        <f>Q147/Q13</f>
        <v>0</v>
      </c>
      <c r="R148" s="8">
        <f>R147/R13</f>
        <v>0</v>
      </c>
      <c r="S148" s="8" t="e">
        <f>S147/S13</f>
        <v>#DIV/0!</v>
      </c>
      <c r="AE148" s="8" t="e">
        <f>AE147/AE13</f>
        <v>#DIV/0!</v>
      </c>
      <c r="AF148" s="8" t="e">
        <f>AF147/AF13</f>
        <v>#DIV/0!</v>
      </c>
      <c r="AG148" s="8">
        <f>AG147/AG13</f>
        <v>0</v>
      </c>
      <c r="AH148" s="8">
        <f>AH147/AH13</f>
        <v>0</v>
      </c>
      <c r="AI148" s="8">
        <f>AI147/AI13</f>
        <v>0.33620094524985394</v>
      </c>
    </row>
    <row r="149" spans="2:35" s="8" customFormat="1" x14ac:dyDescent="0.25">
      <c r="B149" s="8" t="s">
        <v>114</v>
      </c>
      <c r="G149" s="8" t="e">
        <f t="shared" ref="G149:R149" si="170">G147/C147-1</f>
        <v>#DIV/0!</v>
      </c>
      <c r="H149" s="8" t="e">
        <f t="shared" si="170"/>
        <v>#DIV/0!</v>
      </c>
      <c r="I149" s="8" t="e">
        <f t="shared" si="170"/>
        <v>#DIV/0!</v>
      </c>
      <c r="J149" s="8" t="e">
        <f t="shared" si="170"/>
        <v>#DIV/0!</v>
      </c>
      <c r="K149" s="8" t="e">
        <f t="shared" si="170"/>
        <v>#DIV/0!</v>
      </c>
      <c r="L149" s="8" t="e">
        <f t="shared" si="170"/>
        <v>#DIV/0!</v>
      </c>
      <c r="M149" s="8" t="e">
        <f t="shared" si="170"/>
        <v>#DIV/0!</v>
      </c>
      <c r="N149" s="8" t="e">
        <f t="shared" si="170"/>
        <v>#DIV/0!</v>
      </c>
      <c r="O149" s="8" t="e">
        <f t="shared" si="170"/>
        <v>#DIV/0!</v>
      </c>
      <c r="P149" s="8" t="e">
        <f t="shared" si="170"/>
        <v>#DIV/0!</v>
      </c>
      <c r="Q149" s="8" t="e">
        <f t="shared" si="170"/>
        <v>#DIV/0!</v>
      </c>
      <c r="R149" s="8" t="e">
        <f t="shared" si="170"/>
        <v>#DIV/0!</v>
      </c>
      <c r="S149" s="8" t="e">
        <f>S147/O147-1</f>
        <v>#DIV/0!</v>
      </c>
      <c r="AF149" s="8" t="e">
        <f t="shared" ref="AF149:AI149" si="171">AF147/AE147-1</f>
        <v>#DIV/0!</v>
      </c>
      <c r="AG149" s="8" t="e">
        <f t="shared" si="171"/>
        <v>#DIV/0!</v>
      </c>
      <c r="AH149" s="8" t="e">
        <f t="shared" si="171"/>
        <v>#DIV/0!</v>
      </c>
      <c r="AI149" s="8" t="e">
        <f>AI147/AH147-1</f>
        <v>#DIV/0!</v>
      </c>
    </row>
    <row r="150" spans="2:35" s="8" customFormat="1" x14ac:dyDescent="0.25">
      <c r="B150" s="8" t="s">
        <v>115</v>
      </c>
      <c r="C150" s="8" t="e">
        <f t="shared" ref="C150:S150" si="172">-C122/C102</f>
        <v>#DIV/0!</v>
      </c>
      <c r="D150" s="8" t="e">
        <f t="shared" si="172"/>
        <v>#DIV/0!</v>
      </c>
      <c r="E150" s="8" t="e">
        <f t="shared" si="172"/>
        <v>#DIV/0!</v>
      </c>
      <c r="F150" s="8" t="e">
        <f t="shared" si="172"/>
        <v>#DIV/0!</v>
      </c>
      <c r="G150" s="8" t="e">
        <f t="shared" si="172"/>
        <v>#DIV/0!</v>
      </c>
      <c r="H150" s="8" t="e">
        <f t="shared" si="172"/>
        <v>#DIV/0!</v>
      </c>
      <c r="I150" s="8" t="e">
        <f t="shared" si="172"/>
        <v>#DIV/0!</v>
      </c>
      <c r="J150" s="8" t="e">
        <f t="shared" si="172"/>
        <v>#DIV/0!</v>
      </c>
      <c r="K150" s="8" t="e">
        <f t="shared" si="172"/>
        <v>#DIV/0!</v>
      </c>
      <c r="L150" s="8" t="e">
        <f t="shared" si="172"/>
        <v>#DIV/0!</v>
      </c>
      <c r="M150" s="8" t="e">
        <f t="shared" si="172"/>
        <v>#DIV/0!</v>
      </c>
      <c r="N150" s="8" t="e">
        <f t="shared" si="172"/>
        <v>#DIV/0!</v>
      </c>
      <c r="O150" s="8" t="e">
        <f t="shared" si="172"/>
        <v>#DIV/0!</v>
      </c>
      <c r="P150" s="8" t="e">
        <f t="shared" si="172"/>
        <v>#DIV/0!</v>
      </c>
      <c r="Q150" s="8" t="e">
        <f t="shared" si="172"/>
        <v>#DIV/0!</v>
      </c>
      <c r="R150" s="8" t="e">
        <f t="shared" si="172"/>
        <v>#DIV/0!</v>
      </c>
      <c r="S150" s="8" t="e">
        <f t="shared" si="172"/>
        <v>#DIV/0!</v>
      </c>
      <c r="AE150" s="8" t="e">
        <f t="shared" ref="AE150:AI150" si="173">-AE122/AE102</f>
        <v>#DIV/0!</v>
      </c>
      <c r="AF150" s="8" t="e">
        <f t="shared" si="173"/>
        <v>#DIV/0!</v>
      </c>
      <c r="AG150" s="8" t="e">
        <f t="shared" si="173"/>
        <v>#DIV/0!</v>
      </c>
      <c r="AH150" s="8" t="e">
        <f t="shared" si="173"/>
        <v>#DIV/0!</v>
      </c>
      <c r="AI150" s="8">
        <f>-AI122/AI102</f>
        <v>3.2049625226156626E-2</v>
      </c>
    </row>
    <row r="154" spans="2:35" x14ac:dyDescent="0.25">
      <c r="B154" s="3" t="s">
        <v>142</v>
      </c>
    </row>
    <row r="155" spans="2:35" x14ac:dyDescent="0.25">
      <c r="B155" s="1" t="s">
        <v>141</v>
      </c>
      <c r="N155" s="1">
        <v>4.5999999999999996</v>
      </c>
      <c r="R155" s="1">
        <v>4.3</v>
      </c>
    </row>
    <row r="156" spans="2:35" x14ac:dyDescent="0.25">
      <c r="B156" s="1" t="s">
        <v>143</v>
      </c>
      <c r="N156" s="1">
        <v>35.4</v>
      </c>
      <c r="R156" s="1">
        <v>34.9</v>
      </c>
    </row>
    <row r="157" spans="2:35" s="3" customFormat="1" x14ac:dyDescent="0.25">
      <c r="B157" s="3" t="s">
        <v>144</v>
      </c>
      <c r="C157" s="3">
        <f t="shared" ref="C157:Q157" si="174">SUM(C155:C156)</f>
        <v>0</v>
      </c>
      <c r="D157" s="3">
        <f t="shared" si="174"/>
        <v>0</v>
      </c>
      <c r="E157" s="3">
        <f t="shared" si="174"/>
        <v>0</v>
      </c>
      <c r="F157" s="3">
        <f t="shared" si="174"/>
        <v>0</v>
      </c>
      <c r="G157" s="3">
        <f t="shared" si="174"/>
        <v>0</v>
      </c>
      <c r="H157" s="3">
        <f t="shared" si="174"/>
        <v>0</v>
      </c>
      <c r="I157" s="3">
        <f t="shared" si="174"/>
        <v>0</v>
      </c>
      <c r="J157" s="3">
        <f t="shared" si="174"/>
        <v>0</v>
      </c>
      <c r="K157" s="3">
        <f t="shared" si="174"/>
        <v>0</v>
      </c>
      <c r="L157" s="3">
        <f t="shared" si="174"/>
        <v>0</v>
      </c>
      <c r="M157" s="3">
        <f t="shared" si="174"/>
        <v>0</v>
      </c>
      <c r="N157" s="3">
        <f t="shared" si="174"/>
        <v>40</v>
      </c>
      <c r="O157" s="3">
        <f t="shared" si="174"/>
        <v>0</v>
      </c>
      <c r="P157" s="3">
        <f t="shared" si="174"/>
        <v>0</v>
      </c>
      <c r="Q157" s="3">
        <f t="shared" si="174"/>
        <v>0</v>
      </c>
      <c r="R157" s="3">
        <f>SUM(R155:R156)</f>
        <v>39.199999999999996</v>
      </c>
      <c r="S157" s="3">
        <f t="shared" ref="S157" si="175">SUM(S155:S156)</f>
        <v>0</v>
      </c>
    </row>
    <row r="159" spans="2:35" s="8" customFormat="1" x14ac:dyDescent="0.25">
      <c r="B159" s="8" t="s">
        <v>145</v>
      </c>
      <c r="R159" s="8">
        <f>R155/N155-1</f>
        <v>-6.5217391304347783E-2</v>
      </c>
    </row>
    <row r="160" spans="2:35" s="8" customFormat="1" x14ac:dyDescent="0.25">
      <c r="B160" s="8" t="s">
        <v>146</v>
      </c>
      <c r="R160" s="8">
        <f t="shared" ref="R160" si="176">R156/N156-1</f>
        <v>-1.4124293785310771E-2</v>
      </c>
    </row>
  </sheetData>
  <phoneticPr fontId="4" type="noConversion"/>
  <hyperlinks>
    <hyperlink ref="A1" location="Main!A1" display="Main" xr:uid="{FC12D241-18CC-477E-BD88-01969AAAC8E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2025-08-27T19:53:55Z</dcterms:modified>
</cp:coreProperties>
</file>