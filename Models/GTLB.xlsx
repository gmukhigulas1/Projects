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494C0BB4-9847-4112-ABA3-6A8BBA095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6" r:id="rId1"/>
    <sheet name="FS" sheetId="1" r:id="rId2"/>
    <sheet name="FA" sheetId="2" r:id="rId3"/>
    <sheet name="Segments" sheetId="3" r:id="rId4"/>
    <sheet name="Comp." sheetId="4" r:id="rId5"/>
    <sheet name="Sentiment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6" l="1"/>
  <c r="J15" i="6" s="1"/>
  <c r="R46" i="1"/>
  <c r="R45" i="1"/>
  <c r="R44" i="1"/>
  <c r="R43" i="1"/>
  <c r="R42" i="1"/>
  <c r="R41" i="1"/>
  <c r="R37" i="1"/>
  <c r="R35" i="1"/>
  <c r="R34" i="1"/>
  <c r="R33" i="1"/>
  <c r="R32" i="1"/>
  <c r="R31" i="1"/>
  <c r="R30" i="1"/>
  <c r="R29" i="1"/>
  <c r="R28" i="1"/>
  <c r="R27" i="1"/>
  <c r="R124" i="1"/>
  <c r="R126" i="1"/>
  <c r="R125" i="1"/>
  <c r="R123" i="1"/>
  <c r="R121" i="1"/>
  <c r="R120" i="1"/>
  <c r="S117" i="1"/>
  <c r="R117" i="1"/>
  <c r="S116" i="1"/>
  <c r="R116" i="1"/>
  <c r="S114" i="1"/>
  <c r="R114" i="1"/>
  <c r="S112" i="1"/>
  <c r="R112" i="1"/>
  <c r="S111" i="1"/>
  <c r="R111" i="1"/>
  <c r="S109" i="1"/>
  <c r="R109" i="1"/>
  <c r="S107" i="1"/>
  <c r="R107" i="1"/>
  <c r="R104" i="1"/>
  <c r="S102" i="1"/>
  <c r="R102" i="1"/>
  <c r="S93" i="1"/>
  <c r="R93" i="1"/>
  <c r="R78" i="1"/>
  <c r="T73" i="1"/>
  <c r="S73" i="1"/>
  <c r="R73" i="1"/>
  <c r="T24" i="1"/>
  <c r="S24" i="1"/>
  <c r="R24" i="1"/>
  <c r="T22" i="1"/>
  <c r="S22" i="1"/>
  <c r="R22" i="1"/>
  <c r="T20" i="1"/>
  <c r="S20" i="1"/>
  <c r="R20" i="1"/>
  <c r="T14" i="1"/>
  <c r="T17" i="1" s="1"/>
  <c r="T13" i="1"/>
  <c r="S13" i="1"/>
  <c r="S14" i="1" s="1"/>
  <c r="S17" i="1" s="1"/>
  <c r="R14" i="1"/>
  <c r="R17" i="1" s="1"/>
  <c r="R13" i="1"/>
  <c r="T9" i="1"/>
  <c r="T8" i="1"/>
  <c r="S8" i="1"/>
  <c r="S9" i="1" s="1"/>
  <c r="R8" i="1"/>
  <c r="R9" i="1" s="1"/>
  <c r="R5" i="1"/>
  <c r="T67" i="1"/>
  <c r="S67" i="1"/>
  <c r="R67" i="1"/>
  <c r="T65" i="1"/>
  <c r="S65" i="1"/>
  <c r="R65" i="1"/>
  <c r="R63" i="1"/>
  <c r="T59" i="1"/>
  <c r="S59" i="1"/>
  <c r="R59" i="1"/>
  <c r="R52" i="1"/>
  <c r="R50" i="1"/>
  <c r="V11" i="6"/>
  <c r="U11" i="6"/>
  <c r="R11" i="6"/>
  <c r="Q11" i="6"/>
  <c r="V10" i="6"/>
  <c r="U10" i="6"/>
  <c r="R10" i="6"/>
  <c r="Q10" i="6"/>
  <c r="V7" i="6"/>
  <c r="U7" i="6"/>
  <c r="R7" i="6"/>
  <c r="Q7" i="6"/>
  <c r="O30" i="2"/>
  <c r="O29" i="2"/>
  <c r="O24" i="2"/>
  <c r="O23" i="2"/>
  <c r="O22" i="2"/>
  <c r="K22" i="2"/>
  <c r="O21" i="2"/>
  <c r="O20" i="2"/>
  <c r="P114" i="1"/>
  <c r="O114" i="1"/>
  <c r="N114" i="1"/>
  <c r="L114" i="1"/>
  <c r="K114" i="1"/>
  <c r="J114" i="1"/>
  <c r="I114" i="1"/>
  <c r="H114" i="1"/>
  <c r="G114" i="1"/>
  <c r="F114" i="1"/>
  <c r="E114" i="1"/>
  <c r="D114" i="1"/>
  <c r="C114" i="1"/>
  <c r="AE111" i="1"/>
  <c r="N8" i="6"/>
  <c r="J8" i="6"/>
  <c r="J6" i="6"/>
  <c r="J7" i="6" s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Q121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7" i="1"/>
  <c r="C116" i="1"/>
  <c r="E121" i="1"/>
  <c r="D121" i="1"/>
  <c r="C121" i="1"/>
  <c r="Q78" i="1"/>
  <c r="Q93" i="1" s="1"/>
  <c r="Q107" i="1"/>
  <c r="Q102" i="1"/>
  <c r="Q63" i="1"/>
  <c r="Q65" i="1" s="1"/>
  <c r="Q67" i="1" s="1"/>
  <c r="Q50" i="1"/>
  <c r="Q52" i="1"/>
  <c r="Q59" i="1" s="1"/>
  <c r="Q43" i="1"/>
  <c r="Q42" i="1"/>
  <c r="Q41" i="1"/>
  <c r="Q24" i="1"/>
  <c r="Q13" i="1"/>
  <c r="Q8" i="1"/>
  <c r="Q5" i="1"/>
  <c r="N30" i="2"/>
  <c r="N29" i="2"/>
  <c r="N24" i="2"/>
  <c r="N23" i="2"/>
  <c r="N21" i="2"/>
  <c r="N20" i="2"/>
  <c r="BA19" i="4"/>
  <c r="BA16" i="4"/>
  <c r="BA13" i="4"/>
  <c r="BD10" i="4"/>
  <c r="BA10" i="4"/>
  <c r="BD7" i="4"/>
  <c r="BA7" i="4"/>
  <c r="BD4" i="4"/>
  <c r="BA4" i="4"/>
  <c r="P78" i="1"/>
  <c r="P93" i="1" s="1"/>
  <c r="P107" i="1"/>
  <c r="P102" i="1"/>
  <c r="P43" i="1"/>
  <c r="P42" i="1"/>
  <c r="P41" i="1"/>
  <c r="P24" i="1"/>
  <c r="P13" i="1"/>
  <c r="P8" i="1"/>
  <c r="P5" i="1"/>
  <c r="P63" i="1"/>
  <c r="P65" i="1" s="1"/>
  <c r="P67" i="1" s="1"/>
  <c r="P52" i="1"/>
  <c r="P50" i="1"/>
  <c r="P59" i="1" s="1"/>
  <c r="Q9" i="1" l="1"/>
  <c r="Q32" i="1" s="1"/>
  <c r="Q31" i="1"/>
  <c r="P121" i="1"/>
  <c r="P9" i="1"/>
  <c r="P27" i="1" s="1"/>
  <c r="Q35" i="1"/>
  <c r="P124" i="1"/>
  <c r="Q124" i="1"/>
  <c r="P35" i="1"/>
  <c r="P37" i="1"/>
  <c r="Q46" i="1"/>
  <c r="Q37" i="1"/>
  <c r="Q111" i="1"/>
  <c r="Q114" i="1" s="1"/>
  <c r="Q109" i="1"/>
  <c r="P111" i="1"/>
  <c r="P109" i="1"/>
  <c r="P14" i="1"/>
  <c r="M30" i="2"/>
  <c r="M29" i="2"/>
  <c r="M20" i="2"/>
  <c r="M21" i="2"/>
  <c r="M23" i="2"/>
  <c r="M24" i="2"/>
  <c r="AG5" i="1"/>
  <c r="L21" i="2"/>
  <c r="AW7" i="4"/>
  <c r="AW9" i="4" s="1"/>
  <c r="AV7" i="4"/>
  <c r="AV9" i="4" s="1"/>
  <c r="AU7" i="4"/>
  <c r="AU9" i="4" s="1"/>
  <c r="AT7" i="4"/>
  <c r="AN10" i="4"/>
  <c r="AM10" i="4"/>
  <c r="AI7" i="4"/>
  <c r="AH11" i="4"/>
  <c r="AJ11" i="4" s="1"/>
  <c r="AH10" i="4"/>
  <c r="AJ10" i="4" s="1"/>
  <c r="AH8" i="4"/>
  <c r="AJ8" i="4" s="1"/>
  <c r="AH7" i="4"/>
  <c r="AJ7" i="4" s="1"/>
  <c r="AF11" i="4"/>
  <c r="AG11" i="4" s="1"/>
  <c r="AE11" i="4"/>
  <c r="AG10" i="4"/>
  <c r="AG8" i="4"/>
  <c r="AG7" i="4"/>
  <c r="AC10" i="4"/>
  <c r="AC9" i="4"/>
  <c r="AC8" i="4"/>
  <c r="AC7" i="4"/>
  <c r="AB11" i="4"/>
  <c r="AC11" i="4" s="1"/>
  <c r="AA11" i="4"/>
  <c r="W19" i="4"/>
  <c r="W18" i="4"/>
  <c r="W17" i="4"/>
  <c r="W16" i="4"/>
  <c r="K17" i="4"/>
  <c r="J17" i="4"/>
  <c r="I17" i="4"/>
  <c r="K19" i="4"/>
  <c r="J19" i="4"/>
  <c r="I19" i="4"/>
  <c r="U19" i="4"/>
  <c r="T19" i="4"/>
  <c r="S19" i="4"/>
  <c r="R19" i="4"/>
  <c r="Q19" i="4"/>
  <c r="P19" i="4"/>
  <c r="O19" i="4"/>
  <c r="N19" i="4"/>
  <c r="M19" i="4"/>
  <c r="L19" i="4"/>
  <c r="U18" i="4"/>
  <c r="T18" i="4"/>
  <c r="S18" i="4"/>
  <c r="R18" i="4"/>
  <c r="Q18" i="4"/>
  <c r="P18" i="4"/>
  <c r="O18" i="4"/>
  <c r="N18" i="4"/>
  <c r="M18" i="4"/>
  <c r="L18" i="4"/>
  <c r="U17" i="4"/>
  <c r="T17" i="4"/>
  <c r="S17" i="4"/>
  <c r="R17" i="4"/>
  <c r="Q17" i="4"/>
  <c r="P17" i="4"/>
  <c r="O17" i="4"/>
  <c r="N17" i="4"/>
  <c r="M17" i="4"/>
  <c r="L17" i="4"/>
  <c r="U16" i="4"/>
  <c r="T16" i="4"/>
  <c r="S16" i="4"/>
  <c r="R16" i="4"/>
  <c r="Q16" i="4"/>
  <c r="P16" i="4"/>
  <c r="O16" i="4"/>
  <c r="N16" i="4"/>
  <c r="M16" i="4"/>
  <c r="L16" i="4"/>
  <c r="V19" i="4"/>
  <c r="V17" i="4"/>
  <c r="V18" i="4"/>
  <c r="V16" i="4"/>
  <c r="L20" i="2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H28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V14" i="4"/>
  <c r="Q123" i="1" l="1"/>
  <c r="Q125" i="1"/>
  <c r="Q126" i="1"/>
  <c r="P125" i="1"/>
  <c r="P126" i="1"/>
  <c r="Q27" i="1"/>
  <c r="Q33" i="1"/>
  <c r="Q14" i="1"/>
  <c r="P31" i="1"/>
  <c r="P32" i="1"/>
  <c r="P33" i="1"/>
  <c r="Q17" i="1"/>
  <c r="Q28" i="1"/>
  <c r="Q34" i="1"/>
  <c r="P17" i="1"/>
  <c r="P28" i="1"/>
  <c r="P34" i="1"/>
  <c r="AX7" i="4"/>
  <c r="AX9" i="4" s="1"/>
  <c r="AI10" i="4"/>
  <c r="AI8" i="4"/>
  <c r="AI11" i="4"/>
  <c r="J11" i="6"/>
  <c r="AF20" i="1"/>
  <c r="AG9" i="1"/>
  <c r="Z5" i="1"/>
  <c r="Z45" i="1" s="1"/>
  <c r="Y5" i="1"/>
  <c r="Y45" i="1" s="1"/>
  <c r="X5" i="1"/>
  <c r="T45" i="1"/>
  <c r="U45" i="1"/>
  <c r="V45" i="1"/>
  <c r="W45" i="1"/>
  <c r="AF23" i="1"/>
  <c r="AJ45" i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AI45" i="1"/>
  <c r="AH45" i="1"/>
  <c r="N24" i="1"/>
  <c r="M24" i="1"/>
  <c r="L24" i="1"/>
  <c r="K24" i="1"/>
  <c r="J24" i="1"/>
  <c r="I24" i="1"/>
  <c r="H24" i="1"/>
  <c r="AD24" i="1"/>
  <c r="AE24" i="1"/>
  <c r="O24" i="1"/>
  <c r="X45" i="1" l="1"/>
  <c r="AH5" i="1"/>
  <c r="AI5" i="1" s="1"/>
  <c r="AJ5" i="1" s="1"/>
  <c r="P20" i="1"/>
  <c r="P30" i="1"/>
  <c r="Q20" i="1"/>
  <c r="Q30" i="1"/>
  <c r="BA45" i="1"/>
  <c r="BB45" i="1" s="1"/>
  <c r="BC45" i="1" s="1"/>
  <c r="BD45" i="1" s="1"/>
  <c r="BE45" i="1" s="1"/>
  <c r="BF45" i="1" s="1"/>
  <c r="BG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CG45" i="1" s="1"/>
  <c r="CH45" i="1" s="1"/>
  <c r="CI45" i="1" s="1"/>
  <c r="CJ45" i="1" s="1"/>
  <c r="CK45" i="1" s="1"/>
  <c r="CL45" i="1" s="1"/>
  <c r="CM45" i="1" s="1"/>
  <c r="CN45" i="1" s="1"/>
  <c r="CO45" i="1" s="1"/>
  <c r="CP45" i="1" s="1"/>
  <c r="CQ45" i="1" s="1"/>
  <c r="CR45" i="1" s="1"/>
  <c r="CS45" i="1" s="1"/>
  <c r="CT45" i="1" s="1"/>
  <c r="CU45" i="1" s="1"/>
  <c r="CV45" i="1" s="1"/>
  <c r="CW45" i="1" s="1"/>
  <c r="CX45" i="1" s="1"/>
  <c r="CY45" i="1" s="1"/>
  <c r="CZ45" i="1" s="1"/>
  <c r="DA45" i="1" s="1"/>
  <c r="DB45" i="1" s="1"/>
  <c r="DC45" i="1" s="1"/>
  <c r="DD45" i="1" s="1"/>
  <c r="DE45" i="1" s="1"/>
  <c r="DF45" i="1" s="1"/>
  <c r="DG45" i="1" s="1"/>
  <c r="DH45" i="1" s="1"/>
  <c r="DI45" i="1" s="1"/>
  <c r="DJ45" i="1" s="1"/>
  <c r="DK45" i="1" s="1"/>
  <c r="DL45" i="1" s="1"/>
  <c r="DM45" i="1" s="1"/>
  <c r="DN45" i="1" s="1"/>
  <c r="DO45" i="1" s="1"/>
  <c r="DP45" i="1" s="1"/>
  <c r="DQ45" i="1" s="1"/>
  <c r="DR45" i="1" s="1"/>
  <c r="DS45" i="1" s="1"/>
  <c r="DT45" i="1" s="1"/>
  <c r="DU45" i="1" s="1"/>
  <c r="DV45" i="1" s="1"/>
  <c r="DW45" i="1" s="1"/>
  <c r="DX45" i="1" s="1"/>
  <c r="DY45" i="1" s="1"/>
  <c r="DZ45" i="1" s="1"/>
  <c r="EA45" i="1" s="1"/>
  <c r="EB45" i="1" s="1"/>
  <c r="EC45" i="1" s="1"/>
  <c r="ED45" i="1" s="1"/>
  <c r="EE45" i="1" s="1"/>
  <c r="EF45" i="1" s="1"/>
  <c r="EG45" i="1" s="1"/>
  <c r="EH45" i="1" s="1"/>
  <c r="EI45" i="1" s="1"/>
  <c r="EJ45" i="1" s="1"/>
  <c r="EK45" i="1" s="1"/>
  <c r="EL45" i="1" s="1"/>
  <c r="EM45" i="1" s="1"/>
  <c r="EN45" i="1" s="1"/>
  <c r="EO45" i="1" s="1"/>
  <c r="EP45" i="1" s="1"/>
  <c r="EQ45" i="1" s="1"/>
  <c r="ER45" i="1" s="1"/>
  <c r="ES45" i="1" s="1"/>
  <c r="ET45" i="1" s="1"/>
  <c r="EU45" i="1" s="1"/>
  <c r="AG10" i="1"/>
  <c r="AG12" i="1"/>
  <c r="AG11" i="1"/>
  <c r="Q22" i="1" l="1"/>
  <c r="Q29" i="1"/>
  <c r="Q73" i="1"/>
  <c r="Q112" i="1" s="1"/>
  <c r="P22" i="1"/>
  <c r="P73" i="1"/>
  <c r="P112" i="1" s="1"/>
  <c r="P29" i="1"/>
  <c r="AG13" i="1"/>
  <c r="AH9" i="1"/>
  <c r="AG14" i="1"/>
  <c r="O107" i="1"/>
  <c r="O95" i="1"/>
  <c r="O102" i="1" s="1"/>
  <c r="O78" i="1"/>
  <c r="O93" i="1" s="1"/>
  <c r="O111" i="1" s="1"/>
  <c r="O43" i="1"/>
  <c r="O42" i="1"/>
  <c r="O41" i="1"/>
  <c r="O13" i="1"/>
  <c r="O8" i="1"/>
  <c r="O5" i="1"/>
  <c r="O63" i="1"/>
  <c r="O65" i="1" s="1"/>
  <c r="O67" i="1" s="1"/>
  <c r="O52" i="1"/>
  <c r="O50" i="1"/>
  <c r="O121" i="1" s="1"/>
  <c r="L24" i="2"/>
  <c r="K24" i="2"/>
  <c r="J24" i="2"/>
  <c r="I24" i="2"/>
  <c r="H24" i="2"/>
  <c r="L23" i="2"/>
  <c r="K23" i="2"/>
  <c r="J23" i="2"/>
  <c r="I23" i="2"/>
  <c r="H23" i="2"/>
  <c r="G24" i="2"/>
  <c r="G23" i="2"/>
  <c r="G22" i="2"/>
  <c r="J21" i="2"/>
  <c r="I21" i="2"/>
  <c r="H21" i="2"/>
  <c r="G21" i="2"/>
  <c r="F21" i="2"/>
  <c r="E21" i="2"/>
  <c r="D21" i="2"/>
  <c r="J20" i="2"/>
  <c r="I20" i="2"/>
  <c r="H20" i="2"/>
  <c r="G20" i="2"/>
  <c r="F20" i="2"/>
  <c r="E20" i="2"/>
  <c r="D20" i="2"/>
  <c r="K21" i="2"/>
  <c r="K20" i="2"/>
  <c r="AD43" i="1"/>
  <c r="AD42" i="1"/>
  <c r="AD41" i="1"/>
  <c r="AE43" i="1"/>
  <c r="AE42" i="1"/>
  <c r="AE41" i="1"/>
  <c r="M43" i="1"/>
  <c r="L43" i="1"/>
  <c r="K43" i="1"/>
  <c r="J43" i="1"/>
  <c r="I43" i="1"/>
  <c r="H43" i="1"/>
  <c r="G43" i="1"/>
  <c r="M42" i="1"/>
  <c r="L42" i="1"/>
  <c r="K42" i="1"/>
  <c r="J42" i="1"/>
  <c r="I42" i="1"/>
  <c r="H42" i="1"/>
  <c r="G42" i="1"/>
  <c r="M41" i="1"/>
  <c r="L41" i="1"/>
  <c r="K41" i="1"/>
  <c r="J41" i="1"/>
  <c r="I41" i="1"/>
  <c r="H41" i="1"/>
  <c r="G41" i="1"/>
  <c r="N43" i="1"/>
  <c r="N42" i="1"/>
  <c r="N41" i="1"/>
  <c r="F7" i="2"/>
  <c r="E7" i="2"/>
  <c r="D7" i="2"/>
  <c r="G7" i="2"/>
  <c r="C5" i="2"/>
  <c r="D5" i="2"/>
  <c r="O125" i="1" l="1"/>
  <c r="O126" i="1"/>
  <c r="O124" i="1"/>
  <c r="AF5" i="1"/>
  <c r="AG45" i="1" s="1"/>
  <c r="P46" i="1"/>
  <c r="O37" i="1"/>
  <c r="AH17" i="1"/>
  <c r="AH12" i="1"/>
  <c r="AH10" i="1"/>
  <c r="AH11" i="1"/>
  <c r="AF9" i="1"/>
  <c r="AF35" i="1"/>
  <c r="AI9" i="1"/>
  <c r="S45" i="1"/>
  <c r="O35" i="1"/>
  <c r="O59" i="1"/>
  <c r="O109" i="1"/>
  <c r="O9" i="1"/>
  <c r="D8" i="2"/>
  <c r="E95" i="1"/>
  <c r="D108" i="1"/>
  <c r="E108" i="1" s="1"/>
  <c r="D104" i="1"/>
  <c r="D103" i="1"/>
  <c r="E103" i="1" s="1"/>
  <c r="D96" i="1"/>
  <c r="E96" i="1" s="1"/>
  <c r="D94" i="1"/>
  <c r="D82" i="1"/>
  <c r="E82" i="1" s="1"/>
  <c r="D92" i="1"/>
  <c r="E92" i="1" s="1"/>
  <c r="D91" i="1"/>
  <c r="E91" i="1" s="1"/>
  <c r="D86" i="1"/>
  <c r="E86" i="1" s="1"/>
  <c r="D90" i="1"/>
  <c r="E90" i="1" s="1"/>
  <c r="D89" i="1"/>
  <c r="E89" i="1" s="1"/>
  <c r="D88" i="1"/>
  <c r="E88" i="1" s="1"/>
  <c r="D87" i="1"/>
  <c r="E87" i="1" s="1"/>
  <c r="D85" i="1"/>
  <c r="E85" i="1" s="1"/>
  <c r="D84" i="1"/>
  <c r="E84" i="1" s="1"/>
  <c r="D83" i="1"/>
  <c r="E83" i="1" s="1"/>
  <c r="D80" i="1"/>
  <c r="E80" i="1" s="1"/>
  <c r="D75" i="1"/>
  <c r="E75" i="1" s="1"/>
  <c r="D74" i="1"/>
  <c r="E74" i="1" s="1"/>
  <c r="D13" i="1"/>
  <c r="D8" i="1"/>
  <c r="D5" i="1"/>
  <c r="H63" i="1"/>
  <c r="H65" i="1" s="1"/>
  <c r="H67" i="1" s="1"/>
  <c r="H52" i="1"/>
  <c r="H50" i="1"/>
  <c r="H121" i="1" s="1"/>
  <c r="C105" i="1"/>
  <c r="C107" i="1" s="1"/>
  <c r="C78" i="1"/>
  <c r="C93" i="1" s="1"/>
  <c r="C111" i="1" s="1"/>
  <c r="C102" i="1"/>
  <c r="C13" i="1"/>
  <c r="C8" i="1"/>
  <c r="C5" i="1"/>
  <c r="C37" i="1" s="1"/>
  <c r="G63" i="1"/>
  <c r="G65" i="1" s="1"/>
  <c r="G67" i="1" s="1"/>
  <c r="G52" i="1"/>
  <c r="G50" i="1"/>
  <c r="G121" i="1" s="1"/>
  <c r="E13" i="1"/>
  <c r="E8" i="1"/>
  <c r="E5" i="1"/>
  <c r="I63" i="1"/>
  <c r="I65" i="1" s="1"/>
  <c r="I67" i="1" s="1"/>
  <c r="I50" i="1"/>
  <c r="I121" i="1" s="1"/>
  <c r="I52" i="1"/>
  <c r="F78" i="1"/>
  <c r="F93" i="1" s="1"/>
  <c r="F107" i="1"/>
  <c r="F102" i="1"/>
  <c r="F63" i="1"/>
  <c r="F65" i="1" s="1"/>
  <c r="F67" i="1" s="1"/>
  <c r="F50" i="1"/>
  <c r="F121" i="1" s="1"/>
  <c r="F52" i="1"/>
  <c r="F13" i="1"/>
  <c r="F8" i="1"/>
  <c r="F5" i="1"/>
  <c r="G90" i="1"/>
  <c r="G78" i="1"/>
  <c r="K78" i="1"/>
  <c r="K93" i="1" s="1"/>
  <c r="K63" i="1"/>
  <c r="K65" i="1" s="1"/>
  <c r="K67" i="1" s="1"/>
  <c r="K50" i="1"/>
  <c r="K121" i="1" s="1"/>
  <c r="K52" i="1"/>
  <c r="H78" i="1"/>
  <c r="H93" i="1" s="1"/>
  <c r="H111" i="1" s="1"/>
  <c r="L78" i="1"/>
  <c r="L93" i="1" s="1"/>
  <c r="L111" i="1" s="1"/>
  <c r="L63" i="1"/>
  <c r="L65" i="1" s="1"/>
  <c r="L67" i="1" s="1"/>
  <c r="L52" i="1"/>
  <c r="L50" i="1"/>
  <c r="L121" i="1" s="1"/>
  <c r="I78" i="1"/>
  <c r="I93" i="1" s="1"/>
  <c r="I111" i="1" s="1"/>
  <c r="M78" i="1"/>
  <c r="M93" i="1" s="1"/>
  <c r="M63" i="1"/>
  <c r="M65" i="1" s="1"/>
  <c r="M67" i="1" s="1"/>
  <c r="M52" i="1"/>
  <c r="M50" i="1"/>
  <c r="M121" i="1" s="1"/>
  <c r="M13" i="1"/>
  <c r="Q44" i="1" s="1"/>
  <c r="L13" i="1"/>
  <c r="P44" i="1" s="1"/>
  <c r="K13" i="1"/>
  <c r="O44" i="1" s="1"/>
  <c r="J13" i="1"/>
  <c r="I13" i="1"/>
  <c r="H13" i="1"/>
  <c r="G13" i="1"/>
  <c r="M8" i="1"/>
  <c r="L8" i="1"/>
  <c r="K8" i="1"/>
  <c r="J8" i="1"/>
  <c r="I8" i="1"/>
  <c r="H8" i="1"/>
  <c r="G8" i="1"/>
  <c r="M5" i="1"/>
  <c r="L5" i="1"/>
  <c r="K5" i="1"/>
  <c r="J5" i="1"/>
  <c r="I5" i="1"/>
  <c r="H5" i="1"/>
  <c r="G5" i="1"/>
  <c r="M102" i="1"/>
  <c r="L102" i="1"/>
  <c r="K102" i="1"/>
  <c r="J102" i="1"/>
  <c r="I102" i="1"/>
  <c r="H102" i="1"/>
  <c r="G102" i="1"/>
  <c r="I107" i="1"/>
  <c r="H107" i="1"/>
  <c r="G107" i="1"/>
  <c r="M107" i="1"/>
  <c r="L107" i="1"/>
  <c r="K107" i="1"/>
  <c r="J78" i="1"/>
  <c r="J93" i="1" s="1"/>
  <c r="J111" i="1" s="1"/>
  <c r="J107" i="1"/>
  <c r="N107" i="1"/>
  <c r="N102" i="1"/>
  <c r="N78" i="1"/>
  <c r="N93" i="1" s="1"/>
  <c r="J62" i="1"/>
  <c r="J65" i="1" s="1"/>
  <c r="J67" i="1" s="1"/>
  <c r="J52" i="1"/>
  <c r="J50" i="1"/>
  <c r="J121" i="1" s="1"/>
  <c r="N63" i="1"/>
  <c r="N65" i="1" s="1"/>
  <c r="N67" i="1" s="1"/>
  <c r="N52" i="1"/>
  <c r="N50" i="1"/>
  <c r="N121" i="1" s="1"/>
  <c r="N13" i="1"/>
  <c r="N8" i="1"/>
  <c r="N5" i="1"/>
  <c r="O46" i="1" s="1"/>
  <c r="I125" i="1" l="1"/>
  <c r="I126" i="1"/>
  <c r="L125" i="1"/>
  <c r="L126" i="1"/>
  <c r="G125" i="1"/>
  <c r="G126" i="1"/>
  <c r="J125" i="1"/>
  <c r="J126" i="1"/>
  <c r="F125" i="1"/>
  <c r="F126" i="1"/>
  <c r="K126" i="1"/>
  <c r="K125" i="1"/>
  <c r="N125" i="1"/>
  <c r="N126" i="1"/>
  <c r="H126" i="1"/>
  <c r="H125" i="1"/>
  <c r="M125" i="1"/>
  <c r="M126" i="1"/>
  <c r="N124" i="1"/>
  <c r="G46" i="1"/>
  <c r="G37" i="1"/>
  <c r="M111" i="1"/>
  <c r="M114" i="1" s="1"/>
  <c r="M109" i="1"/>
  <c r="H35" i="1"/>
  <c r="H46" i="1"/>
  <c r="H37" i="1"/>
  <c r="F46" i="1"/>
  <c r="F37" i="1"/>
  <c r="H124" i="1"/>
  <c r="L124" i="1"/>
  <c r="J124" i="1"/>
  <c r="K35" i="1"/>
  <c r="K46" i="1"/>
  <c r="K37" i="1"/>
  <c r="D46" i="1"/>
  <c r="D37" i="1"/>
  <c r="P45" i="1"/>
  <c r="L46" i="1"/>
  <c r="L37" i="1"/>
  <c r="I124" i="1"/>
  <c r="E46" i="1"/>
  <c r="E37" i="1"/>
  <c r="I35" i="1"/>
  <c r="I46" i="1"/>
  <c r="I37" i="1"/>
  <c r="J35" i="1"/>
  <c r="J46" i="1"/>
  <c r="J37" i="1"/>
  <c r="G124" i="1"/>
  <c r="F124" i="1"/>
  <c r="Q45" i="1"/>
  <c r="M46" i="1"/>
  <c r="M37" i="1"/>
  <c r="K124" i="1"/>
  <c r="N46" i="1"/>
  <c r="N37" i="1"/>
  <c r="M124" i="1"/>
  <c r="AH13" i="1"/>
  <c r="AH14" i="1" s="1"/>
  <c r="AI17" i="1" s="1"/>
  <c r="AI12" i="1"/>
  <c r="AI10" i="1"/>
  <c r="AH19" i="1"/>
  <c r="AH20" i="1"/>
  <c r="O31" i="1"/>
  <c r="O33" i="1"/>
  <c r="O32" i="1"/>
  <c r="AJ9" i="1"/>
  <c r="AK5" i="1"/>
  <c r="AI11" i="1"/>
  <c r="AF11" i="1"/>
  <c r="AF10" i="1"/>
  <c r="AF12" i="1"/>
  <c r="L35" i="1"/>
  <c r="M35" i="1"/>
  <c r="N35" i="1"/>
  <c r="C9" i="1"/>
  <c r="L44" i="1"/>
  <c r="K45" i="1"/>
  <c r="I44" i="1"/>
  <c r="O14" i="1"/>
  <c r="O27" i="1"/>
  <c r="L45" i="1"/>
  <c r="J44" i="1"/>
  <c r="M45" i="1"/>
  <c r="K44" i="1"/>
  <c r="O45" i="1"/>
  <c r="M44" i="1"/>
  <c r="N44" i="1"/>
  <c r="G44" i="1"/>
  <c r="J45" i="1"/>
  <c r="H44" i="1"/>
  <c r="M59" i="1"/>
  <c r="N9" i="1"/>
  <c r="N45" i="1"/>
  <c r="G45" i="1"/>
  <c r="H45" i="1"/>
  <c r="I45" i="1"/>
  <c r="G93" i="1"/>
  <c r="G109" i="1" s="1"/>
  <c r="F9" i="1"/>
  <c r="J59" i="1"/>
  <c r="K59" i="1"/>
  <c r="J9" i="1"/>
  <c r="G59" i="1"/>
  <c r="N59" i="1"/>
  <c r="D102" i="1"/>
  <c r="D105" i="1"/>
  <c r="D107" i="1" s="1"/>
  <c r="H59" i="1"/>
  <c r="E94" i="1"/>
  <c r="E102" i="1" s="1"/>
  <c r="D78" i="1"/>
  <c r="E78" i="1" s="1"/>
  <c r="E93" i="1" s="1"/>
  <c r="E111" i="1" s="1"/>
  <c r="I59" i="1"/>
  <c r="L59" i="1"/>
  <c r="D9" i="1"/>
  <c r="C109" i="1"/>
  <c r="N111" i="1"/>
  <c r="N109" i="1"/>
  <c r="G9" i="1"/>
  <c r="M9" i="1"/>
  <c r="E9" i="1"/>
  <c r="F111" i="1"/>
  <c r="F109" i="1"/>
  <c r="F59" i="1"/>
  <c r="K109" i="1"/>
  <c r="K9" i="1"/>
  <c r="H9" i="1"/>
  <c r="L9" i="1"/>
  <c r="J109" i="1"/>
  <c r="L109" i="1"/>
  <c r="K111" i="1"/>
  <c r="I9" i="1"/>
  <c r="H109" i="1"/>
  <c r="I109" i="1"/>
  <c r="M123" i="1" l="1"/>
  <c r="L123" i="1"/>
  <c r="N123" i="1"/>
  <c r="P123" i="1"/>
  <c r="K123" i="1"/>
  <c r="O123" i="1"/>
  <c r="AJ12" i="1"/>
  <c r="AJ10" i="1"/>
  <c r="AI13" i="1"/>
  <c r="AI14" i="1" s="1"/>
  <c r="AJ17" i="1" s="1"/>
  <c r="AI19" i="1"/>
  <c r="AI20" i="1" s="1"/>
  <c r="I32" i="1"/>
  <c r="I31" i="1"/>
  <c r="I33" i="1"/>
  <c r="E31" i="1"/>
  <c r="E32" i="1"/>
  <c r="E33" i="1"/>
  <c r="M32" i="1"/>
  <c r="M31" i="1"/>
  <c r="M33" i="1"/>
  <c r="N32" i="1"/>
  <c r="N31" i="1"/>
  <c r="N33" i="1"/>
  <c r="G31" i="1"/>
  <c r="G32" i="1"/>
  <c r="G33" i="1"/>
  <c r="AF13" i="1"/>
  <c r="AF14" i="1" s="1"/>
  <c r="J14" i="1"/>
  <c r="J17" i="1" s="1"/>
  <c r="J32" i="1"/>
  <c r="J31" i="1"/>
  <c r="J33" i="1"/>
  <c r="L31" i="1"/>
  <c r="L32" i="1"/>
  <c r="L33" i="1"/>
  <c r="H31" i="1"/>
  <c r="H32" i="1"/>
  <c r="H33" i="1"/>
  <c r="D31" i="1"/>
  <c r="D33" i="1"/>
  <c r="D32" i="1"/>
  <c r="C32" i="1"/>
  <c r="C33" i="1"/>
  <c r="C31" i="1"/>
  <c r="AL5" i="1"/>
  <c r="AK9" i="1"/>
  <c r="K31" i="1"/>
  <c r="K32" i="1"/>
  <c r="K33" i="1"/>
  <c r="F31" i="1"/>
  <c r="F32" i="1"/>
  <c r="F33" i="1"/>
  <c r="AJ11" i="1"/>
  <c r="C27" i="1"/>
  <c r="C14" i="1"/>
  <c r="C17" i="1" s="1"/>
  <c r="O17" i="1"/>
  <c r="O34" i="1"/>
  <c r="O28" i="1"/>
  <c r="G111" i="1"/>
  <c r="H123" i="1" s="1"/>
  <c r="D14" i="1"/>
  <c r="D27" i="1"/>
  <c r="F14" i="1"/>
  <c r="F27" i="1"/>
  <c r="I14" i="1"/>
  <c r="I27" i="1"/>
  <c r="E14" i="1"/>
  <c r="E27" i="1"/>
  <c r="M14" i="1"/>
  <c r="M27" i="1"/>
  <c r="G14" i="1"/>
  <c r="G27" i="1"/>
  <c r="N14" i="1"/>
  <c r="N27" i="1"/>
  <c r="L14" i="1"/>
  <c r="L27" i="1"/>
  <c r="H14" i="1"/>
  <c r="H27" i="1"/>
  <c r="K14" i="1"/>
  <c r="K27" i="1"/>
  <c r="J27" i="1"/>
  <c r="E105" i="1"/>
  <c r="E107" i="1" s="1"/>
  <c r="E109" i="1" s="1"/>
  <c r="D93" i="1"/>
  <c r="D111" i="1" s="1"/>
  <c r="AD107" i="1"/>
  <c r="AC107" i="1"/>
  <c r="AE107" i="1"/>
  <c r="AD102" i="1"/>
  <c r="AC102" i="1"/>
  <c r="AE102" i="1"/>
  <c r="AC78" i="1"/>
  <c r="AC93" i="1" s="1"/>
  <c r="AE78" i="1"/>
  <c r="AE93" i="1" s="1"/>
  <c r="AD78" i="1"/>
  <c r="AD93" i="1" s="1"/>
  <c r="AD62" i="1"/>
  <c r="AD65" i="1" s="1"/>
  <c r="AD67" i="1" s="1"/>
  <c r="AE63" i="1"/>
  <c r="AE65" i="1" s="1"/>
  <c r="AE67" i="1" s="1"/>
  <c r="AD52" i="1"/>
  <c r="AD50" i="1"/>
  <c r="AE52" i="1"/>
  <c r="AE50" i="1"/>
  <c r="AE13" i="1"/>
  <c r="AD13" i="1"/>
  <c r="AC13" i="1"/>
  <c r="AD8" i="1"/>
  <c r="AC8" i="1"/>
  <c r="AE8" i="1"/>
  <c r="AD5" i="1"/>
  <c r="AD35" i="1" s="1"/>
  <c r="AC5" i="1"/>
  <c r="AE5" i="1"/>
  <c r="I123" i="1" l="1"/>
  <c r="J123" i="1"/>
  <c r="G123" i="1"/>
  <c r="F123" i="1"/>
  <c r="AK12" i="1"/>
  <c r="AK10" i="1"/>
  <c r="AJ13" i="1"/>
  <c r="AJ14" i="1" s="1"/>
  <c r="AK17" i="1" s="1"/>
  <c r="AG17" i="1"/>
  <c r="AF17" i="1"/>
  <c r="AF19" i="1" s="1"/>
  <c r="AJ19" i="1"/>
  <c r="AJ20" i="1"/>
  <c r="C28" i="1"/>
  <c r="AK11" i="1"/>
  <c r="AL9" i="1"/>
  <c r="AM5" i="1"/>
  <c r="J28" i="1"/>
  <c r="J34" i="1"/>
  <c r="C34" i="1"/>
  <c r="AF45" i="1"/>
  <c r="AE35" i="1"/>
  <c r="O20" i="1"/>
  <c r="O30" i="1"/>
  <c r="G4" i="2"/>
  <c r="G5" i="2" s="1"/>
  <c r="AE39" i="1"/>
  <c r="AE45" i="1"/>
  <c r="E4" i="2"/>
  <c r="E5" i="2" s="1"/>
  <c r="E8" i="2" s="1"/>
  <c r="AC39" i="1"/>
  <c r="L17" i="1"/>
  <c r="L34" i="1"/>
  <c r="L28" i="1"/>
  <c r="H17" i="1"/>
  <c r="H28" i="1"/>
  <c r="H34" i="1"/>
  <c r="I17" i="1"/>
  <c r="I28" i="1"/>
  <c r="I34" i="1"/>
  <c r="M17" i="1"/>
  <c r="M34" i="1"/>
  <c r="M28" i="1"/>
  <c r="F4" i="2"/>
  <c r="F5" i="2" s="1"/>
  <c r="AD39" i="1"/>
  <c r="AD45" i="1"/>
  <c r="G17" i="1"/>
  <c r="G28" i="1"/>
  <c r="G34" i="1"/>
  <c r="K17" i="1"/>
  <c r="K28" i="1"/>
  <c r="K34" i="1"/>
  <c r="F17" i="1"/>
  <c r="F28" i="1"/>
  <c r="F34" i="1"/>
  <c r="C20" i="1"/>
  <c r="C30" i="1"/>
  <c r="N17" i="1"/>
  <c r="N28" i="1"/>
  <c r="N34" i="1"/>
  <c r="J20" i="1"/>
  <c r="J30" i="1"/>
  <c r="E17" i="1"/>
  <c r="E28" i="1"/>
  <c r="E34" i="1"/>
  <c r="D17" i="1"/>
  <c r="D34" i="1"/>
  <c r="D28" i="1"/>
  <c r="D109" i="1"/>
  <c r="AE109" i="1"/>
  <c r="AC111" i="1"/>
  <c r="AC109" i="1"/>
  <c r="AD111" i="1"/>
  <c r="AD109" i="1"/>
  <c r="AD59" i="1"/>
  <c r="AE59" i="1"/>
  <c r="AC9" i="1"/>
  <c r="AD9" i="1"/>
  <c r="AE9" i="1"/>
  <c r="AL12" i="1" l="1"/>
  <c r="AL10" i="1"/>
  <c r="AK19" i="1"/>
  <c r="AK20" i="1" s="1"/>
  <c r="AG19" i="1"/>
  <c r="AG20" i="1" s="1"/>
  <c r="AK13" i="1"/>
  <c r="AK14" i="1" s="1"/>
  <c r="AL17" i="1" s="1"/>
  <c r="AN5" i="1"/>
  <c r="AM9" i="1"/>
  <c r="AC32" i="1"/>
  <c r="AC33" i="1"/>
  <c r="AC31" i="1"/>
  <c r="AL11" i="1"/>
  <c r="O22" i="1"/>
  <c r="AE32" i="1"/>
  <c r="AE33" i="1"/>
  <c r="AE31" i="1"/>
  <c r="AD33" i="1"/>
  <c r="AD31" i="1"/>
  <c r="AD32" i="1"/>
  <c r="O29" i="1"/>
  <c r="O73" i="1"/>
  <c r="O112" i="1" s="1"/>
  <c r="F8" i="2"/>
  <c r="K20" i="1"/>
  <c r="K30" i="1"/>
  <c r="J22" i="1"/>
  <c r="J29" i="1"/>
  <c r="J73" i="1"/>
  <c r="J112" i="1" s="1"/>
  <c r="M20" i="1"/>
  <c r="M30" i="1"/>
  <c r="G20" i="1"/>
  <c r="G30" i="1"/>
  <c r="AC14" i="1"/>
  <c r="AC27" i="1"/>
  <c r="I20" i="1"/>
  <c r="I30" i="1"/>
  <c r="H20" i="1"/>
  <c r="H30" i="1"/>
  <c r="N20" i="1"/>
  <c r="N30" i="1"/>
  <c r="AE14" i="1"/>
  <c r="AE27" i="1"/>
  <c r="C29" i="1"/>
  <c r="C22" i="1"/>
  <c r="C73" i="1"/>
  <c r="C112" i="1" s="1"/>
  <c r="L20" i="1"/>
  <c r="L30" i="1"/>
  <c r="AD14" i="1"/>
  <c r="AD27" i="1"/>
  <c r="D20" i="1"/>
  <c r="D30" i="1"/>
  <c r="F20" i="1"/>
  <c r="F30" i="1"/>
  <c r="E20" i="1"/>
  <c r="E30" i="1"/>
  <c r="G8" i="2"/>
  <c r="AM12" i="1" l="1"/>
  <c r="AM10" i="1"/>
  <c r="AL13" i="1"/>
  <c r="AL14" i="1" s="1"/>
  <c r="AM17" i="1" s="1"/>
  <c r="AL19" i="1"/>
  <c r="AL20" i="1"/>
  <c r="AM11" i="1"/>
  <c r="AN9" i="1"/>
  <c r="AO5" i="1"/>
  <c r="F29" i="1"/>
  <c r="F73" i="1"/>
  <c r="F112" i="1" s="1"/>
  <c r="F22" i="1"/>
  <c r="AC17" i="1"/>
  <c r="AC34" i="1"/>
  <c r="AC28" i="1"/>
  <c r="G29" i="1"/>
  <c r="G73" i="1"/>
  <c r="G112" i="1" s="1"/>
  <c r="G22" i="1"/>
  <c r="AD17" i="1"/>
  <c r="AD34" i="1"/>
  <c r="AD28" i="1"/>
  <c r="D22" i="1"/>
  <c r="D29" i="1"/>
  <c r="D73" i="1"/>
  <c r="D112" i="1" s="1"/>
  <c r="AE17" i="1"/>
  <c r="AE34" i="1"/>
  <c r="AE28" i="1"/>
  <c r="N29" i="1"/>
  <c r="N22" i="1"/>
  <c r="N73" i="1"/>
  <c r="N112" i="1" s="1"/>
  <c r="M22" i="1"/>
  <c r="M29" i="1"/>
  <c r="M73" i="1"/>
  <c r="M112" i="1" s="1"/>
  <c r="H29" i="1"/>
  <c r="H22" i="1"/>
  <c r="H73" i="1"/>
  <c r="H112" i="1" s="1"/>
  <c r="L29" i="1"/>
  <c r="L73" i="1"/>
  <c r="L112" i="1" s="1"/>
  <c r="L22" i="1"/>
  <c r="I29" i="1"/>
  <c r="I22" i="1"/>
  <c r="I73" i="1"/>
  <c r="I112" i="1" s="1"/>
  <c r="E29" i="1"/>
  <c r="E22" i="1"/>
  <c r="E73" i="1"/>
  <c r="E112" i="1" s="1"/>
  <c r="K29" i="1"/>
  <c r="K22" i="1"/>
  <c r="K73" i="1"/>
  <c r="K112" i="1" s="1"/>
  <c r="AN12" i="1" l="1"/>
  <c r="AN10" i="1"/>
  <c r="AM19" i="1"/>
  <c r="AM20" i="1" s="1"/>
  <c r="AM13" i="1"/>
  <c r="AM14" i="1" s="1"/>
  <c r="AN17" i="1" s="1"/>
  <c r="AO9" i="1"/>
  <c r="AP5" i="1"/>
  <c r="AN11" i="1"/>
  <c r="AD20" i="1"/>
  <c r="AD30" i="1"/>
  <c r="AE20" i="1"/>
  <c r="AE30" i="1"/>
  <c r="AC20" i="1"/>
  <c r="AC30" i="1"/>
  <c r="AO10" i="1" l="1"/>
  <c r="AO12" i="1"/>
  <c r="AN13" i="1"/>
  <c r="AN14" i="1" s="1"/>
  <c r="AO17" i="1" s="1"/>
  <c r="AN19" i="1"/>
  <c r="AN20" i="1" s="1"/>
  <c r="AP9" i="1"/>
  <c r="AQ5" i="1"/>
  <c r="AO11" i="1"/>
  <c r="AC22" i="1"/>
  <c r="AC29" i="1"/>
  <c r="AC73" i="1"/>
  <c r="AC112" i="1" s="1"/>
  <c r="AE29" i="1"/>
  <c r="AE73" i="1"/>
  <c r="AE112" i="1" s="1"/>
  <c r="AE22" i="1"/>
  <c r="AD29" i="1"/>
  <c r="AD22" i="1"/>
  <c r="AD73" i="1"/>
  <c r="AD112" i="1" s="1"/>
  <c r="AP12" i="1" l="1"/>
  <c r="AP10" i="1"/>
  <c r="AO19" i="1"/>
  <c r="AO20" i="1"/>
  <c r="AO13" i="1"/>
  <c r="AO14" i="1" s="1"/>
  <c r="AP17" i="1" s="1"/>
  <c r="AQ9" i="1"/>
  <c r="AR5" i="1"/>
  <c r="AP11" i="1"/>
  <c r="AQ10" i="1" l="1"/>
  <c r="AQ12" i="1"/>
  <c r="AP19" i="1"/>
  <c r="AP20" i="1" s="1"/>
  <c r="AP13" i="1"/>
  <c r="AP14" i="1" s="1"/>
  <c r="AQ17" i="1" s="1"/>
  <c r="AS5" i="1"/>
  <c r="AR9" i="1"/>
  <c r="AQ11" i="1"/>
  <c r="AR10" i="1" l="1"/>
  <c r="AR12" i="1"/>
  <c r="AQ19" i="1"/>
  <c r="AQ20" i="1" s="1"/>
  <c r="AQ13" i="1"/>
  <c r="AQ14" i="1" s="1"/>
  <c r="AR17" i="1" s="1"/>
  <c r="AR11" i="1"/>
  <c r="AT5" i="1"/>
  <c r="AS9" i="1"/>
  <c r="AS10" i="1" l="1"/>
  <c r="AS12" i="1"/>
  <c r="AR19" i="1"/>
  <c r="AR20" i="1" s="1"/>
  <c r="AR13" i="1"/>
  <c r="AR14" i="1" s="1"/>
  <c r="AS17" i="1" s="1"/>
  <c r="AS11" i="1"/>
  <c r="AU5" i="1"/>
  <c r="AT9" i="1"/>
  <c r="AT12" i="1" l="1"/>
  <c r="AT10" i="1"/>
  <c r="AS19" i="1"/>
  <c r="AS20" i="1"/>
  <c r="AS13" i="1"/>
  <c r="AS14" i="1" s="1"/>
  <c r="AT17" i="1" s="1"/>
  <c r="AT11" i="1"/>
  <c r="AV5" i="1"/>
  <c r="AU9" i="1"/>
  <c r="AU12" i="1" l="1"/>
  <c r="AU10" i="1"/>
  <c r="AT19" i="1"/>
  <c r="AT20" i="1" s="1"/>
  <c r="AT13" i="1"/>
  <c r="AT14" i="1" s="1"/>
  <c r="AU17" i="1" s="1"/>
  <c r="AU11" i="1"/>
  <c r="AW5" i="1"/>
  <c r="AV9" i="1"/>
  <c r="AV12" i="1" l="1"/>
  <c r="AV10" i="1"/>
  <c r="AU19" i="1"/>
  <c r="AU20" i="1" s="1"/>
  <c r="AU13" i="1"/>
  <c r="AU14" i="1" s="1"/>
  <c r="AV17" i="1" s="1"/>
  <c r="AV11" i="1"/>
  <c r="AX5" i="1"/>
  <c r="AW9" i="1"/>
  <c r="AV13" i="1" l="1"/>
  <c r="AV14" i="1" s="1"/>
  <c r="AW17" i="1" s="1"/>
  <c r="AW12" i="1"/>
  <c r="AW10" i="1"/>
  <c r="AV19" i="1"/>
  <c r="AV20" i="1" s="1"/>
  <c r="AW11" i="1"/>
  <c r="AY5" i="1"/>
  <c r="AY9" i="1" s="1"/>
  <c r="AX9" i="1"/>
  <c r="AX12" i="1" l="1"/>
  <c r="AX10" i="1"/>
  <c r="AY10" i="1"/>
  <c r="AY12" i="1"/>
  <c r="AW13" i="1"/>
  <c r="AW14" i="1" s="1"/>
  <c r="AX17" i="1" s="1"/>
  <c r="AW19" i="1"/>
  <c r="AW20" i="1" s="1"/>
  <c r="AX11" i="1"/>
  <c r="AY11" i="1"/>
  <c r="AY13" i="1" l="1"/>
  <c r="AY14" i="1" s="1"/>
  <c r="AX19" i="1"/>
  <c r="AX20" i="1" s="1"/>
  <c r="AX13" i="1"/>
  <c r="AX14" i="1" s="1"/>
  <c r="AY17" i="1" s="1"/>
  <c r="AY19" i="1" l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FD20" i="1" s="1"/>
  <c r="FE20" i="1" s="1"/>
  <c r="FF20" i="1" s="1"/>
  <c r="FG20" i="1" s="1"/>
  <c r="FH20" i="1" s="1"/>
  <c r="FI20" i="1" s="1"/>
  <c r="FJ20" i="1" s="1"/>
  <c r="FK20" i="1" s="1"/>
  <c r="FL20" i="1" s="1"/>
  <c r="FM20" i="1" s="1"/>
  <c r="FN20" i="1" s="1"/>
  <c r="FO20" i="1" s="1"/>
  <c r="FP20" i="1" s="1"/>
  <c r="FQ20" i="1" s="1"/>
  <c r="FR20" i="1" s="1"/>
  <c r="FS20" i="1" s="1"/>
  <c r="FT20" i="1" s="1"/>
  <c r="FU20" i="1" s="1"/>
  <c r="FV20" i="1" s="1"/>
  <c r="FW20" i="1" s="1"/>
  <c r="FX20" i="1" s="1"/>
  <c r="FY20" i="1" s="1"/>
  <c r="FZ20" i="1" s="1"/>
  <c r="GA20" i="1" s="1"/>
  <c r="GB20" i="1" s="1"/>
  <c r="GC20" i="1" s="1"/>
  <c r="GD20" i="1" s="1"/>
  <c r="GE20" i="1" s="1"/>
  <c r="GF20" i="1" s="1"/>
  <c r="GG20" i="1" s="1"/>
  <c r="GH20" i="1" s="1"/>
  <c r="GI20" i="1" s="1"/>
  <c r="GJ20" i="1" s="1"/>
  <c r="GK20" i="1" s="1"/>
  <c r="GL20" i="1" s="1"/>
  <c r="GM20" i="1" s="1"/>
  <c r="GN20" i="1" s="1"/>
  <c r="GO20" i="1" s="1"/>
  <c r="GP20" i="1" s="1"/>
  <c r="GQ20" i="1" s="1"/>
  <c r="GR20" i="1" s="1"/>
  <c r="GS20" i="1" s="1"/>
  <c r="GT20" i="1" s="1"/>
  <c r="GU20" i="1" s="1"/>
  <c r="GV20" i="1" s="1"/>
  <c r="GW20" i="1" s="1"/>
  <c r="GX20" i="1" s="1"/>
  <c r="GY20" i="1" s="1"/>
  <c r="GZ20" i="1" s="1"/>
  <c r="HA20" i="1" s="1"/>
  <c r="HB20" i="1" s="1"/>
  <c r="HC20" i="1" s="1"/>
  <c r="HD20" i="1" s="1"/>
  <c r="HE20" i="1" s="1"/>
  <c r="HF20" i="1" s="1"/>
  <c r="HG20" i="1" s="1"/>
  <c r="HH20" i="1" s="1"/>
  <c r="HI20" i="1" s="1"/>
  <c r="HJ20" i="1" s="1"/>
  <c r="HK20" i="1" s="1"/>
  <c r="HL20" i="1" s="1"/>
  <c r="HM20" i="1" s="1"/>
  <c r="HN20" i="1" s="1"/>
  <c r="HO20" i="1" s="1"/>
  <c r="HP20" i="1" s="1"/>
  <c r="HQ20" i="1" s="1"/>
  <c r="HR20" i="1" s="1"/>
  <c r="HS20" i="1" s="1"/>
  <c r="HT20" i="1" s="1"/>
  <c r="HU20" i="1" s="1"/>
  <c r="HV20" i="1" s="1"/>
  <c r="HW20" i="1" s="1"/>
  <c r="HX20" i="1" s="1"/>
  <c r="HY20" i="1" s="1"/>
  <c r="HZ20" i="1" s="1"/>
  <c r="IA20" i="1" s="1"/>
  <c r="IB20" i="1" s="1"/>
  <c r="IC20" i="1" s="1"/>
  <c r="ID20" i="1" s="1"/>
  <c r="IE20" i="1" s="1"/>
  <c r="IF20" i="1" s="1"/>
  <c r="IG20" i="1" s="1"/>
  <c r="IH20" i="1" s="1"/>
  <c r="II20" i="1" s="1"/>
  <c r="IJ20" i="1" s="1"/>
  <c r="IK20" i="1" s="1"/>
  <c r="IL20" i="1" s="1"/>
  <c r="IM20" i="1" s="1"/>
  <c r="IN20" i="1" s="1"/>
  <c r="IO20" i="1" s="1"/>
  <c r="IP20" i="1" s="1"/>
  <c r="IQ20" i="1" s="1"/>
  <c r="IR20" i="1" s="1"/>
  <c r="IS20" i="1" s="1"/>
  <c r="IT20" i="1" s="1"/>
  <c r="IU20" i="1" s="1"/>
  <c r="IV20" i="1" s="1"/>
  <c r="IW20" i="1" s="1"/>
  <c r="IX20" i="1" s="1"/>
  <c r="IY20" i="1" s="1"/>
  <c r="IZ20" i="1" s="1"/>
  <c r="JA20" i="1" s="1"/>
  <c r="JB20" i="1" s="1"/>
  <c r="JC20" i="1" s="1"/>
  <c r="JD20" i="1" s="1"/>
  <c r="JE20" i="1" s="1"/>
  <c r="JF20" i="1" s="1"/>
  <c r="JG20" i="1" s="1"/>
  <c r="JH20" i="1" s="1"/>
  <c r="JI20" i="1" s="1"/>
  <c r="JJ20" i="1" s="1"/>
  <c r="JK20" i="1" s="1"/>
  <c r="JL20" i="1" s="1"/>
  <c r="JM20" i="1" s="1"/>
  <c r="JN20" i="1" s="1"/>
  <c r="JO20" i="1" s="1"/>
  <c r="JP20" i="1" s="1"/>
  <c r="JQ20" i="1" s="1"/>
  <c r="JR20" i="1" s="1"/>
  <c r="JS20" i="1" s="1"/>
  <c r="JT20" i="1" s="1"/>
  <c r="JU20" i="1" s="1"/>
  <c r="JV20" i="1" s="1"/>
  <c r="JW20" i="1" s="1"/>
  <c r="JX20" i="1" s="1"/>
  <c r="JY20" i="1" s="1"/>
  <c r="JZ20" i="1" s="1"/>
  <c r="KA20" i="1" s="1"/>
  <c r="KB20" i="1" s="1"/>
  <c r="KC20" i="1" s="1"/>
  <c r="KD20" i="1" s="1"/>
  <c r="KE20" i="1" s="1"/>
  <c r="KF20" i="1" s="1"/>
  <c r="KG20" i="1" s="1"/>
  <c r="KH20" i="1" s="1"/>
  <c r="KI20" i="1" s="1"/>
  <c r="KJ20" i="1" s="1"/>
  <c r="KK20" i="1" s="1"/>
  <c r="KL20" i="1" s="1"/>
  <c r="KM20" i="1" s="1"/>
  <c r="KN20" i="1" s="1"/>
  <c r="KO20" i="1" s="1"/>
  <c r="KP20" i="1" s="1"/>
  <c r="KQ20" i="1" s="1"/>
  <c r="KR20" i="1" s="1"/>
  <c r="KS20" i="1" s="1"/>
  <c r="KT20" i="1" s="1"/>
  <c r="KU20" i="1" s="1"/>
  <c r="KV20" i="1" s="1"/>
  <c r="KW20" i="1" s="1"/>
  <c r="KX20" i="1" s="1"/>
  <c r="KY20" i="1" s="1"/>
  <c r="KZ20" i="1" s="1"/>
  <c r="LA20" i="1" s="1"/>
  <c r="LB20" i="1" s="1"/>
  <c r="LC20" i="1" s="1"/>
  <c r="LD20" i="1" s="1"/>
  <c r="LE20" i="1" s="1"/>
  <c r="LF20" i="1" s="1"/>
  <c r="LG20" i="1" s="1"/>
  <c r="LH20" i="1" s="1"/>
  <c r="LI20" i="1" s="1"/>
  <c r="LJ20" i="1" s="1"/>
  <c r="LK20" i="1" s="1"/>
  <c r="LL20" i="1" s="1"/>
  <c r="LM20" i="1" s="1"/>
  <c r="LN20" i="1" s="1"/>
  <c r="LO20" i="1" s="1"/>
  <c r="LP20" i="1" s="1"/>
  <c r="LQ20" i="1" s="1"/>
  <c r="LR20" i="1" s="1"/>
  <c r="LS20" i="1" s="1"/>
  <c r="LT20" i="1" s="1"/>
  <c r="LU20" i="1" s="1"/>
  <c r="LV20" i="1" s="1"/>
  <c r="LW20" i="1" s="1"/>
  <c r="LX20" i="1" s="1"/>
  <c r="LY20" i="1" s="1"/>
  <c r="LZ20" i="1" s="1"/>
  <c r="MA20" i="1" s="1"/>
  <c r="MB20" i="1" s="1"/>
  <c r="MC20" i="1" s="1"/>
  <c r="MD20" i="1" s="1"/>
  <c r="ME20" i="1" s="1"/>
  <c r="MF20" i="1" s="1"/>
  <c r="MG20" i="1" s="1"/>
  <c r="MH20" i="1" s="1"/>
  <c r="MI20" i="1" s="1"/>
  <c r="MJ20" i="1" s="1"/>
  <c r="MK20" i="1" s="1"/>
  <c r="ML20" i="1" s="1"/>
  <c r="MM20" i="1" s="1"/>
  <c r="MN20" i="1" s="1"/>
  <c r="MO20" i="1" s="1"/>
  <c r="MP20" i="1" s="1"/>
  <c r="MQ20" i="1" s="1"/>
  <c r="MR20" i="1" s="1"/>
  <c r="MS20" i="1" s="1"/>
  <c r="MT20" i="1" s="1"/>
  <c r="MU20" i="1" s="1"/>
  <c r="MV20" i="1" s="1"/>
  <c r="MW20" i="1" s="1"/>
  <c r="MX20" i="1" s="1"/>
  <c r="MY20" i="1" s="1"/>
  <c r="MZ20" i="1" s="1"/>
  <c r="NA20" i="1" s="1"/>
  <c r="NB20" i="1" s="1"/>
  <c r="NC20" i="1" s="1"/>
  <c r="ND20" i="1" s="1"/>
  <c r="NE20" i="1" s="1"/>
  <c r="NF20" i="1" s="1"/>
  <c r="NG20" i="1" s="1"/>
  <c r="NH20" i="1" s="1"/>
  <c r="NI20" i="1" s="1"/>
  <c r="NJ20" i="1" s="1"/>
  <c r="NK20" i="1" s="1"/>
  <c r="NL20" i="1" s="1"/>
  <c r="NM20" i="1" s="1"/>
  <c r="NN20" i="1" s="1"/>
  <c r="NO20" i="1" s="1"/>
  <c r="NP20" i="1" s="1"/>
  <c r="NQ20" i="1" s="1"/>
  <c r="NR20" i="1" s="1"/>
  <c r="NS20" i="1" s="1"/>
  <c r="NT20" i="1" s="1"/>
  <c r="NU20" i="1" s="1"/>
  <c r="NV20" i="1" s="1"/>
  <c r="NW20" i="1" s="1"/>
  <c r="NX20" i="1" s="1"/>
  <c r="NY20" i="1" s="1"/>
  <c r="NZ20" i="1" s="1"/>
  <c r="OA20" i="1" s="1"/>
  <c r="OB20" i="1" s="1"/>
  <c r="OC20" i="1" s="1"/>
  <c r="OD20" i="1" s="1"/>
  <c r="OE20" i="1" s="1"/>
  <c r="OF20" i="1" s="1"/>
  <c r="OG20" i="1" s="1"/>
  <c r="OH20" i="1" s="1"/>
  <c r="OI20" i="1" s="1"/>
  <c r="OJ20" i="1" s="1"/>
  <c r="OK20" i="1" s="1"/>
  <c r="OL20" i="1" s="1"/>
  <c r="OM20" i="1" s="1"/>
  <c r="ON20" i="1" s="1"/>
  <c r="OO20" i="1" s="1"/>
  <c r="OP20" i="1" s="1"/>
  <c r="OQ20" i="1" s="1"/>
  <c r="OR20" i="1" s="1"/>
  <c r="OS20" i="1" s="1"/>
  <c r="OT20" i="1" s="1"/>
  <c r="OU20" i="1" s="1"/>
  <c r="OV20" i="1" s="1"/>
  <c r="OW20" i="1" s="1"/>
  <c r="OX20" i="1" s="1"/>
  <c r="OY20" i="1" s="1"/>
  <c r="OZ20" i="1" s="1"/>
  <c r="PA20" i="1" s="1"/>
  <c r="PB20" i="1" s="1"/>
  <c r="PC20" i="1" s="1"/>
  <c r="PD20" i="1" s="1"/>
  <c r="PE20" i="1" s="1"/>
  <c r="PF20" i="1" s="1"/>
  <c r="PG20" i="1" s="1"/>
  <c r="PH20" i="1" s="1"/>
  <c r="PI20" i="1" s="1"/>
  <c r="PJ20" i="1" s="1"/>
  <c r="PK20" i="1" s="1"/>
  <c r="PL20" i="1" s="1"/>
  <c r="PM20" i="1" s="1"/>
  <c r="PN20" i="1" s="1"/>
  <c r="PO20" i="1" s="1"/>
  <c r="PP20" i="1" s="1"/>
  <c r="PQ20" i="1" s="1"/>
  <c r="PR20" i="1" s="1"/>
  <c r="PS20" i="1" s="1"/>
  <c r="PT20" i="1" s="1"/>
  <c r="PU20" i="1" s="1"/>
  <c r="PV20" i="1" s="1"/>
  <c r="PW20" i="1" s="1"/>
  <c r="PX20" i="1" s="1"/>
  <c r="PY20" i="1" s="1"/>
  <c r="PZ20" i="1" s="1"/>
  <c r="QA20" i="1" s="1"/>
  <c r="QB20" i="1" s="1"/>
  <c r="QC20" i="1" s="1"/>
  <c r="QD20" i="1" s="1"/>
  <c r="QE20" i="1" s="1"/>
  <c r="QF20" i="1" s="1"/>
  <c r="QG20" i="1" s="1"/>
  <c r="QH20" i="1" s="1"/>
  <c r="QI20" i="1" s="1"/>
  <c r="QJ20" i="1" s="1"/>
  <c r="QK20" i="1" s="1"/>
  <c r="QL20" i="1" s="1"/>
  <c r="QM20" i="1" s="1"/>
  <c r="QN20" i="1" s="1"/>
  <c r="QO20" i="1" s="1"/>
  <c r="QP20" i="1" s="1"/>
  <c r="QQ20" i="1" s="1"/>
  <c r="QR20" i="1" s="1"/>
  <c r="QS20" i="1" s="1"/>
  <c r="QT20" i="1" s="1"/>
  <c r="QU20" i="1" s="1"/>
  <c r="QV20" i="1" s="1"/>
  <c r="QW20" i="1" s="1"/>
  <c r="QX20" i="1" s="1"/>
  <c r="QY20" i="1" s="1"/>
  <c r="QZ20" i="1" s="1"/>
  <c r="RA20" i="1" s="1"/>
  <c r="RB20" i="1" s="1"/>
  <c r="RC20" i="1" s="1"/>
  <c r="RD20" i="1" s="1"/>
  <c r="RE20" i="1" s="1"/>
  <c r="RF20" i="1" s="1"/>
  <c r="RG20" i="1" s="1"/>
  <c r="RH20" i="1" s="1"/>
  <c r="RI20" i="1" s="1"/>
  <c r="RJ20" i="1" s="1"/>
  <c r="RK20" i="1" s="1"/>
  <c r="RL20" i="1" s="1"/>
  <c r="RM20" i="1" s="1"/>
  <c r="RN20" i="1" s="1"/>
  <c r="RO20" i="1" s="1"/>
  <c r="RP20" i="1" s="1"/>
  <c r="RQ20" i="1" s="1"/>
  <c r="RR20" i="1" s="1"/>
  <c r="RS20" i="1" s="1"/>
  <c r="RT20" i="1" s="1"/>
  <c r="RU20" i="1" s="1"/>
  <c r="RV20" i="1" s="1"/>
  <c r="RW20" i="1" s="1"/>
  <c r="RX20" i="1" s="1"/>
  <c r="RY20" i="1" s="1"/>
  <c r="RZ20" i="1" s="1"/>
  <c r="SA20" i="1" s="1"/>
  <c r="SB20" i="1" s="1"/>
  <c r="SC20" i="1" s="1"/>
  <c r="SD20" i="1" s="1"/>
  <c r="SE20" i="1" s="1"/>
  <c r="SF20" i="1" s="1"/>
  <c r="SG20" i="1" s="1"/>
  <c r="SH20" i="1" s="1"/>
  <c r="SI20" i="1" s="1"/>
  <c r="SJ20" i="1" s="1"/>
  <c r="SK20" i="1" s="1"/>
  <c r="SL20" i="1" s="1"/>
  <c r="SM20" i="1" s="1"/>
  <c r="SN20" i="1" s="1"/>
  <c r="SO20" i="1" s="1"/>
  <c r="SP20" i="1" s="1"/>
  <c r="SQ20" i="1" s="1"/>
  <c r="SR20" i="1" s="1"/>
  <c r="SS20" i="1" s="1"/>
  <c r="ST20" i="1" s="1"/>
  <c r="SU20" i="1" s="1"/>
  <c r="SV20" i="1" s="1"/>
  <c r="SW20" i="1" s="1"/>
  <c r="SX20" i="1" s="1"/>
  <c r="SY20" i="1" s="1"/>
  <c r="SZ20" i="1" s="1"/>
  <c r="TA20" i="1" s="1"/>
  <c r="TB20" i="1" s="1"/>
  <c r="TC20" i="1" s="1"/>
  <c r="TD20" i="1" s="1"/>
  <c r="TE20" i="1" s="1"/>
  <c r="TF20" i="1" s="1"/>
  <c r="TG20" i="1" s="1"/>
  <c r="TH20" i="1" s="1"/>
  <c r="TI20" i="1" s="1"/>
  <c r="TJ20" i="1" s="1"/>
  <c r="TK20" i="1" s="1"/>
  <c r="TL20" i="1" s="1"/>
  <c r="TM20" i="1" s="1"/>
  <c r="TN20" i="1" s="1"/>
  <c r="TO20" i="1" s="1"/>
  <c r="TP20" i="1" s="1"/>
  <c r="TQ20" i="1" s="1"/>
  <c r="TR20" i="1" s="1"/>
  <c r="TS20" i="1" s="1"/>
  <c r="TT20" i="1" s="1"/>
  <c r="TU20" i="1" s="1"/>
  <c r="TV20" i="1" s="1"/>
  <c r="TW20" i="1" s="1"/>
  <c r="TX20" i="1" s="1"/>
  <c r="TY20" i="1" s="1"/>
  <c r="TZ20" i="1" s="1"/>
  <c r="UA20" i="1" s="1"/>
  <c r="UB20" i="1" s="1"/>
  <c r="UC20" i="1" s="1"/>
  <c r="UD20" i="1" s="1"/>
  <c r="UE20" i="1" s="1"/>
  <c r="UF20" i="1" s="1"/>
  <c r="UG20" i="1" s="1"/>
  <c r="UH20" i="1" s="1"/>
  <c r="UI20" i="1" s="1"/>
  <c r="UJ20" i="1" s="1"/>
  <c r="UK20" i="1" s="1"/>
  <c r="UL20" i="1" s="1"/>
  <c r="UM20" i="1" s="1"/>
  <c r="UN20" i="1" s="1"/>
  <c r="UO20" i="1" s="1"/>
  <c r="UP20" i="1" s="1"/>
  <c r="UQ20" i="1" s="1"/>
  <c r="UR20" i="1" s="1"/>
  <c r="US20" i="1" s="1"/>
  <c r="UT20" i="1" s="1"/>
  <c r="UU20" i="1" s="1"/>
  <c r="UV20" i="1" s="1"/>
  <c r="UW20" i="1" s="1"/>
  <c r="UX20" i="1" s="1"/>
  <c r="UY20" i="1" s="1"/>
  <c r="UZ20" i="1" s="1"/>
  <c r="VA20" i="1" s="1"/>
  <c r="VB20" i="1" s="1"/>
  <c r="VC20" i="1" s="1"/>
  <c r="VD20" i="1" s="1"/>
  <c r="VE20" i="1" s="1"/>
  <c r="VF20" i="1" s="1"/>
  <c r="VG20" i="1" s="1"/>
  <c r="VH20" i="1" s="1"/>
  <c r="VI20" i="1" s="1"/>
  <c r="VJ20" i="1" s="1"/>
  <c r="VK20" i="1" s="1"/>
  <c r="VL20" i="1" s="1"/>
  <c r="VM20" i="1" s="1"/>
  <c r="VN20" i="1" s="1"/>
  <c r="VO20" i="1" s="1"/>
  <c r="VP20" i="1" s="1"/>
  <c r="VQ20" i="1" s="1"/>
  <c r="VR20" i="1" s="1"/>
  <c r="VS20" i="1" s="1"/>
  <c r="VT20" i="1" s="1"/>
  <c r="VU20" i="1" s="1"/>
  <c r="VV20" i="1" s="1"/>
  <c r="VW20" i="1" s="1"/>
  <c r="VX20" i="1" s="1"/>
  <c r="VY20" i="1" s="1"/>
  <c r="VZ20" i="1" s="1"/>
  <c r="WA20" i="1" s="1"/>
  <c r="WB20" i="1" s="1"/>
  <c r="WC20" i="1" s="1"/>
  <c r="WD20" i="1" s="1"/>
  <c r="WE20" i="1" s="1"/>
  <c r="WF20" i="1" s="1"/>
  <c r="WG20" i="1" s="1"/>
  <c r="WH20" i="1" s="1"/>
  <c r="WI20" i="1" s="1"/>
  <c r="WJ20" i="1" s="1"/>
  <c r="WK20" i="1" s="1"/>
  <c r="WL20" i="1" s="1"/>
  <c r="WM20" i="1" s="1"/>
  <c r="WN20" i="1" s="1"/>
  <c r="WO20" i="1" s="1"/>
  <c r="BA28" i="1" l="1"/>
  <c r="BA29" i="1" s="1"/>
  <c r="BA31" i="1" s="1"/>
</calcChain>
</file>

<file path=xl/sharedStrings.xml><?xml version="1.0" encoding="utf-8"?>
<sst xmlns="http://schemas.openxmlformats.org/spreadsheetml/2006/main" count="455" uniqueCount="349">
  <si>
    <t>Main</t>
  </si>
  <si>
    <t>Subscription</t>
  </si>
  <si>
    <t>License</t>
  </si>
  <si>
    <t>Revenue</t>
  </si>
  <si>
    <t>License Cost</t>
  </si>
  <si>
    <t>Subscription Cost</t>
  </si>
  <si>
    <t>COGS</t>
  </si>
  <si>
    <t>Gross Profit</t>
  </si>
  <si>
    <t>S&amp;M</t>
  </si>
  <si>
    <t>R&amp;D</t>
  </si>
  <si>
    <t>G&amp;A</t>
  </si>
  <si>
    <t>Operating Profit/Loss</t>
  </si>
  <si>
    <t>Operating Expenses</t>
  </si>
  <si>
    <t>Interest Income</t>
  </si>
  <si>
    <t>Other Income</t>
  </si>
  <si>
    <t>Pre Tax Income</t>
  </si>
  <si>
    <t>Taxes</t>
  </si>
  <si>
    <t>Stake in Other Businesses</t>
  </si>
  <si>
    <t>Net Income/Loss</t>
  </si>
  <si>
    <t>S/O</t>
  </si>
  <si>
    <t>EPS</t>
  </si>
  <si>
    <t>Cash</t>
  </si>
  <si>
    <t>A/R</t>
  </si>
  <si>
    <t>Deferred revenue</t>
  </si>
  <si>
    <t>Prepaids</t>
  </si>
  <si>
    <t>P&amp;E</t>
  </si>
  <si>
    <t>Lease ROU</t>
  </si>
  <si>
    <t>Goodwill</t>
  </si>
  <si>
    <t>Intangible assets</t>
  </si>
  <si>
    <t>ONCA</t>
  </si>
  <si>
    <t>Total Assets</t>
  </si>
  <si>
    <t>A/P</t>
  </si>
  <si>
    <t>Accrued expenses and OCL</t>
  </si>
  <si>
    <t>Accrued compensation</t>
  </si>
  <si>
    <t>Deferred acquisition costs</t>
  </si>
  <si>
    <t>ONCL</t>
  </si>
  <si>
    <t>Total Liabilities</t>
  </si>
  <si>
    <t>SE</t>
  </si>
  <si>
    <t>L+SE</t>
  </si>
  <si>
    <t>GAAP NI/L</t>
  </si>
  <si>
    <t>Model NI/L</t>
  </si>
  <si>
    <t>D&amp;A</t>
  </si>
  <si>
    <t>Stock-based compensation expense</t>
  </si>
  <si>
    <t>Change in fair value of acquisition</t>
  </si>
  <si>
    <t>Charitable donation of common stock</t>
  </si>
  <si>
    <t>Impairments</t>
  </si>
  <si>
    <t>Unrealized FX</t>
  </si>
  <si>
    <t>Other non-cash expense</t>
  </si>
  <si>
    <t>Gain from deconsolidation of Arch, formerly Meltano</t>
  </si>
  <si>
    <t>Loss from equity method investment</t>
  </si>
  <si>
    <t>Accrued expenses</t>
  </si>
  <si>
    <t>CFFO</t>
  </si>
  <si>
    <t>Purchases of short-term investment</t>
  </si>
  <si>
    <t>Proceeds from maturities of short-term investments</t>
  </si>
  <si>
    <t>Capex</t>
  </si>
  <si>
    <t>Deconsolidation of Arch, formerly Meltano</t>
  </si>
  <si>
    <t>Payments for business combination, net of cash acquired</t>
  </si>
  <si>
    <t>Payments for asset acquisition</t>
  </si>
  <si>
    <t>Escrow payment related to business combination, after acquisition date</t>
  </si>
  <si>
    <t>Other investing activities</t>
  </si>
  <si>
    <t>CFFF</t>
  </si>
  <si>
    <t>Issuance of stock</t>
  </si>
  <si>
    <t>Contributions from noncontroling interest</t>
  </si>
  <si>
    <t>Settlement of acquisition</t>
  </si>
  <si>
    <t>CFFI</t>
  </si>
  <si>
    <t>Issuance of common stock under employee stock purchase plan</t>
  </si>
  <si>
    <t>Currency adj</t>
  </si>
  <si>
    <t>CF</t>
  </si>
  <si>
    <t>FCF</t>
  </si>
  <si>
    <t>Capex Margin</t>
  </si>
  <si>
    <t>Q125</t>
  </si>
  <si>
    <t>Q124</t>
  </si>
  <si>
    <t>Q224</t>
  </si>
  <si>
    <t>Q324</t>
  </si>
  <si>
    <t>Q424</t>
  </si>
  <si>
    <t>Q223</t>
  </si>
  <si>
    <t>Q323</t>
  </si>
  <si>
    <t>Q423</t>
  </si>
  <si>
    <t>Q225</t>
  </si>
  <si>
    <t>Q325</t>
  </si>
  <si>
    <t>Q425</t>
  </si>
  <si>
    <t>Q126</t>
  </si>
  <si>
    <t>INCOME STATEMENT</t>
  </si>
  <si>
    <t>STATEMENT OF CASH FLOWS</t>
  </si>
  <si>
    <t>Q123</t>
  </si>
  <si>
    <t>Deferred costs</t>
  </si>
  <si>
    <t>Gross Margin</t>
  </si>
  <si>
    <t>Operating Margin</t>
  </si>
  <si>
    <t>Net Margin</t>
  </si>
  <si>
    <t>R&amp;D Margin</t>
  </si>
  <si>
    <t>Interest Margin</t>
  </si>
  <si>
    <t>Revenue y/y</t>
  </si>
  <si>
    <t>EV/Revenue</t>
  </si>
  <si>
    <t>Employees</t>
  </si>
  <si>
    <t>Revenue/Employee</t>
  </si>
  <si>
    <t xml:space="preserve">Revenue </t>
  </si>
  <si>
    <t>Employee Growth Rate</t>
  </si>
  <si>
    <t>R/E y/y</t>
  </si>
  <si>
    <t>S&amp;M y/y</t>
  </si>
  <si>
    <t>R&amp;D y/y</t>
  </si>
  <si>
    <t>G&amp;A y/y</t>
  </si>
  <si>
    <t>Operating Expenses y/y</t>
  </si>
  <si>
    <t>$100,000+ ARR</t>
  </si>
  <si>
    <t>$5,000+ ARR</t>
  </si>
  <si>
    <t>$1,000,000+ ARR</t>
  </si>
  <si>
    <t>Customer base</t>
  </si>
  <si>
    <t>$5,000+ ARR q/q</t>
  </si>
  <si>
    <t>$100,000+ ARR q/q</t>
  </si>
  <si>
    <t>ARR - Annual Recurring Revenue (Monthly recurring revenue ("MRR") multiplied by 12.)</t>
  </si>
  <si>
    <t>Feature Area</t>
  </si>
  <si>
    <t>GitHub</t>
  </si>
  <si>
    <t>GitLab</t>
  </si>
  <si>
    <t>Bitbucket (Atlassian)</t>
  </si>
  <si>
    <t>Deployment Model</t>
  </si>
  <si>
    <t>SaaS-first, then self-hosted (Enterprise)</t>
  </si>
  <si>
    <t>Self-hosted-first, then SaaS</t>
  </si>
  <si>
    <t>Primarily Cloud-based</t>
  </si>
  <si>
    <t>Open Source Status</t>
  </si>
  <si>
    <t>Not open-source (contributes to OSS)</t>
  </si>
  <si>
    <t>Fully open-source</t>
  </si>
  <si>
    <t>Not open-source</t>
  </si>
  <si>
    <t>Tech Stack</t>
  </si>
  <si>
    <t>Ruby on Rails + MySQL</t>
  </si>
  <si>
    <t>Ruby on Rails + Go + PostgreSQL</t>
  </si>
  <si>
    <t>Integrated with Atlassian suite (Jira, Confluence)</t>
  </si>
  <si>
    <t>Repository Management</t>
  </si>
  <si>
    <t>Pioneered forks &amp; pull requests</t>
  </si>
  <si>
    <t>Merge requests, fork functionality</t>
  </si>
  <si>
    <t>Collaborative code repos, strong Jira integration</t>
  </si>
  <si>
    <t>CI/CD Capabilities</t>
  </si>
  <si>
    <t>GitHub Actions (strong 3rd-party ecosystem, more runtime envs)</t>
  </si>
  <si>
    <t>Pioneered built-in CI/CD &amp; Auto DevOps (multi-project pipelines, canary deployments)</t>
  </si>
  <si>
    <t>Bitbucket Pipelines, robust automation with Jira</t>
  </si>
  <si>
    <t>Security</t>
  </si>
  <si>
    <t>Advanced Security (CodeQL, code/secret scanning)</t>
  </si>
  <si>
    <t>Pioneered DevSecOps (SAST, DAST, Dependency/Secret/IaC Scanning, Fuzz Testing)</t>
  </si>
  <si>
    <t>Integrates with security tools (e.g., Snyk)</t>
  </si>
  <si>
    <t>Project Management</t>
  </si>
  <si>
    <t>Projects &amp; Issues (many prefer Jira)</t>
  </si>
  <si>
    <t>Issues, Epics, Boards (developer-centric)</t>
  </si>
  <si>
    <t>Jira (leading specialized tool)</t>
  </si>
  <si>
    <t>AI Capabilities</t>
  </si>
  <si>
    <t>GitHub Copilot (code suggestions, faster task completion)</t>
  </si>
  <si>
    <t>GitLab Duo (code suggestions, chat, vulnerability explanations, CI/CD troubleshooting)</t>
  </si>
  <si>
    <t>Rovo (new AI for teamwork)</t>
  </si>
  <si>
    <t>Metric</t>
  </si>
  <si>
    <t>Value (Date)</t>
  </si>
  <si>
    <t>Registered users (free-tier)</t>
  </si>
  <si>
    <r>
      <t>&gt;50 million</t>
    </r>
    <r>
      <rPr>
        <sz val="11"/>
        <color theme="1"/>
        <rFont val="Calibri"/>
        <family val="2"/>
        <scheme val="minor"/>
      </rPr>
      <t xml:space="preserve"> (Apr 30, 2025)</t>
    </r>
  </si>
  <si>
    <t>Company</t>
  </si>
  <si>
    <t>Headquarters</t>
  </si>
  <si>
    <t>Market Cap / Valuation</t>
  </si>
  <si>
    <t>Sigma Defense</t>
  </si>
  <si>
    <t>Perry, GA, USA</t>
  </si>
  <si>
    <t>Private (Valuation N/A)</t>
  </si>
  <si>
    <t>CACI International</t>
  </si>
  <si>
    <t>Reston, VA, USA</t>
  </si>
  <si>
    <t>~$10.15B (May 2025) (NASDAQ: CACI)</t>
  </si>
  <si>
    <t>Southwest Airlines</t>
  </si>
  <si>
    <t>Dallas, TX, USA</t>
  </si>
  <si>
    <t>~$18.07B (May 2025) (NYSE: LUV)</t>
  </si>
  <si>
    <t>72,450 (2024)</t>
  </si>
  <si>
    <t>Nasdaq, Inc.</t>
  </si>
  <si>
    <t>New York, NY, USA</t>
  </si>
  <si>
    <t>~$47.65B (May 2025) (Nasdaq: NDAQ)</t>
  </si>
  <si>
    <t>Deutsche Telekom</t>
  </si>
  <si>
    <t>Bonn, Germany</t>
  </si>
  <si>
    <t>~€166.5B (May 2025) (FWB: DTE)</t>
  </si>
  <si>
    <t>Siemens AG</t>
  </si>
  <si>
    <t>Munich, Germany</t>
  </si>
  <si>
    <t>~$196.2B (May 2025) (Xetra: SIE)</t>
  </si>
  <si>
    <t>UBS Group AG</t>
  </si>
  <si>
    <t>Zurich, Switzerland</t>
  </si>
  <si>
    <t>~$101.8B (as reported) (NYSE: UBS)</t>
  </si>
  <si>
    <t>Hilti AG</t>
  </si>
  <si>
    <t>Schaan, Liechtenstein</t>
  </si>
  <si>
    <t>Private (family-owned)</t>
  </si>
  <si>
    <t>Fujitsu Ltd</t>
  </si>
  <si>
    <t>Kawasaki, Kanagawa, Japan</t>
  </si>
  <si>
    <t>~$41.04B (May 2025) (OTCM: FJTSY)</t>
  </si>
  <si>
    <t>Fanatics, Inc.</t>
  </si>
  <si>
    <t>New York, NY, USA (inc. Jacksonville, FL)</t>
  </si>
  <si>
    <t>~$31B (Dec 2023) (private)</t>
  </si>
  <si>
    <t>Crédit Agricole SA</t>
  </si>
  <si>
    <t>Paris, France</t>
  </si>
  <si>
    <t>~$56.34B (as reported) (EPA: ACA)</t>
  </si>
  <si>
    <t>Airbus SE</t>
  </si>
  <si>
    <t>Toulouse, France</t>
  </si>
  <si>
    <t>~$140.56B (May 2025) (EPA: AIR)</t>
  </si>
  <si>
    <t>147,893 (2023)</t>
  </si>
  <si>
    <t>$5,000+ ARR y/y</t>
  </si>
  <si>
    <t>$100,000+ ARR y/y</t>
  </si>
  <si>
    <t>RPO - Remaining Performance Obligation</t>
  </si>
  <si>
    <t>cRPO - Current Remaining Performance Obligation</t>
  </si>
  <si>
    <t>Total value of all future revenue from existing contracts that a company is obligated to fulfill</t>
  </si>
  <si>
    <t>Q226</t>
  </si>
  <si>
    <t>Non-GAAP Net Income</t>
  </si>
  <si>
    <t>Non-GAAP EPS</t>
  </si>
  <si>
    <t>Non-GAAP Net Margin</t>
  </si>
  <si>
    <t>Maturity</t>
  </si>
  <si>
    <t>NPV</t>
  </si>
  <si>
    <t>Q326</t>
  </si>
  <si>
    <t>Q426</t>
  </si>
  <si>
    <t>Q127</t>
  </si>
  <si>
    <t>Q227</t>
  </si>
  <si>
    <t>Q327</t>
  </si>
  <si>
    <t>Q427</t>
  </si>
  <si>
    <t>Q128</t>
  </si>
  <si>
    <t>Q228</t>
  </si>
  <si>
    <t xml:space="preserve"> </t>
  </si>
  <si>
    <t>Q328</t>
  </si>
  <si>
    <t>Q428</t>
  </si>
  <si>
    <t>G&amp;A Margin</t>
  </si>
  <si>
    <t>S&amp;M Margin</t>
  </si>
  <si>
    <t>Share</t>
  </si>
  <si>
    <t>Current</t>
  </si>
  <si>
    <t>Return</t>
  </si>
  <si>
    <t>Revenue to S&amp;M</t>
  </si>
  <si>
    <t>SG&amp;A Expense</t>
  </si>
  <si>
    <t>Revenue to SG&amp;A</t>
  </si>
  <si>
    <t>Q210</t>
  </si>
  <si>
    <t>Q310</t>
  </si>
  <si>
    <t>Q111</t>
  </si>
  <si>
    <t>Q211</t>
  </si>
  <si>
    <t>Q311</t>
  </si>
  <si>
    <t>Q411</t>
  </si>
  <si>
    <t>Q112</t>
  </si>
  <si>
    <t>Q212</t>
  </si>
  <si>
    <t>Q312</t>
  </si>
  <si>
    <t>Q412</t>
  </si>
  <si>
    <t>Q113</t>
  </si>
  <si>
    <t>Q213</t>
  </si>
  <si>
    <t>Q313</t>
  </si>
  <si>
    <t>Q413</t>
  </si>
  <si>
    <t>Q114</t>
  </si>
  <si>
    <t>Q214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</si>
  <si>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</si>
  <si>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</si>
  <si>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</si>
  <si>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</si>
  <si>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</si>
  <si>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</si>
  <si>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</si>
  <si>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</si>
  <si>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</si>
  <si>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</si>
  <si>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</si>
  <si>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</si>
  <si>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</si>
  <si>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</si>
  <si>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</si>
  <si>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</si>
  <si>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</si>
  <si>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</si>
  <si>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</si>
  <si>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</si>
  <si>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</si>
  <si>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</si>
  <si>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</si>
  <si>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</si>
  <si>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</si>
  <si>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</si>
  <si>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</si>
  <si>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</si>
  <si>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</si>
  <si>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</si>
  <si>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</si>
  <si>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</si>
  <si>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</si>
  <si>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</si>
  <si>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TEAM</t>
  </si>
  <si>
    <t>PEGA</t>
  </si>
  <si>
    <t>06.06.2025-07.28.2025</t>
  </si>
  <si>
    <t>Avg_Sentiment</t>
  </si>
  <si>
    <t>Std_Sentiment</t>
  </si>
  <si>
    <t>Min_Sentiment</t>
  </si>
  <si>
    <t>Max_Sentiment</t>
  </si>
  <si>
    <t>Latest_SMA7</t>
  </si>
  <si>
    <t>Latest_SMA30</t>
  </si>
  <si>
    <t>Latest_SMA100</t>
  </si>
  <si>
    <t>Total_Posts</t>
  </si>
  <si>
    <t>Avg_Daily_Posts</t>
  </si>
  <si>
    <t>Days_Analyzed</t>
  </si>
  <si>
    <t>01.01.2015-06.06.2025</t>
  </si>
  <si>
    <t>$1m y/y</t>
  </si>
  <si>
    <t>Price</t>
  </si>
  <si>
    <t>MC</t>
  </si>
  <si>
    <t>Debt</t>
  </si>
  <si>
    <t>EV</t>
  </si>
  <si>
    <t>SaaS</t>
  </si>
  <si>
    <t>Revenue q/q</t>
  </si>
  <si>
    <t>Net Income</t>
  </si>
  <si>
    <t>R Y/Y</t>
  </si>
  <si>
    <t>R Q/Q</t>
  </si>
  <si>
    <t>NI Y/Y</t>
  </si>
  <si>
    <t>NI Q/Q</t>
  </si>
  <si>
    <t>Proj.</t>
  </si>
  <si>
    <t>Act.</t>
  </si>
  <si>
    <t>Beat</t>
  </si>
  <si>
    <t>Cloud</t>
  </si>
  <si>
    <t>DataCenter</t>
  </si>
  <si>
    <t>Server</t>
  </si>
  <si>
    <t>Marketplance</t>
  </si>
  <si>
    <t>Total</t>
  </si>
  <si>
    <t>Guidance</t>
  </si>
  <si>
    <t>%</t>
  </si>
  <si>
    <t>R</t>
  </si>
  <si>
    <t>1395-1403</t>
  </si>
  <si>
    <t>Prev. Guidance</t>
  </si>
  <si>
    <t>FY22</t>
  </si>
  <si>
    <t>FY23</t>
  </si>
  <si>
    <t>FY24</t>
  </si>
  <si>
    <t>FY25</t>
  </si>
  <si>
    <t>FY26</t>
  </si>
  <si>
    <t>Discount</t>
  </si>
  <si>
    <t>RPO QoQ</t>
  </si>
  <si>
    <t>cRP QoQ</t>
  </si>
  <si>
    <t>In millions</t>
  </si>
  <si>
    <t>Actual</t>
  </si>
  <si>
    <t>FY26 R Cons.</t>
  </si>
  <si>
    <t>FY26 EPS Cons.</t>
  </si>
  <si>
    <t>Q2FY26 R Cons.</t>
  </si>
  <si>
    <t>Q2FY26 EPS Cons.</t>
  </si>
  <si>
    <t>Q3FY26 R Guid. Cons.</t>
  </si>
  <si>
    <t>Q3FY26 EPS Guid. Cons</t>
  </si>
  <si>
    <t>Q2FY26 OpInc Cons.</t>
  </si>
  <si>
    <t>Q3FY26 OpInc Cons.</t>
  </si>
  <si>
    <t>FY26 OpInc Cons.</t>
  </si>
  <si>
    <t>Stock price, day after earnings</t>
  </si>
  <si>
    <t>Trl EV/FCF</t>
  </si>
  <si>
    <t>Trl EV/Sales</t>
  </si>
  <si>
    <t>Trl EV/adj. EBITDA</t>
  </si>
  <si>
    <t>Trl EV/adj. EBIT</t>
  </si>
  <si>
    <t>Adj. EBIT</t>
  </si>
  <si>
    <t>Adj. EBITDA</t>
  </si>
  <si>
    <t xml:space="preserve">1Yβ </t>
  </si>
  <si>
    <t>Q3FY26</t>
  </si>
  <si>
    <t>US 1-YR</t>
  </si>
  <si>
    <t>E[M]</t>
  </si>
  <si>
    <t>E[GTLB]</t>
  </si>
  <si>
    <t>Adj. FCF (Less SBC)</t>
  </si>
  <si>
    <t>Effective Tax Rate</t>
  </si>
  <si>
    <t>$ retention rate</t>
  </si>
  <si>
    <t>Q1 FY27 Guidance</t>
  </si>
  <si>
    <t>FY27 Guidance</t>
  </si>
  <si>
    <t>Non-GAAP EBIT</t>
  </si>
  <si>
    <t>Diluted WASO</t>
  </si>
  <si>
    <t>Implied Non-GAAP NI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</si>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</sst>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u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2" fontId="1" fillId="0" borderId="0" xfId="0" applyNumberFormat="1" applyFont="1"/>
    <xf numFmtId="10" fontId="0" fillId="0" borderId="0" xfId="0" applyNumberFormat="1"/>
    <xf numFmtId="9" fontId="0" fillId="0" borderId="0" xfId="0" applyNumberFormat="1"/>
    <xf numFmtId="14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2" fontId="0" fillId="0" borderId="0" xfId="0" applyNumberFormat="1"/>
    <xf numFmtId="164" fontId="1" fillId="0" borderId="0" xfId="0" applyNumberFormat="1" applyFont="1"/>
    <xf numFmtId="38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164" fontId="0" fillId="0" borderId="0" xfId="0" applyNumberFormat="1"/>
    <xf numFmtId="9" fontId="0" fillId="0" borderId="0" xfId="0" applyNumberFormat="1" applyAlignment="1">
      <alignment horizontal="right"/>
    </xf>
    <xf numFmtId="0" fontId="0" fillId="0" borderId="4" xfId="0" applyBorder="1"/>
    <xf numFmtId="164" fontId="0" fillId="0" borderId="4" xfId="0" applyNumberFormat="1" applyBorder="1"/>
    <xf numFmtId="164" fontId="0" fillId="0" borderId="0" xfId="0" applyNumberFormat="1" applyAlignment="1">
      <alignment horizontal="right"/>
    </xf>
    <xf numFmtId="164" fontId="0" fillId="0" borderId="5" xfId="0" applyNumberFormat="1" applyBorder="1"/>
    <xf numFmtId="164" fontId="0" fillId="0" borderId="6" xfId="0" applyNumberFormat="1" applyBorder="1"/>
    <xf numFmtId="165" fontId="0" fillId="0" borderId="0" xfId="0" applyNumberFormat="1"/>
    <xf numFmtId="4" fontId="1" fillId="0" borderId="0" xfId="0" applyNumberFormat="1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750077795210418E-2"/>
          <c:y val="2.7720073098051027E-2"/>
          <c:w val="0.87955884006119345"/>
          <c:h val="0.80224019661607748"/>
        </c:manualLayout>
      </c:layout>
      <c:barChart>
        <c:barDir val="col"/>
        <c:grouping val="clustered"/>
        <c:varyColors val="0"/>
        <c:ser>
          <c:idx val="0"/>
          <c:order val="0"/>
          <c:tx>
            <c:v>FCF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FS!$C$2:$R$2</c:f>
              <c:strCache>
                <c:ptCount val="16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  <c:pt idx="10">
                  <c:v>Q325</c:v>
                </c:pt>
                <c:pt idx="11">
                  <c:v>Q425</c:v>
                </c:pt>
                <c:pt idx="12">
                  <c:v>Q126</c:v>
                </c:pt>
                <c:pt idx="13">
                  <c:v>Q226</c:v>
                </c:pt>
                <c:pt idx="14">
                  <c:v>Q326</c:v>
                </c:pt>
                <c:pt idx="15">
                  <c:v>Q426</c:v>
                </c:pt>
              </c:strCache>
            </c:strRef>
          </c:cat>
          <c:val>
            <c:numRef>
              <c:f>FS!$C$111:$R$111</c:f>
              <c:numCache>
                <c:formatCode>#,##0</c:formatCode>
                <c:ptCount val="16"/>
                <c:pt idx="0">
                  <c:v>-30030</c:v>
                </c:pt>
                <c:pt idx="1">
                  <c:v>-37695</c:v>
                </c:pt>
                <c:pt idx="2">
                  <c:v>-2981</c:v>
                </c:pt>
                <c:pt idx="3">
                  <c:v>-12772</c:v>
                </c:pt>
                <c:pt idx="4">
                  <c:v>-11217</c:v>
                </c:pt>
                <c:pt idx="5">
                  <c:v>26832</c:v>
                </c:pt>
                <c:pt idx="6">
                  <c:v>-6697</c:v>
                </c:pt>
                <c:pt idx="7">
                  <c:v>24524</c:v>
                </c:pt>
                <c:pt idx="8">
                  <c:v>37438</c:v>
                </c:pt>
                <c:pt idx="9">
                  <c:v>10846</c:v>
                </c:pt>
                <c:pt idx="10">
                  <c:v>-178085</c:v>
                </c:pt>
                <c:pt idx="11">
                  <c:v>62065</c:v>
                </c:pt>
                <c:pt idx="12">
                  <c:v>105390</c:v>
                </c:pt>
                <c:pt idx="13">
                  <c:v>46465</c:v>
                </c:pt>
                <c:pt idx="14">
                  <c:v>28390</c:v>
                </c:pt>
                <c:pt idx="15">
                  <c:v>41784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5-4A35-9B0F-668AB6DE5E5F}"/>
            </c:ext>
          </c:extLst>
        </c:ser>
        <c:ser>
          <c:idx val="1"/>
          <c:order val="1"/>
          <c:tx>
            <c:v>Adj. FCF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FS!$C$2:$R$2</c:f>
              <c:strCache>
                <c:ptCount val="16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  <c:pt idx="10">
                  <c:v>Q325</c:v>
                </c:pt>
                <c:pt idx="11">
                  <c:v>Q425</c:v>
                </c:pt>
                <c:pt idx="12">
                  <c:v>Q126</c:v>
                </c:pt>
                <c:pt idx="13">
                  <c:v>Q226</c:v>
                </c:pt>
                <c:pt idx="14">
                  <c:v>Q326</c:v>
                </c:pt>
                <c:pt idx="15">
                  <c:v>Q426</c:v>
                </c:pt>
              </c:strCache>
            </c:strRef>
          </c:cat>
          <c:val>
            <c:numRef>
              <c:f>FS!$C$114:$R$114</c:f>
              <c:numCache>
                <c:formatCode>#,##0</c:formatCode>
                <c:ptCount val="16"/>
                <c:pt idx="0">
                  <c:v>-47501</c:v>
                </c:pt>
                <c:pt idx="1">
                  <c:v>-75442</c:v>
                </c:pt>
                <c:pt idx="2">
                  <c:v>-36689</c:v>
                </c:pt>
                <c:pt idx="3">
                  <c:v>-46413</c:v>
                </c:pt>
                <c:pt idx="4">
                  <c:v>-43547</c:v>
                </c:pt>
                <c:pt idx="5">
                  <c:v>-19536</c:v>
                </c:pt>
                <c:pt idx="6">
                  <c:v>-48031</c:v>
                </c:pt>
                <c:pt idx="7">
                  <c:v>-18493</c:v>
                </c:pt>
                <c:pt idx="8">
                  <c:v>-4814</c:v>
                </c:pt>
                <c:pt idx="9">
                  <c:v>-38123</c:v>
                </c:pt>
                <c:pt idx="10">
                  <c:v>-226127</c:v>
                </c:pt>
                <c:pt idx="11">
                  <c:v>15429</c:v>
                </c:pt>
                <c:pt idx="12">
                  <c:v>49563</c:v>
                </c:pt>
                <c:pt idx="13">
                  <c:v>-7819</c:v>
                </c:pt>
                <c:pt idx="14">
                  <c:v>-23292</c:v>
                </c:pt>
                <c:pt idx="15">
                  <c:v>-11374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5-4A35-9B0F-668AB6DE5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323744"/>
        <c:axId val="460324704"/>
      </c:barChart>
      <c:catAx>
        <c:axId val="46032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24704"/>
        <c:crosses val="autoZero"/>
        <c:auto val="1"/>
        <c:lblAlgn val="ctr"/>
        <c:lblOffset val="100"/>
        <c:noMultiLvlLbl val="0"/>
      </c:catAx>
      <c:valAx>
        <c:axId val="460324704"/>
        <c:scaling>
          <c:orientation val="minMax"/>
          <c:max val="100000"/>
          <c:min val="-225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2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8283</xdr:colOff>
      <xdr:row>0</xdr:row>
      <xdr:rowOff>0</xdr:rowOff>
    </xdr:from>
    <xdr:to>
      <xdr:col>18</xdr:col>
      <xdr:colOff>22860</xdr:colOff>
      <xdr:row>69</xdr:row>
      <xdr:rowOff>24185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A07BB3B-95AB-9045-F796-190913D99142}"/>
            </a:ext>
          </a:extLst>
        </xdr:cNvPr>
        <xdr:cNvCxnSpPr/>
      </xdr:nvCxnSpPr>
      <xdr:spPr>
        <a:xfrm>
          <a:off x="13701423" y="0"/>
          <a:ext cx="14577" cy="12642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603887</xdr:colOff>
      <xdr:row>1</xdr:row>
      <xdr:rowOff>13206</xdr:rowOff>
    </xdr:from>
    <xdr:to>
      <xdr:col>30</xdr:col>
      <xdr:colOff>603887</xdr:colOff>
      <xdr:row>48</xdr:row>
      <xdr:rowOff>181992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56C21EA-C02C-48BB-A6C6-6ADD6B58B7A9}"/>
            </a:ext>
          </a:extLst>
        </xdr:cNvPr>
        <xdr:cNvCxnSpPr/>
      </xdr:nvCxnSpPr>
      <xdr:spPr>
        <a:xfrm>
          <a:off x="20683617" y="198557"/>
          <a:ext cx="0" cy="85095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156210</xdr:colOff>
      <xdr:row>126</xdr:row>
      <xdr:rowOff>15246</xdr:rowOff>
    </xdr:from>
    <xdr:to>
      <xdr:col>14</xdr:col>
      <xdr:colOff>411480</xdr:colOff>
      <xdr:row>146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05522-96EA-4745-CB6C-5044E74AD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10297</xdr:colOff>
      <xdr:row>4</xdr:row>
      <xdr:rowOff>0</xdr:rowOff>
    </xdr:from>
    <xdr:to>
      <xdr:col>5</xdr:col>
      <xdr:colOff>30892</xdr:colOff>
      <xdr:row>4</xdr:row>
      <xdr:rowOff>10297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E6747C5-2DB4-960D-5CCC-07761DD8011E}"/>
            </a:ext>
          </a:extLst>
        </xdr:cNvPr>
        <xdr:cNvCxnSpPr/>
      </xdr:nvCxnSpPr>
      <xdr:spPr>
        <a:xfrm>
          <a:off x="617838" y="926757"/>
          <a:ext cx="7825946" cy="102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</xdr:row>
      <xdr:rowOff>0</xdr:rowOff>
    </xdr:from>
    <xdr:to>
      <xdr:col>5</xdr:col>
      <xdr:colOff>20595</xdr:colOff>
      <xdr:row>20</xdr:row>
      <xdr:rowOff>10297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215BD8F-3BB1-4147-841F-D5A13ED4FF3F}"/>
            </a:ext>
          </a:extLst>
        </xdr:cNvPr>
        <xdr:cNvCxnSpPr/>
      </xdr:nvCxnSpPr>
      <xdr:spPr>
        <a:xfrm>
          <a:off x="607541" y="4448432"/>
          <a:ext cx="7825946" cy="102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592378</xdr:colOff>
      <xdr:row>0</xdr:row>
      <xdr:rowOff>0</xdr:rowOff>
    </xdr:from>
    <xdr:to>
      <xdr:col>23</xdr:col>
      <xdr:colOff>32657</xdr:colOff>
      <xdr:row>21</xdr:row>
      <xdr:rowOff>179796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0DA9C-086C-DCDF-BFFD-EDDEAFFE4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7178" y="0"/>
          <a:ext cx="5536279" cy="4065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381914</xdr:colOff>
      <xdr:row>0</xdr:row>
      <xdr:rowOff>1</xdr:rowOff>
    </xdr:from>
    <xdr:to>
      <xdr:col>13</xdr:col>
      <xdr:colOff>219560</xdr:colOff>
      <xdr:row>22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18BC11-32DC-A5C1-4BD7-1931D9D7F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982" y="1"/>
          <a:ext cx="5300798" cy="3977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Inv.xlsx" TargetMode="External"/><Relationship Id="rId1" Type="http://schemas.openxmlformats.org/officeDocument/2006/relationships/externalLinkPath" Target="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OOGL"/>
      <sheetName val="META"/>
      <sheetName val="MSFT"/>
      <sheetName val="AMZN"/>
      <sheetName val="AAPL"/>
      <sheetName val="BIDU"/>
      <sheetName val="IBM FA"/>
      <sheetName val="IBM"/>
    </sheetNames>
    <sheetDataSet>
      <sheetData sheetId="0">
        <row r="21">
          <cell r="O21">
            <v>6670.5070000000005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SaaS%20businesses%20listed%20on%20the%20U.S.%20stock%20exchanges%20NYSE%20and%20NASDAQ%2008-07-2025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1EFD-326B-4845-8A57-22734333077C}">
  <dimension ref="A1:V24"/>
  <sheetViews>
    <sheetView tabSelected="1" topLeftCell="C1" zoomScale="93" workbookViewId="0">
      <selection activeCell="J6" sqref="J6"/>
    </sheetView>
  </sheetViews>
  <sheetFormatPr defaultRowHeight="14.4" x14ac:dyDescent="0.3"/>
  <cols>
    <col min="13" max="13" width="19.88671875" bestFit="1" customWidth="1"/>
    <col min="16" max="16" width="19.109375" bestFit="1" customWidth="1"/>
  </cols>
  <sheetData>
    <row r="1" spans="1:22" x14ac:dyDescent="0.3">
      <c r="A1" s="1" t="s">
        <v>289</v>
      </c>
    </row>
    <row r="4" spans="1:22" x14ac:dyDescent="0.3">
      <c r="Q4" s="41" t="s">
        <v>343</v>
      </c>
      <c r="R4" s="41"/>
      <c r="U4" s="41" t="s">
        <v>344</v>
      </c>
      <c r="V4" s="41"/>
    </row>
    <row r="5" spans="1:22" x14ac:dyDescent="0.3">
      <c r="I5" t="s">
        <v>285</v>
      </c>
      <c r="J5" s="9">
        <v>19.78</v>
      </c>
      <c r="M5" t="s">
        <v>335</v>
      </c>
      <c r="N5">
        <v>1.544</v>
      </c>
      <c r="P5" t="s">
        <v>3</v>
      </c>
      <c r="Q5">
        <v>253</v>
      </c>
      <c r="R5">
        <v>255</v>
      </c>
      <c r="U5">
        <v>1099</v>
      </c>
      <c r="V5">
        <v>1118</v>
      </c>
    </row>
    <row r="6" spans="1:22" ht="14.4" customHeight="1" x14ac:dyDescent="0.3">
      <c r="I6" t="s">
        <v>19</v>
      </c>
      <c r="J6" s="3">
        <f>+FS!Q21/1000</f>
        <v>167.40700000000001</v>
      </c>
      <c r="K6" t="s">
        <v>336</v>
      </c>
      <c r="M6" t="s">
        <v>337</v>
      </c>
      <c r="N6">
        <v>3.6070000000000002</v>
      </c>
      <c r="P6" t="s">
        <v>345</v>
      </c>
      <c r="Q6">
        <v>32</v>
      </c>
      <c r="R6">
        <v>34</v>
      </c>
      <c r="U6">
        <v>129</v>
      </c>
      <c r="V6">
        <v>137</v>
      </c>
    </row>
    <row r="7" spans="1:22" x14ac:dyDescent="0.3">
      <c r="I7" t="s">
        <v>286</v>
      </c>
      <c r="J7" s="3">
        <f>J5*J6</f>
        <v>3311.3104600000006</v>
      </c>
      <c r="M7" t="s">
        <v>338</v>
      </c>
      <c r="N7" s="7">
        <v>0.2</v>
      </c>
      <c r="P7" t="s">
        <v>348</v>
      </c>
      <c r="Q7" s="7">
        <f>Q6/Q5</f>
        <v>0.12648221343873517</v>
      </c>
      <c r="R7" s="7">
        <f t="shared" ref="R7" si="0">R6/R5</f>
        <v>0.13333333333333333</v>
      </c>
      <c r="S7" s="7"/>
      <c r="T7" s="7"/>
      <c r="U7" s="7">
        <f t="shared" ref="U7:V7" si="1">U6/U5</f>
        <v>0.11737943585077343</v>
      </c>
      <c r="V7" s="7">
        <f t="shared" si="1"/>
        <v>0.12254025044722719</v>
      </c>
    </row>
    <row r="8" spans="1:22" x14ac:dyDescent="0.3">
      <c r="I8" t="s">
        <v>21</v>
      </c>
      <c r="J8" s="3">
        <f>+FS!Q50/1000</f>
        <v>1204.308</v>
      </c>
      <c r="K8" t="s">
        <v>336</v>
      </c>
      <c r="M8" t="s">
        <v>339</v>
      </c>
      <c r="N8" s="6">
        <f>N6/100+N5*(N7-N6/100)</f>
        <v>0.28917792000000003</v>
      </c>
      <c r="P8" t="s">
        <v>346</v>
      </c>
      <c r="R8">
        <v>173</v>
      </c>
      <c r="V8">
        <v>175</v>
      </c>
    </row>
    <row r="9" spans="1:22" x14ac:dyDescent="0.3">
      <c r="I9" t="s">
        <v>287</v>
      </c>
      <c r="J9" s="3">
        <v>0</v>
      </c>
      <c r="K9" t="s">
        <v>336</v>
      </c>
      <c r="P9" t="s">
        <v>197</v>
      </c>
      <c r="Q9">
        <v>0.2</v>
      </c>
      <c r="R9">
        <v>0.21</v>
      </c>
      <c r="U9">
        <v>0.76</v>
      </c>
      <c r="V9">
        <v>0.8</v>
      </c>
    </row>
    <row r="10" spans="1:22" x14ac:dyDescent="0.3">
      <c r="J10" s="3"/>
      <c r="P10" t="s">
        <v>347</v>
      </c>
      <c r="Q10">
        <f>+Q9*R8</f>
        <v>34.6</v>
      </c>
      <c r="R10">
        <f>R9*R8</f>
        <v>36.33</v>
      </c>
      <c r="U10">
        <f>U9*V8</f>
        <v>133</v>
      </c>
      <c r="V10">
        <f>+V9*V8</f>
        <v>140</v>
      </c>
    </row>
    <row r="11" spans="1:22" x14ac:dyDescent="0.3">
      <c r="I11" t="s">
        <v>288</v>
      </c>
      <c r="J11" s="3">
        <f>J7-J8+J94</f>
        <v>2107.0024600000006</v>
      </c>
      <c r="P11" t="s">
        <v>88</v>
      </c>
      <c r="Q11" s="7">
        <f>Q10/Q5</f>
        <v>0.13675889328063243</v>
      </c>
      <c r="R11" s="7">
        <f>R10/R5</f>
        <v>0.1424705882352941</v>
      </c>
      <c r="S11" s="7"/>
      <c r="T11" s="7"/>
      <c r="U11" s="7">
        <f t="shared" ref="U11:V11" si="2">U10/U5</f>
        <v>0.12101910828025478</v>
      </c>
      <c r="V11" s="7">
        <f t="shared" si="2"/>
        <v>0.12522361359570661</v>
      </c>
    </row>
    <row r="14" spans="1:22" x14ac:dyDescent="0.3">
      <c r="J14">
        <f>1000/J5</f>
        <v>50.556117290192113</v>
      </c>
    </row>
    <row r="15" spans="1:22" x14ac:dyDescent="0.3">
      <c r="J15">
        <f>J14/J6</f>
        <v>0.30199524088115853</v>
      </c>
    </row>
    <row r="18" spans="10:10" x14ac:dyDescent="0.3">
      <c r="J18" s="9"/>
    </row>
    <row r="19" spans="10:10" x14ac:dyDescent="0.3">
      <c r="J19" s="3"/>
    </row>
    <row r="20" spans="10:10" x14ac:dyDescent="0.3">
      <c r="J20" s="3"/>
    </row>
    <row r="21" spans="10:10" x14ac:dyDescent="0.3">
      <c r="J21" s="3"/>
    </row>
    <row r="22" spans="10:10" x14ac:dyDescent="0.3">
      <c r="J22" s="3"/>
    </row>
    <row r="24" spans="10:10" x14ac:dyDescent="0.3">
      <c r="J24" s="3"/>
    </row>
  </sheetData>
  <mergeCells count="2">
    <mergeCell ref="Q4:R4"/>
    <mergeCell ref="U4:V4"/>
  </mergeCells>
  <hyperlinks>
    <hyperlink ref="A1" r:id="rId1" xr:uid="{0821C0F7-1B2D-4E73-B6C1-FB3C5A0539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O126"/>
  <sheetViews>
    <sheetView zoomScaleNormal="1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M48" sqref="M48"/>
    </sheetView>
  </sheetViews>
  <sheetFormatPr defaultRowHeight="14.4" x14ac:dyDescent="0.3"/>
  <cols>
    <col min="1" max="1" width="5.21875" bestFit="1" customWidth="1"/>
    <col min="2" max="2" width="38" customWidth="1"/>
    <col min="3" max="3" width="12.88671875" bestFit="1" customWidth="1"/>
    <col min="4" max="5" width="8.88671875" bestFit="1" customWidth="1"/>
    <col min="6" max="6" width="9.33203125" bestFit="1" customWidth="1"/>
    <col min="7" max="7" width="9.44140625" bestFit="1" customWidth="1"/>
    <col min="8" max="8" width="9.77734375" bestFit="1" customWidth="1"/>
    <col min="9" max="9" width="9.44140625" bestFit="1" customWidth="1"/>
    <col min="10" max="10" width="9.109375" customWidth="1"/>
    <col min="11" max="12" width="9.44140625" bestFit="1" customWidth="1"/>
    <col min="13" max="14" width="9.88671875" bestFit="1" customWidth="1"/>
    <col min="15" max="15" width="9.109375" customWidth="1"/>
    <col min="16" max="16" width="9.21875" bestFit="1" customWidth="1"/>
    <col min="17" max="17" width="12.6640625" bestFit="1" customWidth="1"/>
    <col min="18" max="26" width="9" bestFit="1" customWidth="1"/>
    <col min="29" max="29" width="8.21875" bestFit="1" customWidth="1"/>
    <col min="30" max="30" width="9.5546875" customWidth="1"/>
    <col min="31" max="31" width="9.6640625" bestFit="1" customWidth="1"/>
    <col min="32" max="32" width="9" bestFit="1" customWidth="1"/>
    <col min="33" max="39" width="9.33203125" bestFit="1" customWidth="1"/>
    <col min="40" max="40" width="9.6640625" customWidth="1"/>
    <col min="41" max="45" width="9.33203125" bestFit="1" customWidth="1"/>
    <col min="46" max="50" width="10.44140625" bestFit="1" customWidth="1"/>
    <col min="51" max="51" width="10.44140625" customWidth="1"/>
    <col min="52" max="52" width="10.21875" bestFit="1" customWidth="1"/>
    <col min="53" max="53" width="9.6640625" customWidth="1"/>
    <col min="54" max="69" width="10.21875" bestFit="1" customWidth="1"/>
    <col min="70" max="106" width="9.21875" bestFit="1" customWidth="1"/>
    <col min="107" max="125" width="7.6640625" bestFit="1" customWidth="1"/>
    <col min="126" max="151" width="6.77734375" bestFit="1" customWidth="1"/>
  </cols>
  <sheetData>
    <row r="1" spans="1:151" x14ac:dyDescent="0.3">
      <c r="A1" s="1" t="s">
        <v>0</v>
      </c>
      <c r="B1" s="8">
        <v>45802</v>
      </c>
    </row>
    <row r="2" spans="1:151" x14ac:dyDescent="0.3">
      <c r="B2" t="s">
        <v>82</v>
      </c>
      <c r="C2" t="s">
        <v>84</v>
      </c>
      <c r="D2" t="s">
        <v>75</v>
      </c>
      <c r="E2" t="s">
        <v>76</v>
      </c>
      <c r="F2" t="s">
        <v>77</v>
      </c>
      <c r="G2" t="s">
        <v>71</v>
      </c>
      <c r="H2" t="s">
        <v>72</v>
      </c>
      <c r="I2" t="s">
        <v>73</v>
      </c>
      <c r="J2" t="s">
        <v>74</v>
      </c>
      <c r="K2" t="s">
        <v>70</v>
      </c>
      <c r="L2" t="s">
        <v>78</v>
      </c>
      <c r="M2" t="s">
        <v>79</v>
      </c>
      <c r="N2" t="s">
        <v>80</v>
      </c>
      <c r="O2" t="s">
        <v>81</v>
      </c>
      <c r="P2" t="s">
        <v>195</v>
      </c>
      <c r="Q2" t="s">
        <v>201</v>
      </c>
      <c r="R2" t="s">
        <v>202</v>
      </c>
      <c r="S2" t="s">
        <v>203</v>
      </c>
      <c r="T2" t="s">
        <v>204</v>
      </c>
      <c r="U2" t="s">
        <v>205</v>
      </c>
      <c r="V2" t="s">
        <v>206</v>
      </c>
      <c r="W2" t="s">
        <v>207</v>
      </c>
      <c r="X2" t="s">
        <v>208</v>
      </c>
      <c r="Y2" t="s">
        <v>210</v>
      </c>
      <c r="Z2" t="s">
        <v>211</v>
      </c>
      <c r="AC2">
        <v>2023</v>
      </c>
      <c r="AD2">
        <v>2024</v>
      </c>
      <c r="AE2">
        <v>2025</v>
      </c>
      <c r="AF2">
        <v>2026</v>
      </c>
      <c r="AG2">
        <v>2027</v>
      </c>
      <c r="AH2">
        <v>2028</v>
      </c>
      <c r="AI2">
        <v>2029</v>
      </c>
      <c r="AJ2">
        <v>2030</v>
      </c>
      <c r="AK2">
        <v>2031</v>
      </c>
      <c r="AL2">
        <v>2032</v>
      </c>
      <c r="AM2">
        <v>2033</v>
      </c>
      <c r="AN2">
        <v>2034</v>
      </c>
      <c r="AO2">
        <v>2035</v>
      </c>
      <c r="AP2">
        <v>2036</v>
      </c>
      <c r="AQ2">
        <v>2037</v>
      </c>
      <c r="AR2">
        <v>2038</v>
      </c>
      <c r="AS2">
        <v>2039</v>
      </c>
      <c r="AT2">
        <v>2040</v>
      </c>
      <c r="AU2">
        <v>2041</v>
      </c>
      <c r="AV2">
        <v>2042</v>
      </c>
      <c r="AW2">
        <v>2043</v>
      </c>
      <c r="AX2">
        <v>2044</v>
      </c>
      <c r="AY2">
        <v>2045</v>
      </c>
      <c r="AZ2">
        <v>2046</v>
      </c>
      <c r="BA2">
        <v>2047</v>
      </c>
      <c r="BB2">
        <v>2048</v>
      </c>
      <c r="BC2">
        <v>2049</v>
      </c>
      <c r="BD2">
        <v>2050</v>
      </c>
      <c r="BE2">
        <v>2051</v>
      </c>
      <c r="BF2">
        <v>2052</v>
      </c>
      <c r="BG2">
        <v>2053</v>
      </c>
      <c r="BH2">
        <v>2054</v>
      </c>
      <c r="BI2">
        <v>2055</v>
      </c>
      <c r="BJ2">
        <v>2056</v>
      </c>
      <c r="BK2">
        <v>2057</v>
      </c>
      <c r="BL2">
        <v>2058</v>
      </c>
      <c r="BM2">
        <v>2059</v>
      </c>
      <c r="BN2">
        <v>2060</v>
      </c>
      <c r="BO2">
        <v>2061</v>
      </c>
      <c r="BP2">
        <v>2062</v>
      </c>
      <c r="BQ2">
        <v>2063</v>
      </c>
      <c r="BR2">
        <v>2064</v>
      </c>
      <c r="BS2">
        <v>2065</v>
      </c>
      <c r="BT2">
        <v>2066</v>
      </c>
      <c r="BU2">
        <v>2067</v>
      </c>
      <c r="BV2">
        <v>2068</v>
      </c>
      <c r="BW2">
        <v>2069</v>
      </c>
      <c r="BX2">
        <v>2070</v>
      </c>
      <c r="BY2">
        <v>2071</v>
      </c>
      <c r="BZ2">
        <v>2072</v>
      </c>
      <c r="CA2">
        <v>2073</v>
      </c>
      <c r="CB2">
        <v>2074</v>
      </c>
      <c r="CC2">
        <v>2075</v>
      </c>
      <c r="CD2">
        <v>2076</v>
      </c>
      <c r="CE2">
        <v>2077</v>
      </c>
      <c r="CF2">
        <v>2078</v>
      </c>
      <c r="CG2">
        <v>2079</v>
      </c>
      <c r="CH2">
        <v>2080</v>
      </c>
      <c r="CI2">
        <v>2081</v>
      </c>
      <c r="CJ2">
        <v>2082</v>
      </c>
      <c r="CK2">
        <v>2083</v>
      </c>
      <c r="CL2">
        <v>2084</v>
      </c>
      <c r="CM2">
        <v>2085</v>
      </c>
      <c r="CN2">
        <v>2086</v>
      </c>
      <c r="CO2">
        <v>2087</v>
      </c>
      <c r="CP2">
        <v>2088</v>
      </c>
      <c r="CQ2">
        <v>2089</v>
      </c>
      <c r="CR2">
        <v>2090</v>
      </c>
      <c r="CS2">
        <v>2091</v>
      </c>
      <c r="CT2">
        <v>2092</v>
      </c>
      <c r="CU2">
        <v>2093</v>
      </c>
      <c r="CV2">
        <v>2094</v>
      </c>
      <c r="CW2">
        <v>2095</v>
      </c>
      <c r="CX2">
        <v>2096</v>
      </c>
      <c r="CY2">
        <v>2097</v>
      </c>
      <c r="CZ2">
        <v>2098</v>
      </c>
      <c r="DA2">
        <v>2099</v>
      </c>
      <c r="DB2">
        <v>2100</v>
      </c>
      <c r="DC2">
        <v>2101</v>
      </c>
      <c r="DD2">
        <v>2102</v>
      </c>
      <c r="DE2">
        <v>2103</v>
      </c>
      <c r="DF2">
        <v>2104</v>
      </c>
      <c r="DG2">
        <v>2105</v>
      </c>
      <c r="DH2">
        <v>2106</v>
      </c>
      <c r="DI2">
        <v>2107</v>
      </c>
      <c r="DJ2">
        <v>2108</v>
      </c>
      <c r="DK2">
        <v>2109</v>
      </c>
      <c r="DL2">
        <v>2110</v>
      </c>
      <c r="DM2">
        <v>2111</v>
      </c>
      <c r="DN2">
        <v>2112</v>
      </c>
      <c r="DO2">
        <v>2113</v>
      </c>
      <c r="DP2">
        <v>2114</v>
      </c>
      <c r="DQ2">
        <v>2115</v>
      </c>
      <c r="DR2">
        <v>2116</v>
      </c>
      <c r="DS2">
        <v>2117</v>
      </c>
      <c r="DT2">
        <v>2118</v>
      </c>
      <c r="DU2">
        <v>2119</v>
      </c>
      <c r="DV2">
        <v>2120</v>
      </c>
      <c r="DW2">
        <v>2121</v>
      </c>
      <c r="DX2">
        <v>2122</v>
      </c>
      <c r="DY2">
        <v>2123</v>
      </c>
      <c r="DZ2">
        <v>2124</v>
      </c>
      <c r="EA2">
        <v>2125</v>
      </c>
      <c r="EB2">
        <v>2126</v>
      </c>
      <c r="EC2">
        <v>2127</v>
      </c>
      <c r="ED2">
        <v>2128</v>
      </c>
      <c r="EE2">
        <v>2129</v>
      </c>
      <c r="EF2">
        <v>2130</v>
      </c>
      <c r="EG2">
        <v>2131</v>
      </c>
      <c r="EH2">
        <v>2132</v>
      </c>
      <c r="EI2">
        <v>2133</v>
      </c>
      <c r="EJ2">
        <v>2134</v>
      </c>
      <c r="EK2">
        <v>2135</v>
      </c>
      <c r="EL2">
        <v>2136</v>
      </c>
      <c r="EM2">
        <v>2137</v>
      </c>
      <c r="EN2">
        <v>2138</v>
      </c>
      <c r="EO2">
        <v>2139</v>
      </c>
      <c r="EP2">
        <v>2140</v>
      </c>
      <c r="EQ2">
        <v>2141</v>
      </c>
      <c r="ER2">
        <v>2142</v>
      </c>
      <c r="ES2">
        <v>2143</v>
      </c>
      <c r="ET2">
        <v>2144</v>
      </c>
      <c r="EU2">
        <v>2145</v>
      </c>
    </row>
    <row r="3" spans="1:151" x14ac:dyDescent="0.3">
      <c r="B3" t="s">
        <v>1</v>
      </c>
      <c r="C3" s="3">
        <v>76923</v>
      </c>
      <c r="D3" s="3">
        <v>88936</v>
      </c>
      <c r="E3" s="3">
        <v>98435</v>
      </c>
      <c r="F3" s="3">
        <v>105055</v>
      </c>
      <c r="G3" s="3">
        <v>111191</v>
      </c>
      <c r="H3" s="3">
        <v>122096</v>
      </c>
      <c r="I3" s="3">
        <v>130993</v>
      </c>
      <c r="J3" s="3">
        <v>142026</v>
      </c>
      <c r="K3" s="3">
        <v>151179</v>
      </c>
      <c r="L3" s="3">
        <v>163181</v>
      </c>
      <c r="M3" s="3">
        <v>175257</v>
      </c>
      <c r="N3" s="3">
        <v>185562</v>
      </c>
      <c r="O3" s="3">
        <v>194481</v>
      </c>
      <c r="P3" s="3">
        <v>212684</v>
      </c>
      <c r="Q3" s="3">
        <v>223262</v>
      </c>
      <c r="R3" s="3">
        <v>234277</v>
      </c>
      <c r="S3" s="3"/>
      <c r="T3" s="3"/>
      <c r="U3" s="3"/>
      <c r="V3" s="3"/>
      <c r="W3" s="3"/>
      <c r="X3" s="3"/>
      <c r="Y3" s="3"/>
      <c r="Z3" s="3"/>
      <c r="AC3" s="3">
        <v>369349</v>
      </c>
      <c r="AD3" s="3">
        <v>506306</v>
      </c>
      <c r="AE3" s="3">
        <v>675179</v>
      </c>
    </row>
    <row r="4" spans="1:151" x14ac:dyDescent="0.3">
      <c r="B4" t="s">
        <v>2</v>
      </c>
      <c r="C4" s="3">
        <v>10484</v>
      </c>
      <c r="D4" s="3">
        <v>12105</v>
      </c>
      <c r="E4" s="3">
        <v>14546</v>
      </c>
      <c r="F4" s="3">
        <v>17852</v>
      </c>
      <c r="G4" s="3">
        <v>15687</v>
      </c>
      <c r="H4" s="3">
        <v>17485</v>
      </c>
      <c r="I4" s="3">
        <v>18675</v>
      </c>
      <c r="J4" s="3">
        <v>21753</v>
      </c>
      <c r="K4" s="3">
        <v>18008</v>
      </c>
      <c r="L4" s="3">
        <v>19403</v>
      </c>
      <c r="M4" s="3">
        <v>20790</v>
      </c>
      <c r="N4" s="3">
        <v>25869</v>
      </c>
      <c r="O4" s="3">
        <v>20028</v>
      </c>
      <c r="P4" s="3">
        <v>23276</v>
      </c>
      <c r="Q4" s="3">
        <v>21091</v>
      </c>
      <c r="R4" s="3">
        <v>26125</v>
      </c>
      <c r="S4" s="3"/>
      <c r="T4" s="3"/>
      <c r="U4" s="3"/>
      <c r="V4" s="3"/>
      <c r="W4" s="3"/>
      <c r="X4" s="3"/>
      <c r="Y4" s="3"/>
      <c r="Z4" s="3"/>
      <c r="AC4" s="3">
        <v>54987</v>
      </c>
      <c r="AD4" s="3">
        <v>73600</v>
      </c>
      <c r="AE4" s="3">
        <v>84070</v>
      </c>
    </row>
    <row r="5" spans="1:151" s="4" customFormat="1" x14ac:dyDescent="0.3">
      <c r="B5" s="4" t="s">
        <v>3</v>
      </c>
      <c r="C5" s="4">
        <f>+C3+C4</f>
        <v>87407</v>
      </c>
      <c r="D5" s="4">
        <f>+D3+D4</f>
        <v>101041</v>
      </c>
      <c r="E5" s="4">
        <f>+E3+E4</f>
        <v>112981</v>
      </c>
      <c r="F5" s="4">
        <f>+F3+F4</f>
        <v>122907</v>
      </c>
      <c r="G5" s="4">
        <f t="shared" ref="G5:M5" si="0">+G3+G4</f>
        <v>126878</v>
      </c>
      <c r="H5" s="4">
        <f t="shared" si="0"/>
        <v>139581</v>
      </c>
      <c r="I5" s="4">
        <f t="shared" si="0"/>
        <v>149668</v>
      </c>
      <c r="J5" s="4">
        <f t="shared" si="0"/>
        <v>163779</v>
      </c>
      <c r="K5" s="4">
        <f t="shared" si="0"/>
        <v>169187</v>
      </c>
      <c r="L5" s="4">
        <f t="shared" si="0"/>
        <v>182584</v>
      </c>
      <c r="M5" s="4">
        <f t="shared" si="0"/>
        <v>196047</v>
      </c>
      <c r="N5" s="4">
        <f>+N3+N4</f>
        <v>211431</v>
      </c>
      <c r="O5" s="4">
        <f>+O3+O4</f>
        <v>214509</v>
      </c>
      <c r="P5" s="4">
        <f>+P3+P4</f>
        <v>235960</v>
      </c>
      <c r="Q5" s="4">
        <f>+Q3+Q4</f>
        <v>244353</v>
      </c>
      <c r="R5" s="4">
        <f>+R3+R4</f>
        <v>260402</v>
      </c>
      <c r="S5" s="4">
        <v>255000</v>
      </c>
      <c r="T5" s="4">
        <v>277000</v>
      </c>
      <c r="U5" s="4">
        <v>293000</v>
      </c>
      <c r="V5" s="4">
        <v>311000</v>
      </c>
      <c r="W5" s="4">
        <v>323000</v>
      </c>
      <c r="X5" s="4">
        <f>T5*1.2</f>
        <v>332400</v>
      </c>
      <c r="Y5" s="4">
        <f>U5*1.2</f>
        <v>351600</v>
      </c>
      <c r="Z5" s="4">
        <f>V5*1.2</f>
        <v>373200</v>
      </c>
      <c r="AC5" s="4">
        <f>+AC3+AC4</f>
        <v>424336</v>
      </c>
      <c r="AD5" s="4">
        <f>+AD3+AD4</f>
        <v>579906</v>
      </c>
      <c r="AE5" s="4">
        <f>+AE3+AE4</f>
        <v>759249</v>
      </c>
      <c r="AF5" s="4">
        <f>SUM(O5:R5)</f>
        <v>955224</v>
      </c>
      <c r="AG5" s="4">
        <f>SUM(S5:V5)</f>
        <v>1136000</v>
      </c>
      <c r="AH5" s="4">
        <f>SUM(W5:Z5)</f>
        <v>1380200</v>
      </c>
      <c r="AI5" s="4">
        <f>AH5*1.15</f>
        <v>1587229.9999999998</v>
      </c>
      <c r="AJ5" s="4">
        <f>AI5*1.15</f>
        <v>1825314.4999999995</v>
      </c>
      <c r="AK5" s="4">
        <f>AJ5*1.1</f>
        <v>2007845.9499999997</v>
      </c>
      <c r="AL5" s="4">
        <f t="shared" ref="AL5:AO5" si="1">AK5*1.1</f>
        <v>2208630.5449999999</v>
      </c>
      <c r="AM5" s="4">
        <f t="shared" si="1"/>
        <v>2429493.5995</v>
      </c>
      <c r="AN5" s="4">
        <f t="shared" si="1"/>
        <v>2672442.9594500004</v>
      </c>
      <c r="AO5" s="4">
        <f t="shared" si="1"/>
        <v>2939687.2553950008</v>
      </c>
      <c r="AP5" s="4">
        <f>AO5*1.05</f>
        <v>3086671.6181647507</v>
      </c>
      <c r="AQ5" s="4">
        <f t="shared" ref="AQ5:AY5" si="2">AP5*1.05</f>
        <v>3241005.1990729882</v>
      </c>
      <c r="AR5" s="4">
        <f t="shared" si="2"/>
        <v>3403055.459026638</v>
      </c>
      <c r="AS5" s="4">
        <f t="shared" si="2"/>
        <v>3573208.2319779699</v>
      </c>
      <c r="AT5" s="4">
        <f t="shared" si="2"/>
        <v>3751868.6435768683</v>
      </c>
      <c r="AU5" s="4">
        <f t="shared" si="2"/>
        <v>3939462.0757557121</v>
      </c>
      <c r="AV5" s="4">
        <f t="shared" si="2"/>
        <v>4136435.179543498</v>
      </c>
      <c r="AW5" s="4">
        <f t="shared" si="2"/>
        <v>4343256.9385206727</v>
      </c>
      <c r="AX5" s="4">
        <f t="shared" si="2"/>
        <v>4560419.7854467062</v>
      </c>
      <c r="AY5" s="4">
        <f t="shared" si="2"/>
        <v>4788440.7747190418</v>
      </c>
    </row>
    <row r="6" spans="1:151" x14ac:dyDescent="0.3">
      <c r="B6" t="s">
        <v>5</v>
      </c>
      <c r="C6" s="3">
        <v>7933</v>
      </c>
      <c r="D6" s="3">
        <v>10671</v>
      </c>
      <c r="E6" s="3">
        <v>11113</v>
      </c>
      <c r="F6" s="3">
        <v>11124</v>
      </c>
      <c r="G6" s="3">
        <v>10891</v>
      </c>
      <c r="H6" s="3">
        <v>10871</v>
      </c>
      <c r="I6" s="3">
        <v>11559</v>
      </c>
      <c r="J6" s="3">
        <v>12165</v>
      </c>
      <c r="K6" s="3">
        <v>13839</v>
      </c>
      <c r="L6" s="3">
        <v>16630</v>
      </c>
      <c r="M6" s="3">
        <v>17170</v>
      </c>
      <c r="N6" s="3">
        <v>17277</v>
      </c>
      <c r="O6" s="3">
        <v>19268</v>
      </c>
      <c r="P6" s="3">
        <v>21753</v>
      </c>
      <c r="Q6" s="3">
        <v>25184</v>
      </c>
      <c r="R6" s="3">
        <v>28297</v>
      </c>
      <c r="S6" s="3"/>
      <c r="T6" s="3"/>
      <c r="U6" s="3"/>
      <c r="V6" s="3"/>
      <c r="W6" s="3"/>
      <c r="X6" s="3"/>
      <c r="Y6" s="3"/>
      <c r="Z6" s="3"/>
      <c r="AC6" s="3">
        <v>40841</v>
      </c>
      <c r="AD6" s="3">
        <v>45486</v>
      </c>
      <c r="AE6" s="3">
        <v>64916</v>
      </c>
    </row>
    <row r="7" spans="1:151" x14ac:dyDescent="0.3">
      <c r="B7" t="s">
        <v>4</v>
      </c>
      <c r="C7" s="3">
        <v>1915</v>
      </c>
      <c r="D7" s="3">
        <v>2359</v>
      </c>
      <c r="E7" s="3">
        <v>3451</v>
      </c>
      <c r="F7" s="3">
        <v>3114</v>
      </c>
      <c r="G7" s="3">
        <v>3048</v>
      </c>
      <c r="H7" s="3">
        <v>3825</v>
      </c>
      <c r="I7" s="3">
        <v>3525</v>
      </c>
      <c r="J7" s="3">
        <v>3824</v>
      </c>
      <c r="K7" s="3">
        <v>4937</v>
      </c>
      <c r="L7" s="3">
        <v>4740</v>
      </c>
      <c r="M7" s="3">
        <v>4955</v>
      </c>
      <c r="N7" s="3">
        <v>5592</v>
      </c>
      <c r="O7" s="3">
        <v>5767</v>
      </c>
      <c r="P7" s="3">
        <v>6752</v>
      </c>
      <c r="Q7" s="3">
        <v>7037</v>
      </c>
      <c r="R7" s="3">
        <v>6685</v>
      </c>
      <c r="S7" s="3"/>
      <c r="T7" s="3"/>
      <c r="U7" s="3"/>
      <c r="V7" s="3"/>
      <c r="W7" s="3"/>
      <c r="X7" s="3"/>
      <c r="Y7" s="3"/>
      <c r="Z7" s="3"/>
      <c r="AC7" s="3">
        <v>10839</v>
      </c>
      <c r="AD7" s="3">
        <v>14222</v>
      </c>
      <c r="AE7" s="3">
        <v>20224</v>
      </c>
    </row>
    <row r="8" spans="1:151" s="2" customFormat="1" x14ac:dyDescent="0.3">
      <c r="B8" s="2" t="s">
        <v>6</v>
      </c>
      <c r="C8" s="4">
        <f>+C6+C7</f>
        <v>9848</v>
      </c>
      <c r="D8" s="4">
        <f>+D6+D7</f>
        <v>13030</v>
      </c>
      <c r="E8" s="4">
        <f>+E6+E7</f>
        <v>14564</v>
      </c>
      <c r="F8" s="4">
        <f>+F6+F7</f>
        <v>14238</v>
      </c>
      <c r="G8" s="4">
        <f t="shared" ref="G8:M8" si="3">+G6+G7</f>
        <v>13939</v>
      </c>
      <c r="H8" s="4">
        <f t="shared" si="3"/>
        <v>14696</v>
      </c>
      <c r="I8" s="4">
        <f t="shared" si="3"/>
        <v>15084</v>
      </c>
      <c r="J8" s="4">
        <f t="shared" si="3"/>
        <v>15989</v>
      </c>
      <c r="K8" s="4">
        <f t="shared" si="3"/>
        <v>18776</v>
      </c>
      <c r="L8" s="4">
        <f t="shared" si="3"/>
        <v>21370</v>
      </c>
      <c r="M8" s="4">
        <f t="shared" si="3"/>
        <v>22125</v>
      </c>
      <c r="N8" s="4">
        <f>+N6+N7</f>
        <v>22869</v>
      </c>
      <c r="O8" s="4">
        <f>+O6+O7</f>
        <v>25035</v>
      </c>
      <c r="P8" s="4">
        <f>+P6+P7</f>
        <v>28505</v>
      </c>
      <c r="Q8" s="4">
        <f>+Q6+Q7</f>
        <v>32221</v>
      </c>
      <c r="R8" s="4">
        <f t="shared" ref="R8:T8" si="4">+R6+R7</f>
        <v>34982</v>
      </c>
      <c r="S8" s="4">
        <f t="shared" si="4"/>
        <v>0</v>
      </c>
      <c r="T8" s="4">
        <f t="shared" si="4"/>
        <v>0</v>
      </c>
      <c r="U8" s="4"/>
      <c r="V8" s="4"/>
      <c r="W8" s="4"/>
      <c r="X8" s="4"/>
      <c r="Y8" s="4"/>
      <c r="Z8" s="4"/>
      <c r="AA8" s="2" t="s">
        <v>209</v>
      </c>
      <c r="AC8" s="4">
        <f t="shared" ref="AC8:AD8" si="5">+AC6+AC7</f>
        <v>51680</v>
      </c>
      <c r="AD8" s="4">
        <f t="shared" si="5"/>
        <v>59708</v>
      </c>
      <c r="AE8" s="4">
        <f>+AE6+AE7</f>
        <v>85140</v>
      </c>
    </row>
    <row r="9" spans="1:151" s="2" customFormat="1" x14ac:dyDescent="0.3">
      <c r="B9" s="2" t="s">
        <v>7</v>
      </c>
      <c r="C9" s="4">
        <f>+C5-C8</f>
        <v>77559</v>
      </c>
      <c r="D9" s="4">
        <f>+D5-D8</f>
        <v>88011</v>
      </c>
      <c r="E9" s="4">
        <f>+E5-E8</f>
        <v>98417</v>
      </c>
      <c r="F9" s="4">
        <f>+F5-F8</f>
        <v>108669</v>
      </c>
      <c r="G9" s="4">
        <f t="shared" ref="G9:M9" si="6">+G5-G8</f>
        <v>112939</v>
      </c>
      <c r="H9" s="4">
        <f t="shared" si="6"/>
        <v>124885</v>
      </c>
      <c r="I9" s="4">
        <f t="shared" si="6"/>
        <v>134584</v>
      </c>
      <c r="J9" s="4">
        <f t="shared" si="6"/>
        <v>147790</v>
      </c>
      <c r="K9" s="4">
        <f t="shared" si="6"/>
        <v>150411</v>
      </c>
      <c r="L9" s="4">
        <f t="shared" si="6"/>
        <v>161214</v>
      </c>
      <c r="M9" s="4">
        <f t="shared" si="6"/>
        <v>173922</v>
      </c>
      <c r="N9" s="4">
        <f>+N5-N8</f>
        <v>188562</v>
      </c>
      <c r="O9" s="4">
        <f>+O5-O8</f>
        <v>189474</v>
      </c>
      <c r="P9" s="4">
        <f>+P5-P8</f>
        <v>207455</v>
      </c>
      <c r="Q9" s="4">
        <f>+Q5-Q8</f>
        <v>212132</v>
      </c>
      <c r="R9" s="4">
        <f t="shared" ref="R9:T9" si="7">+R5-R8</f>
        <v>225420</v>
      </c>
      <c r="S9" s="4">
        <f t="shared" si="7"/>
        <v>255000</v>
      </c>
      <c r="T9" s="4">
        <f t="shared" si="7"/>
        <v>277000</v>
      </c>
      <c r="U9" s="4"/>
      <c r="V9" s="4"/>
      <c r="W9" s="4"/>
      <c r="X9" s="4"/>
      <c r="Y9" s="4"/>
      <c r="Z9" s="4"/>
      <c r="AC9" s="4">
        <f>+AC5-AC8</f>
        <v>372656</v>
      </c>
      <c r="AD9" s="4">
        <f t="shared" ref="AD9:AE9" si="8">+AD5-AD8</f>
        <v>520198</v>
      </c>
      <c r="AE9" s="4">
        <f t="shared" si="8"/>
        <v>674109</v>
      </c>
      <c r="AF9" s="4">
        <f>+AF5*0.89</f>
        <v>850149.36</v>
      </c>
      <c r="AG9" s="4">
        <f t="shared" ref="AG9:AY9" si="9">+AG5*0.89</f>
        <v>1011040</v>
      </c>
      <c r="AH9" s="4">
        <f t="shared" si="9"/>
        <v>1228378</v>
      </c>
      <c r="AI9" s="4">
        <f t="shared" si="9"/>
        <v>1412634.6999999997</v>
      </c>
      <c r="AJ9" s="4">
        <f t="shared" si="9"/>
        <v>1624529.9049999996</v>
      </c>
      <c r="AK9" s="4">
        <f t="shared" si="9"/>
        <v>1786982.8954999999</v>
      </c>
      <c r="AL9" s="4">
        <f t="shared" si="9"/>
        <v>1965681.18505</v>
      </c>
      <c r="AM9" s="4">
        <f t="shared" si="9"/>
        <v>2162249.3035550001</v>
      </c>
      <c r="AN9" s="4">
        <f t="shared" si="9"/>
        <v>2378474.2339105005</v>
      </c>
      <c r="AO9" s="4">
        <f t="shared" si="9"/>
        <v>2616321.6573015507</v>
      </c>
      <c r="AP9" s="4">
        <f t="shared" si="9"/>
        <v>2747137.7401666283</v>
      </c>
      <c r="AQ9" s="4">
        <f t="shared" si="9"/>
        <v>2884494.6271749595</v>
      </c>
      <c r="AR9" s="4">
        <f t="shared" si="9"/>
        <v>3028719.3585337079</v>
      </c>
      <c r="AS9" s="4">
        <f t="shared" si="9"/>
        <v>3180155.3264603931</v>
      </c>
      <c r="AT9" s="4">
        <f t="shared" si="9"/>
        <v>3339163.0927834129</v>
      </c>
      <c r="AU9" s="4">
        <f t="shared" si="9"/>
        <v>3506121.2474225839</v>
      </c>
      <c r="AV9" s="4">
        <f t="shared" si="9"/>
        <v>3681427.309793713</v>
      </c>
      <c r="AW9" s="4">
        <f t="shared" si="9"/>
        <v>3865498.6752833989</v>
      </c>
      <c r="AX9" s="4">
        <f t="shared" si="9"/>
        <v>4058773.6090475684</v>
      </c>
      <c r="AY9" s="4">
        <f t="shared" si="9"/>
        <v>4261712.2894999469</v>
      </c>
    </row>
    <row r="10" spans="1:151" x14ac:dyDescent="0.3">
      <c r="B10" t="s">
        <v>8</v>
      </c>
      <c r="C10" s="3">
        <v>66710</v>
      </c>
      <c r="D10" s="3">
        <v>80689</v>
      </c>
      <c r="E10" s="3">
        <v>81080</v>
      </c>
      <c r="F10" s="3">
        <v>81513</v>
      </c>
      <c r="G10" s="3">
        <v>86537</v>
      </c>
      <c r="H10" s="3">
        <v>92116</v>
      </c>
      <c r="I10" s="3">
        <v>86978</v>
      </c>
      <c r="J10" s="3">
        <v>90762</v>
      </c>
      <c r="K10" s="3">
        <v>92424</v>
      </c>
      <c r="L10" s="3">
        <v>97778</v>
      </c>
      <c r="M10" s="3">
        <v>95340</v>
      </c>
      <c r="N10" s="3">
        <v>98753</v>
      </c>
      <c r="O10" s="3">
        <v>107587</v>
      </c>
      <c r="P10" s="3">
        <v>109583</v>
      </c>
      <c r="Q10" s="3">
        <v>104974</v>
      </c>
      <c r="R10" s="3">
        <v>112581</v>
      </c>
      <c r="S10" s="3"/>
      <c r="T10" s="3"/>
      <c r="U10" s="3"/>
      <c r="V10" s="3"/>
      <c r="W10" s="3"/>
      <c r="X10" s="3"/>
      <c r="Y10" s="3"/>
      <c r="Z10" s="3"/>
      <c r="AC10" s="3">
        <v>309992</v>
      </c>
      <c r="AD10" s="3">
        <v>356393</v>
      </c>
      <c r="AE10" s="3">
        <v>384295</v>
      </c>
      <c r="AF10" s="3">
        <f>AF9*0.27</f>
        <v>229540.3272</v>
      </c>
      <c r="AG10" s="3">
        <f t="shared" ref="AG10" si="10">AG9*0.27</f>
        <v>272980.80000000005</v>
      </c>
      <c r="AH10" s="3">
        <f>+AH9*0.22</f>
        <v>270243.15999999997</v>
      </c>
      <c r="AI10" s="3">
        <f>+AI9*0.2</f>
        <v>282526.93999999994</v>
      </c>
      <c r="AJ10" s="3">
        <f>+AJ9*0.15</f>
        <v>243679.48574999993</v>
      </c>
      <c r="AK10" s="3">
        <f t="shared" ref="AK10:AY10" si="11">+AK9*0.15</f>
        <v>268047.43432499998</v>
      </c>
      <c r="AL10" s="3">
        <f t="shared" si="11"/>
        <v>294852.17775749997</v>
      </c>
      <c r="AM10" s="3">
        <f t="shared" si="11"/>
        <v>324337.39553325</v>
      </c>
      <c r="AN10" s="3">
        <f t="shared" si="11"/>
        <v>356771.13508657506</v>
      </c>
      <c r="AO10" s="3">
        <f t="shared" si="11"/>
        <v>392448.24859523261</v>
      </c>
      <c r="AP10" s="3">
        <f t="shared" si="11"/>
        <v>412070.66102499422</v>
      </c>
      <c r="AQ10" s="3">
        <f t="shared" si="11"/>
        <v>432674.1940762439</v>
      </c>
      <c r="AR10" s="3">
        <f t="shared" si="11"/>
        <v>454307.90378005616</v>
      </c>
      <c r="AS10" s="3">
        <f t="shared" si="11"/>
        <v>477023.29896905896</v>
      </c>
      <c r="AT10" s="3">
        <f t="shared" si="11"/>
        <v>500874.46391751192</v>
      </c>
      <c r="AU10" s="3">
        <f t="shared" si="11"/>
        <v>525918.18711338751</v>
      </c>
      <c r="AV10" s="3">
        <f t="shared" si="11"/>
        <v>552214.09646905691</v>
      </c>
      <c r="AW10" s="3">
        <f t="shared" si="11"/>
        <v>579824.80129250977</v>
      </c>
      <c r="AX10" s="3">
        <f t="shared" si="11"/>
        <v>608816.04135713528</v>
      </c>
      <c r="AY10" s="3">
        <f t="shared" si="11"/>
        <v>639256.84342499205</v>
      </c>
    </row>
    <row r="11" spans="1:151" x14ac:dyDescent="0.3">
      <c r="B11" t="s">
        <v>9</v>
      </c>
      <c r="C11" s="3">
        <v>31830</v>
      </c>
      <c r="D11" s="3">
        <v>39520</v>
      </c>
      <c r="E11" s="3">
        <v>41113</v>
      </c>
      <c r="F11" s="3">
        <v>43680</v>
      </c>
      <c r="G11" s="3">
        <v>50387</v>
      </c>
      <c r="H11" s="3">
        <v>49007</v>
      </c>
      <c r="I11" s="3">
        <v>49058</v>
      </c>
      <c r="J11" s="3">
        <v>52388</v>
      </c>
      <c r="K11" s="3">
        <v>54140</v>
      </c>
      <c r="L11" s="3">
        <v>61273</v>
      </c>
      <c r="M11" s="3">
        <v>61354</v>
      </c>
      <c r="N11" s="3">
        <v>62885</v>
      </c>
      <c r="O11" s="3">
        <v>65410</v>
      </c>
      <c r="P11" s="3">
        <v>71488</v>
      </c>
      <c r="Q11" s="3">
        <v>68715</v>
      </c>
      <c r="R11" s="3">
        <v>68961</v>
      </c>
      <c r="S11" s="3"/>
      <c r="T11" s="3"/>
      <c r="U11" s="3"/>
      <c r="V11" s="3"/>
      <c r="W11" s="3"/>
      <c r="X11" s="3"/>
      <c r="Y11" s="3"/>
      <c r="Z11" s="3"/>
      <c r="AC11" s="3">
        <v>156143</v>
      </c>
      <c r="AD11" s="3">
        <v>200840</v>
      </c>
      <c r="AE11" s="3">
        <v>239652</v>
      </c>
      <c r="AF11" s="3">
        <f>AF9*0.3</f>
        <v>255044.80799999999</v>
      </c>
      <c r="AG11" s="3">
        <f t="shared" ref="AG11:AY11" si="12">AG9*0.3</f>
        <v>303312</v>
      </c>
      <c r="AH11" s="3">
        <f t="shared" si="12"/>
        <v>368513.39999999997</v>
      </c>
      <c r="AI11" s="3">
        <f t="shared" si="12"/>
        <v>423790.40999999992</v>
      </c>
      <c r="AJ11" s="3">
        <f t="shared" si="12"/>
        <v>487358.97149999987</v>
      </c>
      <c r="AK11" s="3">
        <f t="shared" si="12"/>
        <v>536094.86864999996</v>
      </c>
      <c r="AL11" s="3">
        <f t="shared" si="12"/>
        <v>589704.35551499994</v>
      </c>
      <c r="AM11" s="3">
        <f t="shared" si="12"/>
        <v>648674.79106650001</v>
      </c>
      <c r="AN11" s="3">
        <f t="shared" si="12"/>
        <v>713542.27017315011</v>
      </c>
      <c r="AO11" s="3">
        <f t="shared" si="12"/>
        <v>784896.49719046522</v>
      </c>
      <c r="AP11" s="3">
        <f t="shared" si="12"/>
        <v>824141.32204998843</v>
      </c>
      <c r="AQ11" s="3">
        <f t="shared" si="12"/>
        <v>865348.38815248781</v>
      </c>
      <c r="AR11" s="3">
        <f t="shared" si="12"/>
        <v>908615.80756011233</v>
      </c>
      <c r="AS11" s="3">
        <f t="shared" si="12"/>
        <v>954046.59793811792</v>
      </c>
      <c r="AT11" s="3">
        <f t="shared" si="12"/>
        <v>1001748.9278350238</v>
      </c>
      <c r="AU11" s="3">
        <f t="shared" si="12"/>
        <v>1051836.374226775</v>
      </c>
      <c r="AV11" s="3">
        <f t="shared" si="12"/>
        <v>1104428.1929381138</v>
      </c>
      <c r="AW11" s="3">
        <f t="shared" si="12"/>
        <v>1159649.6025850195</v>
      </c>
      <c r="AX11" s="3">
        <f t="shared" si="12"/>
        <v>1217632.0827142706</v>
      </c>
      <c r="AY11" s="3">
        <f t="shared" si="12"/>
        <v>1278513.6868499841</v>
      </c>
    </row>
    <row r="12" spans="1:151" x14ac:dyDescent="0.3">
      <c r="B12" t="s">
        <v>10</v>
      </c>
      <c r="C12" s="3">
        <v>21892</v>
      </c>
      <c r="D12" s="3">
        <v>33104</v>
      </c>
      <c r="E12" s="3">
        <v>33186</v>
      </c>
      <c r="F12" s="3">
        <v>29750</v>
      </c>
      <c r="G12" s="3">
        <v>34248</v>
      </c>
      <c r="H12" s="3">
        <v>37819</v>
      </c>
      <c r="I12" s="3">
        <v>38815</v>
      </c>
      <c r="J12" s="3">
        <v>39523</v>
      </c>
      <c r="K12" s="3">
        <v>57487</v>
      </c>
      <c r="L12" s="3">
        <v>43168</v>
      </c>
      <c r="M12" s="3">
        <v>45960</v>
      </c>
      <c r="N12" s="3">
        <v>42370</v>
      </c>
      <c r="O12" s="3">
        <v>51087</v>
      </c>
      <c r="P12" s="3">
        <v>44735</v>
      </c>
      <c r="Q12" s="3">
        <v>50799</v>
      </c>
      <c r="R12" s="3">
        <v>49042</v>
      </c>
      <c r="S12" s="3"/>
      <c r="T12" s="3"/>
      <c r="U12" s="3"/>
      <c r="V12" s="3"/>
      <c r="W12" s="3"/>
      <c r="X12" s="3"/>
      <c r="Y12" s="3"/>
      <c r="Z12" s="3"/>
      <c r="AC12" s="3">
        <v>117932</v>
      </c>
      <c r="AD12" s="3">
        <v>150405</v>
      </c>
      <c r="AE12" s="3">
        <v>192877</v>
      </c>
      <c r="AF12" s="3">
        <f>AF9*0.29</f>
        <v>246543.31439999997</v>
      </c>
      <c r="AG12" s="3">
        <f t="shared" ref="AG12" si="13">AG9*0.29</f>
        <v>293201.59999999998</v>
      </c>
      <c r="AH12" s="3">
        <f>AH9*0.22</f>
        <v>270243.15999999997</v>
      </c>
      <c r="AI12" s="3">
        <f>AI9*0.2</f>
        <v>282526.93999999994</v>
      </c>
      <c r="AJ12" s="3">
        <f>AJ9*0.15</f>
        <v>243679.48574999993</v>
      </c>
      <c r="AK12" s="3">
        <f t="shared" ref="AK12:AY12" si="14">AK9*0.15</f>
        <v>268047.43432499998</v>
      </c>
      <c r="AL12" s="3">
        <f t="shared" si="14"/>
        <v>294852.17775749997</v>
      </c>
      <c r="AM12" s="3">
        <f t="shared" si="14"/>
        <v>324337.39553325</v>
      </c>
      <c r="AN12" s="3">
        <f t="shared" si="14"/>
        <v>356771.13508657506</v>
      </c>
      <c r="AO12" s="3">
        <f t="shared" si="14"/>
        <v>392448.24859523261</v>
      </c>
      <c r="AP12" s="3">
        <f t="shared" si="14"/>
        <v>412070.66102499422</v>
      </c>
      <c r="AQ12" s="3">
        <f t="shared" si="14"/>
        <v>432674.1940762439</v>
      </c>
      <c r="AR12" s="3">
        <f t="shared" si="14"/>
        <v>454307.90378005616</v>
      </c>
      <c r="AS12" s="3">
        <f t="shared" si="14"/>
        <v>477023.29896905896</v>
      </c>
      <c r="AT12" s="3">
        <f t="shared" si="14"/>
        <v>500874.46391751192</v>
      </c>
      <c r="AU12" s="3">
        <f t="shared" si="14"/>
        <v>525918.18711338751</v>
      </c>
      <c r="AV12" s="3">
        <f t="shared" si="14"/>
        <v>552214.09646905691</v>
      </c>
      <c r="AW12" s="3">
        <f t="shared" si="14"/>
        <v>579824.80129250977</v>
      </c>
      <c r="AX12" s="3">
        <f t="shared" si="14"/>
        <v>608816.04135713528</v>
      </c>
      <c r="AY12" s="3">
        <f t="shared" si="14"/>
        <v>639256.84342499205</v>
      </c>
    </row>
    <row r="13" spans="1:151" s="2" customFormat="1" x14ac:dyDescent="0.3">
      <c r="B13" s="2" t="s">
        <v>12</v>
      </c>
      <c r="C13" s="4">
        <f>+C10+C11+C12</f>
        <v>120432</v>
      </c>
      <c r="D13" s="4">
        <f>+D10+D11+D12</f>
        <v>153313</v>
      </c>
      <c r="E13" s="4">
        <f>+E10+E11+E12</f>
        <v>155379</v>
      </c>
      <c r="F13" s="4">
        <f>+F10+F11+F12</f>
        <v>154943</v>
      </c>
      <c r="G13" s="4">
        <f t="shared" ref="G13:M13" si="15">+G10+G11+G12</f>
        <v>171172</v>
      </c>
      <c r="H13" s="4">
        <f t="shared" si="15"/>
        <v>178942</v>
      </c>
      <c r="I13" s="4">
        <f t="shared" si="15"/>
        <v>174851</v>
      </c>
      <c r="J13" s="4">
        <f t="shared" si="15"/>
        <v>182673</v>
      </c>
      <c r="K13" s="4">
        <f t="shared" si="15"/>
        <v>204051</v>
      </c>
      <c r="L13" s="4">
        <f t="shared" si="15"/>
        <v>202219</v>
      </c>
      <c r="M13" s="4">
        <f t="shared" si="15"/>
        <v>202654</v>
      </c>
      <c r="N13" s="4">
        <f>+N10+N11+N12</f>
        <v>204008</v>
      </c>
      <c r="O13" s="4">
        <f>+O10+O11+O12</f>
        <v>224084</v>
      </c>
      <c r="P13" s="4">
        <f>+P10+P11+P12</f>
        <v>225806</v>
      </c>
      <c r="Q13" s="4">
        <f>+Q10+Q11+Q12</f>
        <v>224488</v>
      </c>
      <c r="R13" s="4">
        <f>+R10+R11+R12</f>
        <v>230584</v>
      </c>
      <c r="S13" s="4">
        <f t="shared" ref="S13:T13" si="16">+S10+S11+S12</f>
        <v>0</v>
      </c>
      <c r="T13" s="4">
        <f t="shared" si="16"/>
        <v>0</v>
      </c>
      <c r="U13" s="4"/>
      <c r="V13" s="4"/>
      <c r="W13" s="4"/>
      <c r="X13" s="4"/>
      <c r="Y13" s="4"/>
      <c r="Z13" s="4"/>
      <c r="AC13" s="4">
        <f>+AC10+AC11+AC12</f>
        <v>584067</v>
      </c>
      <c r="AD13" s="4">
        <f t="shared" ref="AD13:AF13" si="17">+AD10+AD11+AD12</f>
        <v>707638</v>
      </c>
      <c r="AE13" s="4">
        <f t="shared" si="17"/>
        <v>816824</v>
      </c>
      <c r="AF13" s="4">
        <f t="shared" si="17"/>
        <v>731128.44959999993</v>
      </c>
      <c r="AG13" s="4">
        <f>+AG10+AG11+AG12</f>
        <v>869494.4</v>
      </c>
      <c r="AH13" s="4">
        <f t="shared" ref="AH13:AY13" si="18">+AH10+AH11+AH12</f>
        <v>908999.72</v>
      </c>
      <c r="AI13" s="4">
        <f t="shared" si="18"/>
        <v>988844.2899999998</v>
      </c>
      <c r="AJ13" s="4">
        <f t="shared" si="18"/>
        <v>974717.94299999974</v>
      </c>
      <c r="AK13" s="4">
        <f t="shared" si="18"/>
        <v>1072189.7372999999</v>
      </c>
      <c r="AL13" s="4">
        <f t="shared" si="18"/>
        <v>1179408.7110299999</v>
      </c>
      <c r="AM13" s="4">
        <f t="shared" si="18"/>
        <v>1297349.582133</v>
      </c>
      <c r="AN13" s="4">
        <f t="shared" si="18"/>
        <v>1427084.5403463002</v>
      </c>
      <c r="AO13" s="4">
        <f t="shared" si="18"/>
        <v>1569792.9943809304</v>
      </c>
      <c r="AP13" s="4">
        <f t="shared" si="18"/>
        <v>1648282.6440999769</v>
      </c>
      <c r="AQ13" s="4">
        <f t="shared" si="18"/>
        <v>1730696.7763049756</v>
      </c>
      <c r="AR13" s="4">
        <f t="shared" si="18"/>
        <v>1817231.6151202247</v>
      </c>
      <c r="AS13" s="4">
        <f t="shared" si="18"/>
        <v>1908093.1958762358</v>
      </c>
      <c r="AT13" s="4">
        <f t="shared" si="18"/>
        <v>2003497.8556700477</v>
      </c>
      <c r="AU13" s="4">
        <f t="shared" si="18"/>
        <v>2103672.74845355</v>
      </c>
      <c r="AV13" s="4">
        <f t="shared" si="18"/>
        <v>2208856.3858762276</v>
      </c>
      <c r="AW13" s="4">
        <f t="shared" si="18"/>
        <v>2319299.2051700391</v>
      </c>
      <c r="AX13" s="4">
        <f t="shared" si="18"/>
        <v>2435264.1654285411</v>
      </c>
      <c r="AY13" s="4">
        <f t="shared" si="18"/>
        <v>2557027.3736999682</v>
      </c>
    </row>
    <row r="14" spans="1:151" s="2" customFormat="1" x14ac:dyDescent="0.3">
      <c r="B14" s="2" t="s">
        <v>11</v>
      </c>
      <c r="C14" s="4">
        <f>+C9-C13</f>
        <v>-42873</v>
      </c>
      <c r="D14" s="4">
        <f>+D9-D13</f>
        <v>-65302</v>
      </c>
      <c r="E14" s="4">
        <f>+E9-E13</f>
        <v>-56962</v>
      </c>
      <c r="F14" s="4">
        <f>+F9-F13</f>
        <v>-46274</v>
      </c>
      <c r="G14" s="4">
        <f t="shared" ref="G14:M14" si="19">+G9-G13</f>
        <v>-58233</v>
      </c>
      <c r="H14" s="4">
        <f t="shared" si="19"/>
        <v>-54057</v>
      </c>
      <c r="I14" s="4">
        <f t="shared" si="19"/>
        <v>-40267</v>
      </c>
      <c r="J14" s="4">
        <f t="shared" si="19"/>
        <v>-34883</v>
      </c>
      <c r="K14" s="4">
        <f t="shared" si="19"/>
        <v>-53640</v>
      </c>
      <c r="L14" s="4">
        <f t="shared" si="19"/>
        <v>-41005</v>
      </c>
      <c r="M14" s="4">
        <f t="shared" si="19"/>
        <v>-28732</v>
      </c>
      <c r="N14" s="4">
        <f>+N9-N13</f>
        <v>-15446</v>
      </c>
      <c r="O14" s="4">
        <f>+O9-O13</f>
        <v>-34610</v>
      </c>
      <c r="P14" s="4">
        <f>+P9-P13</f>
        <v>-18351</v>
      </c>
      <c r="Q14" s="4">
        <f>+Q9-Q13</f>
        <v>-12356</v>
      </c>
      <c r="R14" s="4">
        <f>+R9-R13</f>
        <v>-5164</v>
      </c>
      <c r="S14" s="4">
        <f t="shared" ref="S14:T14" si="20">+S9-S13</f>
        <v>255000</v>
      </c>
      <c r="T14" s="4">
        <f t="shared" si="20"/>
        <v>277000</v>
      </c>
      <c r="U14" s="4"/>
      <c r="V14" s="4"/>
      <c r="W14" s="4"/>
      <c r="X14" s="4"/>
      <c r="Y14" s="4"/>
      <c r="Z14" s="4"/>
      <c r="AC14" s="4">
        <f>AC9-AC13</f>
        <v>-211411</v>
      </c>
      <c r="AD14" s="4">
        <f t="shared" ref="AD14:AE14" si="21">AD9-AD13</f>
        <v>-187440</v>
      </c>
      <c r="AE14" s="4">
        <f t="shared" si="21"/>
        <v>-142715</v>
      </c>
      <c r="AF14" s="4">
        <f>AF9-AF13</f>
        <v>119020.91040000005</v>
      </c>
      <c r="AG14" s="4">
        <f t="shared" ref="AG14" si="22">AG9-AG13</f>
        <v>141545.59999999998</v>
      </c>
      <c r="AH14" s="4">
        <f t="shared" ref="AH14" si="23">AH9-AH13</f>
        <v>319378.28000000003</v>
      </c>
      <c r="AI14" s="4">
        <f t="shared" ref="AI14" si="24">AI9-AI13</f>
        <v>423790.40999999992</v>
      </c>
      <c r="AJ14" s="4">
        <f t="shared" ref="AJ14" si="25">AJ9-AJ13</f>
        <v>649811.96199999982</v>
      </c>
      <c r="AK14" s="4">
        <f t="shared" ref="AK14" si="26">AK9-AK13</f>
        <v>714793.15819999995</v>
      </c>
      <c r="AL14" s="4">
        <f t="shared" ref="AL14" si="27">AL9-AL13</f>
        <v>786272.47402000008</v>
      </c>
      <c r="AM14" s="4">
        <f t="shared" ref="AM14" si="28">AM9-AM13</f>
        <v>864899.72142200009</v>
      </c>
      <c r="AN14" s="4">
        <f t="shared" ref="AN14" si="29">AN9-AN13</f>
        <v>951389.69356420031</v>
      </c>
      <c r="AO14" s="4">
        <f t="shared" ref="AO14" si="30">AO9-AO13</f>
        <v>1046528.6629206203</v>
      </c>
      <c r="AP14" s="4">
        <f t="shared" ref="AP14" si="31">AP9-AP13</f>
        <v>1098855.0960666514</v>
      </c>
      <c r="AQ14" s="4">
        <f t="shared" ref="AQ14" si="32">AQ9-AQ13</f>
        <v>1153797.8508699839</v>
      </c>
      <c r="AR14" s="4">
        <f t="shared" ref="AR14" si="33">AR9-AR13</f>
        <v>1211487.7434134833</v>
      </c>
      <c r="AS14" s="4">
        <f t="shared" ref="AS14" si="34">AS9-AS13</f>
        <v>1272062.1305841573</v>
      </c>
      <c r="AT14" s="4">
        <f t="shared" ref="AT14" si="35">AT9-AT13</f>
        <v>1335665.2371133652</v>
      </c>
      <c r="AU14" s="4">
        <f t="shared" ref="AU14" si="36">AU9-AU13</f>
        <v>1402448.4989690338</v>
      </c>
      <c r="AV14" s="4">
        <f t="shared" ref="AV14" si="37">AV9-AV13</f>
        <v>1472570.9239174854</v>
      </c>
      <c r="AW14" s="4">
        <f t="shared" ref="AW14" si="38">AW9-AW13</f>
        <v>1546199.4701133599</v>
      </c>
      <c r="AX14" s="4">
        <f t="shared" ref="AX14" si="39">AX9-AX13</f>
        <v>1623509.4436190273</v>
      </c>
      <c r="AY14" s="4">
        <f t="shared" ref="AY14" si="40">AY9-AY13</f>
        <v>1704684.9157999787</v>
      </c>
    </row>
    <row r="15" spans="1:151" x14ac:dyDescent="0.3">
      <c r="B15" t="s">
        <v>13</v>
      </c>
      <c r="C15" s="3">
        <v>526</v>
      </c>
      <c r="D15" s="3">
        <v>3064</v>
      </c>
      <c r="E15" s="3">
        <v>4657</v>
      </c>
      <c r="F15" s="3">
        <v>6249</v>
      </c>
      <c r="G15" s="3">
        <v>7315</v>
      </c>
      <c r="H15" s="3">
        <v>9112</v>
      </c>
      <c r="I15" s="3">
        <v>10874</v>
      </c>
      <c r="J15" s="3">
        <v>11813</v>
      </c>
      <c r="K15" s="3">
        <v>12030</v>
      </c>
      <c r="L15" s="3">
        <v>12827</v>
      </c>
      <c r="M15" s="3">
        <v>12586</v>
      </c>
      <c r="N15" s="3">
        <v>10292</v>
      </c>
      <c r="O15" s="3">
        <v>10862</v>
      </c>
      <c r="P15" s="3">
        <v>11511</v>
      </c>
      <c r="Q15" s="3">
        <v>11704</v>
      </c>
      <c r="R15" s="3">
        <v>11630</v>
      </c>
      <c r="S15" s="3"/>
      <c r="T15" s="3"/>
      <c r="U15" s="3"/>
      <c r="V15" s="3"/>
      <c r="W15" s="3"/>
      <c r="X15" s="3"/>
      <c r="Y15" s="3"/>
      <c r="Z15" s="3"/>
      <c r="AC15" s="3">
        <v>14496</v>
      </c>
      <c r="AD15" s="3">
        <v>39114</v>
      </c>
      <c r="AE15" s="3">
        <v>47735</v>
      </c>
    </row>
    <row r="16" spans="1:151" x14ac:dyDescent="0.3">
      <c r="B16" t="s">
        <v>14</v>
      </c>
      <c r="C16" s="3">
        <v>18448</v>
      </c>
      <c r="D16" s="3">
        <v>1500</v>
      </c>
      <c r="E16" s="3">
        <v>2661</v>
      </c>
      <c r="F16" s="3">
        <v>-1024</v>
      </c>
      <c r="G16" s="3">
        <v>253</v>
      </c>
      <c r="H16" s="3">
        <v>-1330</v>
      </c>
      <c r="I16" s="3">
        <v>569</v>
      </c>
      <c r="J16" s="3">
        <v>-11451</v>
      </c>
      <c r="K16" s="3">
        <v>-567</v>
      </c>
      <c r="L16" s="3">
        <v>1032</v>
      </c>
      <c r="M16" s="3">
        <v>4992</v>
      </c>
      <c r="N16" s="3">
        <v>4017</v>
      </c>
      <c r="O16" s="3">
        <v>-9971</v>
      </c>
      <c r="P16" s="3">
        <v>-911</v>
      </c>
      <c r="Q16" s="3">
        <v>-6334</v>
      </c>
      <c r="R16" s="3">
        <v>-6075</v>
      </c>
      <c r="S16" s="3"/>
      <c r="T16" s="3"/>
      <c r="U16" s="3"/>
      <c r="V16" s="3"/>
      <c r="W16" s="3"/>
      <c r="X16" s="3"/>
      <c r="Y16" s="3"/>
      <c r="Z16" s="3"/>
      <c r="AC16" s="3">
        <v>21621</v>
      </c>
      <c r="AD16" s="3">
        <v>-12241</v>
      </c>
      <c r="AE16" s="3">
        <v>9187</v>
      </c>
    </row>
    <row r="17" spans="2:613" s="4" customFormat="1" x14ac:dyDescent="0.3">
      <c r="B17" s="4" t="s">
        <v>15</v>
      </c>
      <c r="C17" s="4">
        <f>+C14+C15+C16</f>
        <v>-23899</v>
      </c>
      <c r="D17" s="4">
        <f>+D14+D15+D16</f>
        <v>-60738</v>
      </c>
      <c r="E17" s="4">
        <f>+E14+E15+E16</f>
        <v>-49644</v>
      </c>
      <c r="F17" s="4">
        <f>+F14+F15+F16</f>
        <v>-41049</v>
      </c>
      <c r="G17" s="4">
        <f t="shared" ref="G17:M17" si="41">+G14+G15+G16</f>
        <v>-50665</v>
      </c>
      <c r="H17" s="4">
        <f t="shared" si="41"/>
        <v>-46275</v>
      </c>
      <c r="I17" s="4">
        <f t="shared" si="41"/>
        <v>-28824</v>
      </c>
      <c r="J17" s="4">
        <f t="shared" si="41"/>
        <v>-34521</v>
      </c>
      <c r="K17" s="4">
        <f t="shared" si="41"/>
        <v>-42177</v>
      </c>
      <c r="L17" s="4">
        <f t="shared" si="41"/>
        <v>-27146</v>
      </c>
      <c r="M17" s="4">
        <f t="shared" si="41"/>
        <v>-11154</v>
      </c>
      <c r="N17" s="4">
        <f>+N14+N15+N16</f>
        <v>-1137</v>
      </c>
      <c r="O17" s="4">
        <f>+O14+O15+O16</f>
        <v>-33719</v>
      </c>
      <c r="P17" s="4">
        <f>+P14+P15+P16</f>
        <v>-7751</v>
      </c>
      <c r="Q17" s="4">
        <f>+Q14+Q15+Q16</f>
        <v>-6986</v>
      </c>
      <c r="R17" s="4">
        <f>+R14+R15+R16</f>
        <v>391</v>
      </c>
      <c r="S17" s="4">
        <f t="shared" ref="S17:T17" si="42">+S14+S15+S16</f>
        <v>255000</v>
      </c>
      <c r="T17" s="4">
        <f t="shared" si="42"/>
        <v>277000</v>
      </c>
      <c r="AC17" s="4">
        <f>+AC14+AC15+AC16</f>
        <v>-175294</v>
      </c>
      <c r="AD17" s="4">
        <f>+AD14+AD15+AD16</f>
        <v>-160567</v>
      </c>
      <c r="AE17" s="4">
        <f>+AE14+AE15+AE16</f>
        <v>-85793</v>
      </c>
      <c r="AF17" s="4">
        <f>+(O50*0.04)+AF14</f>
        <v>163214.19040000005</v>
      </c>
      <c r="AG17" s="4">
        <f>+($O$50*0.04)+AF14</f>
        <v>163214.19040000005</v>
      </c>
      <c r="AH17" s="4">
        <f t="shared" ref="AH17:AY17" si="43">+($O$50*0.04)+AG14</f>
        <v>185738.87999999998</v>
      </c>
      <c r="AI17" s="4">
        <f t="shared" si="43"/>
        <v>363571.56000000006</v>
      </c>
      <c r="AJ17" s="4">
        <f t="shared" si="43"/>
        <v>467983.68999999994</v>
      </c>
      <c r="AK17" s="4">
        <f t="shared" si="43"/>
        <v>694005.24199999985</v>
      </c>
      <c r="AL17" s="4">
        <f t="shared" si="43"/>
        <v>758986.43819999998</v>
      </c>
      <c r="AM17" s="4">
        <f t="shared" si="43"/>
        <v>830465.75402000011</v>
      </c>
      <c r="AN17" s="4">
        <f t="shared" si="43"/>
        <v>909093.00142200012</v>
      </c>
      <c r="AO17" s="4">
        <f t="shared" si="43"/>
        <v>995582.97356420034</v>
      </c>
      <c r="AP17" s="4">
        <f>+($O$50*0.04)+AO14</f>
        <v>1090721.9429206203</v>
      </c>
      <c r="AQ17" s="4">
        <f t="shared" si="43"/>
        <v>1143048.3760666514</v>
      </c>
      <c r="AR17" s="4">
        <f t="shared" si="43"/>
        <v>1197991.1308699839</v>
      </c>
      <c r="AS17" s="4">
        <f t="shared" si="43"/>
        <v>1255681.0234134833</v>
      </c>
      <c r="AT17" s="4">
        <f t="shared" si="43"/>
        <v>1316255.4105841573</v>
      </c>
      <c r="AU17" s="4">
        <f t="shared" si="43"/>
        <v>1379858.5171133652</v>
      </c>
      <c r="AV17" s="4">
        <f>+($O$50*0.04)+AU14</f>
        <v>1446641.7789690339</v>
      </c>
      <c r="AW17" s="4">
        <f t="shared" si="43"/>
        <v>1516764.2039174854</v>
      </c>
      <c r="AX17" s="4">
        <f t="shared" si="43"/>
        <v>1590392.7501133599</v>
      </c>
      <c r="AY17" s="4">
        <f t="shared" si="43"/>
        <v>1667702.7236190273</v>
      </c>
    </row>
    <row r="18" spans="2:613" x14ac:dyDescent="0.3">
      <c r="B18" t="s">
        <v>17</v>
      </c>
      <c r="C18" s="3">
        <v>-203</v>
      </c>
      <c r="D18" s="3">
        <v>-816</v>
      </c>
      <c r="E18" s="3">
        <v>-756</v>
      </c>
      <c r="F18" s="3">
        <v>-693</v>
      </c>
      <c r="G18" s="3">
        <v>-748</v>
      </c>
      <c r="H18" s="3">
        <v>-917</v>
      </c>
      <c r="I18" s="3">
        <v>-743</v>
      </c>
      <c r="J18" s="3">
        <v>-1416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  <c r="Y18" s="3"/>
      <c r="Z18" s="3"/>
      <c r="AC18">
        <v>-2468</v>
      </c>
      <c r="AD18">
        <v>-3824</v>
      </c>
      <c r="AE18">
        <v>0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 spans="2:613" x14ac:dyDescent="0.3">
      <c r="B19" t="s">
        <v>16</v>
      </c>
      <c r="C19" s="3">
        <v>2511</v>
      </c>
      <c r="D19" s="3">
        <v>-57</v>
      </c>
      <c r="E19" s="3">
        <v>65</v>
      </c>
      <c r="F19" s="3">
        <v>379</v>
      </c>
      <c r="G19" s="3">
        <v>1486</v>
      </c>
      <c r="H19" s="3">
        <v>4016</v>
      </c>
      <c r="I19" s="3">
        <v>256788</v>
      </c>
      <c r="J19" s="3">
        <v>2035</v>
      </c>
      <c r="K19" s="3">
        <v>12710</v>
      </c>
      <c r="L19" s="3">
        <v>-39420</v>
      </c>
      <c r="M19" s="3">
        <v>-39421</v>
      </c>
      <c r="N19" s="3">
        <v>-11344</v>
      </c>
      <c r="O19" s="3">
        <v>2539</v>
      </c>
      <c r="P19" s="3">
        <v>2245</v>
      </c>
      <c r="Q19" s="3">
        <v>1811</v>
      </c>
      <c r="R19" s="3">
        <v>3904</v>
      </c>
      <c r="S19" s="3"/>
      <c r="T19" s="3"/>
      <c r="U19" s="3"/>
      <c r="V19" s="3"/>
      <c r="W19" s="3"/>
      <c r="X19" s="3"/>
      <c r="Y19" s="3"/>
      <c r="Z19" s="3"/>
      <c r="AC19" s="3">
        <v>4030</v>
      </c>
      <c r="AD19" s="3">
        <v>265145</v>
      </c>
      <c r="AE19" s="3">
        <v>-76674</v>
      </c>
      <c r="AF19" s="3">
        <f>+AF17*0.2</f>
        <v>32642.838080000012</v>
      </c>
      <c r="AG19" s="3">
        <f t="shared" ref="AG19:AY19" si="44">+AG17*0.2</f>
        <v>32642.838080000012</v>
      </c>
      <c r="AH19" s="3">
        <f t="shared" si="44"/>
        <v>37147.775999999998</v>
      </c>
      <c r="AI19" s="3">
        <f t="shared" si="44"/>
        <v>72714.31200000002</v>
      </c>
      <c r="AJ19" s="3">
        <f t="shared" si="44"/>
        <v>93596.737999999998</v>
      </c>
      <c r="AK19" s="3">
        <f t="shared" si="44"/>
        <v>138801.04839999997</v>
      </c>
      <c r="AL19" s="3">
        <f t="shared" si="44"/>
        <v>151797.28764</v>
      </c>
      <c r="AM19" s="3">
        <f t="shared" si="44"/>
        <v>166093.15080400003</v>
      </c>
      <c r="AN19" s="3">
        <f t="shared" si="44"/>
        <v>181818.60028440005</v>
      </c>
      <c r="AO19" s="3">
        <f t="shared" si="44"/>
        <v>199116.59471284007</v>
      </c>
      <c r="AP19" s="3">
        <f t="shared" si="44"/>
        <v>218144.38858412407</v>
      </c>
      <c r="AQ19" s="3">
        <f t="shared" si="44"/>
        <v>228609.67521333031</v>
      </c>
      <c r="AR19" s="3">
        <f t="shared" si="44"/>
        <v>239598.22617399681</v>
      </c>
      <c r="AS19" s="3">
        <f t="shared" si="44"/>
        <v>251136.20468269667</v>
      </c>
      <c r="AT19" s="3">
        <f t="shared" si="44"/>
        <v>263251.0821168315</v>
      </c>
      <c r="AU19" s="3">
        <f t="shared" si="44"/>
        <v>275971.70342267305</v>
      </c>
      <c r="AV19" s="3">
        <f t="shared" si="44"/>
        <v>289328.35579380678</v>
      </c>
      <c r="AW19" s="3">
        <f t="shared" si="44"/>
        <v>303352.84078349709</v>
      </c>
      <c r="AX19" s="3">
        <f t="shared" si="44"/>
        <v>318078.55002267199</v>
      </c>
      <c r="AY19" s="3">
        <f t="shared" si="44"/>
        <v>333540.54472380551</v>
      </c>
    </row>
    <row r="20" spans="2:613" s="2" customFormat="1" x14ac:dyDescent="0.3">
      <c r="B20" s="2" t="s">
        <v>18</v>
      </c>
      <c r="C20" s="4">
        <f>C17+C18-C19</f>
        <v>-26613</v>
      </c>
      <c r="D20" s="4">
        <f>D17+D18-D19</f>
        <v>-61497</v>
      </c>
      <c r="E20" s="4">
        <f>E17+E18-E19</f>
        <v>-50465</v>
      </c>
      <c r="F20" s="4">
        <f>F17+F18-F19</f>
        <v>-42121</v>
      </c>
      <c r="G20" s="4">
        <f t="shared" ref="G20:M20" si="45">G17+G18-G19</f>
        <v>-52899</v>
      </c>
      <c r="H20" s="4">
        <f t="shared" si="45"/>
        <v>-51208</v>
      </c>
      <c r="I20" s="4">
        <f t="shared" si="45"/>
        <v>-286355</v>
      </c>
      <c r="J20" s="4">
        <f t="shared" si="45"/>
        <v>-37972</v>
      </c>
      <c r="K20" s="4">
        <f t="shared" si="45"/>
        <v>-54887</v>
      </c>
      <c r="L20" s="4">
        <f t="shared" si="45"/>
        <v>12274</v>
      </c>
      <c r="M20" s="4">
        <f t="shared" si="45"/>
        <v>28267</v>
      </c>
      <c r="N20" s="4">
        <f>N17+N18-N19</f>
        <v>10207</v>
      </c>
      <c r="O20" s="4">
        <f>O17+O18-O19</f>
        <v>-36258</v>
      </c>
      <c r="P20" s="4">
        <f>P17+P18-P19</f>
        <v>-9996</v>
      </c>
      <c r="Q20" s="4">
        <f>Q17+Q18-Q19</f>
        <v>-8797</v>
      </c>
      <c r="R20" s="4">
        <f t="shared" ref="R20:T20" si="46">R17+R18-R19</f>
        <v>-3513</v>
      </c>
      <c r="S20" s="4">
        <f t="shared" si="46"/>
        <v>255000</v>
      </c>
      <c r="T20" s="4">
        <f t="shared" si="46"/>
        <v>277000</v>
      </c>
      <c r="U20" s="4">
        <v>-17000</v>
      </c>
      <c r="V20" s="4">
        <v>-10200</v>
      </c>
      <c r="W20" s="4">
        <v>-20440</v>
      </c>
      <c r="X20" s="4"/>
      <c r="Y20" s="4"/>
      <c r="Z20" s="4"/>
      <c r="AC20" s="4">
        <f>AC17+AC18-AC19</f>
        <v>-181792</v>
      </c>
      <c r="AD20" s="4">
        <f>AD17+AD18-AD19</f>
        <v>-429536</v>
      </c>
      <c r="AE20" s="4">
        <f>AE17+AE18-AE19</f>
        <v>-9119</v>
      </c>
      <c r="AF20" s="4">
        <f>+AF21*AF22</f>
        <v>129375</v>
      </c>
      <c r="AG20" s="4">
        <f>AG17-AG19</f>
        <v>130571.35232000003</v>
      </c>
      <c r="AH20" s="4">
        <f t="shared" ref="AH20:AY20" si="47">AH17-AH19</f>
        <v>148591.10399999999</v>
      </c>
      <c r="AI20" s="4">
        <f t="shared" si="47"/>
        <v>290857.24800000002</v>
      </c>
      <c r="AJ20" s="4">
        <f t="shared" si="47"/>
        <v>374386.95199999993</v>
      </c>
      <c r="AK20" s="4">
        <f t="shared" si="47"/>
        <v>555204.19359999988</v>
      </c>
      <c r="AL20" s="4">
        <f t="shared" si="47"/>
        <v>607189.15055999998</v>
      </c>
      <c r="AM20" s="4">
        <f t="shared" si="47"/>
        <v>664372.60321600013</v>
      </c>
      <c r="AN20" s="4">
        <f t="shared" si="47"/>
        <v>727274.40113760007</v>
      </c>
      <c r="AO20" s="4">
        <f t="shared" si="47"/>
        <v>796466.37885136029</v>
      </c>
      <c r="AP20" s="4">
        <f t="shared" si="47"/>
        <v>872577.55433649628</v>
      </c>
      <c r="AQ20" s="4">
        <f t="shared" si="47"/>
        <v>914438.70085332112</v>
      </c>
      <c r="AR20" s="4">
        <f t="shared" si="47"/>
        <v>958392.90469598712</v>
      </c>
      <c r="AS20" s="4">
        <f t="shared" si="47"/>
        <v>1004544.8187307867</v>
      </c>
      <c r="AT20" s="4">
        <f t="shared" si="47"/>
        <v>1053004.3284673258</v>
      </c>
      <c r="AU20" s="4">
        <f t="shared" si="47"/>
        <v>1103886.8136906922</v>
      </c>
      <c r="AV20" s="4">
        <f t="shared" si="47"/>
        <v>1157313.4231752271</v>
      </c>
      <c r="AW20" s="4">
        <f t="shared" si="47"/>
        <v>1213411.3631339883</v>
      </c>
      <c r="AX20" s="4">
        <f t="shared" si="47"/>
        <v>1272314.200090688</v>
      </c>
      <c r="AY20" s="4">
        <f t="shared" si="47"/>
        <v>1334162.1788952218</v>
      </c>
      <c r="AZ20" s="4">
        <f>AY20*(1+$BA$26)</f>
        <v>1307478.9353173173</v>
      </c>
      <c r="BA20" s="4">
        <f t="shared" ref="BA20:DL20" si="48">AZ20*(1+$BA$26)</f>
        <v>1281329.3566109708</v>
      </c>
      <c r="BB20" s="4">
        <f t="shared" si="48"/>
        <v>1255702.7694787513</v>
      </c>
      <c r="BC20" s="4">
        <f t="shared" si="48"/>
        <v>1230588.7140891764</v>
      </c>
      <c r="BD20" s="4">
        <f t="shared" si="48"/>
        <v>1205976.9398073929</v>
      </c>
      <c r="BE20" s="4">
        <f t="shared" si="48"/>
        <v>1181857.4010112451</v>
      </c>
      <c r="BF20" s="4">
        <f t="shared" si="48"/>
        <v>1158220.2529910202</v>
      </c>
      <c r="BG20" s="4">
        <f t="shared" si="48"/>
        <v>1135055.8479311997</v>
      </c>
      <c r="BH20" s="4">
        <f t="shared" si="48"/>
        <v>1112354.7309725757</v>
      </c>
      <c r="BI20" s="4">
        <f t="shared" si="48"/>
        <v>1090107.6363531242</v>
      </c>
      <c r="BJ20" s="4">
        <f t="shared" si="48"/>
        <v>1068305.4836260616</v>
      </c>
      <c r="BK20" s="4">
        <f t="shared" si="48"/>
        <v>1046939.3739535403</v>
      </c>
      <c r="BL20" s="4">
        <f t="shared" si="48"/>
        <v>1026000.5864744695</v>
      </c>
      <c r="BM20" s="4">
        <f t="shared" si="48"/>
        <v>1005480.5747449801</v>
      </c>
      <c r="BN20" s="4">
        <f t="shared" si="48"/>
        <v>985370.96325008047</v>
      </c>
      <c r="BO20" s="4">
        <f t="shared" si="48"/>
        <v>965663.54398507881</v>
      </c>
      <c r="BP20" s="4">
        <f t="shared" si="48"/>
        <v>946350.27310537721</v>
      </c>
      <c r="BQ20" s="4">
        <f t="shared" si="48"/>
        <v>927423.26764326962</v>
      </c>
      <c r="BR20" s="4">
        <f t="shared" si="48"/>
        <v>908874.80229040422</v>
      </c>
      <c r="BS20" s="4">
        <f t="shared" si="48"/>
        <v>890697.30624459614</v>
      </c>
      <c r="BT20" s="4">
        <f t="shared" si="48"/>
        <v>872883.36011970416</v>
      </c>
      <c r="BU20" s="4">
        <f t="shared" si="48"/>
        <v>855425.69291731005</v>
      </c>
      <c r="BV20" s="4">
        <f t="shared" si="48"/>
        <v>838317.17905896378</v>
      </c>
      <c r="BW20" s="4">
        <f t="shared" si="48"/>
        <v>821550.83547778451</v>
      </c>
      <c r="BX20" s="4">
        <f t="shared" si="48"/>
        <v>805119.81876822875</v>
      </c>
      <c r="BY20" s="4">
        <f t="shared" si="48"/>
        <v>789017.42239286413</v>
      </c>
      <c r="BZ20" s="4">
        <f t="shared" si="48"/>
        <v>773237.07394500682</v>
      </c>
      <c r="CA20" s="4">
        <f t="shared" si="48"/>
        <v>757772.33246610663</v>
      </c>
      <c r="CB20" s="4">
        <f t="shared" si="48"/>
        <v>742616.88581678446</v>
      </c>
      <c r="CC20" s="4">
        <f t="shared" si="48"/>
        <v>727764.5481004488</v>
      </c>
      <c r="CD20" s="4">
        <f t="shared" si="48"/>
        <v>713209.2571384398</v>
      </c>
      <c r="CE20" s="4">
        <f t="shared" si="48"/>
        <v>698945.07199567102</v>
      </c>
      <c r="CF20" s="4">
        <f t="shared" si="48"/>
        <v>684966.17055575759</v>
      </c>
      <c r="CG20" s="4">
        <f t="shared" si="48"/>
        <v>671266.84714464238</v>
      </c>
      <c r="CH20" s="4">
        <f t="shared" si="48"/>
        <v>657841.51020174951</v>
      </c>
      <c r="CI20" s="4">
        <f t="shared" si="48"/>
        <v>644684.67999771447</v>
      </c>
      <c r="CJ20" s="4">
        <f t="shared" si="48"/>
        <v>631790.98639776022</v>
      </c>
      <c r="CK20" s="4">
        <f t="shared" si="48"/>
        <v>619155.16666980495</v>
      </c>
      <c r="CL20" s="4">
        <f t="shared" si="48"/>
        <v>606772.06333640881</v>
      </c>
      <c r="CM20" s="4">
        <f t="shared" si="48"/>
        <v>594636.6220696806</v>
      </c>
      <c r="CN20" s="4">
        <f t="shared" si="48"/>
        <v>582743.88962828694</v>
      </c>
      <c r="CO20" s="4">
        <f t="shared" si="48"/>
        <v>571089.0118357212</v>
      </c>
      <c r="CP20" s="4">
        <f t="shared" si="48"/>
        <v>559667.2315990068</v>
      </c>
      <c r="CQ20" s="4">
        <f t="shared" si="48"/>
        <v>548473.88696702663</v>
      </c>
      <c r="CR20" s="4">
        <f t="shared" si="48"/>
        <v>537504.40922768612</v>
      </c>
      <c r="CS20" s="4">
        <f t="shared" si="48"/>
        <v>526754.32104313234</v>
      </c>
      <c r="CT20" s="4">
        <f t="shared" si="48"/>
        <v>516219.23462226969</v>
      </c>
      <c r="CU20" s="4">
        <f t="shared" si="48"/>
        <v>505894.8499298243</v>
      </c>
      <c r="CV20" s="4">
        <f t="shared" si="48"/>
        <v>495776.9529312278</v>
      </c>
      <c r="CW20" s="4">
        <f t="shared" si="48"/>
        <v>485861.41387260321</v>
      </c>
      <c r="CX20" s="4">
        <f t="shared" si="48"/>
        <v>476144.18559515115</v>
      </c>
      <c r="CY20" s="4">
        <f t="shared" si="48"/>
        <v>466621.30188324815</v>
      </c>
      <c r="CZ20" s="4">
        <f t="shared" si="48"/>
        <v>457288.87584558316</v>
      </c>
      <c r="DA20" s="4">
        <f t="shared" si="48"/>
        <v>448143.09832867148</v>
      </c>
      <c r="DB20" s="4">
        <f t="shared" si="48"/>
        <v>439180.23636209802</v>
      </c>
      <c r="DC20" s="4">
        <f t="shared" si="48"/>
        <v>430396.63163485605</v>
      </c>
      <c r="DD20" s="4">
        <f t="shared" si="48"/>
        <v>421788.69900215894</v>
      </c>
      <c r="DE20" s="4">
        <f t="shared" si="48"/>
        <v>413352.92502211576</v>
      </c>
      <c r="DF20" s="4">
        <f t="shared" si="48"/>
        <v>405085.86652167345</v>
      </c>
      <c r="DG20" s="4">
        <f t="shared" si="48"/>
        <v>396984.14919123997</v>
      </c>
      <c r="DH20" s="4">
        <f t="shared" si="48"/>
        <v>389044.46620741516</v>
      </c>
      <c r="DI20" s="4">
        <f t="shared" si="48"/>
        <v>381263.57688326685</v>
      </c>
      <c r="DJ20" s="4">
        <f t="shared" si="48"/>
        <v>373638.30534560152</v>
      </c>
      <c r="DK20" s="4">
        <f t="shared" si="48"/>
        <v>366165.53923868947</v>
      </c>
      <c r="DL20" s="4">
        <f t="shared" si="48"/>
        <v>358842.22845391568</v>
      </c>
      <c r="DM20" s="4">
        <f t="shared" ref="DM20:FX20" si="49">DL20*(1+$BA$26)</f>
        <v>351665.38388483739</v>
      </c>
      <c r="DN20" s="4">
        <f t="shared" si="49"/>
        <v>344632.07620714064</v>
      </c>
      <c r="DO20" s="4">
        <f t="shared" si="49"/>
        <v>337739.43468299782</v>
      </c>
      <c r="DP20" s="4">
        <f t="shared" si="49"/>
        <v>330984.64598933788</v>
      </c>
      <c r="DQ20" s="4">
        <f t="shared" si="49"/>
        <v>324364.95306955109</v>
      </c>
      <c r="DR20" s="4">
        <f t="shared" si="49"/>
        <v>317877.65400816005</v>
      </c>
      <c r="DS20" s="4">
        <f t="shared" si="49"/>
        <v>311520.10092799686</v>
      </c>
      <c r="DT20" s="4">
        <f t="shared" si="49"/>
        <v>305289.69890943693</v>
      </c>
      <c r="DU20" s="4">
        <f t="shared" si="49"/>
        <v>299183.90493124817</v>
      </c>
      <c r="DV20" s="4">
        <f t="shared" si="49"/>
        <v>293200.22683262319</v>
      </c>
      <c r="DW20" s="4">
        <f t="shared" si="49"/>
        <v>287336.22229597071</v>
      </c>
      <c r="DX20" s="4">
        <f t="shared" si="49"/>
        <v>281589.49785005127</v>
      </c>
      <c r="DY20" s="4">
        <f t="shared" si="49"/>
        <v>275957.70789305022</v>
      </c>
      <c r="DZ20" s="4">
        <f t="shared" si="49"/>
        <v>270438.5537351892</v>
      </c>
      <c r="EA20" s="4">
        <f t="shared" si="49"/>
        <v>265029.78266048542</v>
      </c>
      <c r="EB20" s="4">
        <f t="shared" si="49"/>
        <v>259729.1870072757</v>
      </c>
      <c r="EC20" s="4">
        <f t="shared" si="49"/>
        <v>254534.60326713018</v>
      </c>
      <c r="ED20" s="4">
        <f t="shared" si="49"/>
        <v>249443.91120178756</v>
      </c>
      <c r="EE20" s="4">
        <f t="shared" si="49"/>
        <v>244455.03297775181</v>
      </c>
      <c r="EF20" s="4">
        <f t="shared" si="49"/>
        <v>239565.93231819678</v>
      </c>
      <c r="EG20" s="4">
        <f t="shared" si="49"/>
        <v>234774.61367183283</v>
      </c>
      <c r="EH20" s="4">
        <f t="shared" si="49"/>
        <v>230079.12139839618</v>
      </c>
      <c r="EI20" s="4">
        <f t="shared" si="49"/>
        <v>225477.53897042826</v>
      </c>
      <c r="EJ20" s="4">
        <f t="shared" si="49"/>
        <v>220967.98819101969</v>
      </c>
      <c r="EK20" s="4">
        <f t="shared" si="49"/>
        <v>216548.62842719929</v>
      </c>
      <c r="EL20" s="4">
        <f t="shared" si="49"/>
        <v>212217.65585865531</v>
      </c>
      <c r="EM20" s="4">
        <f t="shared" si="49"/>
        <v>207973.30274148221</v>
      </c>
      <c r="EN20" s="4">
        <f t="shared" si="49"/>
        <v>203813.83668665256</v>
      </c>
      <c r="EO20" s="4">
        <f t="shared" si="49"/>
        <v>199737.55995291952</v>
      </c>
      <c r="EP20" s="4">
        <f t="shared" si="49"/>
        <v>195742.80875386111</v>
      </c>
      <c r="EQ20" s="4">
        <f t="shared" si="49"/>
        <v>191827.95257878388</v>
      </c>
      <c r="ER20" s="4">
        <f t="shared" si="49"/>
        <v>187991.39352720819</v>
      </c>
      <c r="ES20" s="4">
        <f t="shared" si="49"/>
        <v>184231.56565666402</v>
      </c>
      <c r="ET20" s="4">
        <f t="shared" si="49"/>
        <v>180546.93434353074</v>
      </c>
      <c r="EU20" s="4">
        <f t="shared" si="49"/>
        <v>176935.99565666012</v>
      </c>
      <c r="EV20" s="4">
        <f t="shared" si="49"/>
        <v>173397.2757435269</v>
      </c>
      <c r="EW20" s="4">
        <f t="shared" si="49"/>
        <v>169929.33022865636</v>
      </c>
      <c r="EX20" s="4">
        <f t="shared" si="49"/>
        <v>166530.74362408323</v>
      </c>
      <c r="EY20" s="4">
        <f t="shared" si="49"/>
        <v>163200.12875160156</v>
      </c>
      <c r="EZ20" s="4">
        <f t="shared" si="49"/>
        <v>159936.12617656952</v>
      </c>
      <c r="FA20" s="4">
        <f t="shared" si="49"/>
        <v>156737.40365303814</v>
      </c>
      <c r="FB20" s="4">
        <f t="shared" si="49"/>
        <v>153602.65557997738</v>
      </c>
      <c r="FC20" s="4">
        <f t="shared" si="49"/>
        <v>150530.60246837782</v>
      </c>
      <c r="FD20" s="4">
        <f t="shared" si="49"/>
        <v>147519.99041901025</v>
      </c>
      <c r="FE20" s="4">
        <f t="shared" si="49"/>
        <v>144569.59061063005</v>
      </c>
      <c r="FF20" s="4">
        <f t="shared" si="49"/>
        <v>141678.19879841746</v>
      </c>
      <c r="FG20" s="4">
        <f t="shared" si="49"/>
        <v>138844.63482244912</v>
      </c>
      <c r="FH20" s="4">
        <f t="shared" si="49"/>
        <v>136067.74212600014</v>
      </c>
      <c r="FI20" s="4">
        <f t="shared" si="49"/>
        <v>133346.38728348014</v>
      </c>
      <c r="FJ20" s="4">
        <f t="shared" si="49"/>
        <v>130679.45953781054</v>
      </c>
      <c r="FK20" s="4">
        <f t="shared" si="49"/>
        <v>128065.87034705433</v>
      </c>
      <c r="FL20" s="4">
        <f t="shared" si="49"/>
        <v>125504.55294011324</v>
      </c>
      <c r="FM20" s="4">
        <f t="shared" si="49"/>
        <v>122994.46188131097</v>
      </c>
      <c r="FN20" s="4">
        <f t="shared" si="49"/>
        <v>120534.57264368475</v>
      </c>
      <c r="FO20" s="4">
        <f t="shared" si="49"/>
        <v>118123.88119081105</v>
      </c>
      <c r="FP20" s="4">
        <f t="shared" si="49"/>
        <v>115761.40356699482</v>
      </c>
      <c r="FQ20" s="4">
        <f t="shared" si="49"/>
        <v>113446.17549565493</v>
      </c>
      <c r="FR20" s="4">
        <f t="shared" si="49"/>
        <v>111177.25198574182</v>
      </c>
      <c r="FS20" s="4">
        <f t="shared" si="49"/>
        <v>108953.70694602698</v>
      </c>
      <c r="FT20" s="4">
        <f t="shared" si="49"/>
        <v>106774.63280710645</v>
      </c>
      <c r="FU20" s="4">
        <f t="shared" si="49"/>
        <v>104639.14015096432</v>
      </c>
      <c r="FV20" s="4">
        <f t="shared" si="49"/>
        <v>102546.35734794503</v>
      </c>
      <c r="FW20" s="4">
        <f t="shared" si="49"/>
        <v>100495.43020098613</v>
      </c>
      <c r="FX20" s="4">
        <f t="shared" si="49"/>
        <v>98485.521596966399</v>
      </c>
      <c r="FY20" s="4">
        <f t="shared" ref="FY20:IJ20" si="50">FX20*(1+$BA$26)</f>
        <v>96515.811165027073</v>
      </c>
      <c r="FZ20" s="4">
        <f t="shared" si="50"/>
        <v>94585.494941726531</v>
      </c>
      <c r="GA20" s="4">
        <f t="shared" si="50"/>
        <v>92693.785042891992</v>
      </c>
      <c r="GB20" s="4">
        <f t="shared" si="50"/>
        <v>90839.909342034152</v>
      </c>
      <c r="GC20" s="4">
        <f t="shared" si="50"/>
        <v>89023.111155193474</v>
      </c>
      <c r="GD20" s="4">
        <f t="shared" si="50"/>
        <v>87242.648932089607</v>
      </c>
      <c r="GE20" s="4">
        <f t="shared" si="50"/>
        <v>85497.795953447814</v>
      </c>
      <c r="GF20" s="4">
        <f t="shared" si="50"/>
        <v>83787.840034378853</v>
      </c>
      <c r="GG20" s="4">
        <f t="shared" si="50"/>
        <v>82112.083233691272</v>
      </c>
      <c r="GH20" s="4">
        <f t="shared" si="50"/>
        <v>80469.841569017444</v>
      </c>
      <c r="GI20" s="4">
        <f t="shared" si="50"/>
        <v>78860.444737637095</v>
      </c>
      <c r="GJ20" s="4">
        <f t="shared" si="50"/>
        <v>77283.235842884358</v>
      </c>
      <c r="GK20" s="4">
        <f t="shared" si="50"/>
        <v>75737.571126026669</v>
      </c>
      <c r="GL20" s="4">
        <f t="shared" si="50"/>
        <v>74222.819703506131</v>
      </c>
      <c r="GM20" s="4">
        <f t="shared" si="50"/>
        <v>72738.363309436012</v>
      </c>
      <c r="GN20" s="4">
        <f t="shared" si="50"/>
        <v>71283.596043247293</v>
      </c>
      <c r="GO20" s="4">
        <f t="shared" si="50"/>
        <v>69857.924122382348</v>
      </c>
      <c r="GP20" s="4">
        <f t="shared" si="50"/>
        <v>68460.765639934703</v>
      </c>
      <c r="GQ20" s="4">
        <f t="shared" si="50"/>
        <v>67091.550327136007</v>
      </c>
      <c r="GR20" s="4">
        <f t="shared" si="50"/>
        <v>65749.719320593285</v>
      </c>
      <c r="GS20" s="4">
        <f t="shared" si="50"/>
        <v>64434.724934181417</v>
      </c>
      <c r="GT20" s="4">
        <f t="shared" si="50"/>
        <v>63146.030435497785</v>
      </c>
      <c r="GU20" s="4">
        <f t="shared" si="50"/>
        <v>61883.109826787826</v>
      </c>
      <c r="GV20" s="4">
        <f t="shared" si="50"/>
        <v>60645.447630252071</v>
      </c>
      <c r="GW20" s="4">
        <f t="shared" si="50"/>
        <v>59432.538677647026</v>
      </c>
      <c r="GX20" s="4">
        <f t="shared" si="50"/>
        <v>58243.887904094081</v>
      </c>
      <c r="GY20" s="4">
        <f t="shared" si="50"/>
        <v>57079.010146012195</v>
      </c>
      <c r="GZ20" s="4">
        <f t="shared" si="50"/>
        <v>55937.429943091949</v>
      </c>
      <c r="HA20" s="4">
        <f t="shared" si="50"/>
        <v>54818.681344230106</v>
      </c>
      <c r="HB20" s="4">
        <f t="shared" si="50"/>
        <v>53722.307717345502</v>
      </c>
      <c r="HC20" s="4">
        <f t="shared" si="50"/>
        <v>52647.861562998594</v>
      </c>
      <c r="HD20" s="4">
        <f t="shared" si="50"/>
        <v>51594.904331738624</v>
      </c>
      <c r="HE20" s="4">
        <f t="shared" si="50"/>
        <v>50563.006245103854</v>
      </c>
      <c r="HF20" s="4">
        <f t="shared" si="50"/>
        <v>49551.746120201773</v>
      </c>
      <c r="HG20" s="4">
        <f t="shared" si="50"/>
        <v>48560.71119779774</v>
      </c>
      <c r="HH20" s="4">
        <f t="shared" si="50"/>
        <v>47589.496973841786</v>
      </c>
      <c r="HI20" s="4">
        <f t="shared" si="50"/>
        <v>46637.707034364947</v>
      </c>
      <c r="HJ20" s="4">
        <f t="shared" si="50"/>
        <v>45704.952893677648</v>
      </c>
      <c r="HK20" s="4">
        <f t="shared" si="50"/>
        <v>44790.853835804097</v>
      </c>
      <c r="HL20" s="4">
        <f t="shared" si="50"/>
        <v>43895.036759088012</v>
      </c>
      <c r="HM20" s="4">
        <f t="shared" si="50"/>
        <v>43017.136023906249</v>
      </c>
      <c r="HN20" s="4">
        <f t="shared" si="50"/>
        <v>42156.793303428123</v>
      </c>
      <c r="HO20" s="4">
        <f t="shared" si="50"/>
        <v>41313.657437359558</v>
      </c>
      <c r="HP20" s="4">
        <f t="shared" si="50"/>
        <v>40487.384288612368</v>
      </c>
      <c r="HQ20" s="4">
        <f t="shared" si="50"/>
        <v>39677.636602840117</v>
      </c>
      <c r="HR20" s="4">
        <f t="shared" si="50"/>
        <v>38884.083870783317</v>
      </c>
      <c r="HS20" s="4">
        <f t="shared" si="50"/>
        <v>38106.402193367649</v>
      </c>
      <c r="HT20" s="4">
        <f t="shared" si="50"/>
        <v>37344.274149500292</v>
      </c>
      <c r="HU20" s="4">
        <f t="shared" si="50"/>
        <v>36597.388666510284</v>
      </c>
      <c r="HV20" s="4">
        <f t="shared" si="50"/>
        <v>35865.440893180079</v>
      </c>
      <c r="HW20" s="4">
        <f t="shared" si="50"/>
        <v>35148.132075316476</v>
      </c>
      <c r="HX20" s="4">
        <f t="shared" si="50"/>
        <v>34445.169433810144</v>
      </c>
      <c r="HY20" s="4">
        <f t="shared" si="50"/>
        <v>33756.26604513394</v>
      </c>
      <c r="HZ20" s="4">
        <f t="shared" si="50"/>
        <v>33081.140724231263</v>
      </c>
      <c r="IA20" s="4">
        <f t="shared" si="50"/>
        <v>32419.517909746639</v>
      </c>
      <c r="IB20" s="4">
        <f t="shared" si="50"/>
        <v>31771.127551551705</v>
      </c>
      <c r="IC20" s="4">
        <f t="shared" si="50"/>
        <v>31135.705000520669</v>
      </c>
      <c r="ID20" s="4">
        <f t="shared" si="50"/>
        <v>30512.990900510256</v>
      </c>
      <c r="IE20" s="4">
        <f t="shared" si="50"/>
        <v>29902.73108250005</v>
      </c>
      <c r="IF20" s="4">
        <f t="shared" si="50"/>
        <v>29304.676460850049</v>
      </c>
      <c r="IG20" s="4">
        <f t="shared" si="50"/>
        <v>28718.582931633049</v>
      </c>
      <c r="IH20" s="4">
        <f t="shared" si="50"/>
        <v>28144.211273000386</v>
      </c>
      <c r="II20" s="4">
        <f t="shared" si="50"/>
        <v>27581.327047540377</v>
      </c>
      <c r="IJ20" s="4">
        <f t="shared" si="50"/>
        <v>27029.700506589568</v>
      </c>
      <c r="IK20" s="4">
        <f t="shared" ref="IK20:KV20" si="51">IJ20*(1+$BA$26)</f>
        <v>26489.106496457778</v>
      </c>
      <c r="IL20" s="4">
        <f t="shared" si="51"/>
        <v>25959.324366528621</v>
      </c>
      <c r="IM20" s="4">
        <f t="shared" si="51"/>
        <v>25440.13787919805</v>
      </c>
      <c r="IN20" s="4">
        <f t="shared" si="51"/>
        <v>24931.335121614087</v>
      </c>
      <c r="IO20" s="4">
        <f t="shared" si="51"/>
        <v>24432.708419181807</v>
      </c>
      <c r="IP20" s="4">
        <f t="shared" si="51"/>
        <v>23944.05425079817</v>
      </c>
      <c r="IQ20" s="4">
        <f t="shared" si="51"/>
        <v>23465.173165782206</v>
      </c>
      <c r="IR20" s="4">
        <f t="shared" si="51"/>
        <v>22995.86970246656</v>
      </c>
      <c r="IS20" s="4">
        <f t="shared" si="51"/>
        <v>22535.952308417229</v>
      </c>
      <c r="IT20" s="4">
        <f t="shared" si="51"/>
        <v>22085.233262248883</v>
      </c>
      <c r="IU20" s="4">
        <f t="shared" si="51"/>
        <v>21643.528597003904</v>
      </c>
      <c r="IV20" s="4">
        <f t="shared" si="51"/>
        <v>21210.658025063825</v>
      </c>
      <c r="IW20" s="4">
        <f t="shared" si="51"/>
        <v>20786.444864562549</v>
      </c>
      <c r="IX20" s="4">
        <f t="shared" si="51"/>
        <v>20370.715967271299</v>
      </c>
      <c r="IY20" s="4">
        <f t="shared" si="51"/>
        <v>19963.301647925873</v>
      </c>
      <c r="IZ20" s="4">
        <f t="shared" si="51"/>
        <v>19564.035614967357</v>
      </c>
      <c r="JA20" s="4">
        <f t="shared" si="51"/>
        <v>19172.75490266801</v>
      </c>
      <c r="JB20" s="4">
        <f t="shared" si="51"/>
        <v>18789.299804614649</v>
      </c>
      <c r="JC20" s="4">
        <f t="shared" si="51"/>
        <v>18413.513808522355</v>
      </c>
      <c r="JD20" s="4">
        <f t="shared" si="51"/>
        <v>18045.243532351909</v>
      </c>
      <c r="JE20" s="4">
        <f t="shared" si="51"/>
        <v>17684.338661704871</v>
      </c>
      <c r="JF20" s="4">
        <f t="shared" si="51"/>
        <v>17330.651888470773</v>
      </c>
      <c r="JG20" s="4">
        <f t="shared" si="51"/>
        <v>16984.038850701356</v>
      </c>
      <c r="JH20" s="4">
        <f t="shared" si="51"/>
        <v>16644.35807368733</v>
      </c>
      <c r="JI20" s="4">
        <f t="shared" si="51"/>
        <v>16311.470912213583</v>
      </c>
      <c r="JJ20" s="4">
        <f t="shared" si="51"/>
        <v>15985.241493969312</v>
      </c>
      <c r="JK20" s="4">
        <f t="shared" si="51"/>
        <v>15665.536664089925</v>
      </c>
      <c r="JL20" s="4">
        <f t="shared" si="51"/>
        <v>15352.225930808127</v>
      </c>
      <c r="JM20" s="4">
        <f t="shared" si="51"/>
        <v>15045.181412191963</v>
      </c>
      <c r="JN20" s="4">
        <f t="shared" si="51"/>
        <v>14744.277783948124</v>
      </c>
      <c r="JO20" s="4">
        <f t="shared" si="51"/>
        <v>14449.392228269162</v>
      </c>
      <c r="JP20" s="4">
        <f t="shared" si="51"/>
        <v>14160.404383703779</v>
      </c>
      <c r="JQ20" s="4">
        <f t="shared" si="51"/>
        <v>13877.196296029702</v>
      </c>
      <c r="JR20" s="4">
        <f t="shared" si="51"/>
        <v>13599.652370109108</v>
      </c>
      <c r="JS20" s="4">
        <f t="shared" si="51"/>
        <v>13327.659322706926</v>
      </c>
      <c r="JT20" s="4">
        <f t="shared" si="51"/>
        <v>13061.106136252787</v>
      </c>
      <c r="JU20" s="4">
        <f t="shared" si="51"/>
        <v>12799.884013527731</v>
      </c>
      <c r="JV20" s="4">
        <f t="shared" si="51"/>
        <v>12543.886333257176</v>
      </c>
      <c r="JW20" s="4">
        <f t="shared" si="51"/>
        <v>12293.008606592033</v>
      </c>
      <c r="JX20" s="4">
        <f t="shared" si="51"/>
        <v>12047.148434460192</v>
      </c>
      <c r="JY20" s="4">
        <f t="shared" si="51"/>
        <v>11806.205465770989</v>
      </c>
      <c r="JZ20" s="4">
        <f t="shared" si="51"/>
        <v>11570.081356455568</v>
      </c>
      <c r="KA20" s="4">
        <f t="shared" si="51"/>
        <v>11338.679729326457</v>
      </c>
      <c r="KB20" s="4">
        <f t="shared" si="51"/>
        <v>11111.906134739927</v>
      </c>
      <c r="KC20" s="4">
        <f t="shared" si="51"/>
        <v>10889.668012045129</v>
      </c>
      <c r="KD20" s="4">
        <f t="shared" si="51"/>
        <v>10671.874651804226</v>
      </c>
      <c r="KE20" s="4">
        <f t="shared" si="51"/>
        <v>10458.437158768142</v>
      </c>
      <c r="KF20" s="4">
        <f t="shared" si="51"/>
        <v>10249.268415592778</v>
      </c>
      <c r="KG20" s="4">
        <f t="shared" si="51"/>
        <v>10044.283047280922</v>
      </c>
      <c r="KH20" s="4">
        <f t="shared" si="51"/>
        <v>9843.397386335304</v>
      </c>
      <c r="KI20" s="4">
        <f t="shared" si="51"/>
        <v>9646.529438608597</v>
      </c>
      <c r="KJ20" s="4">
        <f t="shared" si="51"/>
        <v>9453.5988498364241</v>
      </c>
      <c r="KK20" s="4">
        <f t="shared" si="51"/>
        <v>9264.526872839695</v>
      </c>
      <c r="KL20" s="4">
        <f t="shared" si="51"/>
        <v>9079.2363353829005</v>
      </c>
      <c r="KM20" s="4">
        <f t="shared" si="51"/>
        <v>8897.6516086752417</v>
      </c>
      <c r="KN20" s="4">
        <f t="shared" si="51"/>
        <v>8719.6985765017362</v>
      </c>
      <c r="KO20" s="4">
        <f t="shared" si="51"/>
        <v>8545.3046049717013</v>
      </c>
      <c r="KP20" s="4">
        <f t="shared" si="51"/>
        <v>8374.398512872267</v>
      </c>
      <c r="KQ20" s="4">
        <f t="shared" si="51"/>
        <v>8206.9105426148217</v>
      </c>
      <c r="KR20" s="4">
        <f t="shared" si="51"/>
        <v>8042.772331762525</v>
      </c>
      <c r="KS20" s="4">
        <f t="shared" si="51"/>
        <v>7881.9168851272743</v>
      </c>
      <c r="KT20" s="4">
        <f t="shared" si="51"/>
        <v>7724.2785474247285</v>
      </c>
      <c r="KU20" s="4">
        <f t="shared" si="51"/>
        <v>7569.7929764762339</v>
      </c>
      <c r="KV20" s="4">
        <f t="shared" si="51"/>
        <v>7418.3971169467095</v>
      </c>
      <c r="KW20" s="4">
        <f t="shared" ref="KW20:NH20" si="52">KV20*(1+$BA$26)</f>
        <v>7270.0291746077755</v>
      </c>
      <c r="KX20" s="4">
        <f t="shared" si="52"/>
        <v>7124.6285911156201</v>
      </c>
      <c r="KY20" s="4">
        <f t="shared" si="52"/>
        <v>6982.136019293308</v>
      </c>
      <c r="KZ20" s="4">
        <f t="shared" si="52"/>
        <v>6842.4932989074414</v>
      </c>
      <c r="LA20" s="4">
        <f t="shared" si="52"/>
        <v>6705.6434329292924</v>
      </c>
      <c r="LB20" s="4">
        <f t="shared" si="52"/>
        <v>6571.5305642707062</v>
      </c>
      <c r="LC20" s="4">
        <f t="shared" si="52"/>
        <v>6440.0999529852916</v>
      </c>
      <c r="LD20" s="4">
        <f t="shared" si="52"/>
        <v>6311.2979539255857</v>
      </c>
      <c r="LE20" s="4">
        <f t="shared" si="52"/>
        <v>6185.0719948470742</v>
      </c>
      <c r="LF20" s="4">
        <f t="shared" si="52"/>
        <v>6061.3705549501328</v>
      </c>
      <c r="LG20" s="4">
        <f t="shared" si="52"/>
        <v>5940.1431438511299</v>
      </c>
      <c r="LH20" s="4">
        <f t="shared" si="52"/>
        <v>5821.3402809741074</v>
      </c>
      <c r="LI20" s="4">
        <f t="shared" si="52"/>
        <v>5704.913475354625</v>
      </c>
      <c r="LJ20" s="4">
        <f t="shared" si="52"/>
        <v>5590.8152058475325</v>
      </c>
      <c r="LK20" s="4">
        <f t="shared" si="52"/>
        <v>5478.9989017305816</v>
      </c>
      <c r="LL20" s="4">
        <f t="shared" si="52"/>
        <v>5369.4189236959701</v>
      </c>
      <c r="LM20" s="4">
        <f t="shared" si="52"/>
        <v>5262.0305452220509</v>
      </c>
      <c r="LN20" s="4">
        <f t="shared" si="52"/>
        <v>5156.7899343176095</v>
      </c>
      <c r="LO20" s="4">
        <f t="shared" si="52"/>
        <v>5053.6541356312573</v>
      </c>
      <c r="LP20" s="4">
        <f t="shared" si="52"/>
        <v>4952.5810529186319</v>
      </c>
      <c r="LQ20" s="4">
        <f t="shared" si="52"/>
        <v>4853.5294318602591</v>
      </c>
      <c r="LR20" s="4">
        <f t="shared" si="52"/>
        <v>4756.4588432230539</v>
      </c>
      <c r="LS20" s="4">
        <f t="shared" si="52"/>
        <v>4661.3296663585925</v>
      </c>
      <c r="LT20" s="4">
        <f t="shared" si="52"/>
        <v>4568.1030730314205</v>
      </c>
      <c r="LU20" s="4">
        <f t="shared" si="52"/>
        <v>4476.7410115707917</v>
      </c>
      <c r="LV20" s="4">
        <f t="shared" si="52"/>
        <v>4387.2061913393754</v>
      </c>
      <c r="LW20" s="4">
        <f t="shared" si="52"/>
        <v>4299.462067512588</v>
      </c>
      <c r="LX20" s="4">
        <f t="shared" si="52"/>
        <v>4213.4728261623359</v>
      </c>
      <c r="LY20" s="4">
        <f t="shared" si="52"/>
        <v>4129.203369639089</v>
      </c>
      <c r="LZ20" s="4">
        <f t="shared" si="52"/>
        <v>4046.6193022463071</v>
      </c>
      <c r="MA20" s="4">
        <f t="shared" si="52"/>
        <v>3965.6869162013809</v>
      </c>
      <c r="MB20" s="4">
        <f t="shared" si="52"/>
        <v>3886.3731778773531</v>
      </c>
      <c r="MC20" s="4">
        <f t="shared" si="52"/>
        <v>3808.6457143198058</v>
      </c>
      <c r="MD20" s="4">
        <f t="shared" si="52"/>
        <v>3732.4728000334098</v>
      </c>
      <c r="ME20" s="4">
        <f t="shared" si="52"/>
        <v>3657.8233440327417</v>
      </c>
      <c r="MF20" s="4">
        <f t="shared" si="52"/>
        <v>3584.6668771520867</v>
      </c>
      <c r="MG20" s="4">
        <f t="shared" si="52"/>
        <v>3512.973539609045</v>
      </c>
      <c r="MH20" s="4">
        <f t="shared" si="52"/>
        <v>3442.7140688168643</v>
      </c>
      <c r="MI20" s="4">
        <f t="shared" si="52"/>
        <v>3373.8597874405268</v>
      </c>
      <c r="MJ20" s="4">
        <f t="shared" si="52"/>
        <v>3306.3825916917162</v>
      </c>
      <c r="MK20" s="4">
        <f t="shared" si="52"/>
        <v>3240.2549398578817</v>
      </c>
      <c r="ML20" s="4">
        <f t="shared" si="52"/>
        <v>3175.4498410607239</v>
      </c>
      <c r="MM20" s="4">
        <f t="shared" si="52"/>
        <v>3111.9408442395093</v>
      </c>
      <c r="MN20" s="4">
        <f t="shared" si="52"/>
        <v>3049.7020273547191</v>
      </c>
      <c r="MO20" s="4">
        <f t="shared" si="52"/>
        <v>2988.7079868076248</v>
      </c>
      <c r="MP20" s="4">
        <f t="shared" si="52"/>
        <v>2928.9338270714725</v>
      </c>
      <c r="MQ20" s="4">
        <f t="shared" si="52"/>
        <v>2870.3551505300429</v>
      </c>
      <c r="MR20" s="4">
        <f t="shared" si="52"/>
        <v>2812.9480475194418</v>
      </c>
      <c r="MS20" s="4">
        <f t="shared" si="52"/>
        <v>2756.689086569053</v>
      </c>
      <c r="MT20" s="4">
        <f t="shared" si="52"/>
        <v>2701.5553048376719</v>
      </c>
      <c r="MU20" s="4">
        <f t="shared" si="52"/>
        <v>2647.5241987409186</v>
      </c>
      <c r="MV20" s="4">
        <f t="shared" si="52"/>
        <v>2594.5737147661002</v>
      </c>
      <c r="MW20" s="4">
        <f t="shared" si="52"/>
        <v>2542.6822404707782</v>
      </c>
      <c r="MX20" s="4">
        <f t="shared" si="52"/>
        <v>2491.8285956613627</v>
      </c>
      <c r="MY20" s="4">
        <f t="shared" si="52"/>
        <v>2441.9920237481356</v>
      </c>
      <c r="MZ20" s="4">
        <f t="shared" si="52"/>
        <v>2393.1521832731728</v>
      </c>
      <c r="NA20" s="4">
        <f t="shared" si="52"/>
        <v>2345.2891396077093</v>
      </c>
      <c r="NB20" s="4">
        <f t="shared" si="52"/>
        <v>2298.3833568155551</v>
      </c>
      <c r="NC20" s="4">
        <f t="shared" si="52"/>
        <v>2252.4156896792438</v>
      </c>
      <c r="ND20" s="4">
        <f t="shared" si="52"/>
        <v>2207.3673758856589</v>
      </c>
      <c r="NE20" s="4">
        <f t="shared" si="52"/>
        <v>2163.2200283679458</v>
      </c>
      <c r="NF20" s="4">
        <f t="shared" si="52"/>
        <v>2119.9556278005871</v>
      </c>
      <c r="NG20" s="4">
        <f t="shared" si="52"/>
        <v>2077.5565152445752</v>
      </c>
      <c r="NH20" s="4">
        <f t="shared" si="52"/>
        <v>2036.0053849396836</v>
      </c>
      <c r="NI20" s="4">
        <f t="shared" ref="NI20:PT20" si="53">NH20*(1+$BA$26)</f>
        <v>1995.2852772408899</v>
      </c>
      <c r="NJ20" s="4">
        <f t="shared" si="53"/>
        <v>1955.3795716960719</v>
      </c>
      <c r="NK20" s="4">
        <f t="shared" si="53"/>
        <v>1916.2719802621505</v>
      </c>
      <c r="NL20" s="4">
        <f t="shared" si="53"/>
        <v>1877.9465406569075</v>
      </c>
      <c r="NM20" s="4">
        <f t="shared" si="53"/>
        <v>1840.3876098437693</v>
      </c>
      <c r="NN20" s="4">
        <f t="shared" si="53"/>
        <v>1803.5798576468937</v>
      </c>
      <c r="NO20" s="4">
        <f t="shared" si="53"/>
        <v>1767.5082604939557</v>
      </c>
      <c r="NP20" s="4">
        <f t="shared" si="53"/>
        <v>1732.1580952840766</v>
      </c>
      <c r="NQ20" s="4">
        <f t="shared" si="53"/>
        <v>1697.514933378395</v>
      </c>
      <c r="NR20" s="4">
        <f t="shared" si="53"/>
        <v>1663.564634710827</v>
      </c>
      <c r="NS20" s="4">
        <f t="shared" si="53"/>
        <v>1630.2933420166105</v>
      </c>
      <c r="NT20" s="4">
        <f t="shared" si="53"/>
        <v>1597.6874751762782</v>
      </c>
      <c r="NU20" s="4">
        <f t="shared" si="53"/>
        <v>1565.7337256727526</v>
      </c>
      <c r="NV20" s="4">
        <f t="shared" si="53"/>
        <v>1534.4190511592976</v>
      </c>
      <c r="NW20" s="4">
        <f t="shared" si="53"/>
        <v>1503.7306701361117</v>
      </c>
      <c r="NX20" s="4">
        <f t="shared" si="53"/>
        <v>1473.6560567333895</v>
      </c>
      <c r="NY20" s="4">
        <f t="shared" si="53"/>
        <v>1444.1829355987218</v>
      </c>
      <c r="NZ20" s="4">
        <f t="shared" si="53"/>
        <v>1415.2992768867473</v>
      </c>
      <c r="OA20" s="4">
        <f t="shared" si="53"/>
        <v>1386.9932913490122</v>
      </c>
      <c r="OB20" s="4">
        <f t="shared" si="53"/>
        <v>1359.2534255220319</v>
      </c>
      <c r="OC20" s="4">
        <f t="shared" si="53"/>
        <v>1332.0683570115912</v>
      </c>
      <c r="OD20" s="4">
        <f t="shared" si="53"/>
        <v>1305.4269898713594</v>
      </c>
      <c r="OE20" s="4">
        <f t="shared" si="53"/>
        <v>1279.3184500739321</v>
      </c>
      <c r="OF20" s="4">
        <f t="shared" si="53"/>
        <v>1253.7320810724534</v>
      </c>
      <c r="OG20" s="4">
        <f t="shared" si="53"/>
        <v>1228.6574394510044</v>
      </c>
      <c r="OH20" s="4">
        <f t="shared" si="53"/>
        <v>1204.0842906619844</v>
      </c>
      <c r="OI20" s="4">
        <f t="shared" si="53"/>
        <v>1180.0026048487446</v>
      </c>
      <c r="OJ20" s="4">
        <f t="shared" si="53"/>
        <v>1156.4025527517697</v>
      </c>
      <c r="OK20" s="4">
        <f t="shared" si="53"/>
        <v>1133.2745016967342</v>
      </c>
      <c r="OL20" s="4">
        <f t="shared" si="53"/>
        <v>1110.6090116627995</v>
      </c>
      <c r="OM20" s="4">
        <f t="shared" si="53"/>
        <v>1088.3968314295435</v>
      </c>
      <c r="ON20" s="4">
        <f t="shared" si="53"/>
        <v>1066.6288948009526</v>
      </c>
      <c r="OO20" s="4">
        <f t="shared" si="53"/>
        <v>1045.2963169049335</v>
      </c>
      <c r="OP20" s="4">
        <f t="shared" si="53"/>
        <v>1024.3903905668349</v>
      </c>
      <c r="OQ20" s="4">
        <f t="shared" si="53"/>
        <v>1003.9025827554982</v>
      </c>
      <c r="OR20" s="4">
        <f t="shared" si="53"/>
        <v>983.82453110038819</v>
      </c>
      <c r="OS20" s="4">
        <f t="shared" si="53"/>
        <v>964.14804047838038</v>
      </c>
      <c r="OT20" s="4">
        <f t="shared" si="53"/>
        <v>944.86507966881277</v>
      </c>
      <c r="OU20" s="4">
        <f t="shared" si="53"/>
        <v>925.96777807543651</v>
      </c>
      <c r="OV20" s="4">
        <f t="shared" si="53"/>
        <v>907.44842251392777</v>
      </c>
      <c r="OW20" s="4">
        <f t="shared" si="53"/>
        <v>889.29945406364925</v>
      </c>
      <c r="OX20" s="4">
        <f t="shared" si="53"/>
        <v>871.51346498237626</v>
      </c>
      <c r="OY20" s="4">
        <f t="shared" si="53"/>
        <v>854.08319568272873</v>
      </c>
      <c r="OZ20" s="4">
        <f t="shared" si="53"/>
        <v>837.00153176907418</v>
      </c>
      <c r="PA20" s="4">
        <f t="shared" si="53"/>
        <v>820.26150113369272</v>
      </c>
      <c r="PB20" s="4">
        <f t="shared" si="53"/>
        <v>803.85627111101883</v>
      </c>
      <c r="PC20" s="4">
        <f t="shared" si="53"/>
        <v>787.77914568879839</v>
      </c>
      <c r="PD20" s="4">
        <f t="shared" si="53"/>
        <v>772.02356277502236</v>
      </c>
      <c r="PE20" s="4">
        <f t="shared" si="53"/>
        <v>756.58309151952187</v>
      </c>
      <c r="PF20" s="4">
        <f t="shared" si="53"/>
        <v>741.45142968913137</v>
      </c>
      <c r="PG20" s="4">
        <f t="shared" si="53"/>
        <v>726.62240109534878</v>
      </c>
      <c r="PH20" s="4">
        <f t="shared" si="53"/>
        <v>712.08995307344173</v>
      </c>
      <c r="PI20" s="4">
        <f t="shared" si="53"/>
        <v>697.84815401197284</v>
      </c>
      <c r="PJ20" s="4">
        <f t="shared" si="53"/>
        <v>683.89119093173338</v>
      </c>
      <c r="PK20" s="4">
        <f t="shared" si="53"/>
        <v>670.21336711309868</v>
      </c>
      <c r="PL20" s="4">
        <f t="shared" si="53"/>
        <v>656.80909977083672</v>
      </c>
      <c r="PM20" s="3">
        <f t="shared" si="53"/>
        <v>643.67291777541993</v>
      </c>
      <c r="PN20" s="3">
        <f t="shared" si="53"/>
        <v>630.7994594199115</v>
      </c>
      <c r="PO20" s="3">
        <f t="shared" si="53"/>
        <v>618.1834702315133</v>
      </c>
      <c r="PP20" s="3">
        <f t="shared" si="53"/>
        <v>605.81980082688301</v>
      </c>
      <c r="PQ20" s="3">
        <f t="shared" si="53"/>
        <v>593.70340481034532</v>
      </c>
      <c r="PR20" s="3">
        <f t="shared" si="53"/>
        <v>581.82933671413844</v>
      </c>
      <c r="PS20" s="3">
        <f t="shared" si="53"/>
        <v>570.19274997985565</v>
      </c>
      <c r="PT20" s="3">
        <f t="shared" si="53"/>
        <v>558.78889498025853</v>
      </c>
      <c r="PU20" s="3">
        <f t="shared" ref="PU20:SF20" si="54">PT20*(1+$BA$26)</f>
        <v>547.6131170806533</v>
      </c>
      <c r="PV20" s="3">
        <f t="shared" si="54"/>
        <v>536.66085473904025</v>
      </c>
      <c r="PW20" s="3">
        <f t="shared" si="54"/>
        <v>525.92763764425945</v>
      </c>
      <c r="PX20" s="3">
        <f t="shared" si="54"/>
        <v>515.40908489137428</v>
      </c>
      <c r="PY20" s="3">
        <f t="shared" si="54"/>
        <v>505.1009031935468</v>
      </c>
      <c r="PZ20" s="3">
        <f t="shared" si="54"/>
        <v>494.99888512967584</v>
      </c>
      <c r="QA20" s="3">
        <f t="shared" si="54"/>
        <v>485.09890742708234</v>
      </c>
      <c r="QB20" s="3">
        <f t="shared" si="54"/>
        <v>475.39692927854071</v>
      </c>
      <c r="QC20" s="3">
        <f t="shared" si="54"/>
        <v>465.88899069296991</v>
      </c>
      <c r="QD20" s="3">
        <f t="shared" si="54"/>
        <v>456.57121087911048</v>
      </c>
      <c r="QE20" s="3">
        <f t="shared" si="54"/>
        <v>447.43978666152827</v>
      </c>
      <c r="QF20" s="3">
        <f t="shared" si="54"/>
        <v>438.49099092829772</v>
      </c>
      <c r="QG20" s="3">
        <f t="shared" si="54"/>
        <v>429.72117110973176</v>
      </c>
      <c r="QH20" s="3">
        <f t="shared" si="54"/>
        <v>421.12674768753709</v>
      </c>
      <c r="QI20" s="3">
        <f t="shared" si="54"/>
        <v>412.70421273378633</v>
      </c>
      <c r="QJ20" s="3">
        <f t="shared" si="54"/>
        <v>404.45012847911062</v>
      </c>
      <c r="QK20" s="3">
        <f t="shared" si="54"/>
        <v>396.36112590952843</v>
      </c>
      <c r="QL20" s="3">
        <f t="shared" si="54"/>
        <v>388.43390339133782</v>
      </c>
      <c r="QM20" s="3">
        <f t="shared" si="54"/>
        <v>380.66522532351104</v>
      </c>
      <c r="QN20" s="3">
        <f t="shared" si="54"/>
        <v>373.05192081704081</v>
      </c>
      <c r="QO20" s="3">
        <f t="shared" si="54"/>
        <v>365.59088240069997</v>
      </c>
      <c r="QP20" s="3">
        <f t="shared" si="54"/>
        <v>358.27906475268594</v>
      </c>
      <c r="QQ20" s="3">
        <f t="shared" si="54"/>
        <v>351.11348345763224</v>
      </c>
      <c r="QR20" s="3">
        <f t="shared" si="54"/>
        <v>344.09121378847959</v>
      </c>
      <c r="QS20" s="3">
        <f t="shared" si="54"/>
        <v>337.20938951271</v>
      </c>
      <c r="QT20" s="3">
        <f t="shared" si="54"/>
        <v>330.46520172245579</v>
      </c>
      <c r="QU20" s="3">
        <f t="shared" si="54"/>
        <v>323.85589768800668</v>
      </c>
      <c r="QV20" s="3">
        <f t="shared" si="54"/>
        <v>317.37877973424656</v>
      </c>
      <c r="QW20" s="3">
        <f t="shared" si="54"/>
        <v>311.03120413956162</v>
      </c>
      <c r="QX20" s="3">
        <f t="shared" si="54"/>
        <v>304.81058005677039</v>
      </c>
      <c r="QY20" s="3">
        <f t="shared" si="54"/>
        <v>298.714368455635</v>
      </c>
      <c r="QZ20" s="3">
        <f t="shared" si="54"/>
        <v>292.74008108652231</v>
      </c>
      <c r="RA20" s="3">
        <f t="shared" si="54"/>
        <v>286.88527946479184</v>
      </c>
      <c r="RB20" s="3">
        <f t="shared" si="54"/>
        <v>281.14757387549599</v>
      </c>
      <c r="RC20" s="3">
        <f t="shared" si="54"/>
        <v>275.52462239798609</v>
      </c>
      <c r="RD20" s="3">
        <f t="shared" si="54"/>
        <v>270.01412995002636</v>
      </c>
      <c r="RE20" s="3">
        <f t="shared" si="54"/>
        <v>264.61384735102581</v>
      </c>
      <c r="RF20" s="3">
        <f t="shared" si="54"/>
        <v>259.32157040400529</v>
      </c>
      <c r="RG20" s="3">
        <f t="shared" si="54"/>
        <v>254.13513899592519</v>
      </c>
      <c r="RH20" s="3">
        <f t="shared" si="54"/>
        <v>249.05243621600667</v>
      </c>
      <c r="RI20" s="3">
        <f t="shared" si="54"/>
        <v>244.07138749168652</v>
      </c>
      <c r="RJ20" s="3">
        <f t="shared" si="54"/>
        <v>239.18995974185279</v>
      </c>
      <c r="RK20" s="3">
        <f t="shared" si="54"/>
        <v>234.40616054701573</v>
      </c>
      <c r="RL20" s="3">
        <f t="shared" si="54"/>
        <v>229.71803733607541</v>
      </c>
      <c r="RM20" s="3">
        <f t="shared" si="54"/>
        <v>225.12367658935389</v>
      </c>
      <c r="RN20" s="3">
        <f t="shared" si="54"/>
        <v>220.62120305756682</v>
      </c>
      <c r="RO20" s="3">
        <f t="shared" si="54"/>
        <v>216.20877899641548</v>
      </c>
      <c r="RP20" s="3">
        <f t="shared" si="54"/>
        <v>211.88460341648715</v>
      </c>
      <c r="RQ20" s="3">
        <f t="shared" si="54"/>
        <v>207.6469113481574</v>
      </c>
      <c r="RR20" s="3">
        <f t="shared" si="54"/>
        <v>203.49397312119424</v>
      </c>
      <c r="RS20" s="3">
        <f t="shared" si="54"/>
        <v>199.42409365877035</v>
      </c>
      <c r="RT20" s="3">
        <f t="shared" si="54"/>
        <v>195.43561178559494</v>
      </c>
      <c r="RU20" s="3">
        <f t="shared" si="54"/>
        <v>191.52689954988304</v>
      </c>
      <c r="RV20" s="3">
        <f t="shared" si="54"/>
        <v>187.69636155888537</v>
      </c>
      <c r="RW20" s="3">
        <f t="shared" si="54"/>
        <v>183.94243432770767</v>
      </c>
      <c r="RX20" s="3">
        <f t="shared" si="54"/>
        <v>180.26358564115353</v>
      </c>
      <c r="RY20" s="3">
        <f t="shared" si="54"/>
        <v>176.65831392833044</v>
      </c>
      <c r="RZ20" s="3">
        <f t="shared" si="54"/>
        <v>173.12514764976382</v>
      </c>
      <c r="SA20" s="3">
        <f t="shared" si="54"/>
        <v>169.66264469676855</v>
      </c>
      <c r="SB20" s="3">
        <f t="shared" si="54"/>
        <v>166.26939180283318</v>
      </c>
      <c r="SC20" s="3">
        <f t="shared" si="54"/>
        <v>162.94400396677651</v>
      </c>
      <c r="SD20" s="3">
        <f t="shared" si="54"/>
        <v>159.68512388744097</v>
      </c>
      <c r="SE20" s="3">
        <f t="shared" si="54"/>
        <v>156.49142140969215</v>
      </c>
      <c r="SF20" s="3">
        <f t="shared" si="54"/>
        <v>153.36159298149832</v>
      </c>
      <c r="SG20" s="3">
        <f t="shared" ref="SG20:UR20" si="55">SF20*(1+$BA$26)</f>
        <v>150.29436112186835</v>
      </c>
      <c r="SH20" s="3">
        <f t="shared" si="55"/>
        <v>147.28847389943098</v>
      </c>
      <c r="SI20" s="3">
        <f t="shared" si="55"/>
        <v>144.34270442144236</v>
      </c>
      <c r="SJ20" s="3">
        <f t="shared" si="55"/>
        <v>141.4558503330135</v>
      </c>
      <c r="SK20" s="3">
        <f t="shared" si="55"/>
        <v>138.62673332635322</v>
      </c>
      <c r="SL20" s="3">
        <f t="shared" si="55"/>
        <v>135.85419865982615</v>
      </c>
      <c r="SM20" s="3">
        <f t="shared" si="55"/>
        <v>133.13711468662962</v>
      </c>
      <c r="SN20" s="3">
        <f t="shared" si="55"/>
        <v>130.47437239289701</v>
      </c>
      <c r="SO20" s="3">
        <f t="shared" si="55"/>
        <v>127.86488494503907</v>
      </c>
      <c r="SP20" s="3">
        <f t="shared" si="55"/>
        <v>125.30758724613828</v>
      </c>
      <c r="SQ20" s="3">
        <f t="shared" si="55"/>
        <v>122.80143550121552</v>
      </c>
      <c r="SR20" s="3">
        <f t="shared" si="55"/>
        <v>120.34540679119121</v>
      </c>
      <c r="SS20" s="3">
        <f t="shared" si="55"/>
        <v>117.93849865536738</v>
      </c>
      <c r="ST20" s="3">
        <f t="shared" si="55"/>
        <v>115.57972868226004</v>
      </c>
      <c r="SU20" s="3">
        <f t="shared" si="55"/>
        <v>113.26813410861483</v>
      </c>
      <c r="SV20" s="3">
        <f t="shared" si="55"/>
        <v>111.00277142644254</v>
      </c>
      <c r="SW20" s="3">
        <f t="shared" si="55"/>
        <v>108.78271599791368</v>
      </c>
      <c r="SX20" s="3">
        <f t="shared" si="55"/>
        <v>106.60706167795541</v>
      </c>
      <c r="SY20" s="3">
        <f t="shared" si="55"/>
        <v>104.4749204443963</v>
      </c>
      <c r="SZ20" s="3">
        <f t="shared" si="55"/>
        <v>102.38542203550837</v>
      </c>
      <c r="TA20" s="3">
        <f t="shared" si="55"/>
        <v>100.3377135947982</v>
      </c>
      <c r="TB20" s="3">
        <f t="shared" si="55"/>
        <v>98.330959322902231</v>
      </c>
      <c r="TC20" s="3">
        <f t="shared" si="55"/>
        <v>96.364340136444184</v>
      </c>
      <c r="TD20" s="3">
        <f t="shared" si="55"/>
        <v>94.437053333715298</v>
      </c>
      <c r="TE20" s="3">
        <f t="shared" si="55"/>
        <v>92.548312267040984</v>
      </c>
      <c r="TF20" s="3">
        <f t="shared" si="55"/>
        <v>90.697346021700156</v>
      </c>
      <c r="TG20" s="3">
        <f t="shared" si="55"/>
        <v>88.88339910126615</v>
      </c>
      <c r="TH20" s="3">
        <f t="shared" si="55"/>
        <v>87.105731119240829</v>
      </c>
      <c r="TI20" s="3">
        <f t="shared" si="55"/>
        <v>85.363616496856011</v>
      </c>
      <c r="TJ20" s="3">
        <f t="shared" si="55"/>
        <v>83.656344166918885</v>
      </c>
      <c r="TK20" s="3">
        <f t="shared" si="55"/>
        <v>81.983217283580501</v>
      </c>
      <c r="TL20" s="3">
        <f t="shared" si="55"/>
        <v>80.343552937908896</v>
      </c>
      <c r="TM20" s="3">
        <f t="shared" si="55"/>
        <v>78.736681879150723</v>
      </c>
      <c r="TN20" s="3">
        <f t="shared" si="55"/>
        <v>77.161948241567714</v>
      </c>
      <c r="TO20" s="3">
        <f t="shared" si="55"/>
        <v>75.618709276736354</v>
      </c>
      <c r="TP20" s="3">
        <f t="shared" si="55"/>
        <v>74.106335091201629</v>
      </c>
      <c r="TQ20" s="3">
        <f t="shared" si="55"/>
        <v>72.6242083893776</v>
      </c>
      <c r="TR20" s="3">
        <f t="shared" si="55"/>
        <v>71.17172422159004</v>
      </c>
      <c r="TS20" s="3">
        <f t="shared" si="55"/>
        <v>69.748289737158231</v>
      </c>
      <c r="TT20" s="3">
        <f t="shared" si="55"/>
        <v>68.353323942415059</v>
      </c>
      <c r="TU20" s="3">
        <f t="shared" si="55"/>
        <v>66.986257463566758</v>
      </c>
      <c r="TV20" s="3">
        <f t="shared" si="55"/>
        <v>65.646532314295428</v>
      </c>
      <c r="TW20" s="3">
        <f t="shared" si="55"/>
        <v>64.333601668009521</v>
      </c>
      <c r="TX20" s="3">
        <f t="shared" si="55"/>
        <v>63.046929634649331</v>
      </c>
      <c r="TY20" s="3">
        <f t="shared" si="55"/>
        <v>61.785991041956343</v>
      </c>
      <c r="TZ20" s="3">
        <f t="shared" si="55"/>
        <v>60.550271221117214</v>
      </c>
      <c r="UA20" s="3">
        <f t="shared" si="55"/>
        <v>59.339265796694868</v>
      </c>
      <c r="UB20" s="3">
        <f t="shared" si="55"/>
        <v>58.152480480760971</v>
      </c>
      <c r="UC20" s="3">
        <f t="shared" si="55"/>
        <v>56.98943087114575</v>
      </c>
      <c r="UD20" s="3">
        <f t="shared" si="55"/>
        <v>55.849642253722834</v>
      </c>
      <c r="UE20" s="3">
        <f t="shared" si="55"/>
        <v>54.732649408648378</v>
      </c>
      <c r="UF20" s="3">
        <f t="shared" si="55"/>
        <v>53.63799642047541</v>
      </c>
      <c r="UG20" s="3">
        <f t="shared" si="55"/>
        <v>52.5652364920659</v>
      </c>
      <c r="UH20" s="3">
        <f t="shared" si="55"/>
        <v>51.51393176222458</v>
      </c>
      <c r="UI20" s="3">
        <f t="shared" si="55"/>
        <v>50.483653126980087</v>
      </c>
      <c r="UJ20" s="3">
        <f t="shared" si="55"/>
        <v>49.473980064440482</v>
      </c>
      <c r="UK20" s="3">
        <f t="shared" si="55"/>
        <v>48.484500463151669</v>
      </c>
      <c r="UL20" s="3">
        <f t="shared" si="55"/>
        <v>47.514810453888636</v>
      </c>
      <c r="UM20" s="3">
        <f t="shared" si="55"/>
        <v>46.564514244810866</v>
      </c>
      <c r="UN20" s="3">
        <f t="shared" si="55"/>
        <v>45.633223959914645</v>
      </c>
      <c r="UO20" s="3">
        <f t="shared" si="55"/>
        <v>44.720559480716354</v>
      </c>
      <c r="UP20" s="3">
        <f t="shared" si="55"/>
        <v>43.826148291102022</v>
      </c>
      <c r="UQ20" s="3">
        <f t="shared" si="55"/>
        <v>42.949625325279982</v>
      </c>
      <c r="UR20" s="3">
        <f t="shared" si="55"/>
        <v>42.090632818774381</v>
      </c>
      <c r="US20" s="3">
        <f t="shared" ref="US20:WO20" si="56">UR20*(1+$BA$26)</f>
        <v>41.248820162398893</v>
      </c>
      <c r="UT20" s="3">
        <f t="shared" si="56"/>
        <v>40.423843759150913</v>
      </c>
      <c r="UU20" s="3">
        <f t="shared" si="56"/>
        <v>39.615366883967894</v>
      </c>
      <c r="UV20" s="3">
        <f t="shared" si="56"/>
        <v>38.823059546288533</v>
      </c>
      <c r="UW20" s="3">
        <f t="shared" si="56"/>
        <v>38.046598355362761</v>
      </c>
      <c r="UX20" s="3">
        <f t="shared" si="56"/>
        <v>37.285666388255507</v>
      </c>
      <c r="UY20" s="3">
        <f t="shared" si="56"/>
        <v>36.539953060490397</v>
      </c>
      <c r="UZ20" s="3">
        <f t="shared" si="56"/>
        <v>35.809153999280589</v>
      </c>
      <c r="VA20" s="3">
        <f t="shared" si="56"/>
        <v>35.092970919294977</v>
      </c>
      <c r="VB20" s="3">
        <f t="shared" si="56"/>
        <v>34.391111500909076</v>
      </c>
      <c r="VC20" s="3">
        <f t="shared" si="56"/>
        <v>33.703289270890892</v>
      </c>
      <c r="VD20" s="3">
        <f t="shared" si="56"/>
        <v>33.029223485473075</v>
      </c>
      <c r="VE20" s="3">
        <f t="shared" si="56"/>
        <v>32.368639015763613</v>
      </c>
      <c r="VF20" s="3">
        <f t="shared" si="56"/>
        <v>31.72126623544834</v>
      </c>
      <c r="VG20" s="3">
        <f t="shared" si="56"/>
        <v>31.086840910739372</v>
      </c>
      <c r="VH20" s="3">
        <f t="shared" si="56"/>
        <v>30.465104092524584</v>
      </c>
      <c r="VI20" s="3">
        <f t="shared" si="56"/>
        <v>29.85580201067409</v>
      </c>
      <c r="VJ20" s="3">
        <f t="shared" si="56"/>
        <v>29.258685970460608</v>
      </c>
      <c r="VK20" s="3">
        <f t="shared" si="56"/>
        <v>28.673512251051395</v>
      </c>
      <c r="VL20" s="3">
        <f t="shared" si="56"/>
        <v>28.100042006030368</v>
      </c>
      <c r="VM20" s="3">
        <f t="shared" si="56"/>
        <v>27.53804116590976</v>
      </c>
      <c r="VN20" s="3">
        <f t="shared" si="56"/>
        <v>26.987280342591564</v>
      </c>
      <c r="VO20" s="3">
        <f t="shared" si="56"/>
        <v>26.447534735739733</v>
      </c>
      <c r="VP20" s="3">
        <f t="shared" si="56"/>
        <v>25.918584041024939</v>
      </c>
      <c r="VQ20" s="3">
        <f t="shared" si="56"/>
        <v>25.400212360204439</v>
      </c>
      <c r="VR20" s="3">
        <f t="shared" si="56"/>
        <v>24.892208113000351</v>
      </c>
      <c r="VS20" s="3">
        <f t="shared" si="56"/>
        <v>24.394363950740342</v>
      </c>
      <c r="VT20" s="3">
        <f t="shared" si="56"/>
        <v>23.906476671725535</v>
      </c>
      <c r="VU20" s="3">
        <f t="shared" si="56"/>
        <v>23.428347138291024</v>
      </c>
      <c r="VV20" s="3">
        <f t="shared" si="56"/>
        <v>22.959780195525202</v>
      </c>
      <c r="VW20" s="3">
        <f t="shared" si="56"/>
        <v>22.500584591614697</v>
      </c>
      <c r="VX20" s="3">
        <f t="shared" si="56"/>
        <v>22.050572899782402</v>
      </c>
      <c r="VY20" s="3">
        <f t="shared" si="56"/>
        <v>21.609561441786752</v>
      </c>
      <c r="VZ20" s="3">
        <f t="shared" si="56"/>
        <v>21.177370212951018</v>
      </c>
      <c r="WA20" s="3">
        <f t="shared" si="56"/>
        <v>20.753822808691996</v>
      </c>
      <c r="WB20" s="3">
        <f t="shared" si="56"/>
        <v>20.338746352518157</v>
      </c>
      <c r="WC20" s="3">
        <f t="shared" si="56"/>
        <v>19.931971425467793</v>
      </c>
      <c r="WD20" s="3">
        <f t="shared" si="56"/>
        <v>19.533331996958438</v>
      </c>
      <c r="WE20" s="3">
        <f t="shared" si="56"/>
        <v>19.142665357019268</v>
      </c>
      <c r="WF20" s="3">
        <f t="shared" si="56"/>
        <v>18.759812049878882</v>
      </c>
      <c r="WG20" s="3">
        <f t="shared" si="56"/>
        <v>18.384615808881303</v>
      </c>
      <c r="WH20" s="3">
        <f t="shared" si="56"/>
        <v>18.016923492703675</v>
      </c>
      <c r="WI20" s="3">
        <f t="shared" si="56"/>
        <v>17.656585022849601</v>
      </c>
      <c r="WJ20" s="3">
        <f t="shared" si="56"/>
        <v>17.30345332239261</v>
      </c>
      <c r="WK20" s="3">
        <f t="shared" si="56"/>
        <v>16.957384255944756</v>
      </c>
      <c r="WL20" s="3">
        <f t="shared" si="56"/>
        <v>16.618236570825861</v>
      </c>
      <c r="WM20" s="3">
        <f t="shared" si="56"/>
        <v>16.285871839409342</v>
      </c>
      <c r="WN20" s="3">
        <f t="shared" si="56"/>
        <v>15.960154402621155</v>
      </c>
      <c r="WO20" s="3">
        <f t="shared" si="56"/>
        <v>15.640951314568731</v>
      </c>
    </row>
    <row r="21" spans="2:613" s="3" customFormat="1" x14ac:dyDescent="0.3">
      <c r="B21" s="3" t="s">
        <v>19</v>
      </c>
      <c r="C21" s="3">
        <v>146643</v>
      </c>
      <c r="D21" s="3">
        <v>147797</v>
      </c>
      <c r="E21" s="3">
        <v>148883</v>
      </c>
      <c r="F21" s="3">
        <v>150133</v>
      </c>
      <c r="G21" s="3">
        <v>151692</v>
      </c>
      <c r="H21" s="3">
        <v>153644</v>
      </c>
      <c r="I21" s="3">
        <v>155123</v>
      </c>
      <c r="J21" s="3">
        <v>156601</v>
      </c>
      <c r="K21" s="3">
        <v>158157</v>
      </c>
      <c r="L21" s="3">
        <v>159677</v>
      </c>
      <c r="M21" s="3">
        <v>161317</v>
      </c>
      <c r="N21" s="3">
        <v>163055</v>
      </c>
      <c r="O21" s="3">
        <v>164491</v>
      </c>
      <c r="P21" s="3">
        <v>165953</v>
      </c>
      <c r="Q21" s="3">
        <v>167407</v>
      </c>
      <c r="R21" s="3">
        <v>169231</v>
      </c>
      <c r="AC21" s="3">
        <v>148407</v>
      </c>
      <c r="AD21" s="3">
        <v>154283</v>
      </c>
      <c r="AE21" s="3">
        <v>160580</v>
      </c>
      <c r="AF21" s="3">
        <v>172500</v>
      </c>
    </row>
    <row r="22" spans="2:613" s="2" customFormat="1" x14ac:dyDescent="0.3">
      <c r="B22" s="2" t="s">
        <v>20</v>
      </c>
      <c r="C22" s="5">
        <f>+C20/C21</f>
        <v>-0.18148155725128373</v>
      </c>
      <c r="D22" s="5">
        <f>+D20/D21</f>
        <v>-0.41609098966826119</v>
      </c>
      <c r="E22" s="5">
        <f>+E20/E21</f>
        <v>-0.33895743637621489</v>
      </c>
      <c r="F22" s="5">
        <f>+F20/F21</f>
        <v>-0.28055790532394609</v>
      </c>
      <c r="G22" s="5">
        <f t="shared" ref="G22:M22" si="57">+G20/G21</f>
        <v>-0.34872636658492207</v>
      </c>
      <c r="H22" s="5">
        <f t="shared" si="57"/>
        <v>-0.33328994298508241</v>
      </c>
      <c r="I22" s="5">
        <f t="shared" si="57"/>
        <v>-1.8459867331085655</v>
      </c>
      <c r="J22" s="5">
        <f t="shared" si="57"/>
        <v>-0.24247610168517442</v>
      </c>
      <c r="K22" s="5">
        <f t="shared" si="57"/>
        <v>-0.3470412311816739</v>
      </c>
      <c r="L22" s="5">
        <f t="shared" si="57"/>
        <v>7.6867676622181025E-2</v>
      </c>
      <c r="M22" s="5">
        <f t="shared" si="57"/>
        <v>0.17522641755053714</v>
      </c>
      <c r="N22" s="5">
        <f>+N20/N21</f>
        <v>6.2598509705314151E-2</v>
      </c>
      <c r="O22" s="5">
        <f>+O20/O21</f>
        <v>-0.2204254336103495</v>
      </c>
      <c r="P22" s="5">
        <f>+P20/P21</f>
        <v>-6.0233921652516072E-2</v>
      </c>
      <c r="Q22" s="5">
        <f>+Q20/Q21</f>
        <v>-5.25485792111441E-2</v>
      </c>
      <c r="R22" s="5">
        <f t="shared" ref="R22:T22" si="58">+R20/R21</f>
        <v>-2.0758608056443559E-2</v>
      </c>
      <c r="S22" s="5" t="e">
        <f t="shared" si="58"/>
        <v>#DIV/0!</v>
      </c>
      <c r="T22" s="5" t="e">
        <f t="shared" si="58"/>
        <v>#DIV/0!</v>
      </c>
      <c r="AC22" s="5">
        <f>AC20/AC21</f>
        <v>-1.2249556961598846</v>
      </c>
      <c r="AD22" s="5">
        <f>AD20/AD21</f>
        <v>-2.78407860879034</v>
      </c>
      <c r="AE22" s="5">
        <f>AE20/AE21</f>
        <v>-5.6787893884668081E-2</v>
      </c>
      <c r="AF22" s="2">
        <v>0.75</v>
      </c>
    </row>
    <row r="23" spans="2:613" s="3" customFormat="1" x14ac:dyDescent="0.3">
      <c r="B23" s="3" t="s">
        <v>196</v>
      </c>
      <c r="H23" s="3">
        <v>1866</v>
      </c>
      <c r="I23" s="3">
        <v>14446</v>
      </c>
      <c r="J23" s="3">
        <v>25044</v>
      </c>
      <c r="K23" s="3">
        <v>4474</v>
      </c>
      <c r="L23" s="3">
        <v>24522</v>
      </c>
      <c r="M23" s="3">
        <v>39145</v>
      </c>
      <c r="N23" s="3">
        <v>56700</v>
      </c>
      <c r="O23" s="3">
        <v>29350</v>
      </c>
      <c r="P23" s="3">
        <v>40927</v>
      </c>
      <c r="Q23" s="3">
        <v>43518</v>
      </c>
      <c r="AD23" s="3">
        <v>32598</v>
      </c>
      <c r="AE23" s="3">
        <v>124841</v>
      </c>
      <c r="AF23" s="3">
        <f>+AF21*0.75</f>
        <v>129375</v>
      </c>
    </row>
    <row r="24" spans="2:613" x14ac:dyDescent="0.3">
      <c r="B24" t="s">
        <v>197</v>
      </c>
      <c r="H24" s="20">
        <f t="shared" ref="H24:N24" si="59">+H23/H21</f>
        <v>1.2144958475436724E-2</v>
      </c>
      <c r="I24" s="20">
        <f t="shared" si="59"/>
        <v>9.3126099933601075E-2</v>
      </c>
      <c r="J24" s="20">
        <f t="shared" si="59"/>
        <v>0.15992235043198957</v>
      </c>
      <c r="K24" s="20">
        <f t="shared" si="59"/>
        <v>2.8288346389979579E-2</v>
      </c>
      <c r="L24" s="20">
        <f t="shared" si="59"/>
        <v>0.15357252453390283</v>
      </c>
      <c r="M24" s="20">
        <f t="shared" si="59"/>
        <v>0.24265886422385738</v>
      </c>
      <c r="N24" s="20">
        <f t="shared" si="59"/>
        <v>0.34773542669651347</v>
      </c>
      <c r="O24" s="20">
        <f>+O23/O21</f>
        <v>0.17842921497224773</v>
      </c>
      <c r="P24" s="20">
        <f>+P23/P21</f>
        <v>0.24661801835459438</v>
      </c>
      <c r="Q24" s="20">
        <f>+Q23/Q21</f>
        <v>0.25995328749693858</v>
      </c>
      <c r="R24" s="20">
        <f t="shared" ref="R24:T24" si="60">+R23/R21</f>
        <v>0</v>
      </c>
      <c r="S24" s="20" t="e">
        <f t="shared" si="60"/>
        <v>#DIV/0!</v>
      </c>
      <c r="T24" s="20" t="e">
        <f t="shared" si="60"/>
        <v>#DIV/0!</v>
      </c>
      <c r="AD24" s="20">
        <f>+AD23/AD21</f>
        <v>0.21128705042033147</v>
      </c>
      <c r="AE24" s="20">
        <f>+AE23/AE21</f>
        <v>0.77743803711545645</v>
      </c>
    </row>
    <row r="26" spans="2:613" x14ac:dyDescent="0.3">
      <c r="AZ26" s="2" t="s">
        <v>199</v>
      </c>
      <c r="BA26" s="7">
        <v>-0.02</v>
      </c>
    </row>
    <row r="27" spans="2:613" s="6" customFormat="1" x14ac:dyDescent="0.3">
      <c r="B27" s="6" t="s">
        <v>86</v>
      </c>
      <c r="C27" s="6">
        <f t="shared" ref="C27:O27" si="61">+C9/C5</f>
        <v>0.88733167824087311</v>
      </c>
      <c r="D27" s="6">
        <f t="shared" si="61"/>
        <v>0.87104244811512155</v>
      </c>
      <c r="E27" s="6">
        <f t="shared" si="61"/>
        <v>0.87109336968162787</v>
      </c>
      <c r="F27" s="6">
        <f t="shared" si="61"/>
        <v>0.88415631331006372</v>
      </c>
      <c r="G27" s="6">
        <f t="shared" si="61"/>
        <v>0.89013855830009936</v>
      </c>
      <c r="H27" s="6">
        <f t="shared" si="61"/>
        <v>0.89471346386685868</v>
      </c>
      <c r="I27" s="6">
        <f t="shared" si="61"/>
        <v>0.89921693347943443</v>
      </c>
      <c r="J27" s="6">
        <f t="shared" si="61"/>
        <v>0.90237454130260897</v>
      </c>
      <c r="K27" s="6">
        <f t="shared" si="61"/>
        <v>0.88902220619787575</v>
      </c>
      <c r="L27" s="6">
        <f t="shared" si="61"/>
        <v>0.88295798098409495</v>
      </c>
      <c r="M27" s="6">
        <f t="shared" si="61"/>
        <v>0.88714440924880256</v>
      </c>
      <c r="N27" s="6">
        <f t="shared" si="61"/>
        <v>0.8918370532230373</v>
      </c>
      <c r="O27" s="6">
        <f t="shared" si="61"/>
        <v>0.88329161014223179</v>
      </c>
      <c r="P27" s="6">
        <f t="shared" ref="P27:Q27" si="62">+P9/P5</f>
        <v>0.87919562637735205</v>
      </c>
      <c r="Q27" s="6">
        <f t="shared" si="62"/>
        <v>0.86813748961543336</v>
      </c>
      <c r="R27" s="6">
        <f t="shared" ref="R27" si="63">+R9/R5</f>
        <v>0.86566155405872458</v>
      </c>
      <c r="AC27" s="6">
        <f>+AC9/AC5</f>
        <v>0.87820972059877078</v>
      </c>
      <c r="AD27" s="6">
        <f>+AD9/AD5</f>
        <v>0.89703848554765775</v>
      </c>
      <c r="AE27" s="6">
        <f>+AE9/AE5</f>
        <v>0.88786287502518935</v>
      </c>
      <c r="AZ27" s="6" t="s">
        <v>314</v>
      </c>
      <c r="BA27" s="6">
        <v>0.09</v>
      </c>
    </row>
    <row r="28" spans="2:613" x14ac:dyDescent="0.3">
      <c r="B28" t="s">
        <v>87</v>
      </c>
      <c r="C28" s="7">
        <f t="shared" ref="C28:O28" si="64">C14/C5</f>
        <v>-0.49049847266237256</v>
      </c>
      <c r="D28" s="7">
        <f t="shared" si="64"/>
        <v>-0.64629209924684039</v>
      </c>
      <c r="E28" s="7">
        <f t="shared" si="64"/>
        <v>-0.50417326807162266</v>
      </c>
      <c r="F28" s="7">
        <f t="shared" si="64"/>
        <v>-0.37649604985883633</v>
      </c>
      <c r="G28" s="7">
        <f t="shared" si="64"/>
        <v>-0.45896845788868046</v>
      </c>
      <c r="H28" s="7">
        <f t="shared" si="64"/>
        <v>-0.38728050379349627</v>
      </c>
      <c r="I28" s="7">
        <f t="shared" si="64"/>
        <v>-0.26904214661784748</v>
      </c>
      <c r="J28" s="7">
        <f t="shared" si="64"/>
        <v>-0.21298823414479268</v>
      </c>
      <c r="K28" s="7">
        <f t="shared" si="64"/>
        <v>-0.31704563589401075</v>
      </c>
      <c r="L28" s="7">
        <f t="shared" si="64"/>
        <v>-0.22458156245892302</v>
      </c>
      <c r="M28" s="7">
        <f t="shared" si="64"/>
        <v>-0.14655669303789398</v>
      </c>
      <c r="N28" s="7">
        <f t="shared" si="64"/>
        <v>-7.3054566265117221E-2</v>
      </c>
      <c r="O28" s="7">
        <f t="shared" si="64"/>
        <v>-0.16134521162282237</v>
      </c>
      <c r="P28" s="7">
        <f t="shared" ref="P28" si="65">P14/P5</f>
        <v>-7.7771656212917442E-2</v>
      </c>
      <c r="Q28" s="7">
        <f>Q14/Q5</f>
        <v>-5.0566189078914518E-2</v>
      </c>
      <c r="R28" s="7">
        <f>R14/R5</f>
        <v>-1.9830876874985599E-2</v>
      </c>
      <c r="AC28" s="7">
        <f>AC14/AC5</f>
        <v>-0.49821603634855399</v>
      </c>
      <c r="AD28" s="7">
        <f>AD14/AD5</f>
        <v>-0.32322479850182617</v>
      </c>
      <c r="AE28" s="7">
        <f>AE14/AE5</f>
        <v>-0.18796863742988137</v>
      </c>
      <c r="AF28" s="7"/>
      <c r="AG28" s="7"/>
      <c r="AH28" s="7"/>
      <c r="AI28" s="7"/>
      <c r="AJ28" s="7"/>
      <c r="AK28" s="7"/>
      <c r="AQ28" s="7"/>
      <c r="AR28" s="7"/>
      <c r="AS28" s="7"/>
      <c r="AT28" s="7"/>
      <c r="AU28" s="7"/>
      <c r="AV28" s="7"/>
      <c r="AW28" s="7"/>
      <c r="AX28" s="7"/>
      <c r="AY28" s="7"/>
      <c r="AZ28" t="s">
        <v>200</v>
      </c>
      <c r="BA28" s="22">
        <f>NPV(BA27,AG20:WO20)+AF20+O50</f>
        <v>9209270.8786976263</v>
      </c>
    </row>
    <row r="29" spans="2:613" x14ac:dyDescent="0.3">
      <c r="B29" t="s">
        <v>88</v>
      </c>
      <c r="C29" s="7">
        <f t="shared" ref="C29:O29" si="66">+C20/C5</f>
        <v>-0.30447218186186459</v>
      </c>
      <c r="D29" s="7">
        <f t="shared" si="66"/>
        <v>-0.60863411882305207</v>
      </c>
      <c r="E29" s="7">
        <f t="shared" si="66"/>
        <v>-0.44666802382701515</v>
      </c>
      <c r="F29" s="7">
        <f t="shared" si="66"/>
        <v>-0.34270627384933322</v>
      </c>
      <c r="G29" s="7">
        <f t="shared" si="66"/>
        <v>-0.41692807263670612</v>
      </c>
      <c r="H29" s="7">
        <f t="shared" si="66"/>
        <v>-0.36686941632457137</v>
      </c>
      <c r="I29" s="7">
        <f t="shared" si="66"/>
        <v>-1.9132680332469199</v>
      </c>
      <c r="J29" s="7">
        <f t="shared" si="66"/>
        <v>-0.23184901605211902</v>
      </c>
      <c r="K29" s="7">
        <f t="shared" si="66"/>
        <v>-0.3244161785479972</v>
      </c>
      <c r="L29" s="7">
        <f t="shared" si="66"/>
        <v>6.7223853130613853E-2</v>
      </c>
      <c r="M29" s="7">
        <f t="shared" si="66"/>
        <v>0.14418481282549592</v>
      </c>
      <c r="N29" s="7">
        <f t="shared" si="66"/>
        <v>4.8275796832063414E-2</v>
      </c>
      <c r="O29" s="7">
        <f t="shared" si="66"/>
        <v>-0.16902787295637944</v>
      </c>
      <c r="P29" s="7">
        <f t="shared" ref="P29:Q29" si="67">+P20/P5</f>
        <v>-4.2363112391930836E-2</v>
      </c>
      <c r="Q29" s="7">
        <f t="shared" si="67"/>
        <v>-3.6001194992490375E-2</v>
      </c>
      <c r="R29" s="7">
        <f t="shared" ref="R29" si="68">+R20/R5</f>
        <v>-1.349067979508606E-2</v>
      </c>
      <c r="AC29" s="7">
        <f>+AC20/AC5</f>
        <v>-0.42841521812902983</v>
      </c>
      <c r="AD29" s="7">
        <f>+AD20/AD5</f>
        <v>-0.74069935472300685</v>
      </c>
      <c r="AE29" s="7">
        <f>+AE20/AE5</f>
        <v>-1.2010552532831785E-2</v>
      </c>
      <c r="AZ29" t="s">
        <v>214</v>
      </c>
      <c r="BA29" s="20">
        <f>BA28/170000</f>
        <v>54.172181639397799</v>
      </c>
    </row>
    <row r="30" spans="2:613" x14ac:dyDescent="0.3">
      <c r="B30" t="s">
        <v>341</v>
      </c>
      <c r="C30" s="7">
        <f t="shared" ref="C30:O30" si="69">+C19/(C17+C18)</f>
        <v>-0.10418222554144885</v>
      </c>
      <c r="D30" s="7">
        <f t="shared" si="69"/>
        <v>9.2601618091431911E-4</v>
      </c>
      <c r="E30" s="7">
        <f t="shared" si="69"/>
        <v>-1.2896825396825397E-3</v>
      </c>
      <c r="F30" s="7">
        <f t="shared" si="69"/>
        <v>-9.0795841119256388E-3</v>
      </c>
      <c r="G30" s="7">
        <f t="shared" si="69"/>
        <v>-2.890319568980608E-2</v>
      </c>
      <c r="H30" s="7">
        <f t="shared" si="69"/>
        <v>-8.5099169350737414E-2</v>
      </c>
      <c r="I30" s="7">
        <f t="shared" si="69"/>
        <v>-8.6849528190212055</v>
      </c>
      <c r="J30" s="7">
        <f t="shared" si="69"/>
        <v>-5.6626874808692988E-2</v>
      </c>
      <c r="K30" s="7">
        <f t="shared" si="69"/>
        <v>-0.30134907651089454</v>
      </c>
      <c r="L30" s="7">
        <f t="shared" si="69"/>
        <v>1.4521476460620348</v>
      </c>
      <c r="M30" s="7">
        <f t="shared" si="69"/>
        <v>3.5342478034785727</v>
      </c>
      <c r="N30" s="7">
        <f t="shared" si="69"/>
        <v>9.9771328056288482</v>
      </c>
      <c r="O30" s="7">
        <f t="shared" si="69"/>
        <v>-7.5298792965390438E-2</v>
      </c>
      <c r="P30" s="7">
        <f t="shared" ref="P30:Q30" si="70">+P19/(P17+P18)</f>
        <v>-0.28964004644561991</v>
      </c>
      <c r="Q30" s="7">
        <f t="shared" si="70"/>
        <v>-0.25923275121671913</v>
      </c>
      <c r="R30" s="7">
        <f t="shared" ref="R30" si="71">+R19/(R17+R18)</f>
        <v>9.9846547314578</v>
      </c>
      <c r="AC30" s="7">
        <f>+AC19/(AC17+AC18)</f>
        <v>-2.2670762030130173E-2</v>
      </c>
      <c r="AD30" s="7">
        <f>+AD19/(AD17+AD18)</f>
        <v>-1.6128924332840606</v>
      </c>
      <c r="AE30" s="7">
        <f>+AE19/(AE17+AE18)</f>
        <v>0.8937092769806394</v>
      </c>
      <c r="AZ30" t="s">
        <v>215</v>
      </c>
      <c r="BA30" s="20">
        <v>40.6</v>
      </c>
    </row>
    <row r="31" spans="2:613" x14ac:dyDescent="0.3">
      <c r="B31" t="s">
        <v>213</v>
      </c>
      <c r="C31" s="7">
        <f>+(C10)/C9</f>
        <v>0.8601193929782488</v>
      </c>
      <c r="D31" s="7">
        <f t="shared" ref="D31:O31" si="72">+(D10)/D9</f>
        <v>0.91680585381372781</v>
      </c>
      <c r="E31" s="7">
        <f t="shared" si="72"/>
        <v>0.82384140951258422</v>
      </c>
      <c r="F31" s="7">
        <f t="shared" si="72"/>
        <v>0.75010352538442426</v>
      </c>
      <c r="G31" s="7">
        <f t="shared" si="72"/>
        <v>0.76622778668130587</v>
      </c>
      <c r="H31" s="7">
        <f t="shared" si="72"/>
        <v>0.73760659807022466</v>
      </c>
      <c r="I31" s="7">
        <f t="shared" si="72"/>
        <v>0.64627295963858999</v>
      </c>
      <c r="J31" s="7">
        <f t="shared" si="72"/>
        <v>0.61412815481426353</v>
      </c>
      <c r="K31" s="7">
        <f t="shared" si="72"/>
        <v>0.6144763348425315</v>
      </c>
      <c r="L31" s="7">
        <f t="shared" si="72"/>
        <v>0.60651060081630626</v>
      </c>
      <c r="M31" s="7">
        <f t="shared" si="72"/>
        <v>0.54817676889640188</v>
      </c>
      <c r="N31" s="7">
        <f t="shared" si="72"/>
        <v>0.52371633733201817</v>
      </c>
      <c r="O31" s="7">
        <f t="shared" si="72"/>
        <v>0.5678193314122254</v>
      </c>
      <c r="P31" s="7">
        <f t="shared" ref="P31:Q31" si="73">+(P10)/P9</f>
        <v>0.52822539827914483</v>
      </c>
      <c r="Q31" s="7">
        <f t="shared" si="73"/>
        <v>0.49485226179925706</v>
      </c>
      <c r="R31" s="7">
        <f t="shared" ref="R31" si="74">+(R10)/R9</f>
        <v>0.49942773489486292</v>
      </c>
      <c r="AC31" s="7">
        <f t="shared" ref="AC31:AE31" si="75">+(AC10)/AC9</f>
        <v>0.83184491863810051</v>
      </c>
      <c r="AD31" s="7">
        <f t="shared" si="75"/>
        <v>0.68511028492996895</v>
      </c>
      <c r="AE31" s="7">
        <f t="shared" si="75"/>
        <v>0.57007842945280363</v>
      </c>
      <c r="AZ31" s="2" t="s">
        <v>216</v>
      </c>
      <c r="BA31" s="21">
        <f>BA29/BA30-1</f>
        <v>0.33429018816250733</v>
      </c>
    </row>
    <row r="32" spans="2:613" x14ac:dyDescent="0.3">
      <c r="B32" t="s">
        <v>89</v>
      </c>
      <c r="C32" s="7">
        <f t="shared" ref="C32" si="76">+C11/C9</f>
        <v>0.41039724596758598</v>
      </c>
      <c r="D32" s="7">
        <f t="shared" ref="D32:O32" si="77">+D11/D9</f>
        <v>0.44903477974344114</v>
      </c>
      <c r="E32" s="7">
        <f t="shared" si="77"/>
        <v>0.41774286962618246</v>
      </c>
      <c r="F32" s="7">
        <f t="shared" si="77"/>
        <v>0.40195455925793006</v>
      </c>
      <c r="G32" s="7">
        <f t="shared" si="77"/>
        <v>0.44614349339023723</v>
      </c>
      <c r="H32" s="7">
        <f t="shared" si="77"/>
        <v>0.39241702366176884</v>
      </c>
      <c r="I32" s="7">
        <f t="shared" si="77"/>
        <v>0.36451584140759674</v>
      </c>
      <c r="J32" s="7">
        <f t="shared" si="77"/>
        <v>0.35447594559848433</v>
      </c>
      <c r="K32" s="7">
        <f t="shared" si="77"/>
        <v>0.35994707833868533</v>
      </c>
      <c r="L32" s="7">
        <f t="shared" si="77"/>
        <v>0.38007245028347414</v>
      </c>
      <c r="M32" s="7">
        <f t="shared" si="77"/>
        <v>0.35276733248237718</v>
      </c>
      <c r="N32" s="7">
        <f t="shared" si="77"/>
        <v>0.33349773549283523</v>
      </c>
      <c r="O32" s="7">
        <f t="shared" si="77"/>
        <v>0.34521886907966265</v>
      </c>
      <c r="P32" s="7">
        <f t="shared" ref="P32:Q32" si="78">+P11/P9</f>
        <v>0.34459521341977778</v>
      </c>
      <c r="Q32" s="7">
        <f t="shared" si="78"/>
        <v>0.32392566892312336</v>
      </c>
      <c r="R32" s="7">
        <f t="shared" ref="R32" si="79">+R11/R9</f>
        <v>0.3059222784136279</v>
      </c>
      <c r="AC32" s="7">
        <f t="shared" ref="AC32:AE32" si="80">+AC11/AC9</f>
        <v>0.41900036494783394</v>
      </c>
      <c r="AD32" s="7">
        <f t="shared" si="80"/>
        <v>0.38608376041430381</v>
      </c>
      <c r="AE32" s="7">
        <f t="shared" si="80"/>
        <v>0.35550927223935597</v>
      </c>
    </row>
    <row r="33" spans="2:151" x14ac:dyDescent="0.3">
      <c r="B33" t="s">
        <v>212</v>
      </c>
      <c r="C33" s="7">
        <f>+(C12)/C9</f>
        <v>0.2822625356180456</v>
      </c>
      <c r="D33" s="7">
        <f t="shared" ref="D33:O33" si="81">+(D12)/D9</f>
        <v>0.37613480133165172</v>
      </c>
      <c r="E33" s="7">
        <f t="shared" si="81"/>
        <v>0.33719784183626811</v>
      </c>
      <c r="F33" s="7">
        <f t="shared" si="81"/>
        <v>0.27376712769971195</v>
      </c>
      <c r="G33" s="7">
        <f t="shared" si="81"/>
        <v>0.3032433437519369</v>
      </c>
      <c r="H33" s="7">
        <f t="shared" si="81"/>
        <v>0.30283060415582336</v>
      </c>
      <c r="I33" s="7">
        <f t="shared" si="81"/>
        <v>0.2884072400879748</v>
      </c>
      <c r="J33" s="7">
        <f t="shared" si="81"/>
        <v>0.26742675417822587</v>
      </c>
      <c r="K33" s="7">
        <f t="shared" si="81"/>
        <v>0.38219944020051727</v>
      </c>
      <c r="L33" s="7">
        <f t="shared" si="81"/>
        <v>0.26776830796332823</v>
      </c>
      <c r="M33" s="7">
        <f t="shared" si="81"/>
        <v>0.26425639079587399</v>
      </c>
      <c r="N33" s="7">
        <f t="shared" si="81"/>
        <v>0.22470062897084248</v>
      </c>
      <c r="O33" s="7">
        <f t="shared" si="81"/>
        <v>0.26962538395769342</v>
      </c>
      <c r="P33" s="7">
        <f t="shared" ref="P33:Q33" si="82">+(P12)/P9</f>
        <v>0.21563712612373767</v>
      </c>
      <c r="Q33" s="7">
        <f t="shared" si="82"/>
        <v>0.23946882129994532</v>
      </c>
      <c r="R33" s="7">
        <f t="shared" ref="R33" si="83">+(R12)/R9</f>
        <v>0.21755833555141513</v>
      </c>
      <c r="AC33" s="7">
        <f t="shared" ref="AC33:AE33" si="84">+(AC12)/AC9</f>
        <v>0.31646344081404837</v>
      </c>
      <c r="AD33" s="7">
        <f t="shared" si="84"/>
        <v>0.28913029269624257</v>
      </c>
      <c r="AE33" s="7">
        <f t="shared" si="84"/>
        <v>0.28612138393049197</v>
      </c>
      <c r="AN33" s="20"/>
    </row>
    <row r="34" spans="2:151" x14ac:dyDescent="0.3">
      <c r="B34" t="s">
        <v>90</v>
      </c>
      <c r="C34" s="7">
        <f t="shared" ref="C34:O34" si="85">+(C15+C16)/C14</f>
        <v>-0.44256291838686351</v>
      </c>
      <c r="D34" s="7">
        <f t="shared" si="85"/>
        <v>-6.9890661848029154E-2</v>
      </c>
      <c r="E34" s="7">
        <f t="shared" si="85"/>
        <v>-0.12847161265405008</v>
      </c>
      <c r="F34" s="7">
        <f t="shared" si="85"/>
        <v>-0.11291437956519861</v>
      </c>
      <c r="G34" s="7">
        <f t="shared" si="85"/>
        <v>-0.1299606752185187</v>
      </c>
      <c r="H34" s="7">
        <f t="shared" si="85"/>
        <v>-0.14395915422609468</v>
      </c>
      <c r="I34" s="7">
        <f t="shared" si="85"/>
        <v>-0.28417811110835173</v>
      </c>
      <c r="J34" s="7">
        <f t="shared" si="85"/>
        <v>-1.0377547802654588E-2</v>
      </c>
      <c r="K34" s="7">
        <f t="shared" si="85"/>
        <v>-0.21370246085011185</v>
      </c>
      <c r="L34" s="7">
        <f t="shared" si="85"/>
        <v>-0.33798317278380685</v>
      </c>
      <c r="M34" s="7">
        <f t="shared" si="85"/>
        <v>-0.61179173047473201</v>
      </c>
      <c r="N34" s="7">
        <f t="shared" si="85"/>
        <v>-0.92638870905088699</v>
      </c>
      <c r="O34" s="7">
        <f t="shared" si="85"/>
        <v>-2.5744004622941345E-2</v>
      </c>
      <c r="P34" s="7">
        <f t="shared" ref="P34:Q34" si="86">+(P15+P16)/P14</f>
        <v>-0.57762519753691899</v>
      </c>
      <c r="Q34" s="7">
        <f t="shared" si="86"/>
        <v>-0.43460666882486243</v>
      </c>
      <c r="R34" s="7">
        <f t="shared" ref="R34" si="87">+(R15+R16)/R14</f>
        <v>-1.07571649883811</v>
      </c>
      <c r="AC34" s="7">
        <f>+(AC15+AC16)/AC14</f>
        <v>-0.17083784665887772</v>
      </c>
      <c r="AD34" s="7">
        <f>+(AD15+AD16)/AD14</f>
        <v>-0.14336854460093898</v>
      </c>
      <c r="AE34" s="7">
        <f>+(AE15+AE16)/AE14</f>
        <v>-0.39885085660231928</v>
      </c>
    </row>
    <row r="35" spans="2:151" x14ac:dyDescent="0.3">
      <c r="B35" t="s">
        <v>198</v>
      </c>
      <c r="C35" s="7"/>
      <c r="D35" s="7"/>
      <c r="E35" s="7"/>
      <c r="F35" s="7"/>
      <c r="G35" s="7"/>
      <c r="H35" s="7">
        <f t="shared" ref="H35:N35" si="88">H23/H5</f>
        <v>1.336858168375352E-2</v>
      </c>
      <c r="I35" s="7">
        <f t="shared" si="88"/>
        <v>9.6520298260149129E-2</v>
      </c>
      <c r="J35" s="7">
        <f t="shared" si="88"/>
        <v>0.15291337717289763</v>
      </c>
      <c r="K35" s="7">
        <f t="shared" si="88"/>
        <v>2.6444112136275247E-2</v>
      </c>
      <c r="L35" s="7">
        <f t="shared" si="88"/>
        <v>0.13430530605091356</v>
      </c>
      <c r="M35" s="7">
        <f t="shared" si="88"/>
        <v>0.19967150734262704</v>
      </c>
      <c r="N35" s="7">
        <f t="shared" si="88"/>
        <v>0.26817259531478355</v>
      </c>
      <c r="O35" s="7">
        <f>O23/O5</f>
        <v>0.13682409595867773</v>
      </c>
      <c r="P35" s="7">
        <f>P23/P5</f>
        <v>0.17344888964231225</v>
      </c>
      <c r="Q35" s="7">
        <f>Q23/Q5</f>
        <v>0.1780948054658629</v>
      </c>
      <c r="R35" s="7">
        <f>R23/R5</f>
        <v>0</v>
      </c>
      <c r="AC35" s="7"/>
      <c r="AD35" s="7">
        <f>+AD23/AD5</f>
        <v>5.6212558587081352E-2</v>
      </c>
      <c r="AE35" s="7">
        <f>+AE23/AE5</f>
        <v>0.16442695347639574</v>
      </c>
      <c r="AF35" s="7">
        <f>+AF23/AF5</f>
        <v>0.13543943619507048</v>
      </c>
    </row>
    <row r="36" spans="2:151" x14ac:dyDescent="0.3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AC36" s="7"/>
      <c r="AD36" s="7"/>
      <c r="AE36" s="7"/>
      <c r="AF36" s="7"/>
    </row>
    <row r="37" spans="2:151" x14ac:dyDescent="0.3">
      <c r="B37" t="s">
        <v>217</v>
      </c>
      <c r="C37" s="20">
        <f t="shared" ref="C37:N37" si="89">C5/C10</f>
        <v>1.3102533353320343</v>
      </c>
      <c r="D37" s="20">
        <f t="shared" si="89"/>
        <v>1.2522276890282442</v>
      </c>
      <c r="E37" s="20">
        <f t="shared" si="89"/>
        <v>1.3934509126788357</v>
      </c>
      <c r="F37" s="20">
        <f t="shared" si="89"/>
        <v>1.5078208383938758</v>
      </c>
      <c r="G37" s="20">
        <f t="shared" si="89"/>
        <v>1.466170539769116</v>
      </c>
      <c r="H37" s="20">
        <f t="shared" si="89"/>
        <v>1.5152742194624169</v>
      </c>
      <c r="I37" s="20">
        <f t="shared" si="89"/>
        <v>1.7207569730276622</v>
      </c>
      <c r="J37" s="20">
        <f t="shared" si="89"/>
        <v>1.8044886626561778</v>
      </c>
      <c r="K37" s="20">
        <f t="shared" si="89"/>
        <v>1.830552670302086</v>
      </c>
      <c r="L37" s="20">
        <f t="shared" si="89"/>
        <v>1.8673321196997279</v>
      </c>
      <c r="M37" s="20">
        <f t="shared" si="89"/>
        <v>2.0562932662051603</v>
      </c>
      <c r="N37" s="20">
        <f t="shared" si="89"/>
        <v>2.1410083744291311</v>
      </c>
      <c r="O37" s="20">
        <f>O5/O10</f>
        <v>1.9938189558218</v>
      </c>
      <c r="P37" s="20">
        <f>P5/P10</f>
        <v>2.1532536981101082</v>
      </c>
      <c r="Q37" s="20">
        <f>Q5/Q10</f>
        <v>2.3277478232705242</v>
      </c>
      <c r="R37" s="20">
        <f>R5/R10</f>
        <v>2.3130190707135307</v>
      </c>
      <c r="AC37" s="7"/>
      <c r="AD37" s="7"/>
      <c r="AE37" s="7"/>
      <c r="AF37" s="7"/>
    </row>
    <row r="39" spans="2:151" x14ac:dyDescent="0.3">
      <c r="B39" t="s">
        <v>92</v>
      </c>
      <c r="AC39" s="9">
        <f>[1]Main!$O$21*1000/AC5</f>
        <v>15.719870574261908</v>
      </c>
      <c r="AD39" s="9">
        <f>[1]Main!$O$21*1000/AD5</f>
        <v>11.502738374840062</v>
      </c>
      <c r="AE39" s="9">
        <f>[1]Main!$O$21*1000/AE5</f>
        <v>8.7856645184913003</v>
      </c>
    </row>
    <row r="40" spans="2:151" x14ac:dyDescent="0.3">
      <c r="AC40" s="9"/>
      <c r="AD40" s="9"/>
      <c r="AE40" s="9"/>
    </row>
    <row r="41" spans="2:151" x14ac:dyDescent="0.3">
      <c r="B41" t="s">
        <v>98</v>
      </c>
      <c r="G41" s="7">
        <f t="shared" ref="G41:R44" si="90">G10/C10-1</f>
        <v>0.29721181232199068</v>
      </c>
      <c r="H41" s="7">
        <f t="shared" si="90"/>
        <v>0.14161781655492067</v>
      </c>
      <c r="I41" s="7">
        <f t="shared" si="90"/>
        <v>7.2742969906265387E-2</v>
      </c>
      <c r="J41" s="7">
        <f t="shared" si="90"/>
        <v>0.11346656361561958</v>
      </c>
      <c r="K41" s="7">
        <f t="shared" si="90"/>
        <v>6.8028704484786928E-2</v>
      </c>
      <c r="L41" s="7">
        <f t="shared" si="90"/>
        <v>6.1465977680316142E-2</v>
      </c>
      <c r="M41" s="7">
        <f t="shared" si="90"/>
        <v>9.6139253604359709E-2</v>
      </c>
      <c r="N41" s="7">
        <f t="shared" si="90"/>
        <v>8.8043454309072011E-2</v>
      </c>
      <c r="O41" s="7">
        <f t="shared" si="90"/>
        <v>0.16405911884359048</v>
      </c>
      <c r="P41" s="7">
        <f t="shared" si="90"/>
        <v>0.12073268015299976</v>
      </c>
      <c r="Q41" s="7">
        <f t="shared" si="90"/>
        <v>0.10104887770086002</v>
      </c>
      <c r="R41" s="7">
        <f t="shared" si="90"/>
        <v>0.14002612578858353</v>
      </c>
      <c r="AC41" s="9"/>
      <c r="AD41" s="7">
        <f t="shared" ref="AD41:AE43" si="91">AD10/AC10-1</f>
        <v>0.14968450798730282</v>
      </c>
      <c r="AE41" s="7">
        <f t="shared" si="91"/>
        <v>7.8289977637046704E-2</v>
      </c>
    </row>
    <row r="42" spans="2:151" x14ac:dyDescent="0.3">
      <c r="B42" t="s">
        <v>99</v>
      </c>
      <c r="G42" s="7">
        <f t="shared" si="90"/>
        <v>0.58300345585925228</v>
      </c>
      <c r="H42" s="7">
        <f t="shared" si="90"/>
        <v>0.24005566801619427</v>
      </c>
      <c r="I42" s="7">
        <f t="shared" si="90"/>
        <v>0.19324787780020913</v>
      </c>
      <c r="J42" s="7">
        <f t="shared" si="90"/>
        <v>0.19935897435897432</v>
      </c>
      <c r="K42" s="7">
        <f t="shared" si="90"/>
        <v>7.4483497727588555E-2</v>
      </c>
      <c r="L42" s="7">
        <f t="shared" si="90"/>
        <v>0.25029077478727535</v>
      </c>
      <c r="M42" s="7">
        <f t="shared" si="90"/>
        <v>0.25064209710954377</v>
      </c>
      <c r="N42" s="7">
        <f t="shared" si="90"/>
        <v>0.2003703138123234</v>
      </c>
      <c r="O42" s="7">
        <f t="shared" si="90"/>
        <v>0.20816401920945693</v>
      </c>
      <c r="P42" s="7">
        <f t="shared" si="90"/>
        <v>0.1667129078060483</v>
      </c>
      <c r="Q42" s="7">
        <f t="shared" si="90"/>
        <v>0.11997587769338591</v>
      </c>
      <c r="R42" s="7">
        <f t="shared" si="90"/>
        <v>9.6620815774827173E-2</v>
      </c>
      <c r="AC42" s="9"/>
      <c r="AD42" s="7">
        <f t="shared" si="91"/>
        <v>0.28625682867627744</v>
      </c>
      <c r="AE42" s="7">
        <f t="shared" si="91"/>
        <v>0.19324835690101572</v>
      </c>
    </row>
    <row r="43" spans="2:151" x14ac:dyDescent="0.3">
      <c r="B43" t="s">
        <v>100</v>
      </c>
      <c r="G43" s="7">
        <f t="shared" si="90"/>
        <v>0.56440708934770689</v>
      </c>
      <c r="H43" s="7">
        <f t="shared" si="90"/>
        <v>0.14242991783470282</v>
      </c>
      <c r="I43" s="7">
        <f t="shared" si="90"/>
        <v>0.16961971915868146</v>
      </c>
      <c r="J43" s="7">
        <f t="shared" si="90"/>
        <v>0.32850420168067229</v>
      </c>
      <c r="K43" s="7">
        <f t="shared" si="90"/>
        <v>0.67855057229619242</v>
      </c>
      <c r="L43" s="7">
        <f t="shared" si="90"/>
        <v>0.14143684391443445</v>
      </c>
      <c r="M43" s="7">
        <f t="shared" si="90"/>
        <v>0.18407832023702175</v>
      </c>
      <c r="N43" s="7">
        <f t="shared" si="90"/>
        <v>7.2034005515775545E-2</v>
      </c>
      <c r="O43" s="7">
        <f t="shared" si="90"/>
        <v>-0.11132951797797763</v>
      </c>
      <c r="P43" s="7">
        <f t="shared" si="90"/>
        <v>3.6300037064492141E-2</v>
      </c>
      <c r="Q43" s="7">
        <f t="shared" si="90"/>
        <v>0.1052872062663186</v>
      </c>
      <c r="R43" s="7">
        <f t="shared" si="90"/>
        <v>0.15746990795374094</v>
      </c>
      <c r="AC43" s="9"/>
      <c r="AD43" s="7">
        <f t="shared" si="91"/>
        <v>0.27535359359630984</v>
      </c>
      <c r="AE43" s="7">
        <f t="shared" si="91"/>
        <v>0.2823842292476979</v>
      </c>
    </row>
    <row r="44" spans="2:151" x14ac:dyDescent="0.3">
      <c r="B44" t="s">
        <v>101</v>
      </c>
      <c r="G44" s="7">
        <f t="shared" si="90"/>
        <v>0.42131659359638629</v>
      </c>
      <c r="H44" s="7">
        <f t="shared" si="90"/>
        <v>0.16716782008048892</v>
      </c>
      <c r="I44" s="7">
        <f t="shared" si="90"/>
        <v>0.12531938035384438</v>
      </c>
      <c r="J44" s="7">
        <f t="shared" si="90"/>
        <v>0.17896904022769666</v>
      </c>
      <c r="K44" s="7">
        <f t="shared" si="90"/>
        <v>0.19208164886780543</v>
      </c>
      <c r="L44" s="7">
        <f t="shared" si="90"/>
        <v>0.13008125537883775</v>
      </c>
      <c r="M44" s="7">
        <f t="shared" si="90"/>
        <v>0.15900967109138642</v>
      </c>
      <c r="N44" s="7">
        <f t="shared" si="90"/>
        <v>0.11679339584941406</v>
      </c>
      <c r="O44" s="7">
        <f t="shared" si="90"/>
        <v>9.8176436283086144E-2</v>
      </c>
      <c r="P44" s="7">
        <f t="shared" si="90"/>
        <v>0.11664086955231712</v>
      </c>
      <c r="Q44" s="7">
        <f t="shared" si="90"/>
        <v>0.10774028639947897</v>
      </c>
      <c r="R44" s="7">
        <f t="shared" si="90"/>
        <v>0.13026940119995301</v>
      </c>
      <c r="AC44" s="9"/>
      <c r="AD44" s="7"/>
      <c r="AE44" s="7"/>
    </row>
    <row r="45" spans="2:151" s="21" customFormat="1" x14ac:dyDescent="0.3">
      <c r="B45" s="21" t="s">
        <v>91</v>
      </c>
      <c r="G45" s="21">
        <f t="shared" ref="G45:Z45" si="92">G5/C5-1</f>
        <v>0.4515771048085393</v>
      </c>
      <c r="H45" s="21">
        <f t="shared" si="92"/>
        <v>0.38142932077077618</v>
      </c>
      <c r="I45" s="21">
        <f t="shared" si="92"/>
        <v>0.32471831546897256</v>
      </c>
      <c r="J45" s="21">
        <f t="shared" si="92"/>
        <v>0.3325441187239131</v>
      </c>
      <c r="K45" s="21">
        <f t="shared" si="92"/>
        <v>0.33346206592159389</v>
      </c>
      <c r="L45" s="21">
        <f t="shared" si="92"/>
        <v>0.30808634412993174</v>
      </c>
      <c r="M45" s="21">
        <f t="shared" si="92"/>
        <v>0.3098791992944383</v>
      </c>
      <c r="N45" s="21">
        <f t="shared" si="92"/>
        <v>0.29095305258915971</v>
      </c>
      <c r="O45" s="21">
        <f t="shared" si="92"/>
        <v>0.26788110197592019</v>
      </c>
      <c r="P45" s="21">
        <f t="shared" si="92"/>
        <v>0.29233667791263196</v>
      </c>
      <c r="Q45" s="21">
        <f t="shared" si="92"/>
        <v>0.24640009793569906</v>
      </c>
      <c r="R45" s="21">
        <f t="shared" si="92"/>
        <v>0.23161693412981066</v>
      </c>
      <c r="S45" s="21">
        <f t="shared" si="92"/>
        <v>0.18876131071423585</v>
      </c>
      <c r="T45" s="21">
        <f t="shared" si="92"/>
        <v>0.17392778437023226</v>
      </c>
      <c r="U45" s="21">
        <f t="shared" si="92"/>
        <v>0.1990849304080573</v>
      </c>
      <c r="V45" s="21">
        <f t="shared" si="92"/>
        <v>0.19430726338507376</v>
      </c>
      <c r="W45" s="21">
        <f t="shared" si="92"/>
        <v>0.26666666666666661</v>
      </c>
      <c r="X45" s="21">
        <f t="shared" si="92"/>
        <v>0.19999999999999996</v>
      </c>
      <c r="Y45" s="21">
        <f t="shared" si="92"/>
        <v>0.19999999999999996</v>
      </c>
      <c r="Z45" s="21">
        <f t="shared" si="92"/>
        <v>0.19999999999999996</v>
      </c>
      <c r="AD45" s="21">
        <f>AD5/AC5-1</f>
        <v>0.36661984842200512</v>
      </c>
      <c r="AE45" s="21">
        <f>AE5/AD5-1</f>
        <v>0.30926219076884864</v>
      </c>
      <c r="AF45" s="21">
        <f>AF5/AE5-1</f>
        <v>0.25811690236009532</v>
      </c>
      <c r="AG45" s="21">
        <f>AG5/AF5-1</f>
        <v>0.18924985134376859</v>
      </c>
      <c r="AH45" s="21">
        <f>0.23</f>
        <v>0.23</v>
      </c>
      <c r="AI45" s="21">
        <f t="shared" ref="AI45" si="93">0.23</f>
        <v>0.23</v>
      </c>
      <c r="AJ45" s="21">
        <f>0.22</f>
        <v>0.22</v>
      </c>
      <c r="AK45" s="21">
        <f>+AJ45-0.02</f>
        <v>0.2</v>
      </c>
      <c r="AL45" s="21">
        <f>+AK45-0.015</f>
        <v>0.185</v>
      </c>
      <c r="AM45" s="21">
        <f t="shared" ref="AM45:AO45" si="94">+AL45-0.015</f>
        <v>0.16999999999999998</v>
      </c>
      <c r="AN45" s="21">
        <f t="shared" si="94"/>
        <v>0.15499999999999997</v>
      </c>
      <c r="AO45" s="21">
        <f t="shared" si="94"/>
        <v>0.13999999999999996</v>
      </c>
      <c r="AP45" s="21">
        <f>+AO45-0.01</f>
        <v>0.12999999999999995</v>
      </c>
      <c r="AQ45" s="21">
        <f t="shared" ref="AQ45:AY45" si="95">+AP45-0.01</f>
        <v>0.11999999999999995</v>
      </c>
      <c r="AR45" s="21">
        <f t="shared" si="95"/>
        <v>0.10999999999999996</v>
      </c>
      <c r="AS45" s="21">
        <f t="shared" si="95"/>
        <v>9.9999999999999964E-2</v>
      </c>
      <c r="AT45" s="21">
        <f t="shared" si="95"/>
        <v>8.9999999999999969E-2</v>
      </c>
      <c r="AU45" s="21">
        <f t="shared" si="95"/>
        <v>7.9999999999999974E-2</v>
      </c>
      <c r="AV45" s="21">
        <f t="shared" si="95"/>
        <v>6.9999999999999979E-2</v>
      </c>
      <c r="AW45" s="21">
        <f t="shared" si="95"/>
        <v>5.9999999999999977E-2</v>
      </c>
      <c r="AX45" s="21">
        <f t="shared" si="95"/>
        <v>4.9999999999999975E-2</v>
      </c>
      <c r="AY45" s="21">
        <f t="shared" si="95"/>
        <v>3.9999999999999973E-2</v>
      </c>
      <c r="AZ45" s="21">
        <f>+AY45-0.01</f>
        <v>2.9999999999999971E-2</v>
      </c>
      <c r="BA45" s="21">
        <f>+AZ45-0.01</f>
        <v>1.9999999999999969E-2</v>
      </c>
      <c r="BB45" s="21">
        <f>+BA45-0.01</f>
        <v>9.999999999999969E-3</v>
      </c>
      <c r="BC45" s="21">
        <f>+BB45-0.002</f>
        <v>7.9999999999999689E-3</v>
      </c>
      <c r="BD45" s="21">
        <f t="shared" ref="BD45:DO45" si="96">+BC45-0.002</f>
        <v>5.9999999999999689E-3</v>
      </c>
      <c r="BE45" s="21">
        <f t="shared" si="96"/>
        <v>3.9999999999999689E-3</v>
      </c>
      <c r="BF45" s="21">
        <f t="shared" si="96"/>
        <v>1.9999999999999688E-3</v>
      </c>
      <c r="BG45" s="21">
        <f t="shared" si="96"/>
        <v>-3.1225022567582528E-17</v>
      </c>
      <c r="BH45" s="21">
        <f t="shared" si="96"/>
        <v>-2.0000000000000313E-3</v>
      </c>
      <c r="BI45" s="21">
        <f t="shared" si="96"/>
        <v>-4.0000000000000313E-3</v>
      </c>
      <c r="BJ45" s="21">
        <f t="shared" si="96"/>
        <v>-6.0000000000000313E-3</v>
      </c>
      <c r="BK45" s="21">
        <f t="shared" si="96"/>
        <v>-8.0000000000000314E-3</v>
      </c>
      <c r="BL45" s="21">
        <f t="shared" si="96"/>
        <v>-1.0000000000000031E-2</v>
      </c>
      <c r="BM45" s="21">
        <f t="shared" si="96"/>
        <v>-1.2000000000000031E-2</v>
      </c>
      <c r="BN45" s="21">
        <f t="shared" si="96"/>
        <v>-1.4000000000000032E-2</v>
      </c>
      <c r="BO45" s="21">
        <f t="shared" si="96"/>
        <v>-1.6000000000000032E-2</v>
      </c>
      <c r="BP45" s="21">
        <f t="shared" si="96"/>
        <v>-1.800000000000003E-2</v>
      </c>
      <c r="BQ45" s="21">
        <f t="shared" si="96"/>
        <v>-2.0000000000000032E-2</v>
      </c>
      <c r="BR45" s="21">
        <f t="shared" si="96"/>
        <v>-2.2000000000000033E-2</v>
      </c>
      <c r="BS45" s="21">
        <f t="shared" si="96"/>
        <v>-2.4000000000000035E-2</v>
      </c>
      <c r="BT45" s="21">
        <f t="shared" si="96"/>
        <v>-2.6000000000000037E-2</v>
      </c>
      <c r="BU45" s="21">
        <f t="shared" si="96"/>
        <v>-2.8000000000000039E-2</v>
      </c>
      <c r="BV45" s="21">
        <f t="shared" si="96"/>
        <v>-3.0000000000000041E-2</v>
      </c>
      <c r="BW45" s="21">
        <f t="shared" si="96"/>
        <v>-3.2000000000000042E-2</v>
      </c>
      <c r="BX45" s="21">
        <f t="shared" si="96"/>
        <v>-3.4000000000000044E-2</v>
      </c>
      <c r="BY45" s="21">
        <f t="shared" si="96"/>
        <v>-3.6000000000000046E-2</v>
      </c>
      <c r="BZ45" s="21">
        <f t="shared" si="96"/>
        <v>-3.8000000000000048E-2</v>
      </c>
      <c r="CA45" s="21">
        <f t="shared" si="96"/>
        <v>-4.0000000000000049E-2</v>
      </c>
      <c r="CB45" s="21">
        <f t="shared" si="96"/>
        <v>-4.2000000000000051E-2</v>
      </c>
      <c r="CC45" s="21">
        <f t="shared" si="96"/>
        <v>-4.4000000000000053E-2</v>
      </c>
      <c r="CD45" s="21">
        <f t="shared" si="96"/>
        <v>-4.6000000000000055E-2</v>
      </c>
      <c r="CE45" s="21">
        <f t="shared" si="96"/>
        <v>-4.8000000000000057E-2</v>
      </c>
      <c r="CF45" s="21">
        <f t="shared" si="96"/>
        <v>-5.0000000000000058E-2</v>
      </c>
      <c r="CG45" s="21">
        <f t="shared" si="96"/>
        <v>-5.200000000000006E-2</v>
      </c>
      <c r="CH45" s="21">
        <f t="shared" si="96"/>
        <v>-5.4000000000000062E-2</v>
      </c>
      <c r="CI45" s="21">
        <f t="shared" si="96"/>
        <v>-5.6000000000000064E-2</v>
      </c>
      <c r="CJ45" s="21">
        <f t="shared" si="96"/>
        <v>-5.8000000000000065E-2</v>
      </c>
      <c r="CK45" s="21">
        <f t="shared" si="96"/>
        <v>-6.0000000000000067E-2</v>
      </c>
      <c r="CL45" s="21">
        <f t="shared" si="96"/>
        <v>-6.2000000000000069E-2</v>
      </c>
      <c r="CM45" s="21">
        <f t="shared" si="96"/>
        <v>-6.4000000000000071E-2</v>
      </c>
      <c r="CN45" s="21">
        <f t="shared" si="96"/>
        <v>-6.6000000000000072E-2</v>
      </c>
      <c r="CO45" s="21">
        <f t="shared" si="96"/>
        <v>-6.8000000000000074E-2</v>
      </c>
      <c r="CP45" s="21">
        <f t="shared" si="96"/>
        <v>-7.0000000000000076E-2</v>
      </c>
      <c r="CQ45" s="21">
        <f t="shared" si="96"/>
        <v>-7.2000000000000078E-2</v>
      </c>
      <c r="CR45" s="21">
        <f t="shared" si="96"/>
        <v>-7.400000000000008E-2</v>
      </c>
      <c r="CS45" s="21">
        <f t="shared" si="96"/>
        <v>-7.6000000000000081E-2</v>
      </c>
      <c r="CT45" s="21">
        <f t="shared" si="96"/>
        <v>-7.8000000000000083E-2</v>
      </c>
      <c r="CU45" s="21">
        <f t="shared" si="96"/>
        <v>-8.0000000000000085E-2</v>
      </c>
      <c r="CV45" s="21">
        <f t="shared" si="96"/>
        <v>-8.2000000000000087E-2</v>
      </c>
      <c r="CW45" s="21">
        <f t="shared" si="96"/>
        <v>-8.4000000000000088E-2</v>
      </c>
      <c r="CX45" s="21">
        <f t="shared" si="96"/>
        <v>-8.600000000000009E-2</v>
      </c>
      <c r="CY45" s="21">
        <f t="shared" si="96"/>
        <v>-8.8000000000000092E-2</v>
      </c>
      <c r="CZ45" s="21">
        <f t="shared" si="96"/>
        <v>-9.0000000000000094E-2</v>
      </c>
      <c r="DA45" s="21">
        <f t="shared" si="96"/>
        <v>-9.2000000000000096E-2</v>
      </c>
      <c r="DB45" s="21">
        <f t="shared" si="96"/>
        <v>-9.4000000000000097E-2</v>
      </c>
      <c r="DC45" s="21">
        <f t="shared" si="96"/>
        <v>-9.6000000000000099E-2</v>
      </c>
      <c r="DD45" s="21">
        <f t="shared" si="96"/>
        <v>-9.8000000000000101E-2</v>
      </c>
      <c r="DE45" s="21">
        <f t="shared" si="96"/>
        <v>-0.1000000000000001</v>
      </c>
      <c r="DF45" s="21">
        <f t="shared" si="96"/>
        <v>-0.1020000000000001</v>
      </c>
      <c r="DG45" s="21">
        <f t="shared" si="96"/>
        <v>-0.10400000000000011</v>
      </c>
      <c r="DH45" s="21">
        <f t="shared" si="96"/>
        <v>-0.10600000000000011</v>
      </c>
      <c r="DI45" s="21">
        <f t="shared" si="96"/>
        <v>-0.10800000000000011</v>
      </c>
      <c r="DJ45" s="21">
        <f t="shared" si="96"/>
        <v>-0.11000000000000011</v>
      </c>
      <c r="DK45" s="21">
        <f t="shared" si="96"/>
        <v>-0.11200000000000011</v>
      </c>
      <c r="DL45" s="21">
        <f t="shared" si="96"/>
        <v>-0.11400000000000012</v>
      </c>
      <c r="DM45" s="21">
        <f t="shared" si="96"/>
        <v>-0.11600000000000012</v>
      </c>
      <c r="DN45" s="21">
        <f t="shared" si="96"/>
        <v>-0.11800000000000012</v>
      </c>
      <c r="DO45" s="21">
        <f t="shared" si="96"/>
        <v>-0.12000000000000012</v>
      </c>
      <c r="DP45" s="21">
        <f t="shared" ref="DP45:EU45" si="97">+DO45-0.002</f>
        <v>-0.12200000000000012</v>
      </c>
      <c r="DQ45" s="21">
        <f t="shared" si="97"/>
        <v>-0.12400000000000012</v>
      </c>
      <c r="DR45" s="21">
        <f t="shared" si="97"/>
        <v>-0.12600000000000011</v>
      </c>
      <c r="DS45" s="21">
        <f t="shared" si="97"/>
        <v>-0.12800000000000011</v>
      </c>
      <c r="DT45" s="21">
        <f t="shared" si="97"/>
        <v>-0.13000000000000012</v>
      </c>
      <c r="DU45" s="21">
        <f t="shared" si="97"/>
        <v>-0.13200000000000012</v>
      </c>
      <c r="DV45" s="21">
        <f t="shared" si="97"/>
        <v>-0.13400000000000012</v>
      </c>
      <c r="DW45" s="21">
        <f t="shared" si="97"/>
        <v>-0.13600000000000012</v>
      </c>
      <c r="DX45" s="21">
        <f t="shared" si="97"/>
        <v>-0.13800000000000012</v>
      </c>
      <c r="DY45" s="21">
        <f t="shared" si="97"/>
        <v>-0.14000000000000012</v>
      </c>
      <c r="DZ45" s="21">
        <f t="shared" si="97"/>
        <v>-0.14200000000000013</v>
      </c>
      <c r="EA45" s="21">
        <f t="shared" si="97"/>
        <v>-0.14400000000000013</v>
      </c>
      <c r="EB45" s="21">
        <f t="shared" si="97"/>
        <v>-0.14600000000000013</v>
      </c>
      <c r="EC45" s="21">
        <f t="shared" si="97"/>
        <v>-0.14800000000000013</v>
      </c>
      <c r="ED45" s="21">
        <f t="shared" si="97"/>
        <v>-0.15000000000000013</v>
      </c>
      <c r="EE45" s="21">
        <f t="shared" si="97"/>
        <v>-0.15200000000000014</v>
      </c>
      <c r="EF45" s="21">
        <f t="shared" si="97"/>
        <v>-0.15400000000000014</v>
      </c>
      <c r="EG45" s="21">
        <f t="shared" si="97"/>
        <v>-0.15600000000000014</v>
      </c>
      <c r="EH45" s="21">
        <f t="shared" si="97"/>
        <v>-0.15800000000000014</v>
      </c>
      <c r="EI45" s="21">
        <f t="shared" si="97"/>
        <v>-0.16000000000000014</v>
      </c>
      <c r="EJ45" s="21">
        <f t="shared" si="97"/>
        <v>-0.16200000000000014</v>
      </c>
      <c r="EK45" s="21">
        <f t="shared" si="97"/>
        <v>-0.16400000000000015</v>
      </c>
      <c r="EL45" s="21">
        <f t="shared" si="97"/>
        <v>-0.16600000000000015</v>
      </c>
      <c r="EM45" s="21">
        <f t="shared" si="97"/>
        <v>-0.16800000000000015</v>
      </c>
      <c r="EN45" s="21">
        <f t="shared" si="97"/>
        <v>-0.17000000000000015</v>
      </c>
      <c r="EO45" s="21">
        <f t="shared" si="97"/>
        <v>-0.17200000000000015</v>
      </c>
      <c r="EP45" s="21">
        <f t="shared" si="97"/>
        <v>-0.17400000000000015</v>
      </c>
      <c r="EQ45" s="21">
        <f t="shared" si="97"/>
        <v>-0.17600000000000016</v>
      </c>
      <c r="ER45" s="21">
        <f t="shared" si="97"/>
        <v>-0.17800000000000016</v>
      </c>
      <c r="ES45" s="21">
        <f t="shared" si="97"/>
        <v>-0.18000000000000016</v>
      </c>
      <c r="ET45" s="21">
        <f t="shared" si="97"/>
        <v>-0.18200000000000016</v>
      </c>
      <c r="EU45" s="21">
        <f t="shared" si="97"/>
        <v>-0.18400000000000016</v>
      </c>
    </row>
    <row r="46" spans="2:151" x14ac:dyDescent="0.3">
      <c r="B46" t="s">
        <v>290</v>
      </c>
      <c r="D46" s="32">
        <f t="shared" ref="D46:N46" si="98">D5/C5-1</f>
        <v>0.15598293042891309</v>
      </c>
      <c r="E46" s="32">
        <f t="shared" si="98"/>
        <v>0.11816985184232154</v>
      </c>
      <c r="F46" s="32">
        <f t="shared" si="98"/>
        <v>8.7855480124976681E-2</v>
      </c>
      <c r="G46" s="32">
        <f t="shared" si="98"/>
        <v>3.2308981587704455E-2</v>
      </c>
      <c r="H46" s="32">
        <f t="shared" si="98"/>
        <v>0.10011980012295285</v>
      </c>
      <c r="I46" s="32">
        <f t="shared" si="98"/>
        <v>7.2266282660247372E-2</v>
      </c>
      <c r="J46" s="32">
        <f t="shared" si="98"/>
        <v>9.4282010850682774E-2</v>
      </c>
      <c r="K46" s="32">
        <f t="shared" si="98"/>
        <v>3.3020106362842583E-2</v>
      </c>
      <c r="L46" s="32">
        <f t="shared" si="98"/>
        <v>7.9184570918569452E-2</v>
      </c>
      <c r="M46" s="32">
        <f t="shared" si="98"/>
        <v>7.3735924286903565E-2</v>
      </c>
      <c r="N46" s="32">
        <f t="shared" si="98"/>
        <v>7.8470978897917432E-2</v>
      </c>
      <c r="O46" s="32">
        <f>O5/N5-1</f>
        <v>1.4557940888516807E-2</v>
      </c>
      <c r="P46" s="32">
        <f>P5/O5-1</f>
        <v>0.10000046618090619</v>
      </c>
      <c r="Q46" s="32">
        <f>Q5/P5-1</f>
        <v>3.5569588065773816E-2</v>
      </c>
      <c r="R46" s="32">
        <f>R5/Q5-1</f>
        <v>6.567957013009873E-2</v>
      </c>
    </row>
    <row r="49" spans="2:53" x14ac:dyDescent="0.3">
      <c r="Q49" s="3"/>
      <c r="AZ49" s="3"/>
      <c r="BA49" s="3"/>
    </row>
    <row r="50" spans="2:53" s="3" customFormat="1" x14ac:dyDescent="0.3">
      <c r="B50" s="3" t="s">
        <v>21</v>
      </c>
      <c r="F50" s="3">
        <f>295402+641249+12682</f>
        <v>949333</v>
      </c>
      <c r="G50" s="3">
        <f>315933+621706+11735</f>
        <v>949374</v>
      </c>
      <c r="H50" s="3">
        <f>273225+713058+10574</f>
        <v>996857</v>
      </c>
      <c r="I50" s="3">
        <f>285309+704325+9634</f>
        <v>999268</v>
      </c>
      <c r="J50" s="3">
        <f>287996+748289</f>
        <v>1036285</v>
      </c>
      <c r="K50" s="3">
        <f>420322+641173</f>
        <v>1061495</v>
      </c>
      <c r="L50" s="3">
        <f>438616+644488</f>
        <v>1083104</v>
      </c>
      <c r="M50" s="3">
        <f>176632+740340</f>
        <v>916972</v>
      </c>
      <c r="N50" s="3">
        <f>227649+764728</f>
        <v>992377</v>
      </c>
      <c r="O50" s="3">
        <f>255719+849113</f>
        <v>1104832</v>
      </c>
      <c r="P50" s="3">
        <f>261371+903806</f>
        <v>1165177</v>
      </c>
      <c r="Q50" s="3">
        <f>224231+980077</f>
        <v>1204308</v>
      </c>
      <c r="R50" s="3">
        <f>229576+1030327</f>
        <v>1259903</v>
      </c>
      <c r="AD50" s="3">
        <f>287996+748289</f>
        <v>1036285</v>
      </c>
      <c r="AE50" s="3">
        <f>227649+764728</f>
        <v>992377</v>
      </c>
    </row>
    <row r="51" spans="2:53" s="3" customFormat="1" x14ac:dyDescent="0.3">
      <c r="B51" s="3" t="s">
        <v>22</v>
      </c>
      <c r="F51" s="3">
        <v>130479</v>
      </c>
      <c r="G51" s="3">
        <v>126079</v>
      </c>
      <c r="H51" s="3">
        <v>105815</v>
      </c>
      <c r="I51" s="3">
        <v>135614</v>
      </c>
      <c r="J51" s="3">
        <v>166731</v>
      </c>
      <c r="K51" s="3">
        <v>135195</v>
      </c>
      <c r="L51" s="3">
        <v>165001</v>
      </c>
      <c r="M51" s="3">
        <v>197555</v>
      </c>
      <c r="N51" s="3">
        <v>264565</v>
      </c>
      <c r="O51" s="3">
        <v>201408</v>
      </c>
      <c r="P51" s="3">
        <v>197775</v>
      </c>
      <c r="Q51" s="3">
        <v>221140</v>
      </c>
      <c r="R51" s="3">
        <v>304301</v>
      </c>
      <c r="AD51" s="3">
        <v>166731</v>
      </c>
      <c r="AE51" s="3">
        <v>264565</v>
      </c>
    </row>
    <row r="52" spans="2:53" s="3" customFormat="1" x14ac:dyDescent="0.3">
      <c r="B52" s="3" t="s">
        <v>34</v>
      </c>
      <c r="F52" s="3">
        <f>26505+15628</f>
        <v>42133</v>
      </c>
      <c r="G52" s="3">
        <f>25093+15014</f>
        <v>40107</v>
      </c>
      <c r="H52" s="3">
        <f>25069+14743</f>
        <v>39812</v>
      </c>
      <c r="I52" s="3">
        <f>27196+15104</f>
        <v>42300</v>
      </c>
      <c r="J52" s="3">
        <f>32300+4390</f>
        <v>36690</v>
      </c>
      <c r="K52" s="3">
        <f>31034+17738</f>
        <v>48772</v>
      </c>
      <c r="L52" s="3">
        <f>33841+15753</f>
        <v>49594</v>
      </c>
      <c r="M52" s="3">
        <f>34518+17248</f>
        <v>51766</v>
      </c>
      <c r="N52" s="3">
        <f>38964+4437</f>
        <v>43401</v>
      </c>
      <c r="O52" s="3">
        <f>35455+19830</f>
        <v>55285</v>
      </c>
      <c r="P52" s="3">
        <f>18961+35306</f>
        <v>54267</v>
      </c>
      <c r="Q52" s="3">
        <f>36522+20288</f>
        <v>56810</v>
      </c>
      <c r="R52" s="3">
        <f>42676+23705</f>
        <v>66381</v>
      </c>
      <c r="AD52" s="3">
        <f>32300+4390</f>
        <v>36690</v>
      </c>
      <c r="AE52" s="3">
        <f>38964+4437</f>
        <v>43401</v>
      </c>
    </row>
    <row r="53" spans="2:53" s="3" customFormat="1" x14ac:dyDescent="0.3">
      <c r="B53" s="3" t="s">
        <v>24</v>
      </c>
      <c r="F53" s="3">
        <v>24327</v>
      </c>
      <c r="G53" s="3">
        <v>26409</v>
      </c>
      <c r="H53" s="3">
        <v>26053</v>
      </c>
      <c r="I53" s="3">
        <v>29892</v>
      </c>
      <c r="J53" s="3">
        <v>49143</v>
      </c>
      <c r="K53" s="3">
        <v>35319</v>
      </c>
      <c r="L53" s="3">
        <v>32410</v>
      </c>
      <c r="M53" s="3">
        <v>43120</v>
      </c>
      <c r="N53" s="3">
        <v>40411</v>
      </c>
      <c r="O53" s="3">
        <v>39066</v>
      </c>
      <c r="P53" s="3">
        <v>37912</v>
      </c>
      <c r="Q53" s="3">
        <v>44979</v>
      </c>
      <c r="R53" s="3">
        <v>48899</v>
      </c>
      <c r="AD53" s="3">
        <v>49143</v>
      </c>
      <c r="AE53" s="3">
        <v>40411</v>
      </c>
    </row>
    <row r="54" spans="2:53" s="3" customFormat="1" x14ac:dyDescent="0.3">
      <c r="B54" s="3" t="s">
        <v>25</v>
      </c>
      <c r="F54" s="3">
        <v>5797</v>
      </c>
      <c r="G54" s="3">
        <v>4936</v>
      </c>
      <c r="H54" s="3">
        <v>4080</v>
      </c>
      <c r="I54" s="3">
        <v>3690</v>
      </c>
      <c r="J54" s="3">
        <v>2954</v>
      </c>
      <c r="K54" s="3">
        <v>2820</v>
      </c>
      <c r="L54" s="3">
        <v>2899</v>
      </c>
      <c r="M54" s="3">
        <v>3563</v>
      </c>
      <c r="N54" s="3">
        <v>4013</v>
      </c>
      <c r="O54" s="3">
        <v>4856</v>
      </c>
      <c r="P54" s="3">
        <v>7642</v>
      </c>
      <c r="Q54" s="3">
        <v>10193</v>
      </c>
      <c r="R54" s="3">
        <v>11815</v>
      </c>
      <c r="AD54" s="3">
        <v>2954</v>
      </c>
      <c r="AE54" s="3">
        <v>4013</v>
      </c>
    </row>
    <row r="55" spans="2:53" s="3" customFormat="1" x14ac:dyDescent="0.3">
      <c r="B55" s="3" t="s">
        <v>26</v>
      </c>
      <c r="F55" s="3">
        <v>998</v>
      </c>
      <c r="G55" s="3">
        <v>1300</v>
      </c>
      <c r="H55" s="3">
        <v>673</v>
      </c>
      <c r="I55" s="3">
        <v>533</v>
      </c>
      <c r="J55" s="3">
        <v>405</v>
      </c>
      <c r="K55" s="3">
        <v>543</v>
      </c>
      <c r="L55" s="3">
        <v>482</v>
      </c>
      <c r="M55" s="3">
        <v>444</v>
      </c>
      <c r="N55" s="3">
        <v>381</v>
      </c>
      <c r="O55" s="3">
        <v>329</v>
      </c>
      <c r="P55" s="3">
        <v>393</v>
      </c>
      <c r="Q55" s="3">
        <v>0</v>
      </c>
      <c r="R55" s="3">
        <v>0</v>
      </c>
      <c r="AD55" s="3">
        <v>405</v>
      </c>
      <c r="AE55" s="3">
        <v>381</v>
      </c>
    </row>
    <row r="56" spans="2:53" s="3" customFormat="1" x14ac:dyDescent="0.3">
      <c r="B56" s="3" t="s">
        <v>27</v>
      </c>
      <c r="F56" s="3">
        <v>8145</v>
      </c>
      <c r="G56" s="3">
        <v>8145</v>
      </c>
      <c r="H56" s="3">
        <v>8145</v>
      </c>
      <c r="I56" s="3">
        <v>8145</v>
      </c>
      <c r="J56" s="3">
        <v>8145</v>
      </c>
      <c r="K56" s="3">
        <v>16070</v>
      </c>
      <c r="L56" s="3">
        <v>16017</v>
      </c>
      <c r="M56" s="3">
        <v>16131</v>
      </c>
      <c r="N56" s="3">
        <v>16139</v>
      </c>
      <c r="O56" s="3">
        <v>16029</v>
      </c>
      <c r="P56" s="3">
        <v>16634</v>
      </c>
      <c r="Q56" s="3">
        <v>16919</v>
      </c>
      <c r="R56" s="3">
        <v>17379</v>
      </c>
      <c r="AD56" s="3">
        <v>8145</v>
      </c>
      <c r="AE56" s="3">
        <v>16139</v>
      </c>
    </row>
    <row r="57" spans="2:53" s="3" customFormat="1" x14ac:dyDescent="0.3">
      <c r="B57" s="3" t="s">
        <v>28</v>
      </c>
      <c r="F57" s="3">
        <v>3901</v>
      </c>
      <c r="G57" s="3">
        <v>3321</v>
      </c>
      <c r="H57" s="3">
        <v>2774</v>
      </c>
      <c r="I57" s="3">
        <v>2254</v>
      </c>
      <c r="J57" s="3">
        <v>1733</v>
      </c>
      <c r="K57" s="3">
        <v>16637</v>
      </c>
      <c r="L57" s="3">
        <v>21867</v>
      </c>
      <c r="M57" s="3">
        <v>19536</v>
      </c>
      <c r="N57" s="3">
        <v>17834</v>
      </c>
      <c r="O57" s="3">
        <v>15819</v>
      </c>
      <c r="P57" s="3">
        <v>13804</v>
      </c>
      <c r="Q57" s="3">
        <v>11789</v>
      </c>
      <c r="R57" s="3">
        <v>9774</v>
      </c>
      <c r="AD57" s="3">
        <v>1733</v>
      </c>
      <c r="AE57" s="3">
        <v>17834</v>
      </c>
    </row>
    <row r="58" spans="2:53" s="3" customFormat="1" x14ac:dyDescent="0.3">
      <c r="B58" s="3" t="s">
        <v>29</v>
      </c>
      <c r="F58" s="3">
        <v>4087</v>
      </c>
      <c r="G58" s="3">
        <v>4437</v>
      </c>
      <c r="H58" s="3">
        <v>4860</v>
      </c>
      <c r="I58" s="3">
        <v>5200</v>
      </c>
      <c r="J58" s="3">
        <v>19317</v>
      </c>
      <c r="K58" s="3">
        <v>4776</v>
      </c>
      <c r="L58" s="3">
        <v>4888</v>
      </c>
      <c r="M58" s="3">
        <v>3552</v>
      </c>
      <c r="N58" s="3">
        <v>20142</v>
      </c>
      <c r="O58" s="3">
        <v>4366</v>
      </c>
      <c r="P58" s="3">
        <v>4583</v>
      </c>
      <c r="Q58" s="3">
        <v>4701</v>
      </c>
      <c r="R58" s="3">
        <v>4295</v>
      </c>
      <c r="AD58" s="3">
        <v>19317</v>
      </c>
      <c r="AE58" s="3">
        <v>20142</v>
      </c>
      <c r="AZ58" s="4"/>
      <c r="BA58" s="4"/>
    </row>
    <row r="59" spans="2:53" s="4" customFormat="1" x14ac:dyDescent="0.3">
      <c r="B59" s="4" t="s">
        <v>30</v>
      </c>
      <c r="F59" s="4">
        <f t="shared" ref="F59:T59" si="99">SUM(F50:F58)</f>
        <v>1169200</v>
      </c>
      <c r="G59" s="4">
        <f t="shared" si="99"/>
        <v>1164108</v>
      </c>
      <c r="H59" s="4">
        <f t="shared" si="99"/>
        <v>1189069</v>
      </c>
      <c r="I59" s="4">
        <f t="shared" si="99"/>
        <v>1226896</v>
      </c>
      <c r="J59" s="4">
        <f t="shared" si="99"/>
        <v>1321403</v>
      </c>
      <c r="K59" s="4">
        <f t="shared" si="99"/>
        <v>1321627</v>
      </c>
      <c r="L59" s="4">
        <f t="shared" si="99"/>
        <v>1376262</v>
      </c>
      <c r="M59" s="4">
        <f t="shared" si="99"/>
        <v>1252639</v>
      </c>
      <c r="N59" s="4">
        <f t="shared" si="99"/>
        <v>1399263</v>
      </c>
      <c r="O59" s="4">
        <f t="shared" si="99"/>
        <v>1441990</v>
      </c>
      <c r="P59" s="4">
        <f t="shared" si="99"/>
        <v>1498187</v>
      </c>
      <c r="Q59" s="4">
        <f t="shared" si="99"/>
        <v>1570839</v>
      </c>
      <c r="R59" s="4">
        <f t="shared" si="99"/>
        <v>1722747</v>
      </c>
      <c r="S59" s="4">
        <f t="shared" si="99"/>
        <v>0</v>
      </c>
      <c r="T59" s="4">
        <f t="shared" si="99"/>
        <v>0</v>
      </c>
      <c r="AD59" s="4">
        <f>SUM(AD50:AD58)</f>
        <v>1321403</v>
      </c>
      <c r="AE59" s="4">
        <f>SUM(AE50:AE58)</f>
        <v>1399263</v>
      </c>
      <c r="AZ59" s="3"/>
      <c r="BA59" s="3"/>
    </row>
    <row r="60" spans="2:53" s="3" customFormat="1" x14ac:dyDescent="0.3">
      <c r="B60" s="3" t="s">
        <v>31</v>
      </c>
      <c r="F60" s="3">
        <v>5184</v>
      </c>
      <c r="G60" s="3">
        <v>3029</v>
      </c>
      <c r="H60" s="3">
        <v>4165</v>
      </c>
      <c r="I60" s="3">
        <v>5023</v>
      </c>
      <c r="J60" s="3">
        <v>1738</v>
      </c>
      <c r="K60" s="3">
        <v>3230</v>
      </c>
      <c r="L60" s="3">
        <v>3219</v>
      </c>
      <c r="M60" s="3">
        <v>2224</v>
      </c>
      <c r="N60" s="3">
        <v>7519</v>
      </c>
      <c r="O60" s="3">
        <v>11288</v>
      </c>
      <c r="P60" s="3">
        <v>11395</v>
      </c>
      <c r="Q60" s="3">
        <v>9187</v>
      </c>
      <c r="R60" s="3">
        <v>9205</v>
      </c>
      <c r="AD60" s="3">
        <v>1738</v>
      </c>
      <c r="AE60" s="3">
        <v>7519</v>
      </c>
    </row>
    <row r="61" spans="2:53" s="3" customFormat="1" x14ac:dyDescent="0.3">
      <c r="B61" s="3" t="s">
        <v>32</v>
      </c>
      <c r="F61" s="3">
        <v>25954</v>
      </c>
      <c r="G61" s="3">
        <v>28885</v>
      </c>
      <c r="H61" s="3">
        <v>24643</v>
      </c>
      <c r="I61" s="3">
        <v>269980</v>
      </c>
      <c r="J61" s="3">
        <v>301262</v>
      </c>
      <c r="K61" s="3">
        <v>306734</v>
      </c>
      <c r="L61" s="3">
        <v>272164</v>
      </c>
      <c r="M61" s="3">
        <v>51821</v>
      </c>
      <c r="N61" s="3">
        <v>50788</v>
      </c>
      <c r="O61" s="3">
        <v>66308</v>
      </c>
      <c r="P61" s="3">
        <v>52339</v>
      </c>
      <c r="Q61" s="3">
        <v>58406</v>
      </c>
      <c r="R61" s="3">
        <v>58185</v>
      </c>
      <c r="AD61" s="3">
        <v>301262</v>
      </c>
      <c r="AE61" s="3">
        <v>54680</v>
      </c>
    </row>
    <row r="62" spans="2:53" s="3" customFormat="1" x14ac:dyDescent="0.3">
      <c r="B62" s="3" t="s">
        <v>33</v>
      </c>
      <c r="F62" s="3">
        <v>20776</v>
      </c>
      <c r="G62" s="3">
        <v>15716</v>
      </c>
      <c r="H62" s="3">
        <v>23504</v>
      </c>
      <c r="I62" s="3">
        <v>23272</v>
      </c>
      <c r="J62" s="3">
        <f>35809+23794</f>
        <v>59603</v>
      </c>
      <c r="K62" s="3">
        <v>22743</v>
      </c>
      <c r="L62" s="3">
        <v>29117</v>
      </c>
      <c r="M62" s="3">
        <v>27274</v>
      </c>
      <c r="N62" s="3">
        <v>40233</v>
      </c>
      <c r="O62" s="3">
        <v>28119</v>
      </c>
      <c r="P62" s="3">
        <v>30164</v>
      </c>
      <c r="Q62" s="3">
        <v>33402</v>
      </c>
      <c r="R62" s="3">
        <v>39657</v>
      </c>
      <c r="AD62" s="3">
        <f>35809+23794</f>
        <v>59603</v>
      </c>
      <c r="AE62" s="3">
        <v>40233</v>
      </c>
    </row>
    <row r="63" spans="2:53" s="3" customFormat="1" x14ac:dyDescent="0.3">
      <c r="B63" s="3" t="s">
        <v>23</v>
      </c>
      <c r="F63" s="3">
        <f>254382+28355</f>
        <v>282737</v>
      </c>
      <c r="G63" s="3">
        <f>263423+28043</f>
        <v>291466</v>
      </c>
      <c r="H63" s="3">
        <f>268883+25860</f>
        <v>294743</v>
      </c>
      <c r="I63" s="3">
        <f>287647+23016</f>
        <v>310663</v>
      </c>
      <c r="J63" s="3">
        <v>338348</v>
      </c>
      <c r="K63" s="3">
        <f>341830+15267</f>
        <v>357097</v>
      </c>
      <c r="L63" s="3">
        <f>362348+14732</f>
        <v>377080</v>
      </c>
      <c r="M63" s="3">
        <f>383183+14138</f>
        <v>397321</v>
      </c>
      <c r="N63" s="3">
        <f>442599+26369</f>
        <v>468968</v>
      </c>
      <c r="O63" s="3">
        <f>450668+25981</f>
        <v>476649</v>
      </c>
      <c r="P63" s="3">
        <f>459459+25749</f>
        <v>485208</v>
      </c>
      <c r="Q63" s="3">
        <f>464813+28977</f>
        <v>493790</v>
      </c>
      <c r="R63" s="3">
        <f>545096+26994</f>
        <v>572090</v>
      </c>
      <c r="AD63" s="3">
        <v>338348</v>
      </c>
      <c r="AE63" s="3">
        <f>442599+26369</f>
        <v>468968</v>
      </c>
    </row>
    <row r="64" spans="2:53" s="3" customFormat="1" x14ac:dyDescent="0.3">
      <c r="B64" s="3" t="s">
        <v>35</v>
      </c>
      <c r="F64" s="3">
        <v>9824</v>
      </c>
      <c r="G64" s="3">
        <v>9411</v>
      </c>
      <c r="H64" s="3">
        <v>10774</v>
      </c>
      <c r="I64" s="3">
        <v>24776</v>
      </c>
      <c r="J64" s="3">
        <v>14060</v>
      </c>
      <c r="K64" s="3">
        <v>17465</v>
      </c>
      <c r="L64" s="3">
        <v>6678</v>
      </c>
      <c r="M64" s="3">
        <v>3776</v>
      </c>
      <c r="N64" s="3">
        <v>6557</v>
      </c>
      <c r="O64" s="3">
        <v>7029</v>
      </c>
      <c r="P64" s="3">
        <v>7499</v>
      </c>
      <c r="Q64" s="3">
        <v>8057</v>
      </c>
      <c r="R64" s="3">
        <v>7362</v>
      </c>
      <c r="AD64" s="3">
        <v>14060</v>
      </c>
      <c r="AE64" s="3">
        <v>6557</v>
      </c>
      <c r="AZ64" s="4"/>
      <c r="BA64" s="4"/>
    </row>
    <row r="65" spans="2:53" s="4" customFormat="1" x14ac:dyDescent="0.3">
      <c r="B65" s="4" t="s">
        <v>36</v>
      </c>
      <c r="F65" s="4">
        <f t="shared" ref="F65:T65" si="100">SUM(F60:F64)</f>
        <v>344475</v>
      </c>
      <c r="G65" s="4">
        <f t="shared" si="100"/>
        <v>348507</v>
      </c>
      <c r="H65" s="4">
        <f t="shared" si="100"/>
        <v>357829</v>
      </c>
      <c r="I65" s="4">
        <f t="shared" si="100"/>
        <v>633714</v>
      </c>
      <c r="J65" s="4">
        <f t="shared" si="100"/>
        <v>715011</v>
      </c>
      <c r="K65" s="4">
        <f t="shared" si="100"/>
        <v>707269</v>
      </c>
      <c r="L65" s="4">
        <f t="shared" si="100"/>
        <v>688258</v>
      </c>
      <c r="M65" s="4">
        <f t="shared" si="100"/>
        <v>482416</v>
      </c>
      <c r="N65" s="4">
        <f t="shared" si="100"/>
        <v>574065</v>
      </c>
      <c r="O65" s="4">
        <f t="shared" si="100"/>
        <v>589393</v>
      </c>
      <c r="P65" s="4">
        <f t="shared" si="100"/>
        <v>586605</v>
      </c>
      <c r="Q65" s="4">
        <f t="shared" si="100"/>
        <v>602842</v>
      </c>
      <c r="R65" s="4">
        <f t="shared" si="100"/>
        <v>686499</v>
      </c>
      <c r="S65" s="4">
        <f t="shared" si="100"/>
        <v>0</v>
      </c>
      <c r="T65" s="4">
        <f t="shared" si="100"/>
        <v>0</v>
      </c>
      <c r="AD65" s="4">
        <f>SUM(AD60:AD64)</f>
        <v>715011</v>
      </c>
      <c r="AE65" s="4">
        <f>SUM(AE60:AE64)</f>
        <v>577957</v>
      </c>
      <c r="AZ65" s="3"/>
      <c r="BA65" s="3"/>
    </row>
    <row r="66" spans="2:53" s="3" customFormat="1" x14ac:dyDescent="0.3">
      <c r="B66" s="3" t="s">
        <v>37</v>
      </c>
      <c r="F66" s="3">
        <v>824725</v>
      </c>
      <c r="G66" s="3">
        <v>815601</v>
      </c>
      <c r="H66" s="3">
        <v>831240</v>
      </c>
      <c r="I66" s="3">
        <v>593182</v>
      </c>
      <c r="J66" s="3">
        <v>606392</v>
      </c>
      <c r="K66" s="3">
        <v>614358</v>
      </c>
      <c r="L66" s="3">
        <v>688004</v>
      </c>
      <c r="M66" s="3">
        <v>770223</v>
      </c>
      <c r="N66" s="3">
        <v>825198</v>
      </c>
      <c r="O66" s="3">
        <v>852597</v>
      </c>
      <c r="P66" s="3">
        <v>911582</v>
      </c>
      <c r="Q66" s="3">
        <v>967997</v>
      </c>
      <c r="R66" s="3">
        <v>1036248</v>
      </c>
      <c r="AD66" s="3">
        <v>606392</v>
      </c>
      <c r="AE66" s="3">
        <v>821306</v>
      </c>
      <c r="AZ66" s="4"/>
      <c r="BA66" s="4"/>
    </row>
    <row r="67" spans="2:53" s="4" customFormat="1" x14ac:dyDescent="0.3">
      <c r="B67" s="4" t="s">
        <v>38</v>
      </c>
      <c r="F67" s="4">
        <f>F65+F66</f>
        <v>1169200</v>
      </c>
      <c r="G67" s="4">
        <f>G65+G66</f>
        <v>1164108</v>
      </c>
      <c r="H67" s="4">
        <f>H65+H66</f>
        <v>1189069</v>
      </c>
      <c r="I67" s="4">
        <f>I65+I66</f>
        <v>1226896</v>
      </c>
      <c r="J67" s="4">
        <f>J65+J66</f>
        <v>1321403</v>
      </c>
      <c r="K67" s="4">
        <f t="shared" ref="K67" si="101">K65+K66</f>
        <v>1321627</v>
      </c>
      <c r="L67" s="4">
        <f t="shared" ref="L67:T67" si="102">L65+L66</f>
        <v>1376262</v>
      </c>
      <c r="M67" s="4">
        <f t="shared" si="102"/>
        <v>1252639</v>
      </c>
      <c r="N67" s="4">
        <f t="shared" si="102"/>
        <v>1399263</v>
      </c>
      <c r="O67" s="4">
        <f t="shared" si="102"/>
        <v>1441990</v>
      </c>
      <c r="P67" s="4">
        <f t="shared" si="102"/>
        <v>1498187</v>
      </c>
      <c r="Q67" s="4">
        <f t="shared" si="102"/>
        <v>1570839</v>
      </c>
      <c r="R67" s="4">
        <f t="shared" si="102"/>
        <v>1722747</v>
      </c>
      <c r="S67" s="4">
        <f t="shared" si="102"/>
        <v>0</v>
      </c>
      <c r="T67" s="4">
        <f t="shared" si="102"/>
        <v>0</v>
      </c>
      <c r="AD67" s="4">
        <f>AD65+AD66</f>
        <v>1321403</v>
      </c>
      <c r="AE67" s="4">
        <f t="shared" ref="AE67" si="103">AE65+AE66</f>
        <v>1399263</v>
      </c>
      <c r="AZ67" s="3"/>
      <c r="BA67" s="3"/>
    </row>
    <row r="69" spans="2:53" x14ac:dyDescent="0.3"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</row>
    <row r="72" spans="2:53" x14ac:dyDescent="0.3">
      <c r="B72" t="s">
        <v>83</v>
      </c>
    </row>
    <row r="73" spans="2:53" x14ac:dyDescent="0.3">
      <c r="B73" t="s">
        <v>40</v>
      </c>
      <c r="C73" s="3">
        <f t="shared" ref="C73:P73" si="104">C20</f>
        <v>-26613</v>
      </c>
      <c r="D73" s="3">
        <f t="shared" si="104"/>
        <v>-61497</v>
      </c>
      <c r="E73" s="3">
        <f t="shared" si="104"/>
        <v>-50465</v>
      </c>
      <c r="F73" s="3">
        <f t="shared" si="104"/>
        <v>-42121</v>
      </c>
      <c r="G73" s="3">
        <f t="shared" si="104"/>
        <v>-52899</v>
      </c>
      <c r="H73" s="3">
        <f t="shared" si="104"/>
        <v>-51208</v>
      </c>
      <c r="I73" s="3">
        <f t="shared" si="104"/>
        <v>-286355</v>
      </c>
      <c r="J73" s="3">
        <f t="shared" si="104"/>
        <v>-37972</v>
      </c>
      <c r="K73" s="3">
        <f t="shared" si="104"/>
        <v>-54887</v>
      </c>
      <c r="L73" s="3">
        <f t="shared" si="104"/>
        <v>12274</v>
      </c>
      <c r="M73" s="3">
        <f t="shared" si="104"/>
        <v>28267</v>
      </c>
      <c r="N73" s="3">
        <f t="shared" si="104"/>
        <v>10207</v>
      </c>
      <c r="O73" s="3">
        <f t="shared" si="104"/>
        <v>-36258</v>
      </c>
      <c r="P73" s="3">
        <f t="shared" si="104"/>
        <v>-9996</v>
      </c>
      <c r="Q73" s="3">
        <f t="shared" ref="Q73:T73" si="105">Q20</f>
        <v>-8797</v>
      </c>
      <c r="R73" s="3">
        <f t="shared" si="105"/>
        <v>-3513</v>
      </c>
      <c r="S73" s="3">
        <f t="shared" si="105"/>
        <v>255000</v>
      </c>
      <c r="T73" s="3">
        <f t="shared" si="105"/>
        <v>277000</v>
      </c>
      <c r="AC73" s="3">
        <f>AC20</f>
        <v>-181792</v>
      </c>
      <c r="AD73" s="3">
        <f>AD20</f>
        <v>-429536</v>
      </c>
      <c r="AE73" s="3">
        <f>AE20</f>
        <v>-9119</v>
      </c>
    </row>
    <row r="74" spans="2:53" x14ac:dyDescent="0.3">
      <c r="B74" t="s">
        <v>39</v>
      </c>
      <c r="C74" s="3">
        <v>-26613</v>
      </c>
      <c r="D74" s="3">
        <f>-88110-C74</f>
        <v>-61497</v>
      </c>
      <c r="E74" s="3">
        <f>-138575-D74-C74</f>
        <v>-50465</v>
      </c>
      <c r="F74" s="3">
        <v>-42121</v>
      </c>
      <c r="G74" s="3">
        <v>-52899</v>
      </c>
      <c r="H74" s="3">
        <v>-51208</v>
      </c>
      <c r="I74" s="3">
        <v>-286355</v>
      </c>
      <c r="J74" s="3">
        <v>-37972</v>
      </c>
      <c r="K74" s="3">
        <v>-54887</v>
      </c>
      <c r="L74" s="3">
        <v>12274</v>
      </c>
      <c r="M74" s="3">
        <v>28267</v>
      </c>
      <c r="N74" s="3">
        <v>10207</v>
      </c>
      <c r="O74" s="3">
        <v>-36258</v>
      </c>
      <c r="P74" s="3">
        <v>-9996</v>
      </c>
      <c r="Q74" s="3">
        <v>-8797</v>
      </c>
      <c r="R74" s="3">
        <v>-3513</v>
      </c>
      <c r="AC74">
        <v>-181792</v>
      </c>
      <c r="AD74">
        <v>-429536</v>
      </c>
      <c r="AE74">
        <v>-9119</v>
      </c>
    </row>
    <row r="75" spans="2:53" x14ac:dyDescent="0.3">
      <c r="B75" t="s">
        <v>42</v>
      </c>
      <c r="C75" s="3">
        <v>17471</v>
      </c>
      <c r="D75" s="3">
        <f>55218-C75</f>
        <v>37747</v>
      </c>
      <c r="E75" s="3">
        <f>88926-D75-C75</f>
        <v>33708</v>
      </c>
      <c r="F75" s="3">
        <v>33641</v>
      </c>
      <c r="G75" s="3">
        <v>32330</v>
      </c>
      <c r="H75" s="3">
        <v>46368</v>
      </c>
      <c r="I75" s="3">
        <v>41334</v>
      </c>
      <c r="J75" s="3">
        <v>43017</v>
      </c>
      <c r="K75" s="3">
        <v>42252</v>
      </c>
      <c r="L75" s="3">
        <v>48969</v>
      </c>
      <c r="M75" s="3">
        <v>48042</v>
      </c>
      <c r="N75" s="3">
        <v>46636</v>
      </c>
      <c r="O75" s="3">
        <v>55827</v>
      </c>
      <c r="P75" s="3">
        <v>54284</v>
      </c>
      <c r="Q75" s="3">
        <v>51682</v>
      </c>
      <c r="R75" s="3">
        <v>53158</v>
      </c>
      <c r="AC75">
        <v>122567</v>
      </c>
      <c r="AD75">
        <v>163049</v>
      </c>
      <c r="AE75">
        <v>185899</v>
      </c>
    </row>
    <row r="76" spans="2:53" x14ac:dyDescent="0.3">
      <c r="B76" t="s">
        <v>43</v>
      </c>
      <c r="C76" s="3">
        <v>0</v>
      </c>
      <c r="D76" s="3">
        <v>0</v>
      </c>
      <c r="E76" s="3">
        <v>0</v>
      </c>
      <c r="F76" s="3">
        <v>-1722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3750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AC76">
        <v>-1722</v>
      </c>
      <c r="AD76">
        <v>0</v>
      </c>
      <c r="AE76">
        <v>3750</v>
      </c>
    </row>
    <row r="77" spans="2:53" x14ac:dyDescent="0.3">
      <c r="B77" t="s">
        <v>44</v>
      </c>
      <c r="C77" s="3">
        <v>0</v>
      </c>
      <c r="D77" s="3">
        <v>0</v>
      </c>
      <c r="E77" s="3">
        <v>0</v>
      </c>
      <c r="F77" s="3">
        <v>0</v>
      </c>
      <c r="G77" s="3">
        <v>2675</v>
      </c>
      <c r="H77" s="3">
        <v>2675</v>
      </c>
      <c r="I77" s="3">
        <v>2675</v>
      </c>
      <c r="J77" s="3">
        <v>2675</v>
      </c>
      <c r="K77" s="3">
        <v>2957</v>
      </c>
      <c r="L77" s="3">
        <v>2957</v>
      </c>
      <c r="M77" s="3">
        <v>2957</v>
      </c>
      <c r="N77" s="3">
        <v>2956</v>
      </c>
      <c r="O77" s="3">
        <v>1739</v>
      </c>
      <c r="P77" s="3">
        <v>1787</v>
      </c>
      <c r="Q77" s="3">
        <v>1970</v>
      </c>
      <c r="R77" s="3">
        <v>1597</v>
      </c>
      <c r="AC77">
        <v>0</v>
      </c>
      <c r="AD77">
        <v>10700</v>
      </c>
      <c r="AE77">
        <v>11827</v>
      </c>
    </row>
    <row r="78" spans="2:53" x14ac:dyDescent="0.3">
      <c r="B78" t="s">
        <v>41</v>
      </c>
      <c r="C78" s="3">
        <f>581+558+10813</f>
        <v>11952</v>
      </c>
      <c r="D78" s="3">
        <f>1176+1286+21618-1293-C78</f>
        <v>10835</v>
      </c>
      <c r="E78" s="3">
        <f>1767+2198+32693-3346-D78-C78</f>
        <v>10525</v>
      </c>
      <c r="F78" s="3">
        <f>595+1033+12265-2731</f>
        <v>11162</v>
      </c>
      <c r="G78" s="3">
        <f>579+1092+10549-3596</f>
        <v>8624</v>
      </c>
      <c r="H78" s="3">
        <f>546+1114+10070-4898</f>
        <v>6832</v>
      </c>
      <c r="I78" s="3">
        <f>521+1123+10447-5867</f>
        <v>6224</v>
      </c>
      <c r="J78" s="3">
        <f>521+1039+12397-5988</f>
        <v>7969</v>
      </c>
      <c r="K78" s="3">
        <f>1087+937+11109-4900</f>
        <v>8233</v>
      </c>
      <c r="L78" s="3">
        <f>2333+744+11837-4241</f>
        <v>10673</v>
      </c>
      <c r="M78" s="3">
        <f>2511+680+12704-3792</f>
        <v>12103</v>
      </c>
      <c r="N78" s="3">
        <f>2195+499+14064-3813</f>
        <v>12945</v>
      </c>
      <c r="O78" s="3">
        <f>2020+556+13899-2996</f>
        <v>13479</v>
      </c>
      <c r="P78" s="3">
        <f>2015+759+13370-2609</f>
        <v>13535</v>
      </c>
      <c r="Q78" s="3">
        <f>2015+869+13478-1741</f>
        <v>14621</v>
      </c>
      <c r="R78" s="3">
        <f>2015+1096+14139-861</f>
        <v>16389</v>
      </c>
      <c r="AC78">
        <f>2362+3231+44958-6077</f>
        <v>44474</v>
      </c>
      <c r="AD78">
        <f>2167+4368+43463-20349</f>
        <v>29649</v>
      </c>
      <c r="AE78">
        <f>8126+2860+49714-16746</f>
        <v>43954</v>
      </c>
    </row>
    <row r="79" spans="2:53" x14ac:dyDescent="0.3">
      <c r="B79" t="s">
        <v>48</v>
      </c>
      <c r="C79" s="3">
        <v>-17798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AC79">
        <v>-17798</v>
      </c>
      <c r="AD79">
        <v>0</v>
      </c>
      <c r="AE79">
        <v>0</v>
      </c>
    </row>
    <row r="80" spans="2:53" x14ac:dyDescent="0.3">
      <c r="B80" t="s">
        <v>49</v>
      </c>
      <c r="C80" s="3">
        <v>256</v>
      </c>
      <c r="D80" s="3">
        <f>1290-C80</f>
        <v>1034</v>
      </c>
      <c r="E80" s="3">
        <f>2247-D80-C80</f>
        <v>957</v>
      </c>
      <c r="F80" s="3">
        <v>942</v>
      </c>
      <c r="G80" s="3">
        <v>947</v>
      </c>
      <c r="H80" s="3">
        <v>1161</v>
      </c>
      <c r="I80" s="3">
        <v>940</v>
      </c>
      <c r="J80" s="3">
        <v>776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AC80">
        <v>3189</v>
      </c>
      <c r="AD80">
        <v>3824</v>
      </c>
      <c r="AE80">
        <v>0</v>
      </c>
    </row>
    <row r="81" spans="2:53" x14ac:dyDescent="0.3">
      <c r="B81" t="s">
        <v>45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8858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AC81">
        <v>0</v>
      </c>
      <c r="AD81">
        <v>8858</v>
      </c>
      <c r="AE81">
        <v>0</v>
      </c>
    </row>
    <row r="82" spans="2:53" x14ac:dyDescent="0.3">
      <c r="B82" t="s">
        <v>46</v>
      </c>
      <c r="C82" s="3">
        <v>-231</v>
      </c>
      <c r="D82" s="3">
        <f>-1572-C82</f>
        <v>-1341</v>
      </c>
      <c r="E82" s="3">
        <f>-4081-D82-C82</f>
        <v>-2509</v>
      </c>
      <c r="F82" s="3">
        <v>354</v>
      </c>
      <c r="G82" s="3">
        <v>-262</v>
      </c>
      <c r="H82" s="3">
        <v>1087</v>
      </c>
      <c r="I82" s="3">
        <v>-573</v>
      </c>
      <c r="J82" s="3">
        <v>4194</v>
      </c>
      <c r="K82" s="3">
        <v>545</v>
      </c>
      <c r="L82" s="3">
        <v>-803</v>
      </c>
      <c r="M82" s="3">
        <v>-5184</v>
      </c>
      <c r="N82" s="3">
        <v>-4083</v>
      </c>
      <c r="O82" s="3">
        <v>9901</v>
      </c>
      <c r="P82" s="3">
        <v>1069</v>
      </c>
      <c r="Q82" s="3">
        <v>2416</v>
      </c>
      <c r="R82" s="3">
        <v>5425</v>
      </c>
      <c r="AC82">
        <v>-3964</v>
      </c>
      <c r="AD82">
        <v>4833</v>
      </c>
      <c r="AE82">
        <v>-9526</v>
      </c>
    </row>
    <row r="83" spans="2:53" x14ac:dyDescent="0.3">
      <c r="B83" t="s">
        <v>47</v>
      </c>
      <c r="C83" s="3">
        <v>-268</v>
      </c>
      <c r="D83" s="3">
        <f>469-C83</f>
        <v>737</v>
      </c>
      <c r="E83" s="3">
        <f>439-D83-C83</f>
        <v>-30</v>
      </c>
      <c r="F83" s="3">
        <v>717</v>
      </c>
      <c r="G83" s="3">
        <v>-59</v>
      </c>
      <c r="H83" s="3">
        <v>-44</v>
      </c>
      <c r="I83" s="3">
        <v>420</v>
      </c>
      <c r="J83" s="3">
        <v>1013</v>
      </c>
      <c r="K83" s="3">
        <v>412</v>
      </c>
      <c r="L83" s="3">
        <v>-111</v>
      </c>
      <c r="M83" s="3">
        <v>467</v>
      </c>
      <c r="N83" s="3">
        <v>162</v>
      </c>
      <c r="O83" s="3">
        <v>208</v>
      </c>
      <c r="P83" s="3">
        <v>192</v>
      </c>
      <c r="Q83" s="3">
        <v>231</v>
      </c>
      <c r="R83" s="3">
        <v>367</v>
      </c>
      <c r="AC83">
        <v>1156</v>
      </c>
      <c r="AD83">
        <v>1330</v>
      </c>
      <c r="AE83">
        <v>930</v>
      </c>
    </row>
    <row r="84" spans="2:53" x14ac:dyDescent="0.3">
      <c r="B84" t="s">
        <v>22</v>
      </c>
      <c r="C84" s="3">
        <v>8674</v>
      </c>
      <c r="D84" s="3">
        <f>-13568-C84</f>
        <v>-22242</v>
      </c>
      <c r="E84" s="3">
        <f>-22163-D84-C84</f>
        <v>-8595</v>
      </c>
      <c r="F84" s="3">
        <v>-32006</v>
      </c>
      <c r="G84" s="3">
        <v>4840</v>
      </c>
      <c r="H84" s="3">
        <v>20441</v>
      </c>
      <c r="I84" s="3">
        <v>-30572</v>
      </c>
      <c r="J84" s="3">
        <v>-31050</v>
      </c>
      <c r="K84" s="3">
        <v>31072</v>
      </c>
      <c r="L84" s="3">
        <v>-29847</v>
      </c>
      <c r="M84" s="3">
        <v>-32883</v>
      </c>
      <c r="N84" s="3">
        <v>-67991</v>
      </c>
      <c r="O84" s="3">
        <v>65928</v>
      </c>
      <c r="P84" s="3">
        <v>3859</v>
      </c>
      <c r="Q84" s="3">
        <v>-23472</v>
      </c>
      <c r="R84" s="3">
        <v>-82033</v>
      </c>
      <c r="AC84">
        <v>-54169</v>
      </c>
      <c r="AD84">
        <v>-36341</v>
      </c>
      <c r="AE84">
        <v>-99649</v>
      </c>
    </row>
    <row r="85" spans="2:53" x14ac:dyDescent="0.3">
      <c r="B85" t="s">
        <v>24</v>
      </c>
      <c r="C85" s="3">
        <v>-2158</v>
      </c>
      <c r="D85" s="3">
        <f>-5488-C85</f>
        <v>-3330</v>
      </c>
      <c r="E85" s="3">
        <f>-5320-D85-C85</f>
        <v>168</v>
      </c>
      <c r="F85" s="3">
        <v>-3589</v>
      </c>
      <c r="G85" s="3">
        <v>-2087</v>
      </c>
      <c r="H85" s="3">
        <v>-2161</v>
      </c>
      <c r="I85" s="3">
        <v>-3935</v>
      </c>
      <c r="J85" s="3">
        <v>-15722</v>
      </c>
      <c r="K85" s="3">
        <v>10354</v>
      </c>
      <c r="L85" s="3">
        <v>2917</v>
      </c>
      <c r="M85" s="3">
        <v>-10773</v>
      </c>
      <c r="N85" s="3">
        <v>5927</v>
      </c>
      <c r="O85" s="3">
        <v>1527</v>
      </c>
      <c r="P85" s="3">
        <v>1219</v>
      </c>
      <c r="Q85" s="3">
        <v>-7036</v>
      </c>
      <c r="R85" s="3">
        <v>-3832</v>
      </c>
      <c r="AC85">
        <v>-8679</v>
      </c>
      <c r="AD85">
        <v>-23688</v>
      </c>
      <c r="AE85">
        <v>8424</v>
      </c>
    </row>
    <row r="86" spans="2:53" x14ac:dyDescent="0.3">
      <c r="B86" t="s">
        <v>85</v>
      </c>
      <c r="C86" s="3">
        <v>-10249</v>
      </c>
      <c r="D86" s="3">
        <f>-21210-C86</f>
        <v>-10961</v>
      </c>
      <c r="E86" s="3">
        <f>-33145-D86-C86</f>
        <v>-11935</v>
      </c>
      <c r="F86" s="3">
        <v>-15410</v>
      </c>
      <c r="G86" s="3">
        <v>-8497</v>
      </c>
      <c r="H86" s="3">
        <v>-9640</v>
      </c>
      <c r="I86" s="3">
        <v>-13623</v>
      </c>
      <c r="J86" s="3">
        <v>-21340</v>
      </c>
      <c r="K86" s="3">
        <v>-8540</v>
      </c>
      <c r="L86" s="3">
        <v>-12415</v>
      </c>
      <c r="M86" s="3">
        <v>-14751</v>
      </c>
      <c r="N86" s="3">
        <v>-22421</v>
      </c>
      <c r="O86" s="3">
        <v>-8126</v>
      </c>
      <c r="P86" s="3">
        <v>-12304</v>
      </c>
      <c r="Q86" s="3">
        <v>-15898</v>
      </c>
      <c r="R86" s="3">
        <v>-22966</v>
      </c>
      <c r="AC86">
        <v>-48555</v>
      </c>
      <c r="AD86">
        <v>-53100</v>
      </c>
      <c r="AE86">
        <v>-58127</v>
      </c>
    </row>
    <row r="87" spans="2:53" x14ac:dyDescent="0.3">
      <c r="B87" t="s">
        <v>29</v>
      </c>
      <c r="C87" s="3">
        <v>-61</v>
      </c>
      <c r="D87" s="3">
        <f>2700-C87</f>
        <v>2761</v>
      </c>
      <c r="E87" s="3">
        <f>2050-D87-C87</f>
        <v>-650</v>
      </c>
      <c r="F87" s="3">
        <v>962</v>
      </c>
      <c r="G87" s="3">
        <v>-302</v>
      </c>
      <c r="H87" s="3">
        <v>-419</v>
      </c>
      <c r="I87" s="3">
        <v>-453</v>
      </c>
      <c r="J87" s="3">
        <v>865</v>
      </c>
      <c r="K87" s="3">
        <v>-419</v>
      </c>
      <c r="L87" s="3">
        <v>-78</v>
      </c>
      <c r="M87" s="3">
        <v>1348</v>
      </c>
      <c r="N87" s="3">
        <v>-1034</v>
      </c>
      <c r="O87" s="3">
        <v>379</v>
      </c>
      <c r="P87" s="3">
        <v>-198</v>
      </c>
      <c r="Q87" s="3">
        <v>233</v>
      </c>
      <c r="R87" s="3">
        <v>395</v>
      </c>
      <c r="AC87">
        <v>3012</v>
      </c>
      <c r="AD87">
        <v>-309</v>
      </c>
      <c r="AE87">
        <v>-183</v>
      </c>
    </row>
    <row r="88" spans="2:53" x14ac:dyDescent="0.3">
      <c r="B88" t="s">
        <v>31</v>
      </c>
      <c r="C88" s="3">
        <v>800</v>
      </c>
      <c r="D88" s="3">
        <f>528-C88</f>
        <v>-272</v>
      </c>
      <c r="E88" s="3">
        <f>1393-D88-C88</f>
        <v>865</v>
      </c>
      <c r="F88" s="3">
        <v>-1106</v>
      </c>
      <c r="G88" s="3">
        <v>-2158</v>
      </c>
      <c r="H88" s="3">
        <v>1135</v>
      </c>
      <c r="I88" s="3">
        <v>799</v>
      </c>
      <c r="J88" s="3">
        <v>-3219</v>
      </c>
      <c r="K88" s="3">
        <v>1336</v>
      </c>
      <c r="L88" s="3">
        <v>14</v>
      </c>
      <c r="M88" s="3">
        <v>-1317</v>
      </c>
      <c r="N88" s="3">
        <v>5472</v>
      </c>
      <c r="O88" s="3">
        <v>3586</v>
      </c>
      <c r="P88" s="3">
        <v>-472</v>
      </c>
      <c r="Q88" s="3">
        <v>-2302</v>
      </c>
      <c r="R88" s="3">
        <v>794</v>
      </c>
      <c r="AC88">
        <v>287</v>
      </c>
      <c r="AD88">
        <v>-3443</v>
      </c>
      <c r="AE88">
        <v>5505</v>
      </c>
    </row>
    <row r="89" spans="2:53" x14ac:dyDescent="0.3">
      <c r="B89" t="s">
        <v>50</v>
      </c>
      <c r="C89" s="3">
        <v>1569</v>
      </c>
      <c r="D89" s="3">
        <f>90-C89</f>
        <v>-1479</v>
      </c>
      <c r="E89" s="3">
        <f>3249-D89-C89</f>
        <v>3159</v>
      </c>
      <c r="F89" s="3">
        <v>1370</v>
      </c>
      <c r="G89" s="3">
        <v>2789</v>
      </c>
      <c r="H89" s="3">
        <v>-1606</v>
      </c>
      <c r="I89" s="3">
        <v>244674</v>
      </c>
      <c r="J89" s="3">
        <v>13090</v>
      </c>
      <c r="K89" s="3">
        <v>19617</v>
      </c>
      <c r="L89" s="3">
        <v>-41250</v>
      </c>
      <c r="M89" s="3">
        <v>-220071</v>
      </c>
      <c r="N89" s="3">
        <v>-16647</v>
      </c>
      <c r="O89" s="3">
        <v>9979</v>
      </c>
      <c r="P89" s="3">
        <v>-14257</v>
      </c>
      <c r="Q89" s="3">
        <v>6140</v>
      </c>
      <c r="R89" s="3">
        <v>-624</v>
      </c>
      <c r="AC89">
        <v>5722</v>
      </c>
      <c r="AD89">
        <v>259445</v>
      </c>
      <c r="AE89">
        <v>-253369</v>
      </c>
    </row>
    <row r="90" spans="2:53" x14ac:dyDescent="0.3">
      <c r="B90" t="s">
        <v>33</v>
      </c>
      <c r="C90" s="3">
        <v>-20606</v>
      </c>
      <c r="D90" s="3">
        <f>-16680-C90</f>
        <v>3926</v>
      </c>
      <c r="E90" s="3">
        <f>-15150-D90-C90</f>
        <v>1530</v>
      </c>
      <c r="F90" s="3">
        <v>3457</v>
      </c>
      <c r="G90" s="3">
        <f>-5121</f>
        <v>-5121</v>
      </c>
      <c r="H90" s="3">
        <v>7732</v>
      </c>
      <c r="I90" s="3">
        <v>231</v>
      </c>
      <c r="J90" s="3">
        <v>12331</v>
      </c>
      <c r="K90" s="3">
        <v>-13152</v>
      </c>
      <c r="L90" s="3">
        <v>6250</v>
      </c>
      <c r="M90" s="3">
        <v>-1913</v>
      </c>
      <c r="N90" s="3">
        <v>13558</v>
      </c>
      <c r="O90" s="3">
        <v>-13084</v>
      </c>
      <c r="P90" s="3">
        <v>2021</v>
      </c>
      <c r="Q90" s="3">
        <v>3168</v>
      </c>
      <c r="R90" s="3">
        <v>5765</v>
      </c>
      <c r="AC90">
        <v>-11693</v>
      </c>
      <c r="AD90">
        <v>15173</v>
      </c>
      <c r="AE90">
        <v>4743</v>
      </c>
    </row>
    <row r="91" spans="2:53" x14ac:dyDescent="0.3">
      <c r="B91" t="s">
        <v>23</v>
      </c>
      <c r="C91" s="3">
        <v>6687</v>
      </c>
      <c r="D91" s="3">
        <f>17549-C91</f>
        <v>10862</v>
      </c>
      <c r="E91" s="3">
        <f>40200-D91-C91</f>
        <v>22651</v>
      </c>
      <c r="F91" s="3">
        <v>32803</v>
      </c>
      <c r="G91" s="3">
        <v>8383</v>
      </c>
      <c r="H91" s="3">
        <v>1964</v>
      </c>
      <c r="I91" s="3">
        <v>14270</v>
      </c>
      <c r="J91" s="3">
        <v>50189</v>
      </c>
      <c r="K91" s="3">
        <v>-4448</v>
      </c>
      <c r="L91" s="3">
        <v>19286</v>
      </c>
      <c r="M91" s="3">
        <v>19665</v>
      </c>
      <c r="N91" s="3">
        <v>74240</v>
      </c>
      <c r="O91" s="3">
        <v>1205</v>
      </c>
      <c r="P91" s="3">
        <v>8284</v>
      </c>
      <c r="Q91" s="3">
        <v>8011</v>
      </c>
      <c r="R91" s="3">
        <v>75781</v>
      </c>
      <c r="AC91">
        <v>73003</v>
      </c>
      <c r="AD91">
        <v>79347</v>
      </c>
      <c r="AE91">
        <v>108743</v>
      </c>
    </row>
    <row r="92" spans="2:53" x14ac:dyDescent="0.3">
      <c r="B92" t="s">
        <v>35</v>
      </c>
      <c r="C92" s="3">
        <v>2419</v>
      </c>
      <c r="D92" s="3">
        <f>-696-C92</f>
        <v>-3115</v>
      </c>
      <c r="E92" s="3">
        <f>-1272-D92-C92</f>
        <v>-576</v>
      </c>
      <c r="F92" s="3">
        <v>-1174</v>
      </c>
      <c r="G92" s="3">
        <v>-164</v>
      </c>
      <c r="H92" s="3">
        <v>2792</v>
      </c>
      <c r="I92" s="3">
        <v>17983</v>
      </c>
      <c r="J92" s="3">
        <v>-10821</v>
      </c>
      <c r="K92" s="3">
        <v>2806</v>
      </c>
      <c r="L92" s="3">
        <v>-10889</v>
      </c>
      <c r="M92" s="3">
        <v>-2985</v>
      </c>
      <c r="N92" s="3">
        <v>3295</v>
      </c>
      <c r="O92" s="3">
        <v>12</v>
      </c>
      <c r="P92" s="3">
        <v>346</v>
      </c>
      <c r="Q92" s="3">
        <v>461</v>
      </c>
      <c r="R92" s="3">
        <v>-946</v>
      </c>
      <c r="AC92">
        <v>-2446</v>
      </c>
      <c r="AD92">
        <v>5249</v>
      </c>
      <c r="AE92">
        <v>-7773</v>
      </c>
      <c r="AZ92" s="2"/>
      <c r="BA92" s="2"/>
    </row>
    <row r="93" spans="2:53" s="2" customFormat="1" x14ac:dyDescent="0.3">
      <c r="B93" s="2" t="s">
        <v>51</v>
      </c>
      <c r="C93" s="4">
        <f t="shared" ref="C93:D93" si="106">SUM(C74:C92)</f>
        <v>-28156</v>
      </c>
      <c r="D93" s="4">
        <f t="shared" si="106"/>
        <v>-36335</v>
      </c>
      <c r="E93" s="4">
        <f t="shared" ref="E93:F93" si="107">SUM(E74:E92)</f>
        <v>-1197</v>
      </c>
      <c r="F93" s="4">
        <f t="shared" si="107"/>
        <v>-11720</v>
      </c>
      <c r="G93" s="4">
        <f t="shared" ref="G93:M93" si="108">SUM(G74:G92)</f>
        <v>-10961</v>
      </c>
      <c r="H93" s="4">
        <f t="shared" si="108"/>
        <v>27109</v>
      </c>
      <c r="I93" s="4">
        <f t="shared" si="108"/>
        <v>-5961</v>
      </c>
      <c r="J93" s="4">
        <f t="shared" si="108"/>
        <v>24853</v>
      </c>
      <c r="K93" s="4">
        <f t="shared" si="108"/>
        <v>38138</v>
      </c>
      <c r="L93" s="4">
        <f t="shared" si="108"/>
        <v>11697</v>
      </c>
      <c r="M93" s="4">
        <f t="shared" si="108"/>
        <v>-177028</v>
      </c>
      <c r="N93" s="4">
        <f>SUM(N74:N92)</f>
        <v>63222</v>
      </c>
      <c r="O93" s="4">
        <f>SUM(O74:O92)</f>
        <v>106302</v>
      </c>
      <c r="P93" s="4">
        <f>SUM(P74:P92)</f>
        <v>49369</v>
      </c>
      <c r="Q93" s="4">
        <f>SUM(Q74:Q92)</f>
        <v>31428</v>
      </c>
      <c r="R93" s="4">
        <f t="shared" ref="R93:S93" si="109">SUM(R74:R92)</f>
        <v>45757</v>
      </c>
      <c r="S93" s="4">
        <f t="shared" si="109"/>
        <v>0</v>
      </c>
      <c r="AC93" s="4">
        <f>SUM(AC74:AC92)</f>
        <v>-77408</v>
      </c>
      <c r="AD93" s="4">
        <f>SUM(AD74:AD92)</f>
        <v>35040</v>
      </c>
      <c r="AE93" s="4">
        <f>SUM(AE74:AE92)</f>
        <v>-63971</v>
      </c>
      <c r="AZ93"/>
      <c r="BA93"/>
    </row>
    <row r="94" spans="2:53" x14ac:dyDescent="0.3">
      <c r="B94" t="s">
        <v>52</v>
      </c>
      <c r="C94" s="3">
        <v>-47361</v>
      </c>
      <c r="D94" s="3">
        <f>-520664-C94</f>
        <v>-473303</v>
      </c>
      <c r="E94" s="3">
        <f>-631951-D94-C94</f>
        <v>-111287</v>
      </c>
      <c r="F94" s="3">
        <v>-189671</v>
      </c>
      <c r="G94" s="3">
        <v>-58864</v>
      </c>
      <c r="H94" s="3">
        <v>-276132</v>
      </c>
      <c r="I94" s="3">
        <v>-238680</v>
      </c>
      <c r="J94" s="3">
        <v>-242021</v>
      </c>
      <c r="K94" s="3">
        <v>-144392</v>
      </c>
      <c r="L94" s="3">
        <v>-118866</v>
      </c>
      <c r="M94" s="3">
        <v>-240136</v>
      </c>
      <c r="N94" s="3">
        <v>-204304</v>
      </c>
      <c r="O94" s="3">
        <v>-245952</v>
      </c>
      <c r="P94" s="3">
        <v>-237946</v>
      </c>
      <c r="Q94" s="3">
        <v>-314385</v>
      </c>
      <c r="R94" s="3">
        <v>-213209</v>
      </c>
      <c r="AC94" s="3">
        <v>-821622</v>
      </c>
      <c r="AD94" s="3">
        <v>-815697</v>
      </c>
      <c r="AE94" s="3">
        <v>-707698</v>
      </c>
    </row>
    <row r="95" spans="2:53" x14ac:dyDescent="0.3">
      <c r="B95" t="s">
        <v>53</v>
      </c>
      <c r="C95" s="3">
        <v>50031</v>
      </c>
      <c r="D95" s="3">
        <v>0</v>
      </c>
      <c r="E95" s="3">
        <f>122701-D95-C95</f>
        <v>72670</v>
      </c>
      <c r="F95" s="3">
        <v>108925</v>
      </c>
      <c r="G95" s="3">
        <v>83500</v>
      </c>
      <c r="H95" s="3">
        <v>189484</v>
      </c>
      <c r="I95" s="3">
        <v>253995</v>
      </c>
      <c r="J95" s="3">
        <v>207028</v>
      </c>
      <c r="K95" s="3">
        <v>254687</v>
      </c>
      <c r="L95" s="3">
        <v>121412</v>
      </c>
      <c r="M95" s="3">
        <v>148763</v>
      </c>
      <c r="N95" s="3">
        <v>183520</v>
      </c>
      <c r="O95" s="3">
        <f>163606+1367</f>
        <v>164973</v>
      </c>
      <c r="P95" s="3">
        <v>184280</v>
      </c>
      <c r="Q95" s="3">
        <v>241641</v>
      </c>
      <c r="R95" s="3">
        <v>164139</v>
      </c>
      <c r="AC95" s="3">
        <v>231626</v>
      </c>
      <c r="AD95" s="3">
        <v>734007</v>
      </c>
      <c r="AE95" s="3">
        <v>708382</v>
      </c>
    </row>
    <row r="96" spans="2:53" x14ac:dyDescent="0.3">
      <c r="B96" t="s">
        <v>54</v>
      </c>
      <c r="C96" s="3">
        <v>-1874</v>
      </c>
      <c r="D96" s="3">
        <f>-3234-C96</f>
        <v>-1360</v>
      </c>
      <c r="E96" s="3">
        <f>-5018-D96-C96</f>
        <v>-1784</v>
      </c>
      <c r="F96" s="3">
        <v>-1052</v>
      </c>
      <c r="G96" s="3">
        <v>-256</v>
      </c>
      <c r="H96" s="3">
        <v>-277</v>
      </c>
      <c r="I96" s="3">
        <v>-736</v>
      </c>
      <c r="J96" s="3">
        <v>-329</v>
      </c>
      <c r="K96" s="3">
        <v>-700</v>
      </c>
      <c r="L96" s="3">
        <v>-851</v>
      </c>
      <c r="M96" s="3">
        <v>-1057</v>
      </c>
      <c r="N96" s="3">
        <v>-1157</v>
      </c>
      <c r="O96" s="3">
        <v>-912</v>
      </c>
      <c r="P96" s="3">
        <v>-2904</v>
      </c>
      <c r="Q96" s="3">
        <v>-3038</v>
      </c>
      <c r="R96" s="3">
        <v>-3973</v>
      </c>
      <c r="AC96" s="3">
        <v>-6070</v>
      </c>
      <c r="AD96" s="3">
        <v>-1598</v>
      </c>
      <c r="AE96" s="3">
        <v>-3765</v>
      </c>
    </row>
    <row r="97" spans="2:53" x14ac:dyDescent="0.3">
      <c r="B97" t="s">
        <v>55</v>
      </c>
      <c r="C97" s="3">
        <v>-9620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AC97" s="3">
        <v>-9620</v>
      </c>
      <c r="AD97" s="3">
        <v>0</v>
      </c>
      <c r="AE97" s="3">
        <v>0</v>
      </c>
    </row>
    <row r="98" spans="2:53" x14ac:dyDescent="0.3">
      <c r="B98" t="s">
        <v>56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AC98" s="3">
        <v>0</v>
      </c>
      <c r="AD98" s="3">
        <v>0</v>
      </c>
      <c r="AE98" s="3">
        <v>-20210</v>
      </c>
    </row>
    <row r="99" spans="2:53" x14ac:dyDescent="0.3">
      <c r="B99" t="s">
        <v>57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-20210</v>
      </c>
      <c r="L99" s="3">
        <v>-7314</v>
      </c>
      <c r="M99" s="3">
        <v>-346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AC99" s="3">
        <v>0</v>
      </c>
      <c r="AD99" s="3">
        <v>0</v>
      </c>
      <c r="AE99" s="3">
        <v>-7660</v>
      </c>
    </row>
    <row r="100" spans="2:53" x14ac:dyDescent="0.3">
      <c r="B100" t="s">
        <v>58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-2500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AC100" s="3">
        <v>0</v>
      </c>
      <c r="AD100" s="3">
        <v>-2500</v>
      </c>
      <c r="AE100" s="3">
        <v>0</v>
      </c>
    </row>
    <row r="101" spans="2:53" x14ac:dyDescent="0.3">
      <c r="B101" t="s">
        <v>59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-450</v>
      </c>
      <c r="K101" s="3">
        <v>0</v>
      </c>
      <c r="L101" s="3">
        <v>457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AC101" s="3">
        <v>0</v>
      </c>
      <c r="AD101" s="3">
        <v>-450</v>
      </c>
      <c r="AE101" s="3">
        <v>457</v>
      </c>
      <c r="AZ101" s="2"/>
      <c r="BA101" s="2"/>
    </row>
    <row r="102" spans="2:53" s="2" customFormat="1" x14ac:dyDescent="0.3">
      <c r="B102" s="2" t="s">
        <v>64</v>
      </c>
      <c r="C102" s="4">
        <f t="shared" ref="C102:D102" si="110">SUM(C94:C101)</f>
        <v>-8824</v>
      </c>
      <c r="D102" s="4">
        <f t="shared" si="110"/>
        <v>-474663</v>
      </c>
      <c r="E102" s="4">
        <f t="shared" ref="E102:F102" si="111">SUM(E94:E101)</f>
        <v>-40401</v>
      </c>
      <c r="F102" s="4">
        <f t="shared" si="111"/>
        <v>-81798</v>
      </c>
      <c r="G102" s="4">
        <f t="shared" ref="G102:M102" si="112">SUM(G94:G101)</f>
        <v>24380</v>
      </c>
      <c r="H102" s="4">
        <f t="shared" si="112"/>
        <v>-89425</v>
      </c>
      <c r="I102" s="4">
        <f t="shared" si="112"/>
        <v>14579</v>
      </c>
      <c r="J102" s="4">
        <f t="shared" si="112"/>
        <v>-35772</v>
      </c>
      <c r="K102" s="4">
        <f t="shared" si="112"/>
        <v>89385</v>
      </c>
      <c r="L102" s="4">
        <f t="shared" si="112"/>
        <v>-5162</v>
      </c>
      <c r="M102" s="4">
        <f t="shared" si="112"/>
        <v>-92776</v>
      </c>
      <c r="N102" s="4">
        <f>SUM(N94:N101)</f>
        <v>-21941</v>
      </c>
      <c r="O102" s="4">
        <f>SUM(O94:O101)</f>
        <v>-81891</v>
      </c>
      <c r="P102" s="4">
        <f>SUM(P94:P101)</f>
        <v>-56570</v>
      </c>
      <c r="Q102" s="4">
        <f>SUM(Q94:Q101)</f>
        <v>-75782</v>
      </c>
      <c r="R102" s="4">
        <f t="shared" ref="R102" si="113">SUM(R94:R101)</f>
        <v>-53043</v>
      </c>
      <c r="S102" s="4">
        <f t="shared" ref="S102" si="114">SUM(S94:S101)</f>
        <v>0</v>
      </c>
      <c r="AC102" s="4">
        <f t="shared" ref="AC102:AD102" si="115">SUM(AC94:AC101)</f>
        <v>-605686</v>
      </c>
      <c r="AD102" s="4">
        <f t="shared" si="115"/>
        <v>-86238</v>
      </c>
      <c r="AE102" s="4">
        <f>SUM(AE94:AE101)</f>
        <v>-30494</v>
      </c>
      <c r="AZ102"/>
      <c r="BA102"/>
    </row>
    <row r="103" spans="2:53" x14ac:dyDescent="0.3">
      <c r="B103" t="s">
        <v>61</v>
      </c>
      <c r="C103" s="3">
        <v>5317</v>
      </c>
      <c r="D103" s="3">
        <f>11311-C103</f>
        <v>5994</v>
      </c>
      <c r="E103" s="3">
        <f>17454-D103-C103</f>
        <v>6143</v>
      </c>
      <c r="F103" s="3">
        <v>7061</v>
      </c>
      <c r="G103" s="3">
        <v>7513</v>
      </c>
      <c r="H103" s="3">
        <v>10264</v>
      </c>
      <c r="I103" s="3">
        <v>4715</v>
      </c>
      <c r="J103" s="3">
        <v>9810</v>
      </c>
      <c r="K103" s="3">
        <v>5093</v>
      </c>
      <c r="L103" s="3">
        <v>4980</v>
      </c>
      <c r="M103" s="3">
        <v>7822</v>
      </c>
      <c r="N103" s="3">
        <v>6069</v>
      </c>
      <c r="O103" s="3">
        <v>3328</v>
      </c>
      <c r="P103" s="3">
        <v>3947</v>
      </c>
      <c r="Q103" s="3">
        <v>8182</v>
      </c>
      <c r="R103" s="3">
        <v>6324</v>
      </c>
      <c r="AC103" s="3">
        <v>24515</v>
      </c>
      <c r="AD103" s="3">
        <v>32302</v>
      </c>
      <c r="AE103" s="3">
        <v>23964</v>
      </c>
    </row>
    <row r="104" spans="2:53" x14ac:dyDescent="0.3">
      <c r="B104" t="s">
        <v>65</v>
      </c>
      <c r="C104" s="3">
        <v>0</v>
      </c>
      <c r="D104" s="3">
        <f>9554-C104</f>
        <v>9554</v>
      </c>
      <c r="E104" s="3">
        <v>0</v>
      </c>
      <c r="F104" s="3">
        <v>4824</v>
      </c>
      <c r="G104" s="3">
        <v>0</v>
      </c>
      <c r="H104" s="3">
        <v>7751</v>
      </c>
      <c r="I104" s="3">
        <v>0</v>
      </c>
      <c r="J104" s="3">
        <v>5182</v>
      </c>
      <c r="K104" s="3">
        <v>0</v>
      </c>
      <c r="L104" s="3">
        <v>7932</v>
      </c>
      <c r="M104" s="3">
        <v>0</v>
      </c>
      <c r="N104" s="3">
        <v>5624</v>
      </c>
      <c r="O104" s="3">
        <v>0</v>
      </c>
      <c r="P104" s="3">
        <v>8404</v>
      </c>
      <c r="Q104" s="3">
        <v>0</v>
      </c>
      <c r="R104" s="3">
        <f>5571-416</f>
        <v>5155</v>
      </c>
      <c r="AC104" s="3">
        <v>14378</v>
      </c>
      <c r="AD104" s="3">
        <v>12933</v>
      </c>
      <c r="AE104" s="3">
        <v>13556</v>
      </c>
    </row>
    <row r="105" spans="2:53" x14ac:dyDescent="0.3">
      <c r="B105" t="s">
        <v>62</v>
      </c>
      <c r="C105" s="3">
        <f>35528+2878</f>
        <v>38406</v>
      </c>
      <c r="D105" s="3">
        <f>57673-C105</f>
        <v>19267</v>
      </c>
      <c r="E105" s="3">
        <f>61726-D105-C105</f>
        <v>4053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AC105" s="3">
        <v>61726</v>
      </c>
      <c r="AD105" s="3">
        <v>0</v>
      </c>
      <c r="AE105" s="3">
        <v>0</v>
      </c>
    </row>
    <row r="106" spans="2:53" x14ac:dyDescent="0.3">
      <c r="B106" t="s">
        <v>63</v>
      </c>
      <c r="C106" s="3">
        <v>0</v>
      </c>
      <c r="D106" s="3">
        <v>0</v>
      </c>
      <c r="E106" s="3">
        <v>-3137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-4900</v>
      </c>
      <c r="N106" s="3">
        <v>0</v>
      </c>
      <c r="O106" s="3">
        <v>0</v>
      </c>
      <c r="P106" s="3">
        <v>0</v>
      </c>
      <c r="Q106" s="3">
        <v>-529</v>
      </c>
      <c r="R106" s="3">
        <v>0</v>
      </c>
      <c r="AC106" s="3">
        <v>-3137</v>
      </c>
      <c r="AD106" s="3">
        <v>0</v>
      </c>
      <c r="AE106" s="3">
        <v>-4900</v>
      </c>
      <c r="AZ106" s="2"/>
      <c r="BA106" s="2"/>
    </row>
    <row r="107" spans="2:53" s="2" customFormat="1" x14ac:dyDescent="0.3">
      <c r="B107" s="2" t="s">
        <v>60</v>
      </c>
      <c r="C107" s="4">
        <f t="shared" ref="C107:D107" si="116">SUM(C103:C106)</f>
        <v>43723</v>
      </c>
      <c r="D107" s="4">
        <f t="shared" si="116"/>
        <v>34815</v>
      </c>
      <c r="E107" s="4">
        <f t="shared" ref="E107:F107" si="117">SUM(E103:E106)</f>
        <v>7059</v>
      </c>
      <c r="F107" s="4">
        <f t="shared" si="117"/>
        <v>11885</v>
      </c>
      <c r="G107" s="4">
        <f t="shared" ref="G107:I107" si="118">SUM(G103:G106)</f>
        <v>7513</v>
      </c>
      <c r="H107" s="4">
        <f t="shared" si="118"/>
        <v>18015</v>
      </c>
      <c r="I107" s="4">
        <f t="shared" si="118"/>
        <v>4715</v>
      </c>
      <c r="J107" s="4">
        <f>SUM(J103:J106)</f>
        <v>14992</v>
      </c>
      <c r="K107" s="4">
        <f t="shared" ref="K107:M107" si="119">SUM(K103:K106)</f>
        <v>5093</v>
      </c>
      <c r="L107" s="4">
        <f t="shared" si="119"/>
        <v>12912</v>
      </c>
      <c r="M107" s="4">
        <f t="shared" si="119"/>
        <v>2922</v>
      </c>
      <c r="N107" s="4">
        <f>SUM(N103:N106)</f>
        <v>11693</v>
      </c>
      <c r="O107" s="4">
        <f>SUM(O103:O106)</f>
        <v>3328</v>
      </c>
      <c r="P107" s="4">
        <f>SUM(P103:P106)</f>
        <v>12351</v>
      </c>
      <c r="Q107" s="4">
        <f>SUM(Q103:Q106)</f>
        <v>7653</v>
      </c>
      <c r="R107" s="4">
        <f t="shared" ref="R107:S107" si="120">SUM(R103:R106)</f>
        <v>11479</v>
      </c>
      <c r="S107" s="4">
        <f t="shared" si="120"/>
        <v>0</v>
      </c>
      <c r="AC107" s="4">
        <f t="shared" ref="AC107:AD107" si="121">SUM(AC103:AC106)</f>
        <v>97482</v>
      </c>
      <c r="AD107" s="4">
        <f t="shared" si="121"/>
        <v>45235</v>
      </c>
      <c r="AE107" s="4">
        <f>SUM(AE103:AE106)</f>
        <v>32620</v>
      </c>
      <c r="AZ107"/>
      <c r="BA107"/>
    </row>
    <row r="108" spans="2:53" x14ac:dyDescent="0.3">
      <c r="B108" t="s">
        <v>66</v>
      </c>
      <c r="C108" s="3">
        <v>-3926</v>
      </c>
      <c r="D108" s="3">
        <f>-4475-C108</f>
        <v>-549</v>
      </c>
      <c r="E108" s="3">
        <f>-8524-D108-C108</f>
        <v>-4049</v>
      </c>
      <c r="F108" s="3">
        <v>4866</v>
      </c>
      <c r="G108" s="3">
        <v>-401</v>
      </c>
      <c r="H108" s="3">
        <v>-907</v>
      </c>
      <c r="I108" s="3">
        <v>-1249</v>
      </c>
      <c r="J108" s="3">
        <v>-1386</v>
      </c>
      <c r="K108" s="3">
        <v>-290</v>
      </c>
      <c r="L108" s="3">
        <v>-1153</v>
      </c>
      <c r="M108" s="3">
        <v>4898</v>
      </c>
      <c r="N108" s="3">
        <v>-1957</v>
      </c>
      <c r="O108" s="3">
        <v>331</v>
      </c>
      <c r="P108" s="3">
        <v>331</v>
      </c>
      <c r="Q108" s="3">
        <v>-439</v>
      </c>
      <c r="R108" s="3">
        <v>1152</v>
      </c>
      <c r="AC108" s="3">
        <v>-3658</v>
      </c>
      <c r="AD108" s="3">
        <v>-3943</v>
      </c>
      <c r="AE108" s="3">
        <v>1498</v>
      </c>
      <c r="AZ108" s="2"/>
      <c r="BA108" s="2"/>
    </row>
    <row r="109" spans="2:53" s="2" customFormat="1" x14ac:dyDescent="0.3">
      <c r="B109" s="2" t="s">
        <v>67</v>
      </c>
      <c r="C109" s="4">
        <f t="shared" ref="C109:D109" si="122">C93+C102+C107+C108</f>
        <v>2817</v>
      </c>
      <c r="D109" s="4">
        <f t="shared" si="122"/>
        <v>-476732</v>
      </c>
      <c r="E109" s="4">
        <f t="shared" ref="E109:F109" si="123">E93+E102+E107+E108</f>
        <v>-38588</v>
      </c>
      <c r="F109" s="4">
        <f t="shared" si="123"/>
        <v>-76767</v>
      </c>
      <c r="G109" s="4">
        <f t="shared" ref="G109:I109" si="124">G93+G102+G107+G108</f>
        <v>20531</v>
      </c>
      <c r="H109" s="4">
        <f t="shared" si="124"/>
        <v>-45208</v>
      </c>
      <c r="I109" s="4">
        <f t="shared" si="124"/>
        <v>12084</v>
      </c>
      <c r="J109" s="4">
        <f t="shared" ref="J109:M109" si="125">J93+J102+J107+J108</f>
        <v>2687</v>
      </c>
      <c r="K109" s="4">
        <f t="shared" si="125"/>
        <v>132326</v>
      </c>
      <c r="L109" s="4">
        <f t="shared" si="125"/>
        <v>18294</v>
      </c>
      <c r="M109" s="4">
        <f t="shared" si="125"/>
        <v>-261984</v>
      </c>
      <c r="N109" s="4">
        <f t="shared" ref="N109:O109" si="126">N93+N102+N107+N108</f>
        <v>51017</v>
      </c>
      <c r="O109" s="4">
        <f t="shared" si="126"/>
        <v>28070</v>
      </c>
      <c r="P109" s="4">
        <f t="shared" ref="P109:S109" si="127">P93+P102+P107+P108</f>
        <v>5481</v>
      </c>
      <c r="Q109" s="4">
        <f t="shared" si="127"/>
        <v>-37140</v>
      </c>
      <c r="R109" s="4">
        <f t="shared" si="127"/>
        <v>5345</v>
      </c>
      <c r="S109" s="4">
        <f t="shared" si="127"/>
        <v>0</v>
      </c>
      <c r="AC109" s="4">
        <f t="shared" ref="AC109:AD109" si="128">AC93+AC102+AC107+AC108</f>
        <v>-589270</v>
      </c>
      <c r="AD109" s="4">
        <f t="shared" si="128"/>
        <v>-9906</v>
      </c>
      <c r="AE109" s="4">
        <f>AE93+AE102+AE107+AE108</f>
        <v>-60347</v>
      </c>
      <c r="AZ109"/>
      <c r="BA109"/>
    </row>
    <row r="110" spans="2:53" x14ac:dyDescent="0.3">
      <c r="AZ110" s="2"/>
      <c r="BA110" s="2"/>
    </row>
    <row r="111" spans="2:53" s="2" customFormat="1" x14ac:dyDescent="0.3">
      <c r="B111" s="2" t="s">
        <v>68</v>
      </c>
      <c r="C111" s="4">
        <f t="shared" ref="C111:D111" si="129">C93+C96</f>
        <v>-30030</v>
      </c>
      <c r="D111" s="4">
        <f t="shared" si="129"/>
        <v>-37695</v>
      </c>
      <c r="E111" s="4">
        <f t="shared" ref="E111:F111" si="130">E93+E96</f>
        <v>-2981</v>
      </c>
      <c r="F111" s="4">
        <f t="shared" si="130"/>
        <v>-12772</v>
      </c>
      <c r="G111" s="4">
        <f t="shared" ref="G111:I111" si="131">G93+G96</f>
        <v>-11217</v>
      </c>
      <c r="H111" s="4">
        <f t="shared" si="131"/>
        <v>26832</v>
      </c>
      <c r="I111" s="4">
        <f t="shared" si="131"/>
        <v>-6697</v>
      </c>
      <c r="J111" s="4">
        <f t="shared" ref="J111:M111" si="132">J93+J96</f>
        <v>24524</v>
      </c>
      <c r="K111" s="4">
        <f t="shared" si="132"/>
        <v>37438</v>
      </c>
      <c r="L111" s="4">
        <f t="shared" si="132"/>
        <v>10846</v>
      </c>
      <c r="M111" s="4">
        <f t="shared" si="132"/>
        <v>-178085</v>
      </c>
      <c r="N111" s="4">
        <f t="shared" ref="N111" si="133">N93+N96</f>
        <v>62065</v>
      </c>
      <c r="O111" s="4">
        <f>O93+O96</f>
        <v>105390</v>
      </c>
      <c r="P111" s="4">
        <f>P93+P96</f>
        <v>46465</v>
      </c>
      <c r="Q111" s="4">
        <f>Q93+Q96</f>
        <v>28390</v>
      </c>
      <c r="R111" s="4">
        <f t="shared" ref="R111:S111" si="134">R93+R96</f>
        <v>41784</v>
      </c>
      <c r="S111" s="4">
        <f t="shared" si="134"/>
        <v>0</v>
      </c>
      <c r="AC111" s="4">
        <f t="shared" ref="AC111:AD111" si="135">AC93+AC96</f>
        <v>-83478</v>
      </c>
      <c r="AD111" s="4">
        <f t="shared" si="135"/>
        <v>33442</v>
      </c>
      <c r="AE111" s="4">
        <f>AE93+AE96</f>
        <v>-67736</v>
      </c>
      <c r="AZ111"/>
      <c r="BA111"/>
    </row>
    <row r="112" spans="2:53" x14ac:dyDescent="0.3">
      <c r="B112" t="s">
        <v>69</v>
      </c>
      <c r="C112" s="6">
        <f t="shared" ref="C112:D112" si="136">C96/C73</f>
        <v>7.041671363619284E-2</v>
      </c>
      <c r="D112" s="6">
        <f t="shared" si="136"/>
        <v>2.2114899913816936E-2</v>
      </c>
      <c r="E112" s="6">
        <f t="shared" ref="E112:F112" si="137">E96/E73</f>
        <v>3.535123352818785E-2</v>
      </c>
      <c r="F112" s="6">
        <f t="shared" si="137"/>
        <v>2.4975665345077277E-2</v>
      </c>
      <c r="G112" s="6">
        <f t="shared" ref="G112:I112" si="138">G96/G73</f>
        <v>4.8394109529480709E-3</v>
      </c>
      <c r="H112" s="6">
        <f t="shared" si="138"/>
        <v>5.4093110451491951E-3</v>
      </c>
      <c r="I112" s="6">
        <f t="shared" si="138"/>
        <v>2.5702362452200938E-3</v>
      </c>
      <c r="J112" s="6">
        <f t="shared" ref="J112:M112" si="139">J96/J73</f>
        <v>8.6642789423785945E-3</v>
      </c>
      <c r="K112" s="6">
        <f t="shared" si="139"/>
        <v>1.2753475322025252E-2</v>
      </c>
      <c r="L112" s="6">
        <f t="shared" si="139"/>
        <v>-6.9333550594753143E-2</v>
      </c>
      <c r="M112" s="6">
        <f t="shared" si="139"/>
        <v>-3.7393426964304664E-2</v>
      </c>
      <c r="N112" s="6">
        <f t="shared" ref="N112:O112" si="140">N96/N73</f>
        <v>-0.1133535808758695</v>
      </c>
      <c r="O112" s="6">
        <f t="shared" si="140"/>
        <v>2.5153069667383749E-2</v>
      </c>
      <c r="P112" s="6">
        <f t="shared" ref="P112:Q112" si="141">P96/P73</f>
        <v>0.29051620648259302</v>
      </c>
      <c r="Q112" s="6">
        <f t="shared" si="141"/>
        <v>0.34534500397862905</v>
      </c>
      <c r="R112" s="6">
        <f t="shared" ref="R112:S112" si="142">R96/R73</f>
        <v>1.1309422146313692</v>
      </c>
      <c r="S112" s="6">
        <f t="shared" si="142"/>
        <v>0</v>
      </c>
      <c r="AC112" s="6">
        <f t="shared" ref="AC112:AD112" si="143">AC96/AC73</f>
        <v>3.3389808132371059E-2</v>
      </c>
      <c r="AD112" s="6">
        <f t="shared" si="143"/>
        <v>3.7202935260373985E-3</v>
      </c>
      <c r="AE112" s="6">
        <f>AE96/AE73</f>
        <v>0.41287421866432722</v>
      </c>
    </row>
    <row r="113" spans="2:31" x14ac:dyDescent="0.3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AC113" s="6"/>
      <c r="AD113" s="6"/>
      <c r="AE113" s="6"/>
    </row>
    <row r="114" spans="2:31" s="3" customFormat="1" x14ac:dyDescent="0.3">
      <c r="B114" s="3" t="s">
        <v>340</v>
      </c>
      <c r="C114" s="3">
        <f t="shared" ref="C114:P114" si="144">C111-C75</f>
        <v>-47501</v>
      </c>
      <c r="D114" s="3">
        <f t="shared" si="144"/>
        <v>-75442</v>
      </c>
      <c r="E114" s="3">
        <f t="shared" si="144"/>
        <v>-36689</v>
      </c>
      <c r="F114" s="3">
        <f t="shared" si="144"/>
        <v>-46413</v>
      </c>
      <c r="G114" s="3">
        <f t="shared" si="144"/>
        <v>-43547</v>
      </c>
      <c r="H114" s="3">
        <f t="shared" si="144"/>
        <v>-19536</v>
      </c>
      <c r="I114" s="3">
        <f t="shared" si="144"/>
        <v>-48031</v>
      </c>
      <c r="J114" s="3">
        <f t="shared" si="144"/>
        <v>-18493</v>
      </c>
      <c r="K114" s="3">
        <f t="shared" si="144"/>
        <v>-4814</v>
      </c>
      <c r="L114" s="3">
        <f t="shared" si="144"/>
        <v>-38123</v>
      </c>
      <c r="M114" s="3">
        <f t="shared" si="144"/>
        <v>-226127</v>
      </c>
      <c r="N114" s="3">
        <f t="shared" si="144"/>
        <v>15429</v>
      </c>
      <c r="O114" s="3">
        <f t="shared" si="144"/>
        <v>49563</v>
      </c>
      <c r="P114" s="3">
        <f t="shared" si="144"/>
        <v>-7819</v>
      </c>
      <c r="Q114" s="3">
        <f>Q111-Q75</f>
        <v>-23292</v>
      </c>
      <c r="R114" s="3">
        <f t="shared" ref="R114:S114" si="145">R111-R75</f>
        <v>-11374</v>
      </c>
      <c r="S114" s="3">
        <f t="shared" si="145"/>
        <v>0</v>
      </c>
    </row>
    <row r="115" spans="2:31" x14ac:dyDescent="0.3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AC115" s="6"/>
      <c r="AD115" s="6"/>
      <c r="AE115" s="6"/>
    </row>
    <row r="116" spans="2:31" x14ac:dyDescent="0.3">
      <c r="B116" t="s">
        <v>333</v>
      </c>
      <c r="C116" s="3">
        <f>+C14+C75+C78+C77+C83+C76</f>
        <v>-13718</v>
      </c>
      <c r="D116" s="3">
        <f t="shared" ref="D116:Q116" si="146">+D14+D75+D78+D77+D83+D76</f>
        <v>-15983</v>
      </c>
      <c r="E116" s="3">
        <f t="shared" si="146"/>
        <v>-12759</v>
      </c>
      <c r="F116" s="3">
        <f t="shared" si="146"/>
        <v>-2476</v>
      </c>
      <c r="G116" s="3">
        <f t="shared" si="146"/>
        <v>-14663</v>
      </c>
      <c r="H116" s="3">
        <f t="shared" si="146"/>
        <v>1774</v>
      </c>
      <c r="I116" s="3">
        <f t="shared" si="146"/>
        <v>10386</v>
      </c>
      <c r="J116" s="3">
        <f t="shared" si="146"/>
        <v>19791</v>
      </c>
      <c r="K116" s="3">
        <f t="shared" si="146"/>
        <v>214</v>
      </c>
      <c r="L116" s="3">
        <f t="shared" si="146"/>
        <v>25233</v>
      </c>
      <c r="M116" s="3">
        <f t="shared" si="146"/>
        <v>34837</v>
      </c>
      <c r="N116" s="3">
        <f t="shared" si="146"/>
        <v>47253</v>
      </c>
      <c r="O116" s="3">
        <f t="shared" si="146"/>
        <v>36643</v>
      </c>
      <c r="P116" s="3">
        <f t="shared" si="146"/>
        <v>51447</v>
      </c>
      <c r="Q116" s="3">
        <f t="shared" si="146"/>
        <v>56148</v>
      </c>
      <c r="R116" s="3">
        <f t="shared" ref="R116:S116" si="147">+R14+R75+R78+R77+R83+R76</f>
        <v>66347</v>
      </c>
      <c r="S116" s="3">
        <f t="shared" si="147"/>
        <v>255000</v>
      </c>
      <c r="AC116" s="6"/>
      <c r="AD116" s="6"/>
      <c r="AE116" s="6"/>
    </row>
    <row r="117" spans="2:31" x14ac:dyDescent="0.3">
      <c r="B117" t="s">
        <v>334</v>
      </c>
      <c r="C117" s="3">
        <f>+C14+C75+C78+C77+C83+C76-C19+C16</f>
        <v>2219</v>
      </c>
      <c r="D117" s="3">
        <f t="shared" ref="D117:Q117" si="148">+D14+D75+D78+D77+D83+D76-D19+D16</f>
        <v>-14426</v>
      </c>
      <c r="E117" s="3">
        <f t="shared" si="148"/>
        <v>-10163</v>
      </c>
      <c r="F117" s="3">
        <f t="shared" si="148"/>
        <v>-3879</v>
      </c>
      <c r="G117" s="3">
        <f t="shared" si="148"/>
        <v>-15896</v>
      </c>
      <c r="H117" s="3">
        <f t="shared" si="148"/>
        <v>-3572</v>
      </c>
      <c r="I117" s="3">
        <f t="shared" si="148"/>
        <v>-245833</v>
      </c>
      <c r="J117" s="3">
        <f t="shared" si="148"/>
        <v>6305</v>
      </c>
      <c r="K117" s="3">
        <f t="shared" si="148"/>
        <v>-13063</v>
      </c>
      <c r="L117" s="3">
        <f t="shared" si="148"/>
        <v>65685</v>
      </c>
      <c r="M117" s="3">
        <f t="shared" si="148"/>
        <v>79250</v>
      </c>
      <c r="N117" s="3">
        <f t="shared" si="148"/>
        <v>62614</v>
      </c>
      <c r="O117" s="3">
        <f t="shared" si="148"/>
        <v>24133</v>
      </c>
      <c r="P117" s="3">
        <f t="shared" si="148"/>
        <v>48291</v>
      </c>
      <c r="Q117" s="3">
        <f t="shared" si="148"/>
        <v>48003</v>
      </c>
      <c r="R117" s="3">
        <f t="shared" ref="R117:S117" si="149">+R14+R75+R78+R77+R83+R76-R19+R16</f>
        <v>56368</v>
      </c>
      <c r="S117" s="3">
        <f t="shared" si="149"/>
        <v>255000</v>
      </c>
      <c r="AC117" s="6"/>
      <c r="AD117" s="6"/>
      <c r="AE117" s="6"/>
    </row>
    <row r="119" spans="2:31" x14ac:dyDescent="0.3">
      <c r="B119" t="s">
        <v>328</v>
      </c>
      <c r="C119" s="39">
        <v>51</v>
      </c>
      <c r="D119" s="39">
        <v>54.2</v>
      </c>
      <c r="E119" s="39">
        <v>42</v>
      </c>
      <c r="F119" s="39">
        <v>34</v>
      </c>
      <c r="G119" s="39">
        <v>46.4</v>
      </c>
      <c r="H119" s="39">
        <v>50</v>
      </c>
      <c r="I119" s="39">
        <v>59</v>
      </c>
      <c r="J119" s="39">
        <v>58.8</v>
      </c>
      <c r="K119" s="39">
        <v>44.8</v>
      </c>
      <c r="L119" s="39">
        <v>54.4</v>
      </c>
      <c r="M119" s="39">
        <v>67.2</v>
      </c>
      <c r="N119" s="39">
        <v>62.8</v>
      </c>
      <c r="O119" s="39">
        <v>43.4</v>
      </c>
      <c r="P119" s="39">
        <v>43.5</v>
      </c>
      <c r="Q119" s="39">
        <v>23.96</v>
      </c>
      <c r="R119" s="39">
        <v>24.37</v>
      </c>
    </row>
    <row r="120" spans="2:31" x14ac:dyDescent="0.3">
      <c r="B120" t="s">
        <v>286</v>
      </c>
      <c r="C120" s="3">
        <f t="shared" ref="C120:R120" si="150">C119*C21</f>
        <v>7478793</v>
      </c>
      <c r="D120" s="3">
        <f t="shared" si="150"/>
        <v>8010597.4000000004</v>
      </c>
      <c r="E120" s="3">
        <f t="shared" si="150"/>
        <v>6253086</v>
      </c>
      <c r="F120" s="3">
        <f t="shared" si="150"/>
        <v>5104522</v>
      </c>
      <c r="G120" s="3">
        <f t="shared" si="150"/>
        <v>7038508.7999999998</v>
      </c>
      <c r="H120" s="3">
        <f t="shared" si="150"/>
        <v>7682200</v>
      </c>
      <c r="I120" s="3">
        <f t="shared" si="150"/>
        <v>9152257</v>
      </c>
      <c r="J120" s="3">
        <f t="shared" si="150"/>
        <v>9208138.7999999989</v>
      </c>
      <c r="K120" s="3">
        <f t="shared" si="150"/>
        <v>7085433.5999999996</v>
      </c>
      <c r="L120" s="3">
        <f t="shared" si="150"/>
        <v>8686428.7999999989</v>
      </c>
      <c r="M120" s="3">
        <f t="shared" si="150"/>
        <v>10840502.4</v>
      </c>
      <c r="N120" s="3">
        <f t="shared" si="150"/>
        <v>10239854</v>
      </c>
      <c r="O120" s="3">
        <f t="shared" si="150"/>
        <v>7138909.3999999994</v>
      </c>
      <c r="P120" s="3">
        <f t="shared" si="150"/>
        <v>7218955.5</v>
      </c>
      <c r="Q120" s="3">
        <f t="shared" si="150"/>
        <v>4011071.72</v>
      </c>
      <c r="R120" s="3">
        <f t="shared" si="150"/>
        <v>4124159.47</v>
      </c>
    </row>
    <row r="121" spans="2:31" x14ac:dyDescent="0.3">
      <c r="B121" t="s">
        <v>288</v>
      </c>
      <c r="C121" s="3">
        <f t="shared" ref="C121:R121" si="151">C120-C50</f>
        <v>7478793</v>
      </c>
      <c r="D121" s="3">
        <f t="shared" si="151"/>
        <v>8010597.4000000004</v>
      </c>
      <c r="E121" s="3">
        <f t="shared" si="151"/>
        <v>6253086</v>
      </c>
      <c r="F121" s="3">
        <f t="shared" si="151"/>
        <v>4155189</v>
      </c>
      <c r="G121" s="3">
        <f t="shared" si="151"/>
        <v>6089134.7999999998</v>
      </c>
      <c r="H121" s="3">
        <f t="shared" si="151"/>
        <v>6685343</v>
      </c>
      <c r="I121" s="3">
        <f t="shared" si="151"/>
        <v>8152989</v>
      </c>
      <c r="J121" s="3">
        <f t="shared" si="151"/>
        <v>8171853.7999999989</v>
      </c>
      <c r="K121" s="3">
        <f t="shared" si="151"/>
        <v>6023938.5999999996</v>
      </c>
      <c r="L121" s="3">
        <f t="shared" si="151"/>
        <v>7603324.7999999989</v>
      </c>
      <c r="M121" s="3">
        <f t="shared" si="151"/>
        <v>9923530.4000000004</v>
      </c>
      <c r="N121" s="3">
        <f t="shared" si="151"/>
        <v>9247477</v>
      </c>
      <c r="O121" s="3">
        <f t="shared" si="151"/>
        <v>6034077.3999999994</v>
      </c>
      <c r="P121" s="3">
        <f t="shared" si="151"/>
        <v>6053778.5</v>
      </c>
      <c r="Q121" s="3">
        <f t="shared" si="151"/>
        <v>2806763.72</v>
      </c>
      <c r="R121" s="3">
        <f t="shared" si="151"/>
        <v>2864256.47</v>
      </c>
    </row>
    <row r="122" spans="2:31" x14ac:dyDescent="0.3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2:31" s="2" customFormat="1" x14ac:dyDescent="0.3">
      <c r="B123" s="2" t="s">
        <v>329</v>
      </c>
      <c r="C123" s="40"/>
      <c r="D123" s="40"/>
      <c r="E123" s="40"/>
      <c r="F123" s="40">
        <f t="shared" ref="F123:P123" si="152">F121/SUM(C111:F111)</f>
        <v>-49.775857112053473</v>
      </c>
      <c r="G123" s="40">
        <f t="shared" si="152"/>
        <v>-94.164305265599623</v>
      </c>
      <c r="H123" s="40">
        <f t="shared" si="152"/>
        <v>-48444.514492753624</v>
      </c>
      <c r="I123" s="40">
        <f t="shared" si="152"/>
        <v>-2115.4615983393878</v>
      </c>
      <c r="J123" s="40">
        <f t="shared" si="152"/>
        <v>244.35900364810715</v>
      </c>
      <c r="K123" s="40">
        <f t="shared" si="152"/>
        <v>73.375867571287614</v>
      </c>
      <c r="L123" s="40">
        <f t="shared" si="152"/>
        <v>115.00846757725641</v>
      </c>
      <c r="M123" s="40">
        <f t="shared" si="152"/>
        <v>-94.261143459635065</v>
      </c>
      <c r="N123" s="40">
        <f t="shared" si="152"/>
        <v>-136.52233671902681</v>
      </c>
      <c r="O123" s="40">
        <f t="shared" si="152"/>
        <v>27935.543518518516</v>
      </c>
      <c r="P123" s="40">
        <f t="shared" si="152"/>
        <v>168.93479838147064</v>
      </c>
      <c r="Q123" s="40">
        <f>Q121/SUM(N111:Q111)</f>
        <v>11.583359002930132</v>
      </c>
      <c r="R123" s="40">
        <f>R121/SUM(O111:R111)</f>
        <v>12.900370987573696</v>
      </c>
    </row>
    <row r="124" spans="2:31" s="40" customFormat="1" x14ac:dyDescent="0.3">
      <c r="B124" s="40" t="s">
        <v>330</v>
      </c>
      <c r="F124" s="40">
        <f t="shared" ref="F124:Q124" si="153">F121/SUM(C3:F3)</f>
        <v>11.250034520196346</v>
      </c>
      <c r="G124" s="40">
        <f t="shared" si="153"/>
        <v>15.086418064650399</v>
      </c>
      <c r="H124" s="40">
        <f t="shared" si="153"/>
        <v>15.306078387827197</v>
      </c>
      <c r="I124" s="40">
        <f t="shared" si="153"/>
        <v>17.371363738054907</v>
      </c>
      <c r="J124" s="40">
        <f t="shared" si="153"/>
        <v>16.140148052758605</v>
      </c>
      <c r="K124" s="40">
        <f t="shared" si="153"/>
        <v>11.026917008057932</v>
      </c>
      <c r="L124" s="40">
        <f t="shared" si="153"/>
        <v>12.944495462044095</v>
      </c>
      <c r="M124" s="40">
        <f t="shared" si="153"/>
        <v>15.710663143579522</v>
      </c>
      <c r="N124" s="40">
        <f t="shared" si="153"/>
        <v>13.696333861094613</v>
      </c>
      <c r="O124" s="40">
        <f t="shared" si="153"/>
        <v>8.3983813072301139</v>
      </c>
      <c r="P124" s="40">
        <f t="shared" si="153"/>
        <v>7.8826883112148174</v>
      </c>
      <c r="Q124" s="40">
        <f t="shared" si="153"/>
        <v>3.4397077901785442</v>
      </c>
      <c r="R124" s="40">
        <f>R121/SUM(O3:R3)</f>
        <v>3.3124126521908077</v>
      </c>
    </row>
    <row r="125" spans="2:31" x14ac:dyDescent="0.3">
      <c r="B125" s="2" t="s">
        <v>332</v>
      </c>
      <c r="F125" s="40">
        <f>F121/SUM(C116:F116)</f>
        <v>-92.469044863806303</v>
      </c>
      <c r="G125" s="40">
        <f t="shared" ref="G125:R125" si="154">G121/SUM(D116:G116)</f>
        <v>-132.71582572306619</v>
      </c>
      <c r="H125" s="40">
        <f t="shared" si="154"/>
        <v>-237.70953633906984</v>
      </c>
      <c r="I125" s="40">
        <f t="shared" si="154"/>
        <v>-1637.4751958224542</v>
      </c>
      <c r="J125" s="40">
        <f t="shared" si="154"/>
        <v>472.689368347987</v>
      </c>
      <c r="K125" s="40">
        <f t="shared" si="154"/>
        <v>187.28240634229752</v>
      </c>
      <c r="L125" s="40">
        <f t="shared" si="154"/>
        <v>136.69144254278726</v>
      </c>
      <c r="M125" s="40">
        <f t="shared" si="154"/>
        <v>123.92794754917266</v>
      </c>
      <c r="N125" s="40">
        <f t="shared" si="154"/>
        <v>85.993444116908606</v>
      </c>
      <c r="O125" s="40">
        <f t="shared" si="154"/>
        <v>41.913211452704104</v>
      </c>
      <c r="P125" s="40">
        <f t="shared" si="154"/>
        <v>35.572796450816782</v>
      </c>
      <c r="Q125" s="40">
        <f t="shared" si="154"/>
        <v>14.657418468753102</v>
      </c>
      <c r="R125" s="40">
        <f t="shared" si="154"/>
        <v>13.601426834769809</v>
      </c>
    </row>
    <row r="126" spans="2:31" x14ac:dyDescent="0.3">
      <c r="B126" s="2" t="s">
        <v>331</v>
      </c>
      <c r="F126" s="40">
        <f>F121/SUM(C117:F117)</f>
        <v>-158.29894472170369</v>
      </c>
      <c r="G126" s="40">
        <f t="shared" ref="G126:R126" si="155">G121/SUM(D117:G117)</f>
        <v>-137.2539626724371</v>
      </c>
      <c r="H126" s="40">
        <f t="shared" si="155"/>
        <v>-199.50292450014922</v>
      </c>
      <c r="I126" s="40">
        <f t="shared" si="155"/>
        <v>-30.288242068504346</v>
      </c>
      <c r="J126" s="40">
        <f t="shared" si="155"/>
        <v>-31.552046363650401</v>
      </c>
      <c r="K126" s="40">
        <f t="shared" si="155"/>
        <v>-23.516037054531683</v>
      </c>
      <c r="L126" s="40">
        <f t="shared" si="155"/>
        <v>-40.679939648807419</v>
      </c>
      <c r="M126" s="40">
        <f t="shared" si="155"/>
        <v>71.817526795342204</v>
      </c>
      <c r="N126" s="40">
        <f t="shared" si="155"/>
        <v>47.548291393724995</v>
      </c>
      <c r="O126" s="40">
        <f t="shared" si="155"/>
        <v>26.044653447397724</v>
      </c>
      <c r="P126" s="40">
        <f t="shared" si="155"/>
        <v>28.250664992906742</v>
      </c>
      <c r="Q126" s="40">
        <f t="shared" si="155"/>
        <v>15.334071164383937</v>
      </c>
      <c r="R126" s="40">
        <f t="shared" si="155"/>
        <v>16.201003817981277</v>
      </c>
    </row>
  </sheetData>
  <phoneticPr fontId="3" type="noConversion"/>
  <hyperlinks>
    <hyperlink ref="A1" location="Main!A1" display="Main" xr:uid="{B79106A4-5DBD-4ED3-9050-9610E03D2E49}"/>
  </hyperlinks>
  <pageMargins left="0.7" right="0.7" top="0.75" bottom="0.75" header="0.3" footer="0.3"/>
  <pageSetup orientation="portrait" r:id="rId1"/>
  <ignoredErrors>
    <ignoredError sqref="AG5 F124:Q124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8A15-91C0-43F1-9B28-27E29CAA6151}">
  <dimension ref="A2:Q32"/>
  <sheetViews>
    <sheetView topLeftCell="A12" zoomScale="87" zoomScaleNormal="130" workbookViewId="0">
      <selection activeCell="O30" sqref="O30"/>
    </sheetView>
  </sheetViews>
  <sheetFormatPr defaultRowHeight="14.4" x14ac:dyDescent="0.3"/>
  <sheetData>
    <row r="2" spans="2:15" x14ac:dyDescent="0.3"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</row>
    <row r="3" spans="2:15" x14ac:dyDescent="0.3">
      <c r="B3" t="s">
        <v>93</v>
      </c>
      <c r="C3" s="3">
        <v>1350</v>
      </c>
      <c r="D3" s="3">
        <v>1630</v>
      </c>
      <c r="E3" s="3">
        <v>2170</v>
      </c>
      <c r="F3" s="3">
        <v>2130</v>
      </c>
      <c r="G3" s="3">
        <v>2375</v>
      </c>
      <c r="H3" s="3"/>
      <c r="I3" s="3"/>
      <c r="J3" s="3"/>
    </row>
    <row r="4" spans="2:15" x14ac:dyDescent="0.3">
      <c r="B4" t="s">
        <v>95</v>
      </c>
      <c r="C4" s="3">
        <v>152180</v>
      </c>
      <c r="D4" s="3">
        <v>252653</v>
      </c>
      <c r="E4" s="3">
        <f>FS!AC5</f>
        <v>424336</v>
      </c>
      <c r="F4" s="3">
        <f>FS!AD5</f>
        <v>579906</v>
      </c>
      <c r="G4" s="3">
        <f>FS!AE5</f>
        <v>759249</v>
      </c>
      <c r="H4" s="3"/>
      <c r="I4" s="3"/>
      <c r="J4" s="3"/>
    </row>
    <row r="5" spans="2:15" x14ac:dyDescent="0.3">
      <c r="B5" t="s">
        <v>94</v>
      </c>
      <c r="C5" s="3">
        <f t="shared" ref="C5:F5" si="0">C4/C3</f>
        <v>112.72592592592592</v>
      </c>
      <c r="D5" s="3">
        <f t="shared" si="0"/>
        <v>155.00184049079755</v>
      </c>
      <c r="E5" s="3">
        <f t="shared" si="0"/>
        <v>195.54654377880183</v>
      </c>
      <c r="F5" s="3">
        <f t="shared" si="0"/>
        <v>272.25633802816901</v>
      </c>
      <c r="G5" s="3">
        <f>G4/G3</f>
        <v>319.68378947368421</v>
      </c>
      <c r="H5" s="3"/>
      <c r="I5" s="3"/>
      <c r="J5" s="3"/>
    </row>
    <row r="7" spans="2:15" x14ac:dyDescent="0.3">
      <c r="B7" t="s">
        <v>96</v>
      </c>
      <c r="D7" s="7">
        <f t="shared" ref="D7:F7" si="1">D3/C3-1</f>
        <v>0.20740740740740748</v>
      </c>
      <c r="E7" s="7">
        <f t="shared" si="1"/>
        <v>0.33128834355828229</v>
      </c>
      <c r="F7" s="7">
        <f t="shared" si="1"/>
        <v>-1.8433179723502335E-2</v>
      </c>
      <c r="G7" s="7">
        <f>G3/F3-1</f>
        <v>0.11502347417840375</v>
      </c>
    </row>
    <row r="8" spans="2:15" x14ac:dyDescent="0.3">
      <c r="B8" t="s">
        <v>97</v>
      </c>
      <c r="D8" s="7">
        <f t="shared" ref="D8:F8" si="2">D5/C5-1</f>
        <v>0.37503275504387368</v>
      </c>
      <c r="E8" s="7">
        <f t="shared" si="2"/>
        <v>0.26157562490628239</v>
      </c>
      <c r="F8" s="7">
        <f t="shared" si="2"/>
        <v>0.39228407092758277</v>
      </c>
      <c r="G8" s="7">
        <f>G5/F5-1</f>
        <v>0.17420145951058852</v>
      </c>
    </row>
    <row r="13" spans="2:15" x14ac:dyDescent="0.3">
      <c r="B13" t="s">
        <v>108</v>
      </c>
    </row>
    <row r="14" spans="2:15" x14ac:dyDescent="0.3">
      <c r="B14" t="s">
        <v>105</v>
      </c>
    </row>
    <row r="15" spans="2:15" x14ac:dyDescent="0.3">
      <c r="C15" t="s">
        <v>77</v>
      </c>
      <c r="D15" t="s">
        <v>71</v>
      </c>
      <c r="E15" t="s">
        <v>72</v>
      </c>
      <c r="F15" t="s">
        <v>73</v>
      </c>
      <c r="G15" t="s">
        <v>74</v>
      </c>
      <c r="H15" t="s">
        <v>70</v>
      </c>
      <c r="I15" t="s">
        <v>78</v>
      </c>
      <c r="J15" t="s">
        <v>79</v>
      </c>
      <c r="K15" t="s">
        <v>80</v>
      </c>
      <c r="L15" t="s">
        <v>81</v>
      </c>
      <c r="M15" t="s">
        <v>195</v>
      </c>
      <c r="N15" t="s">
        <v>201</v>
      </c>
      <c r="O15" t="s">
        <v>202</v>
      </c>
    </row>
    <row r="16" spans="2:15" x14ac:dyDescent="0.3">
      <c r="B16" t="s">
        <v>103</v>
      </c>
      <c r="C16" s="3">
        <v>7002</v>
      </c>
      <c r="D16" s="3">
        <v>7406</v>
      </c>
      <c r="E16" s="3">
        <v>7815</v>
      </c>
      <c r="F16" s="3">
        <v>8175</v>
      </c>
      <c r="G16" s="3">
        <v>8602</v>
      </c>
      <c r="H16" s="3">
        <v>8976</v>
      </c>
      <c r="I16" s="3">
        <v>9314</v>
      </c>
      <c r="J16" s="3">
        <v>9519</v>
      </c>
      <c r="K16" s="3">
        <v>9893</v>
      </c>
      <c r="L16" s="3">
        <v>10104</v>
      </c>
      <c r="M16" s="3">
        <v>10338</v>
      </c>
      <c r="N16" s="3">
        <v>10475</v>
      </c>
      <c r="O16" s="3">
        <v>10682</v>
      </c>
    </row>
    <row r="17" spans="1:17" x14ac:dyDescent="0.3">
      <c r="B17" t="s">
        <v>102</v>
      </c>
      <c r="C17" s="3">
        <v>697</v>
      </c>
      <c r="D17" s="3">
        <v>760</v>
      </c>
      <c r="E17" s="3">
        <v>810</v>
      </c>
      <c r="F17" s="3">
        <v>874</v>
      </c>
      <c r="G17" s="3">
        <v>955</v>
      </c>
      <c r="H17" s="3">
        <v>1025</v>
      </c>
      <c r="I17" s="3">
        <v>1076</v>
      </c>
      <c r="J17" s="3">
        <v>1144</v>
      </c>
      <c r="K17" s="3">
        <v>1229</v>
      </c>
      <c r="L17" s="3">
        <v>1288</v>
      </c>
      <c r="M17" s="3">
        <v>1344</v>
      </c>
      <c r="N17" s="3">
        <v>1405</v>
      </c>
      <c r="O17" s="3">
        <v>1456</v>
      </c>
    </row>
    <row r="18" spans="1:17" x14ac:dyDescent="0.3">
      <c r="B18" t="s">
        <v>104</v>
      </c>
      <c r="C18" s="3">
        <v>63</v>
      </c>
      <c r="D18" s="3"/>
      <c r="E18" s="3"/>
      <c r="F18" s="3"/>
      <c r="G18" s="3">
        <v>96</v>
      </c>
      <c r="H18" s="3"/>
      <c r="I18" s="3"/>
      <c r="J18" s="3"/>
      <c r="K18" s="3">
        <v>123</v>
      </c>
      <c r="L18" s="3"/>
      <c r="O18">
        <v>155</v>
      </c>
    </row>
    <row r="20" spans="1:17" x14ac:dyDescent="0.3">
      <c r="B20" t="s">
        <v>106</v>
      </c>
      <c r="D20" s="6">
        <f t="shared" ref="D20:J21" si="3">D16/C16-1</f>
        <v>5.7697800628391915E-2</v>
      </c>
      <c r="E20" s="6">
        <f t="shared" si="3"/>
        <v>5.52254928436402E-2</v>
      </c>
      <c r="F20" s="6">
        <f t="shared" si="3"/>
        <v>4.606525911708248E-2</v>
      </c>
      <c r="G20" s="6">
        <f t="shared" si="3"/>
        <v>5.2232415902140783E-2</v>
      </c>
      <c r="H20" s="6">
        <f t="shared" si="3"/>
        <v>4.3478260869565188E-2</v>
      </c>
      <c r="I20" s="6">
        <f t="shared" si="3"/>
        <v>3.7655971479500838E-2</v>
      </c>
      <c r="J20" s="6">
        <f t="shared" si="3"/>
        <v>2.2009877603607508E-2</v>
      </c>
      <c r="K20" s="6">
        <f>K16/J16-1</f>
        <v>3.9289841369891887E-2</v>
      </c>
      <c r="L20" s="6">
        <f>L16/K16-1</f>
        <v>2.1328211866976643E-2</v>
      </c>
      <c r="M20" s="6">
        <f>M16/L16-1</f>
        <v>2.3159144893111661E-2</v>
      </c>
      <c r="N20" s="6">
        <f>N16/M16-1</f>
        <v>1.3252079705939224E-2</v>
      </c>
      <c r="O20" s="6">
        <f>O16/N16-1</f>
        <v>1.976133651551315E-2</v>
      </c>
    </row>
    <row r="21" spans="1:17" x14ac:dyDescent="0.3">
      <c r="B21" t="s">
        <v>107</v>
      </c>
      <c r="D21" s="6">
        <f t="shared" si="3"/>
        <v>9.0387374461979864E-2</v>
      </c>
      <c r="E21" s="6">
        <f t="shared" si="3"/>
        <v>6.578947368421062E-2</v>
      </c>
      <c r="F21" s="6">
        <f t="shared" si="3"/>
        <v>7.9012345679012386E-2</v>
      </c>
      <c r="G21" s="6">
        <f t="shared" si="3"/>
        <v>9.2677345537757416E-2</v>
      </c>
      <c r="H21" s="6">
        <f t="shared" si="3"/>
        <v>7.3298429319371694E-2</v>
      </c>
      <c r="I21" s="6">
        <f t="shared" si="3"/>
        <v>4.9756097560975654E-2</v>
      </c>
      <c r="J21" s="6">
        <f t="shared" si="3"/>
        <v>6.3197026022304925E-2</v>
      </c>
      <c r="K21" s="6">
        <f t="shared" ref="K21:O21" si="4">K17/J17-1</f>
        <v>7.430069930069938E-2</v>
      </c>
      <c r="L21" s="6">
        <f t="shared" si="4"/>
        <v>4.8006509357201077E-2</v>
      </c>
      <c r="M21" s="6">
        <f t="shared" si="4"/>
        <v>4.3478260869565188E-2</v>
      </c>
      <c r="N21" s="6">
        <f t="shared" si="4"/>
        <v>4.5386904761904656E-2</v>
      </c>
      <c r="O21" s="6">
        <f t="shared" si="4"/>
        <v>3.6298932384341676E-2</v>
      </c>
    </row>
    <row r="22" spans="1:17" x14ac:dyDescent="0.3">
      <c r="B22" t="s">
        <v>284</v>
      </c>
      <c r="D22" s="6"/>
      <c r="E22" s="6"/>
      <c r="F22" s="6"/>
      <c r="G22" s="6">
        <f>G18/C18-1</f>
        <v>0.52380952380952372</v>
      </c>
      <c r="H22" s="6"/>
      <c r="I22" s="6"/>
      <c r="J22" s="6"/>
      <c r="K22" s="6">
        <f>K18/G18-1</f>
        <v>0.28125</v>
      </c>
      <c r="L22" s="6"/>
      <c r="M22" s="6"/>
      <c r="O22" s="6">
        <f>O18/K18-1</f>
        <v>0.26016260162601634</v>
      </c>
    </row>
    <row r="23" spans="1:17" x14ac:dyDescent="0.3">
      <c r="B23" t="s">
        <v>190</v>
      </c>
      <c r="D23" s="6"/>
      <c r="E23" s="6"/>
      <c r="F23" s="6"/>
      <c r="G23" s="6">
        <f>G16/C16-1</f>
        <v>0.22850614110254219</v>
      </c>
      <c r="H23" s="6">
        <f t="shared" ref="H23:O24" si="5">H16/D16-1</f>
        <v>0.2119902781528491</v>
      </c>
      <c r="I23" s="6">
        <f t="shared" si="5"/>
        <v>0.19181062060140763</v>
      </c>
      <c r="J23" s="6">
        <f t="shared" si="5"/>
        <v>0.16440366972477061</v>
      </c>
      <c r="K23" s="6">
        <f t="shared" si="5"/>
        <v>0.15008137642408736</v>
      </c>
      <c r="L23" s="6">
        <f t="shared" si="5"/>
        <v>0.12566844919786102</v>
      </c>
      <c r="M23" s="6">
        <f t="shared" si="5"/>
        <v>0.1099420227614345</v>
      </c>
      <c r="N23" s="6">
        <f t="shared" si="5"/>
        <v>0.10043071751234378</v>
      </c>
      <c r="O23" s="6">
        <f t="shared" si="5"/>
        <v>7.9753360962296682E-2</v>
      </c>
    </row>
    <row r="24" spans="1:17" x14ac:dyDescent="0.3">
      <c r="B24" t="s">
        <v>191</v>
      </c>
      <c r="D24" s="6"/>
      <c r="E24" s="6"/>
      <c r="F24" s="6"/>
      <c r="G24" s="6">
        <f t="shared" ref="G24" si="6">G17/C17-1</f>
        <v>0.37015781922525104</v>
      </c>
      <c r="H24" s="6">
        <f t="shared" si="5"/>
        <v>0.34868421052631571</v>
      </c>
      <c r="I24" s="6">
        <f t="shared" si="5"/>
        <v>0.32839506172839505</v>
      </c>
      <c r="J24" s="6">
        <f t="shared" si="5"/>
        <v>0.30892448512585813</v>
      </c>
      <c r="K24" s="6">
        <f t="shared" si="5"/>
        <v>0.28691099476439796</v>
      </c>
      <c r="L24" s="6">
        <f t="shared" si="5"/>
        <v>0.25658536585365854</v>
      </c>
      <c r="M24" s="6">
        <f t="shared" si="5"/>
        <v>0.24907063197026025</v>
      </c>
      <c r="N24" s="6">
        <f t="shared" si="5"/>
        <v>0.22814685314685312</v>
      </c>
      <c r="O24" s="6">
        <f t="shared" si="5"/>
        <v>0.18470301057770544</v>
      </c>
    </row>
    <row r="26" spans="1:17" x14ac:dyDescent="0.3">
      <c r="A26" t="s">
        <v>194</v>
      </c>
    </row>
    <row r="27" spans="1:17" x14ac:dyDescent="0.3">
      <c r="B27" t="s">
        <v>192</v>
      </c>
      <c r="L27" s="39">
        <v>955.1</v>
      </c>
      <c r="M27" s="39">
        <v>988.2</v>
      </c>
      <c r="N27" s="39">
        <v>1000</v>
      </c>
      <c r="O27" s="39">
        <v>1100</v>
      </c>
      <c r="P27" s="39"/>
      <c r="Q27" s="39"/>
    </row>
    <row r="28" spans="1:17" x14ac:dyDescent="0.3">
      <c r="B28" t="s">
        <v>193</v>
      </c>
      <c r="L28" s="39">
        <v>584.79999999999995</v>
      </c>
      <c r="M28" s="39">
        <v>621.6</v>
      </c>
      <c r="N28" s="39">
        <v>659.1</v>
      </c>
      <c r="O28" s="39">
        <v>719.4</v>
      </c>
      <c r="P28" s="39"/>
      <c r="Q28" s="39"/>
    </row>
    <row r="29" spans="1:17" s="6" customFormat="1" x14ac:dyDescent="0.3">
      <c r="B29" s="6" t="s">
        <v>315</v>
      </c>
      <c r="M29" s="6">
        <f>M27/L27-1</f>
        <v>3.4656056957386605E-2</v>
      </c>
      <c r="N29" s="6">
        <f>N27/M27-1</f>
        <v>1.1940902651285112E-2</v>
      </c>
      <c r="O29" s="6">
        <f>O27/N27-1</f>
        <v>0.10000000000000009</v>
      </c>
    </row>
    <row r="30" spans="1:17" s="6" customFormat="1" x14ac:dyDescent="0.3">
      <c r="B30" s="6" t="s">
        <v>316</v>
      </c>
      <c r="M30" s="6">
        <f t="shared" ref="M30:O30" si="7">M28/L28-1</f>
        <v>6.2927496580027498E-2</v>
      </c>
      <c r="N30" s="6">
        <f t="shared" si="7"/>
        <v>6.0328185328185402E-2</v>
      </c>
      <c r="O30" s="6">
        <f t="shared" si="7"/>
        <v>9.1488393263541079E-2</v>
      </c>
    </row>
    <row r="32" spans="1:17" s="7" customFormat="1" x14ac:dyDescent="0.3">
      <c r="B32" s="7" t="s">
        <v>342</v>
      </c>
      <c r="O32" s="7">
        <v>1.18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23B6-52F5-4AA1-9954-14E30FE8D548}">
  <dimension ref="B2:E31"/>
  <sheetViews>
    <sheetView zoomScale="90" workbookViewId="0">
      <selection activeCell="G17" sqref="G17"/>
    </sheetView>
  </sheetViews>
  <sheetFormatPr defaultRowHeight="14.4" x14ac:dyDescent="0.3"/>
  <cols>
    <col min="2" max="2" width="22" bestFit="1" customWidth="1"/>
    <col min="3" max="3" width="28.77734375" customWidth="1"/>
    <col min="4" max="4" width="31.77734375" customWidth="1"/>
    <col min="5" max="5" width="31.109375" customWidth="1"/>
  </cols>
  <sheetData>
    <row r="2" spans="2:5" x14ac:dyDescent="0.3">
      <c r="B2" s="10" t="s">
        <v>145</v>
      </c>
      <c r="C2" s="10" t="s">
        <v>146</v>
      </c>
    </row>
    <row r="3" spans="2:5" ht="28.8" x14ac:dyDescent="0.3">
      <c r="B3" s="11" t="s">
        <v>147</v>
      </c>
      <c r="C3" s="12" t="s">
        <v>148</v>
      </c>
    </row>
    <row r="4" spans="2:5" x14ac:dyDescent="0.3">
      <c r="B4" s="11"/>
      <c r="C4" s="11"/>
    </row>
    <row r="5" spans="2:5" x14ac:dyDescent="0.3">
      <c r="B5" s="11"/>
      <c r="C5" s="11"/>
    </row>
    <row r="6" spans="2:5" x14ac:dyDescent="0.3">
      <c r="B6" s="10" t="s">
        <v>149</v>
      </c>
      <c r="C6" s="10" t="s">
        <v>150</v>
      </c>
      <c r="D6" s="10" t="s">
        <v>151</v>
      </c>
      <c r="E6" s="10" t="s">
        <v>93</v>
      </c>
    </row>
    <row r="7" spans="2:5" x14ac:dyDescent="0.3">
      <c r="B7" s="11" t="s">
        <v>152</v>
      </c>
      <c r="C7" s="11" t="s">
        <v>153</v>
      </c>
      <c r="D7" s="11" t="s">
        <v>154</v>
      </c>
      <c r="E7" s="13">
        <v>900</v>
      </c>
    </row>
    <row r="8" spans="2:5" ht="28.8" x14ac:dyDescent="0.3">
      <c r="B8" s="11" t="s">
        <v>155</v>
      </c>
      <c r="C8" s="11" t="s">
        <v>156</v>
      </c>
      <c r="D8" s="11" t="s">
        <v>157</v>
      </c>
      <c r="E8" s="14">
        <v>24000</v>
      </c>
    </row>
    <row r="9" spans="2:5" x14ac:dyDescent="0.3">
      <c r="B9" s="11" t="s">
        <v>158</v>
      </c>
      <c r="C9" s="11" t="s">
        <v>159</v>
      </c>
      <c r="D9" s="11" t="s">
        <v>160</v>
      </c>
      <c r="E9" s="13" t="s">
        <v>161</v>
      </c>
    </row>
    <row r="10" spans="2:5" ht="28.8" x14ac:dyDescent="0.3">
      <c r="B10" s="11" t="s">
        <v>162</v>
      </c>
      <c r="C10" s="11" t="s">
        <v>163</v>
      </c>
      <c r="D10" s="11" t="s">
        <v>164</v>
      </c>
      <c r="E10" s="14">
        <v>9162</v>
      </c>
    </row>
    <row r="11" spans="2:5" x14ac:dyDescent="0.3">
      <c r="B11" s="11" t="s">
        <v>165</v>
      </c>
      <c r="C11" s="11" t="s">
        <v>166</v>
      </c>
      <c r="D11" s="11" t="s">
        <v>167</v>
      </c>
      <c r="E11" s="14">
        <v>199652</v>
      </c>
    </row>
    <row r="12" spans="2:5" x14ac:dyDescent="0.3">
      <c r="B12" s="11" t="s">
        <v>168</v>
      </c>
      <c r="C12" s="11" t="s">
        <v>169</v>
      </c>
      <c r="D12" s="11" t="s">
        <v>170</v>
      </c>
      <c r="E12" s="14">
        <v>327000</v>
      </c>
    </row>
    <row r="13" spans="2:5" x14ac:dyDescent="0.3">
      <c r="B13" s="11" t="s">
        <v>171</v>
      </c>
      <c r="C13" s="11" t="s">
        <v>172</v>
      </c>
      <c r="D13" s="11" t="s">
        <v>173</v>
      </c>
      <c r="E13" s="14">
        <v>108648</v>
      </c>
    </row>
    <row r="14" spans="2:5" x14ac:dyDescent="0.3">
      <c r="B14" s="11" t="s">
        <v>174</v>
      </c>
      <c r="C14" s="11" t="s">
        <v>175</v>
      </c>
      <c r="D14" s="11" t="s">
        <v>176</v>
      </c>
      <c r="E14" s="14">
        <v>32000</v>
      </c>
    </row>
    <row r="15" spans="2:5" x14ac:dyDescent="0.3">
      <c r="B15" s="11" t="s">
        <v>177</v>
      </c>
      <c r="C15" s="11" t="s">
        <v>178</v>
      </c>
      <c r="D15" s="11" t="s">
        <v>179</v>
      </c>
      <c r="E15" s="14">
        <v>113000</v>
      </c>
    </row>
    <row r="16" spans="2:5" ht="28.8" x14ac:dyDescent="0.3">
      <c r="B16" s="11" t="s">
        <v>180</v>
      </c>
      <c r="C16" s="11" t="s">
        <v>181</v>
      </c>
      <c r="D16" s="11" t="s">
        <v>182</v>
      </c>
      <c r="E16" s="14">
        <v>22000</v>
      </c>
    </row>
    <row r="17" spans="2:5" x14ac:dyDescent="0.3">
      <c r="B17" s="11" t="s">
        <v>183</v>
      </c>
      <c r="C17" s="11" t="s">
        <v>184</v>
      </c>
      <c r="D17" s="11" t="s">
        <v>185</v>
      </c>
      <c r="E17" s="14">
        <v>80518</v>
      </c>
    </row>
    <row r="18" spans="2:5" x14ac:dyDescent="0.3">
      <c r="B18" s="11" t="s">
        <v>186</v>
      </c>
      <c r="C18" s="11" t="s">
        <v>187</v>
      </c>
      <c r="D18" s="11" t="s">
        <v>188</v>
      </c>
      <c r="E18" s="13" t="s">
        <v>189</v>
      </c>
    </row>
    <row r="19" spans="2:5" x14ac:dyDescent="0.3">
      <c r="B19" s="11"/>
      <c r="C19" s="11"/>
      <c r="D19" s="11"/>
      <c r="E19" s="13"/>
    </row>
    <row r="20" spans="2:5" x14ac:dyDescent="0.3">
      <c r="B20" s="11"/>
      <c r="C20" s="11"/>
      <c r="D20" s="11"/>
      <c r="E20" s="13"/>
    </row>
    <row r="21" spans="2:5" x14ac:dyDescent="0.3">
      <c r="B21" s="11"/>
      <c r="C21" s="11"/>
      <c r="D21" s="11"/>
      <c r="E21" s="13"/>
    </row>
    <row r="22" spans="2:5" x14ac:dyDescent="0.3">
      <c r="B22" s="15"/>
      <c r="C22" s="16"/>
      <c r="D22" s="16"/>
      <c r="E22" s="16"/>
    </row>
    <row r="23" spans="2:5" x14ac:dyDescent="0.3">
      <c r="B23" s="19" t="s">
        <v>109</v>
      </c>
      <c r="C23" s="19" t="s">
        <v>110</v>
      </c>
      <c r="D23" s="19" t="s">
        <v>111</v>
      </c>
      <c r="E23" s="19" t="s">
        <v>112</v>
      </c>
    </row>
    <row r="24" spans="2:5" ht="28.8" x14ac:dyDescent="0.3">
      <c r="B24" s="17" t="s">
        <v>113</v>
      </c>
      <c r="C24" s="18" t="s">
        <v>114</v>
      </c>
      <c r="D24" s="18" t="s">
        <v>115</v>
      </c>
      <c r="E24" s="18" t="s">
        <v>116</v>
      </c>
    </row>
    <row r="25" spans="2:5" ht="28.8" x14ac:dyDescent="0.3">
      <c r="B25" s="17" t="s">
        <v>117</v>
      </c>
      <c r="C25" s="18" t="s">
        <v>118</v>
      </c>
      <c r="D25" s="18" t="s">
        <v>119</v>
      </c>
      <c r="E25" s="18" t="s">
        <v>120</v>
      </c>
    </row>
    <row r="26" spans="2:5" ht="28.8" x14ac:dyDescent="0.3">
      <c r="B26" s="17" t="s">
        <v>121</v>
      </c>
      <c r="C26" s="18" t="s">
        <v>122</v>
      </c>
      <c r="D26" s="18" t="s">
        <v>123</v>
      </c>
      <c r="E26" s="18" t="s">
        <v>124</v>
      </c>
    </row>
    <row r="27" spans="2:5" ht="28.8" x14ac:dyDescent="0.3">
      <c r="B27" s="17" t="s">
        <v>125</v>
      </c>
      <c r="C27" s="18" t="s">
        <v>126</v>
      </c>
      <c r="D27" s="18" t="s">
        <v>127</v>
      </c>
      <c r="E27" s="18" t="s">
        <v>128</v>
      </c>
    </row>
    <row r="28" spans="2:5" ht="43.2" x14ac:dyDescent="0.3">
      <c r="B28" s="17" t="s">
        <v>129</v>
      </c>
      <c r="C28" s="18" t="s">
        <v>130</v>
      </c>
      <c r="D28" s="18" t="s">
        <v>131</v>
      </c>
      <c r="E28" s="18" t="s">
        <v>132</v>
      </c>
    </row>
    <row r="29" spans="2:5" ht="43.2" x14ac:dyDescent="0.3">
      <c r="B29" s="17" t="s">
        <v>133</v>
      </c>
      <c r="C29" s="18" t="s">
        <v>134</v>
      </c>
      <c r="D29" s="18" t="s">
        <v>135</v>
      </c>
      <c r="E29" s="18" t="s">
        <v>136</v>
      </c>
    </row>
    <row r="30" spans="2:5" ht="28.8" x14ac:dyDescent="0.3">
      <c r="B30" s="17" t="s">
        <v>137</v>
      </c>
      <c r="C30" s="18" t="s">
        <v>138</v>
      </c>
      <c r="D30" s="18" t="s">
        <v>139</v>
      </c>
      <c r="E30" s="18" t="s">
        <v>140</v>
      </c>
    </row>
    <row r="31" spans="2:5" ht="43.2" x14ac:dyDescent="0.3">
      <c r="B31" s="17" t="s">
        <v>141</v>
      </c>
      <c r="C31" s="18" t="s">
        <v>142</v>
      </c>
      <c r="D31" s="18" t="s">
        <v>143</v>
      </c>
      <c r="E31" s="18" t="s">
        <v>144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9958-862D-4D0E-AD54-878E41824ACE}">
  <dimension ref="G1:BO28"/>
  <sheetViews>
    <sheetView topLeftCell="A3" zoomScaleNormal="100" workbookViewId="0">
      <selection activeCell="AK28" sqref="AK28"/>
    </sheetView>
  </sheetViews>
  <sheetFormatPr defaultRowHeight="14.4" x14ac:dyDescent="0.3"/>
  <cols>
    <col min="7" max="7" width="16" bestFit="1" customWidth="1"/>
    <col min="27" max="27" width="9.109375" bestFit="1" customWidth="1"/>
    <col min="28" max="28" width="11.21875" bestFit="1" customWidth="1"/>
    <col min="31" max="32" width="9.109375" bestFit="1" customWidth="1"/>
    <col min="34" max="34" width="9.109375" bestFit="1" customWidth="1"/>
  </cols>
  <sheetData>
    <row r="1" spans="7:56" x14ac:dyDescent="0.3">
      <c r="AZ1" t="s">
        <v>317</v>
      </c>
    </row>
    <row r="2" spans="7:56" x14ac:dyDescent="0.3">
      <c r="AZ2" t="s">
        <v>321</v>
      </c>
      <c r="BA2">
        <v>227</v>
      </c>
      <c r="BC2" t="s">
        <v>319</v>
      </c>
      <c r="BD2" s="3">
        <v>942</v>
      </c>
    </row>
    <row r="3" spans="7:56" x14ac:dyDescent="0.3">
      <c r="AZ3" t="s">
        <v>318</v>
      </c>
      <c r="BA3">
        <v>236</v>
      </c>
      <c r="BC3" t="s">
        <v>318</v>
      </c>
      <c r="BD3">
        <v>942</v>
      </c>
    </row>
    <row r="4" spans="7:56" x14ac:dyDescent="0.3">
      <c r="AZ4" t="s">
        <v>298</v>
      </c>
      <c r="BA4" s="6">
        <f>BA3/BA2-1</f>
        <v>3.9647577092511099E-2</v>
      </c>
      <c r="BC4" t="s">
        <v>298</v>
      </c>
      <c r="BD4" s="6">
        <f>BD3/BD2-1</f>
        <v>0</v>
      </c>
    </row>
    <row r="5" spans="7:56" x14ac:dyDescent="0.3">
      <c r="AZ5" t="s">
        <v>322</v>
      </c>
      <c r="BA5">
        <v>0.17</v>
      </c>
      <c r="BC5" t="s">
        <v>320</v>
      </c>
      <c r="BD5">
        <v>0.75</v>
      </c>
    </row>
    <row r="6" spans="7:56" x14ac:dyDescent="0.3">
      <c r="G6" s="2" t="s">
        <v>270</v>
      </c>
      <c r="H6" s="29" t="s">
        <v>266</v>
      </c>
      <c r="I6" s="23" t="s">
        <v>267</v>
      </c>
      <c r="J6" s="23" t="s">
        <v>268</v>
      </c>
      <c r="K6" s="23" t="s">
        <v>269</v>
      </c>
      <c r="L6" s="23" t="s">
        <v>84</v>
      </c>
      <c r="M6" s="23" t="s">
        <v>75</v>
      </c>
      <c r="N6" s="23" t="s">
        <v>76</v>
      </c>
      <c r="O6" s="23" t="s">
        <v>77</v>
      </c>
      <c r="P6" s="23" t="s">
        <v>71</v>
      </c>
      <c r="Q6" s="23" t="s">
        <v>72</v>
      </c>
      <c r="R6" s="23" t="s">
        <v>73</v>
      </c>
      <c r="S6" s="23" t="s">
        <v>74</v>
      </c>
      <c r="T6" s="23" t="s">
        <v>70</v>
      </c>
      <c r="U6" s="23" t="s">
        <v>78</v>
      </c>
      <c r="V6" s="23" t="s">
        <v>79</v>
      </c>
      <c r="W6" s="23" t="s">
        <v>80</v>
      </c>
      <c r="AA6" t="s">
        <v>73</v>
      </c>
      <c r="AB6" t="s">
        <v>79</v>
      </c>
      <c r="AC6" t="s">
        <v>305</v>
      </c>
      <c r="AE6" t="s">
        <v>74</v>
      </c>
      <c r="AF6" t="s">
        <v>80</v>
      </c>
      <c r="AG6" t="s">
        <v>305</v>
      </c>
      <c r="AH6" t="s">
        <v>304</v>
      </c>
      <c r="AI6" t="s">
        <v>305</v>
      </c>
      <c r="AJ6" t="s">
        <v>298</v>
      </c>
      <c r="AM6" t="s">
        <v>306</v>
      </c>
      <c r="AN6" t="s">
        <v>20</v>
      </c>
      <c r="AQ6" t="s">
        <v>81</v>
      </c>
      <c r="AT6" t="s">
        <v>309</v>
      </c>
      <c r="AU6" t="s">
        <v>310</v>
      </c>
      <c r="AV6" t="s">
        <v>311</v>
      </c>
      <c r="AW6" t="s">
        <v>312</v>
      </c>
      <c r="AX6" t="s">
        <v>313</v>
      </c>
      <c r="AZ6" t="s">
        <v>318</v>
      </c>
      <c r="BA6">
        <v>0.24</v>
      </c>
      <c r="BC6" t="s">
        <v>318</v>
      </c>
      <c r="BD6">
        <v>0.83</v>
      </c>
    </row>
    <row r="7" spans="7:56" x14ac:dyDescent="0.3">
      <c r="G7" s="26" t="s">
        <v>3</v>
      </c>
      <c r="H7" s="30">
        <v>614</v>
      </c>
      <c r="I7" s="27">
        <v>688.5</v>
      </c>
      <c r="J7" s="27">
        <v>740.5</v>
      </c>
      <c r="K7" s="27">
        <v>759.8</v>
      </c>
      <c r="L7" s="27">
        <v>807.4</v>
      </c>
      <c r="M7" s="27">
        <v>872.7</v>
      </c>
      <c r="N7" s="27">
        <v>915.5</v>
      </c>
      <c r="O7" s="27">
        <v>939.1</v>
      </c>
      <c r="P7" s="27">
        <v>977.8</v>
      </c>
      <c r="Q7" s="28">
        <v>1060.0999999999999</v>
      </c>
      <c r="R7" s="28">
        <v>1189.0999999999999</v>
      </c>
      <c r="S7" s="28">
        <v>1131.5999999999999</v>
      </c>
      <c r="T7" s="28">
        <v>1187.8</v>
      </c>
      <c r="U7" s="28">
        <v>1286.5</v>
      </c>
      <c r="V7" s="28">
        <v>1356.7</v>
      </c>
      <c r="W7" s="3">
        <v>1384.3440000000001</v>
      </c>
      <c r="Z7" t="s">
        <v>299</v>
      </c>
      <c r="AA7" s="3">
        <v>703036</v>
      </c>
      <c r="AB7" s="3">
        <v>880429</v>
      </c>
      <c r="AC7" s="32">
        <f>AB7/AA7-1</f>
        <v>0.25232420530385347</v>
      </c>
      <c r="AE7" s="3">
        <v>738006</v>
      </c>
      <c r="AF7" s="3">
        <v>927730</v>
      </c>
      <c r="AG7" s="32">
        <f>AF7/AE7-1</f>
        <v>0.25707650073305643</v>
      </c>
      <c r="AH7" s="3">
        <f>AE7*1.23</f>
        <v>907747.38</v>
      </c>
      <c r="AI7" s="7">
        <f>AH7/AE7-1</f>
        <v>0.22999999999999998</v>
      </c>
      <c r="AJ7" s="32">
        <f>AF7/AH7-1</f>
        <v>2.2013415230127231E-2</v>
      </c>
      <c r="AL7" t="s">
        <v>296</v>
      </c>
      <c r="AM7">
        <v>1359</v>
      </c>
      <c r="AN7">
        <v>0.83</v>
      </c>
      <c r="AP7" t="s">
        <v>304</v>
      </c>
      <c r="AQ7" t="s">
        <v>307</v>
      </c>
      <c r="AT7" s="9">
        <f>SUM(H7:K7)</f>
        <v>2802.8</v>
      </c>
      <c r="AU7" s="9">
        <f>SUM(L7:O7)</f>
        <v>3534.7</v>
      </c>
      <c r="AV7" s="9">
        <f>SUM(P7:S7)</f>
        <v>4358.6000000000004</v>
      </c>
      <c r="AW7" s="9">
        <f>SUM(T7:W7)</f>
        <v>5215.3440000000001</v>
      </c>
      <c r="AX7" s="9">
        <f>AW7*1.18</f>
        <v>6154.10592</v>
      </c>
      <c r="AZ7" t="s">
        <v>298</v>
      </c>
      <c r="BA7" s="6">
        <f>BA6/BA5-1</f>
        <v>0.41176470588235281</v>
      </c>
      <c r="BC7" t="s">
        <v>298</v>
      </c>
      <c r="BD7" s="6">
        <f>BD6/BD5-1</f>
        <v>0.10666666666666669</v>
      </c>
    </row>
    <row r="8" spans="7:56" x14ac:dyDescent="0.3">
      <c r="G8" t="s">
        <v>6</v>
      </c>
      <c r="H8" s="29">
        <v>96.3</v>
      </c>
      <c r="I8" s="23">
        <v>110.2</v>
      </c>
      <c r="J8" s="23">
        <v>116.1</v>
      </c>
      <c r="K8" s="23">
        <v>130.4</v>
      </c>
      <c r="L8" s="23">
        <v>139.4</v>
      </c>
      <c r="M8" s="23">
        <v>155.9</v>
      </c>
      <c r="N8" s="23">
        <v>168.7</v>
      </c>
      <c r="O8" s="23">
        <v>169.8</v>
      </c>
      <c r="P8" s="23">
        <v>178</v>
      </c>
      <c r="Q8" s="23">
        <v>194.5</v>
      </c>
      <c r="R8" s="23">
        <v>213.4</v>
      </c>
      <c r="S8" s="23">
        <v>217.5</v>
      </c>
      <c r="T8" s="23">
        <v>217.6</v>
      </c>
      <c r="U8" s="23">
        <v>223.1</v>
      </c>
      <c r="V8" s="23">
        <v>219.7</v>
      </c>
      <c r="W8" s="23"/>
      <c r="Z8" t="s">
        <v>300</v>
      </c>
      <c r="AA8" s="3">
        <v>364134</v>
      </c>
      <c r="AB8" s="3">
        <v>388516</v>
      </c>
      <c r="AC8" s="32">
        <f t="shared" ref="AC8:AC11" si="0">AB8/AA8-1</f>
        <v>6.6958866790796767E-2</v>
      </c>
      <c r="AE8" s="3">
        <v>326663</v>
      </c>
      <c r="AF8" s="3">
        <v>380776</v>
      </c>
      <c r="AG8" s="32">
        <f t="shared" ref="AG8:AG11" si="1">AF8/AE8-1</f>
        <v>0.1656539001968389</v>
      </c>
      <c r="AH8" s="3">
        <f>+AE8*1.165</f>
        <v>380562.39500000002</v>
      </c>
      <c r="AI8" s="7">
        <f t="shared" ref="AI8:AI11" si="2">AH8/AE8-1</f>
        <v>0.16500000000000004</v>
      </c>
      <c r="AJ8" s="32">
        <f t="shared" ref="AJ8:AJ11" si="3">AF8/AH8-1</f>
        <v>5.6128772260843895E-4</v>
      </c>
      <c r="AL8" t="s">
        <v>297</v>
      </c>
      <c r="AM8" s="3">
        <v>1384.3440000000001</v>
      </c>
      <c r="AP8" t="s">
        <v>308</v>
      </c>
      <c r="AQ8">
        <v>1410</v>
      </c>
      <c r="AZ8" t="s">
        <v>325</v>
      </c>
      <c r="BA8">
        <v>24</v>
      </c>
      <c r="BC8" t="s">
        <v>327</v>
      </c>
      <c r="BD8" s="3">
        <v>121</v>
      </c>
    </row>
    <row r="9" spans="7:56" x14ac:dyDescent="0.3">
      <c r="G9" t="s">
        <v>7</v>
      </c>
      <c r="H9" s="29">
        <v>517.79999999999995</v>
      </c>
      <c r="I9" s="23">
        <v>578.29999999999995</v>
      </c>
      <c r="J9" s="23">
        <v>624.4</v>
      </c>
      <c r="K9" s="23">
        <v>629.4</v>
      </c>
      <c r="L9" s="23">
        <v>668</v>
      </c>
      <c r="M9" s="23">
        <v>716.8</v>
      </c>
      <c r="N9" s="23">
        <v>746.8</v>
      </c>
      <c r="O9" s="23">
        <v>769.3</v>
      </c>
      <c r="P9" s="23">
        <v>799.7</v>
      </c>
      <c r="Q9" s="23">
        <v>865.6</v>
      </c>
      <c r="R9" s="23">
        <v>975.7</v>
      </c>
      <c r="S9" s="23">
        <v>914.1</v>
      </c>
      <c r="T9" s="23">
        <v>970.2</v>
      </c>
      <c r="U9" s="24">
        <v>1063.3</v>
      </c>
      <c r="V9" s="25">
        <v>1137</v>
      </c>
      <c r="W9" s="25"/>
      <c r="Z9" t="s">
        <v>301</v>
      </c>
      <c r="AA9" s="3">
        <v>29720</v>
      </c>
      <c r="AB9" s="3"/>
      <c r="AC9" s="32">
        <f t="shared" si="0"/>
        <v>-1</v>
      </c>
      <c r="AE9" s="3"/>
      <c r="AF9" s="3"/>
      <c r="AG9" s="32"/>
      <c r="AH9" s="3"/>
      <c r="AI9" s="7"/>
      <c r="AJ9" s="32"/>
      <c r="AU9" s="32">
        <f>AU7/AT7-1</f>
        <v>0.26113172541743945</v>
      </c>
      <c r="AV9" s="32">
        <f t="shared" ref="AV9:AX9" si="4">AV7/AU7-1</f>
        <v>0.23308908818287288</v>
      </c>
      <c r="AW9" s="32">
        <f t="shared" si="4"/>
        <v>0.19656403432294756</v>
      </c>
      <c r="AX9" s="32">
        <f t="shared" si="4"/>
        <v>0.17999999999999994</v>
      </c>
      <c r="AZ9" t="s">
        <v>318</v>
      </c>
      <c r="BA9">
        <v>39.6</v>
      </c>
      <c r="BC9" t="s">
        <v>318</v>
      </c>
      <c r="BD9">
        <v>136</v>
      </c>
    </row>
    <row r="10" spans="7:56" x14ac:dyDescent="0.3">
      <c r="G10" t="s">
        <v>218</v>
      </c>
      <c r="H10" s="29">
        <v>89.8</v>
      </c>
      <c r="I10" s="23">
        <v>115.7</v>
      </c>
      <c r="J10" s="23">
        <v>115</v>
      </c>
      <c r="K10" s="23">
        <v>131.69999999999999</v>
      </c>
      <c r="L10" s="23">
        <v>142.9</v>
      </c>
      <c r="M10" s="23">
        <v>156.1</v>
      </c>
      <c r="N10" s="23">
        <v>165.1</v>
      </c>
      <c r="O10" s="23">
        <v>142.19999999999999</v>
      </c>
      <c r="P10" s="23">
        <v>143.30000000000001</v>
      </c>
      <c r="Q10" s="23">
        <v>157.30000000000001</v>
      </c>
      <c r="R10" s="23">
        <v>157.6</v>
      </c>
      <c r="S10" s="23">
        <v>152.30000000000001</v>
      </c>
      <c r="T10" s="23">
        <v>146.6</v>
      </c>
      <c r="U10" s="23">
        <v>168.7</v>
      </c>
      <c r="V10" s="23">
        <v>168.3</v>
      </c>
      <c r="W10" s="23"/>
      <c r="Z10" t="s">
        <v>302</v>
      </c>
      <c r="AA10" s="3">
        <v>92238</v>
      </c>
      <c r="AB10" s="3">
        <v>87771</v>
      </c>
      <c r="AC10" s="32">
        <f t="shared" si="0"/>
        <v>-4.8429063943277173E-2</v>
      </c>
      <c r="AE10" s="3">
        <v>66921</v>
      </c>
      <c r="AF10" s="3">
        <v>75838</v>
      </c>
      <c r="AG10" s="32">
        <f t="shared" si="1"/>
        <v>0.13324666397692808</v>
      </c>
      <c r="AH10" s="3">
        <f>+AE10*1</f>
        <v>66921</v>
      </c>
      <c r="AI10" s="7">
        <f t="shared" si="2"/>
        <v>0</v>
      </c>
      <c r="AJ10" s="32">
        <f t="shared" si="3"/>
        <v>0.13324666397692808</v>
      </c>
      <c r="AL10" t="s">
        <v>298</v>
      </c>
      <c r="AM10" s="37">
        <f>AM8/AM7-1</f>
        <v>1.8649006622516673E-2</v>
      </c>
      <c r="AN10" s="38">
        <f>AN8/AN7-1</f>
        <v>-1</v>
      </c>
      <c r="AZ10" t="s">
        <v>298</v>
      </c>
      <c r="BA10" s="6">
        <f>BA9/BA8-1</f>
        <v>0.65000000000000013</v>
      </c>
      <c r="BC10" t="s">
        <v>298</v>
      </c>
      <c r="BD10" s="6">
        <f>BD9/BD8-1</f>
        <v>0.12396694214876036</v>
      </c>
    </row>
    <row r="11" spans="7:56" x14ac:dyDescent="0.3">
      <c r="G11" t="s">
        <v>291</v>
      </c>
      <c r="H11" s="29">
        <v>-411.2</v>
      </c>
      <c r="I11" s="23">
        <v>-22.3</v>
      </c>
      <c r="J11" s="23">
        <v>4.7</v>
      </c>
      <c r="K11" s="23">
        <v>-90.6</v>
      </c>
      <c r="L11" s="23">
        <v>-13.7</v>
      </c>
      <c r="M11" s="23">
        <v>-205</v>
      </c>
      <c r="N11" s="23">
        <v>-209</v>
      </c>
      <c r="O11" s="23">
        <v>-59</v>
      </c>
      <c r="P11" s="23">
        <v>-31.9</v>
      </c>
      <c r="Q11" s="23">
        <v>-84.5</v>
      </c>
      <c r="R11" s="23">
        <v>12.8</v>
      </c>
      <c r="S11" s="23">
        <v>-196.9</v>
      </c>
      <c r="T11" s="23">
        <v>-123.8</v>
      </c>
      <c r="U11" s="23">
        <v>-38.200000000000003</v>
      </c>
      <c r="V11" s="23">
        <v>-70.8</v>
      </c>
      <c r="W11" s="23">
        <v>-60.4</v>
      </c>
      <c r="Z11" t="s">
        <v>303</v>
      </c>
      <c r="AA11" s="3">
        <f>SUM(AA7:AA10)</f>
        <v>1189128</v>
      </c>
      <c r="AB11" s="3">
        <f>SUM(AB7:AB10)</f>
        <v>1356716</v>
      </c>
      <c r="AC11" s="32">
        <f t="shared" si="0"/>
        <v>0.1409335243977099</v>
      </c>
      <c r="AE11" s="3">
        <f>SUM(AE7:AE10)</f>
        <v>1131590</v>
      </c>
      <c r="AF11" s="3">
        <f>SUM(AF7:AF10)</f>
        <v>1384344</v>
      </c>
      <c r="AG11" s="32">
        <f t="shared" si="1"/>
        <v>0.22336181832642565</v>
      </c>
      <c r="AH11" s="3">
        <f>AE11*1.19</f>
        <v>1346592.0999999999</v>
      </c>
      <c r="AI11" s="7">
        <f t="shared" si="2"/>
        <v>0.18999999999999995</v>
      </c>
      <c r="AJ11" s="32">
        <f t="shared" si="3"/>
        <v>2.8035141450778012E-2</v>
      </c>
      <c r="AZ11" t="s">
        <v>323</v>
      </c>
      <c r="BA11">
        <v>241</v>
      </c>
    </row>
    <row r="12" spans="7:56" x14ac:dyDescent="0.3">
      <c r="G12" t="s">
        <v>20</v>
      </c>
      <c r="H12" s="29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>
        <v>-0.48</v>
      </c>
      <c r="U12" s="23">
        <v>-0.15</v>
      </c>
      <c r="V12" s="23">
        <v>-0.27</v>
      </c>
      <c r="AZ12" t="s">
        <v>318</v>
      </c>
      <c r="BA12">
        <v>239</v>
      </c>
    </row>
    <row r="13" spans="7:56" x14ac:dyDescent="0.3">
      <c r="H13" s="29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AZ13" t="s">
        <v>298</v>
      </c>
      <c r="BA13" s="6">
        <f>BA12/BA11-1</f>
        <v>-8.2987551867219622E-3</v>
      </c>
      <c r="BD13" s="6"/>
    </row>
    <row r="14" spans="7:56" x14ac:dyDescent="0.3">
      <c r="G14" t="s">
        <v>219</v>
      </c>
      <c r="H14" s="31">
        <f t="shared" ref="H14:U14" si="5">H7/H10</f>
        <v>6.8374164810690425</v>
      </c>
      <c r="I14" s="24">
        <f t="shared" si="5"/>
        <v>5.9507346585998269</v>
      </c>
      <c r="J14" s="24">
        <f t="shared" si="5"/>
        <v>6.4391304347826086</v>
      </c>
      <c r="K14" s="24">
        <f t="shared" si="5"/>
        <v>5.7691723614274872</v>
      </c>
      <c r="L14" s="24">
        <f t="shared" si="5"/>
        <v>5.6501049685094467</v>
      </c>
      <c r="M14" s="24">
        <f t="shared" si="5"/>
        <v>5.5906470211402954</v>
      </c>
      <c r="N14" s="24">
        <f t="shared" si="5"/>
        <v>5.5451241671714113</v>
      </c>
      <c r="O14" s="24">
        <f t="shared" si="5"/>
        <v>6.6040787623066111</v>
      </c>
      <c r="P14" s="24">
        <f t="shared" si="5"/>
        <v>6.8234473133286802</v>
      </c>
      <c r="Q14" s="24">
        <f t="shared" si="5"/>
        <v>6.7393515575333742</v>
      </c>
      <c r="R14" s="24">
        <f t="shared" si="5"/>
        <v>7.5450507614213196</v>
      </c>
      <c r="S14" s="24">
        <f t="shared" si="5"/>
        <v>7.4300722258699921</v>
      </c>
      <c r="T14" s="24">
        <f t="shared" si="5"/>
        <v>8.1023192360163705</v>
      </c>
      <c r="U14" s="24">
        <f t="shared" si="5"/>
        <v>7.6259632483698878</v>
      </c>
      <c r="V14" s="24">
        <f>V7/V10</f>
        <v>8.0612002376708265</v>
      </c>
      <c r="AZ14" t="s">
        <v>324</v>
      </c>
      <c r="BA14">
        <v>0.19</v>
      </c>
    </row>
    <row r="15" spans="7:56" x14ac:dyDescent="0.3">
      <c r="G15" s="3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AZ15" t="s">
        <v>318</v>
      </c>
      <c r="BA15">
        <v>0.2</v>
      </c>
    </row>
    <row r="16" spans="7:56" s="32" customFormat="1" x14ac:dyDescent="0.3">
      <c r="G16" s="35" t="s">
        <v>292</v>
      </c>
      <c r="H16" s="36"/>
      <c r="I16" s="36"/>
      <c r="J16" s="36"/>
      <c r="K16" s="36"/>
      <c r="L16" s="36">
        <f t="shared" ref="L16:U16" si="6">L7/H7-1</f>
        <v>0.31498371335504882</v>
      </c>
      <c r="M16" s="36">
        <f t="shared" si="6"/>
        <v>0.26753812636165586</v>
      </c>
      <c r="N16" s="36">
        <f t="shared" si="6"/>
        <v>0.23632680621201896</v>
      </c>
      <c r="O16" s="36">
        <f t="shared" si="6"/>
        <v>0.23598315346143739</v>
      </c>
      <c r="P16" s="36">
        <f t="shared" si="6"/>
        <v>0.2110478077780531</v>
      </c>
      <c r="Q16" s="36">
        <f t="shared" si="6"/>
        <v>0.21473587716282783</v>
      </c>
      <c r="R16" s="36">
        <f t="shared" si="6"/>
        <v>0.29885308574549407</v>
      </c>
      <c r="S16" s="36">
        <f t="shared" si="6"/>
        <v>0.20498349483548073</v>
      </c>
      <c r="T16" s="36">
        <f t="shared" si="6"/>
        <v>0.21476784618531397</v>
      </c>
      <c r="U16" s="36">
        <f t="shared" si="6"/>
        <v>0.21356475804169439</v>
      </c>
      <c r="V16" s="36">
        <f>V7/R7-1</f>
        <v>0.14094693465646291</v>
      </c>
      <c r="W16" s="36">
        <f>W7/S7-1</f>
        <v>0.22335100742311775</v>
      </c>
      <c r="AZ16" t="s">
        <v>298</v>
      </c>
      <c r="BA16" s="6">
        <f>BA15/BA14-1</f>
        <v>5.2631578947368363E-2</v>
      </c>
      <c r="BB16"/>
      <c r="BC16"/>
      <c r="BD16"/>
    </row>
    <row r="17" spans="7:67" s="32" customFormat="1" x14ac:dyDescent="0.3">
      <c r="G17" s="35" t="s">
        <v>293</v>
      </c>
      <c r="H17" s="36"/>
      <c r="I17" s="36">
        <f t="shared" ref="I17:K17" si="7">I7/H7-1</f>
        <v>0.12133550488599343</v>
      </c>
      <c r="J17" s="36">
        <f t="shared" si="7"/>
        <v>7.5526506899055823E-2</v>
      </c>
      <c r="K17" s="36">
        <f t="shared" si="7"/>
        <v>2.6063470627954111E-2</v>
      </c>
      <c r="L17" s="36">
        <f t="shared" ref="L17:U17" si="8">L7/K7-1</f>
        <v>6.2648065280336951E-2</v>
      </c>
      <c r="M17" s="36">
        <f t="shared" si="8"/>
        <v>8.0876888778796285E-2</v>
      </c>
      <c r="N17" s="36">
        <f t="shared" si="8"/>
        <v>4.90431992666438E-2</v>
      </c>
      <c r="O17" s="36">
        <f t="shared" si="8"/>
        <v>2.5778263244129018E-2</v>
      </c>
      <c r="P17" s="36">
        <f t="shared" si="8"/>
        <v>4.1209668831860169E-2</v>
      </c>
      <c r="Q17" s="36">
        <f t="shared" si="8"/>
        <v>8.416854162405385E-2</v>
      </c>
      <c r="R17" s="36">
        <f t="shared" si="8"/>
        <v>0.12168663333647767</v>
      </c>
      <c r="S17" s="36">
        <f t="shared" si="8"/>
        <v>-4.8355899419729176E-2</v>
      </c>
      <c r="T17" s="36">
        <f t="shared" si="8"/>
        <v>4.9664192294096798E-2</v>
      </c>
      <c r="U17" s="36">
        <f t="shared" si="8"/>
        <v>8.3094797103889562E-2</v>
      </c>
      <c r="V17" s="36">
        <f>V7/U7-1</f>
        <v>5.4566653711620727E-2</v>
      </c>
      <c r="W17" s="36">
        <f>W7/V7-1</f>
        <v>2.0375912139750874E-2</v>
      </c>
      <c r="AZ17" t="s">
        <v>326</v>
      </c>
      <c r="BA17">
        <v>30</v>
      </c>
      <c r="BB17"/>
      <c r="BC17"/>
      <c r="BD17"/>
    </row>
    <row r="18" spans="7:67" s="32" customFormat="1" x14ac:dyDescent="0.3">
      <c r="G18" s="35" t="s">
        <v>294</v>
      </c>
      <c r="H18" s="36"/>
      <c r="I18" s="36"/>
      <c r="J18" s="36"/>
      <c r="K18" s="36"/>
      <c r="L18" s="36">
        <f t="shared" ref="L18:U18" si="9">L11/H11-1</f>
        <v>-0.96668287937743191</v>
      </c>
      <c r="M18" s="36">
        <f t="shared" si="9"/>
        <v>8.1928251121076237</v>
      </c>
      <c r="N18" s="36">
        <f t="shared" si="9"/>
        <v>-45.468085106382979</v>
      </c>
      <c r="O18" s="36">
        <f t="shared" si="9"/>
        <v>-0.34878587196467992</v>
      </c>
      <c r="P18" s="36">
        <f t="shared" si="9"/>
        <v>1.3284671532846715</v>
      </c>
      <c r="Q18" s="36">
        <f t="shared" si="9"/>
        <v>-0.58780487804878057</v>
      </c>
      <c r="R18" s="36">
        <f t="shared" si="9"/>
        <v>-1.061244019138756</v>
      </c>
      <c r="S18" s="36">
        <f t="shared" si="9"/>
        <v>2.3372881355932202</v>
      </c>
      <c r="T18" s="36">
        <f t="shared" si="9"/>
        <v>2.8808777429467085</v>
      </c>
      <c r="U18" s="36">
        <f t="shared" si="9"/>
        <v>-0.54792899408284024</v>
      </c>
      <c r="V18" s="36">
        <f>V11/R11-1</f>
        <v>-6.5312499999999991</v>
      </c>
      <c r="W18" s="36">
        <f>W11/S11-1</f>
        <v>-0.69324530218384961</v>
      </c>
      <c r="AZ18" t="s">
        <v>318</v>
      </c>
      <c r="BA18">
        <v>32</v>
      </c>
      <c r="BB18"/>
      <c r="BC18"/>
      <c r="BD18"/>
    </row>
    <row r="19" spans="7:67" s="32" customFormat="1" x14ac:dyDescent="0.3">
      <c r="G19" s="35" t="s">
        <v>295</v>
      </c>
      <c r="H19" s="36"/>
      <c r="I19" s="36">
        <f t="shared" ref="I19:K19" si="10">I11/H11-1</f>
        <v>-0.94576848249027234</v>
      </c>
      <c r="J19" s="36">
        <f t="shared" si="10"/>
        <v>-1.210762331838565</v>
      </c>
      <c r="K19" s="36">
        <f t="shared" si="10"/>
        <v>-20.276595744680851</v>
      </c>
      <c r="L19" s="36">
        <f t="shared" ref="L19:U19" si="11">L11/K11-1</f>
        <v>-0.84878587196467992</v>
      </c>
      <c r="M19" s="36">
        <f t="shared" si="11"/>
        <v>13.963503649635037</v>
      </c>
      <c r="N19" s="36">
        <f t="shared" si="11"/>
        <v>1.9512195121951237E-2</v>
      </c>
      <c r="O19" s="36">
        <f t="shared" si="11"/>
        <v>-0.71770334928229662</v>
      </c>
      <c r="P19" s="36">
        <f t="shared" si="11"/>
        <v>-0.45932203389830506</v>
      </c>
      <c r="Q19" s="36">
        <f t="shared" si="11"/>
        <v>1.6489028213166144</v>
      </c>
      <c r="R19" s="36">
        <f t="shared" si="11"/>
        <v>-1.1514792899408284</v>
      </c>
      <c r="S19" s="36">
        <f t="shared" si="11"/>
        <v>-16.3828125</v>
      </c>
      <c r="T19" s="36">
        <f t="shared" si="11"/>
        <v>-0.37125444388014228</v>
      </c>
      <c r="U19" s="36">
        <f t="shared" si="11"/>
        <v>-0.69143780290791601</v>
      </c>
      <c r="V19" s="36">
        <f>V11/U11-1</f>
        <v>0.85340314136125639</v>
      </c>
      <c r="W19" s="36">
        <f>W11/V11-1</f>
        <v>-0.14689265536723162</v>
      </c>
      <c r="AZ19" t="s">
        <v>298</v>
      </c>
      <c r="BA19" s="6">
        <f>BA18/BA17-1</f>
        <v>6.6666666666666652E-2</v>
      </c>
      <c r="BB19"/>
      <c r="BC19"/>
      <c r="BD19"/>
    </row>
    <row r="20" spans="7:67" s="7" customFormat="1" x14ac:dyDescent="0.3"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AZ20"/>
      <c r="BA20"/>
      <c r="BB20"/>
      <c r="BC20"/>
      <c r="BD20"/>
    </row>
    <row r="21" spans="7:67" x14ac:dyDescent="0.3"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spans="7:67" x14ac:dyDescent="0.3">
      <c r="G22" s="2" t="s">
        <v>271</v>
      </c>
      <c r="H22" s="29" t="s">
        <v>220</v>
      </c>
      <c r="I22" s="23" t="s">
        <v>221</v>
      </c>
      <c r="J22" s="23" t="s">
        <v>222</v>
      </c>
      <c r="K22" s="23" t="s">
        <v>223</v>
      </c>
      <c r="L22" s="23" t="s">
        <v>224</v>
      </c>
      <c r="M22" s="23" t="s">
        <v>225</v>
      </c>
      <c r="N22" s="23" t="s">
        <v>226</v>
      </c>
      <c r="O22" s="23" t="s">
        <v>227</v>
      </c>
      <c r="P22" s="23" t="s">
        <v>228</v>
      </c>
      <c r="Q22" s="23" t="s">
        <v>229</v>
      </c>
      <c r="R22" s="23" t="s">
        <v>230</v>
      </c>
      <c r="S22" s="23" t="s">
        <v>231</v>
      </c>
      <c r="T22" s="23" t="s">
        <v>232</v>
      </c>
      <c r="U22" s="23" t="s">
        <v>233</v>
      </c>
      <c r="V22" s="23" t="s">
        <v>234</v>
      </c>
      <c r="W22" s="23" t="s">
        <v>235</v>
      </c>
      <c r="X22" s="23" t="s">
        <v>236</v>
      </c>
      <c r="Y22" s="23" t="s">
        <v>237</v>
      </c>
      <c r="Z22" s="23" t="s">
        <v>238</v>
      </c>
      <c r="AA22" s="23" t="s">
        <v>239</v>
      </c>
      <c r="AB22" s="23" t="s">
        <v>240</v>
      </c>
      <c r="AC22" s="23" t="s">
        <v>241</v>
      </c>
      <c r="AD22" s="23" t="s">
        <v>242</v>
      </c>
      <c r="AE22" s="23" t="s">
        <v>243</v>
      </c>
      <c r="AF22" s="23" t="s">
        <v>244</v>
      </c>
      <c r="AG22" s="23" t="s">
        <v>245</v>
      </c>
      <c r="AH22" s="23" t="s">
        <v>246</v>
      </c>
      <c r="AI22" s="23" t="s">
        <v>247</v>
      </c>
      <c r="AJ22" s="23" t="s">
        <v>248</v>
      </c>
      <c r="AK22" s="23" t="s">
        <v>249</v>
      </c>
      <c r="AL22" s="23" t="s">
        <v>250</v>
      </c>
      <c r="AM22" s="23" t="s">
        <v>251</v>
      </c>
      <c r="AN22" s="23" t="s">
        <v>252</v>
      </c>
      <c r="AO22" s="23" t="s">
        <v>253</v>
      </c>
      <c r="AP22" s="23" t="s">
        <v>254</v>
      </c>
      <c r="AQ22" s="23" t="s">
        <v>255</v>
      </c>
      <c r="AR22" s="23" t="s">
        <v>256</v>
      </c>
      <c r="AS22" s="23" t="s">
        <v>257</v>
      </c>
      <c r="AT22" s="23" t="s">
        <v>258</v>
      </c>
      <c r="AU22" s="23" t="s">
        <v>259</v>
      </c>
      <c r="AV22" s="23" t="s">
        <v>260</v>
      </c>
      <c r="AW22" s="23" t="s">
        <v>261</v>
      </c>
      <c r="AX22" s="23" t="s">
        <v>262</v>
      </c>
      <c r="AY22" s="23" t="s">
        <v>263</v>
      </c>
      <c r="AZ22" s="23" t="s">
        <v>264</v>
      </c>
      <c r="BA22" s="23" t="s">
        <v>265</v>
      </c>
      <c r="BB22" s="23" t="s">
        <v>266</v>
      </c>
      <c r="BC22" s="23" t="s">
        <v>267</v>
      </c>
      <c r="BD22" s="23" t="s">
        <v>268</v>
      </c>
      <c r="BE22" s="23" t="s">
        <v>269</v>
      </c>
      <c r="BF22" s="23" t="s">
        <v>84</v>
      </c>
      <c r="BG22" s="23" t="s">
        <v>75</v>
      </c>
      <c r="BH22" s="23" t="s">
        <v>76</v>
      </c>
      <c r="BI22" s="23" t="s">
        <v>77</v>
      </c>
      <c r="BJ22" s="23" t="s">
        <v>71</v>
      </c>
      <c r="BK22" s="23" t="s">
        <v>72</v>
      </c>
      <c r="BL22" s="23" t="s">
        <v>73</v>
      </c>
      <c r="BM22" s="23" t="s">
        <v>74</v>
      </c>
      <c r="BN22" s="23" t="s">
        <v>70</v>
      </c>
      <c r="BO22" s="23" t="s">
        <v>78</v>
      </c>
    </row>
    <row r="23" spans="7:67" x14ac:dyDescent="0.3">
      <c r="G23" s="26" t="s">
        <v>3</v>
      </c>
      <c r="H23" s="30">
        <v>82.2</v>
      </c>
      <c r="I23" s="27">
        <v>90</v>
      </c>
      <c r="J23" s="27">
        <v>102.4</v>
      </c>
      <c r="K23" s="27">
        <v>103.5</v>
      </c>
      <c r="L23" s="27">
        <v>95.5</v>
      </c>
      <c r="M23" s="27">
        <v>115.3</v>
      </c>
      <c r="N23" s="27">
        <v>111.2</v>
      </c>
      <c r="O23" s="27">
        <v>105.1</v>
      </c>
      <c r="P23" s="27">
        <v>101.7</v>
      </c>
      <c r="Q23" s="27">
        <v>143.80000000000001</v>
      </c>
      <c r="R23" s="27">
        <v>116.2</v>
      </c>
      <c r="S23" s="27">
        <v>117.3</v>
      </c>
      <c r="T23" s="27">
        <v>122</v>
      </c>
      <c r="U23" s="27">
        <v>153.4</v>
      </c>
      <c r="V23" s="27">
        <v>140.5</v>
      </c>
      <c r="W23" s="26">
        <v>143</v>
      </c>
      <c r="X23" s="26">
        <v>137.6</v>
      </c>
      <c r="Y23" s="26">
        <v>168.9</v>
      </c>
      <c r="Z23" s="26">
        <v>153.9</v>
      </c>
      <c r="AA23" s="26">
        <v>162</v>
      </c>
      <c r="AB23" s="26">
        <v>162.4</v>
      </c>
      <c r="AC23" s="26">
        <v>204.4</v>
      </c>
      <c r="AD23" s="26">
        <v>178.9</v>
      </c>
      <c r="AE23" s="26">
        <v>189</v>
      </c>
      <c r="AF23" s="26">
        <v>182.8</v>
      </c>
      <c r="AG23" s="26">
        <v>211.6</v>
      </c>
      <c r="AH23" s="26">
        <v>256.3</v>
      </c>
      <c r="AI23" s="26">
        <v>186.6</v>
      </c>
      <c r="AJ23" s="26">
        <v>191</v>
      </c>
      <c r="AK23" s="26">
        <v>254.6</v>
      </c>
      <c r="AL23" s="26">
        <v>235.2</v>
      </c>
      <c r="AM23" s="26">
        <v>196.8</v>
      </c>
      <c r="AN23" s="26">
        <v>203.3</v>
      </c>
      <c r="AO23" s="26">
        <v>256.39999999999998</v>
      </c>
      <c r="AP23" s="26">
        <v>212.5</v>
      </c>
      <c r="AQ23" s="26">
        <v>205.6</v>
      </c>
      <c r="AR23" s="26">
        <v>216.7</v>
      </c>
      <c r="AS23" s="26">
        <v>276.5</v>
      </c>
      <c r="AT23" s="26">
        <v>265.60000000000002</v>
      </c>
      <c r="AU23" s="26">
        <v>227.4</v>
      </c>
      <c r="AV23" s="26">
        <v>226</v>
      </c>
      <c r="AW23" s="26">
        <v>298.60000000000002</v>
      </c>
      <c r="AX23" s="26">
        <v>313.5</v>
      </c>
      <c r="AY23" s="26">
        <v>325.7</v>
      </c>
      <c r="AZ23" s="26">
        <v>256.3</v>
      </c>
      <c r="BA23" s="26">
        <v>316.2</v>
      </c>
      <c r="BB23" s="26">
        <v>376.3</v>
      </c>
      <c r="BC23" s="26">
        <v>274.3</v>
      </c>
      <c r="BD23" s="26">
        <v>270.7</v>
      </c>
      <c r="BE23" s="26">
        <v>396.5</v>
      </c>
      <c r="BF23" s="26">
        <v>325.5</v>
      </c>
      <c r="BG23" s="26">
        <v>298.3</v>
      </c>
      <c r="BH23" s="26">
        <v>334.6</v>
      </c>
      <c r="BI23" s="26">
        <v>474.2</v>
      </c>
      <c r="BJ23" s="26">
        <v>330.1</v>
      </c>
      <c r="BK23" s="26">
        <v>351.2</v>
      </c>
      <c r="BL23" s="26">
        <v>325</v>
      </c>
      <c r="BM23" s="26">
        <v>490.8</v>
      </c>
      <c r="BN23" s="26">
        <v>475.6</v>
      </c>
      <c r="BO23" s="26">
        <v>384.5</v>
      </c>
    </row>
    <row r="24" spans="7:67" x14ac:dyDescent="0.3">
      <c r="G24" t="s">
        <v>6</v>
      </c>
      <c r="H24" s="29">
        <v>31.3</v>
      </c>
      <c r="I24" s="23">
        <v>35</v>
      </c>
      <c r="J24" s="23">
        <v>40</v>
      </c>
      <c r="K24" s="23">
        <v>40.4</v>
      </c>
      <c r="L24" s="23">
        <v>41.8</v>
      </c>
      <c r="M24" s="23">
        <v>42.6</v>
      </c>
      <c r="N24" s="23">
        <v>41.5</v>
      </c>
      <c r="O24" s="23">
        <v>40</v>
      </c>
      <c r="P24" s="23">
        <v>37.700000000000003</v>
      </c>
      <c r="Q24" s="23">
        <v>38.200000000000003</v>
      </c>
      <c r="R24" s="23">
        <v>37.700000000000003</v>
      </c>
      <c r="S24" s="23">
        <v>37.9</v>
      </c>
      <c r="T24" s="23">
        <v>38.1</v>
      </c>
      <c r="U24" s="23">
        <v>43.8</v>
      </c>
      <c r="V24" s="23">
        <v>45.9</v>
      </c>
      <c r="W24">
        <v>46.7</v>
      </c>
      <c r="X24">
        <v>46.4</v>
      </c>
      <c r="Y24">
        <v>46.1</v>
      </c>
      <c r="Z24">
        <v>50.1</v>
      </c>
      <c r="AA24">
        <v>54.8</v>
      </c>
      <c r="AB24">
        <v>55.4</v>
      </c>
      <c r="AC24">
        <v>53.2</v>
      </c>
      <c r="AD24">
        <v>56.5</v>
      </c>
      <c r="AE24">
        <v>60.1</v>
      </c>
      <c r="AF24">
        <v>60.4</v>
      </c>
      <c r="AG24">
        <v>62.2</v>
      </c>
      <c r="AH24">
        <v>68.099999999999994</v>
      </c>
      <c r="AI24">
        <v>0</v>
      </c>
      <c r="AJ24">
        <v>0</v>
      </c>
      <c r="AK24">
        <v>211.6</v>
      </c>
      <c r="AL24">
        <v>75.599999999999994</v>
      </c>
      <c r="AM24">
        <v>73.8</v>
      </c>
      <c r="AN24">
        <v>74.400000000000006</v>
      </c>
      <c r="AO24">
        <v>77.900000000000006</v>
      </c>
      <c r="AP24">
        <v>74.400000000000006</v>
      </c>
      <c r="AQ24">
        <v>77.099999999999994</v>
      </c>
      <c r="AR24">
        <v>80.900000000000006</v>
      </c>
      <c r="AS24">
        <v>77.599999999999994</v>
      </c>
      <c r="AT24">
        <v>79.5</v>
      </c>
      <c r="AU24">
        <v>76.7</v>
      </c>
      <c r="AV24">
        <v>77.8</v>
      </c>
      <c r="AW24">
        <v>76.900000000000006</v>
      </c>
      <c r="AX24">
        <v>82.4</v>
      </c>
      <c r="AY24">
        <v>84.5</v>
      </c>
      <c r="AZ24">
        <v>84.2</v>
      </c>
      <c r="BA24">
        <v>85.2</v>
      </c>
      <c r="BB24">
        <v>88.2</v>
      </c>
      <c r="BC24">
        <v>95.1</v>
      </c>
      <c r="BD24">
        <v>93</v>
      </c>
      <c r="BE24">
        <v>92.3</v>
      </c>
      <c r="BF24">
        <v>97.9</v>
      </c>
      <c r="BG24">
        <v>96.1</v>
      </c>
      <c r="BH24">
        <v>93.8</v>
      </c>
      <c r="BI24">
        <v>90.6</v>
      </c>
      <c r="BJ24">
        <v>94.7</v>
      </c>
      <c r="BK24">
        <v>96.9</v>
      </c>
      <c r="BL24">
        <v>96.7</v>
      </c>
      <c r="BM24">
        <v>102.4</v>
      </c>
      <c r="BN24">
        <v>102.4</v>
      </c>
      <c r="BO24">
        <v>109.6</v>
      </c>
    </row>
    <row r="25" spans="7:67" x14ac:dyDescent="0.3">
      <c r="G25" t="s">
        <v>7</v>
      </c>
      <c r="H25" s="29">
        <v>51</v>
      </c>
      <c r="I25" s="23">
        <v>55</v>
      </c>
      <c r="J25" s="23">
        <v>62.3</v>
      </c>
      <c r="K25" s="23">
        <v>63.1</v>
      </c>
      <c r="L25" s="23">
        <v>53.7</v>
      </c>
      <c r="M25" s="23">
        <v>72.7</v>
      </c>
      <c r="N25" s="23">
        <v>69.599999999999994</v>
      </c>
      <c r="O25" s="23">
        <v>65.099999999999994</v>
      </c>
      <c r="P25" s="23">
        <v>64</v>
      </c>
      <c r="Q25" s="23">
        <v>105.6</v>
      </c>
      <c r="R25" s="23">
        <v>78.599999999999994</v>
      </c>
      <c r="S25" s="23">
        <v>79.400000000000006</v>
      </c>
      <c r="T25" s="23">
        <v>83.9</v>
      </c>
      <c r="U25" s="23">
        <v>109.6</v>
      </c>
      <c r="V25" s="23">
        <v>94.6</v>
      </c>
      <c r="W25">
        <v>96.3</v>
      </c>
      <c r="X25">
        <v>91.2</v>
      </c>
      <c r="Y25">
        <v>122.8</v>
      </c>
      <c r="Z25">
        <v>103.9</v>
      </c>
      <c r="AA25">
        <v>107.2</v>
      </c>
      <c r="AB25">
        <v>107</v>
      </c>
      <c r="AC25">
        <v>151.19999999999999</v>
      </c>
      <c r="AD25">
        <v>122.3</v>
      </c>
      <c r="AE25">
        <v>128.9</v>
      </c>
      <c r="AF25">
        <v>122.4</v>
      </c>
      <c r="AG25">
        <v>149.4</v>
      </c>
      <c r="AH25">
        <v>188.2</v>
      </c>
      <c r="AI25">
        <v>186.6</v>
      </c>
      <c r="AJ25">
        <v>191</v>
      </c>
      <c r="AK25">
        <v>43</v>
      </c>
      <c r="AL25">
        <v>159.6</v>
      </c>
      <c r="AM25">
        <v>123</v>
      </c>
      <c r="AN25">
        <v>128.80000000000001</v>
      </c>
      <c r="AO25">
        <v>178.4</v>
      </c>
      <c r="AP25">
        <v>138.1</v>
      </c>
      <c r="AQ25">
        <v>128.5</v>
      </c>
      <c r="AR25">
        <v>135.80000000000001</v>
      </c>
      <c r="AS25">
        <v>198.9</v>
      </c>
      <c r="AT25">
        <v>186.1</v>
      </c>
      <c r="AU25">
        <v>150.69999999999999</v>
      </c>
      <c r="AV25">
        <v>148.19999999999999</v>
      </c>
      <c r="AW25">
        <v>221.7</v>
      </c>
      <c r="AX25">
        <v>231.1</v>
      </c>
      <c r="AY25">
        <v>241.2</v>
      </c>
      <c r="AZ25">
        <v>172</v>
      </c>
      <c r="BA25">
        <v>231</v>
      </c>
      <c r="BB25">
        <v>288.10000000000002</v>
      </c>
      <c r="BC25">
        <v>179.2</v>
      </c>
      <c r="BD25">
        <v>177.7</v>
      </c>
      <c r="BE25">
        <v>304.2</v>
      </c>
      <c r="BF25">
        <v>227.5</v>
      </c>
      <c r="BG25">
        <v>202.1</v>
      </c>
      <c r="BH25">
        <v>240.9</v>
      </c>
      <c r="BI25">
        <v>383.6</v>
      </c>
      <c r="BJ25">
        <v>235.5</v>
      </c>
      <c r="BK25">
        <v>254.2</v>
      </c>
      <c r="BL25">
        <v>228.3</v>
      </c>
      <c r="BM25">
        <v>388.5</v>
      </c>
      <c r="BN25">
        <v>373.2</v>
      </c>
      <c r="BO25">
        <v>274.89999999999998</v>
      </c>
    </row>
    <row r="26" spans="7:67" x14ac:dyDescent="0.3">
      <c r="G26" t="s">
        <v>218</v>
      </c>
      <c r="H26" s="29">
        <v>6.7</v>
      </c>
      <c r="I26" s="23">
        <v>6.4</v>
      </c>
      <c r="J26" s="23">
        <v>7.1</v>
      </c>
      <c r="K26" s="23">
        <v>6.8</v>
      </c>
      <c r="L26" s="23">
        <v>7.2</v>
      </c>
      <c r="M26" s="23">
        <v>7</v>
      </c>
      <c r="N26" s="23">
        <v>6.3</v>
      </c>
      <c r="O26" s="23">
        <v>7.7</v>
      </c>
      <c r="P26" s="23">
        <v>7.2</v>
      </c>
      <c r="Q26" s="23">
        <v>7.7</v>
      </c>
      <c r="R26" s="23">
        <v>6.8</v>
      </c>
      <c r="S26" s="23">
        <v>7.3</v>
      </c>
      <c r="T26" s="23">
        <v>7.1</v>
      </c>
      <c r="U26" s="23">
        <v>8.4</v>
      </c>
      <c r="V26" s="23">
        <v>9.3000000000000007</v>
      </c>
      <c r="W26">
        <v>10.199999999999999</v>
      </c>
      <c r="X26">
        <v>8.8000000000000007</v>
      </c>
      <c r="Y26">
        <v>9.1</v>
      </c>
      <c r="Z26">
        <v>6.3</v>
      </c>
      <c r="AA26">
        <v>10.199999999999999</v>
      </c>
      <c r="AB26">
        <v>9.6</v>
      </c>
      <c r="AC26">
        <v>10.6</v>
      </c>
      <c r="AD26">
        <v>11</v>
      </c>
      <c r="AE26">
        <v>11.3</v>
      </c>
      <c r="AF26">
        <v>11.7</v>
      </c>
      <c r="AG26">
        <v>11.9</v>
      </c>
      <c r="AH26">
        <v>12.3</v>
      </c>
      <c r="AI26">
        <v>12.7</v>
      </c>
      <c r="AJ26">
        <v>13.1</v>
      </c>
      <c r="AK26">
        <v>14</v>
      </c>
      <c r="AL26">
        <v>16.5</v>
      </c>
      <c r="AM26">
        <v>10.199999999999999</v>
      </c>
      <c r="AN26">
        <v>12.1</v>
      </c>
      <c r="AO26">
        <v>12.9</v>
      </c>
      <c r="AP26">
        <v>12.7</v>
      </c>
      <c r="AQ26">
        <v>14.2</v>
      </c>
      <c r="AR26">
        <v>14.8</v>
      </c>
      <c r="AS26">
        <v>14.9</v>
      </c>
      <c r="AT26">
        <v>15.6</v>
      </c>
      <c r="AU26">
        <v>15.7</v>
      </c>
      <c r="AV26">
        <v>17.899999999999999</v>
      </c>
      <c r="AW26">
        <v>18.3</v>
      </c>
      <c r="AX26">
        <v>18.3</v>
      </c>
      <c r="AY26">
        <v>19.2</v>
      </c>
      <c r="AZ26">
        <v>20.2</v>
      </c>
      <c r="BA26">
        <v>25.9</v>
      </c>
      <c r="BB26">
        <v>35.799999999999997</v>
      </c>
      <c r="BC26">
        <v>32.700000000000003</v>
      </c>
      <c r="BD26">
        <v>26</v>
      </c>
      <c r="BE26">
        <v>23.2</v>
      </c>
      <c r="BF26">
        <v>23.1</v>
      </c>
      <c r="BG26">
        <v>23.5</v>
      </c>
      <c r="BH26">
        <v>27.3</v>
      </c>
      <c r="BI26">
        <v>22.8</v>
      </c>
      <c r="BJ26">
        <v>23.5</v>
      </c>
      <c r="BK26">
        <v>25.4</v>
      </c>
      <c r="BL26">
        <v>35.700000000000003</v>
      </c>
      <c r="BM26">
        <v>28.2</v>
      </c>
      <c r="BN26">
        <v>33.799999999999997</v>
      </c>
      <c r="BO26">
        <v>31.8</v>
      </c>
    </row>
    <row r="27" spans="7:67" x14ac:dyDescent="0.3">
      <c r="H27" s="2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spans="7:67" x14ac:dyDescent="0.3">
      <c r="G28" t="s">
        <v>219</v>
      </c>
      <c r="H28" s="31">
        <f t="shared" ref="H28:BO28" si="12">H23/H26</f>
        <v>12.26865671641791</v>
      </c>
      <c r="I28" s="24">
        <f t="shared" si="12"/>
        <v>14.0625</v>
      </c>
      <c r="J28" s="24">
        <f t="shared" si="12"/>
        <v>14.422535211267608</v>
      </c>
      <c r="K28" s="24">
        <f t="shared" si="12"/>
        <v>15.220588235294118</v>
      </c>
      <c r="L28" s="24">
        <f t="shared" si="12"/>
        <v>13.263888888888889</v>
      </c>
      <c r="M28" s="24">
        <f t="shared" si="12"/>
        <v>16.471428571428572</v>
      </c>
      <c r="N28" s="24">
        <f t="shared" si="12"/>
        <v>17.650793650793652</v>
      </c>
      <c r="O28" s="24">
        <f t="shared" si="12"/>
        <v>13.649350649350648</v>
      </c>
      <c r="P28" s="24">
        <f t="shared" si="12"/>
        <v>14.125</v>
      </c>
      <c r="Q28" s="24">
        <f t="shared" si="12"/>
        <v>18.675324675324678</v>
      </c>
      <c r="R28" s="24">
        <f t="shared" si="12"/>
        <v>17.088235294117649</v>
      </c>
      <c r="S28" s="24">
        <f t="shared" si="12"/>
        <v>16.068493150684933</v>
      </c>
      <c r="T28" s="24">
        <f t="shared" si="12"/>
        <v>17.183098591549296</v>
      </c>
      <c r="U28" s="24">
        <f t="shared" si="12"/>
        <v>18.261904761904763</v>
      </c>
      <c r="V28" s="24">
        <f t="shared" si="12"/>
        <v>15.107526881720428</v>
      </c>
      <c r="W28" s="9">
        <f t="shared" si="12"/>
        <v>14.019607843137257</v>
      </c>
      <c r="X28" s="9">
        <f t="shared" si="12"/>
        <v>15.636363636363635</v>
      </c>
      <c r="Y28" s="9">
        <f t="shared" si="12"/>
        <v>18.560439560439562</v>
      </c>
      <c r="Z28" s="9">
        <f t="shared" si="12"/>
        <v>24.428571428571431</v>
      </c>
      <c r="AA28" s="9">
        <f t="shared" si="12"/>
        <v>15.882352941176471</v>
      </c>
      <c r="AB28" s="9">
        <f t="shared" si="12"/>
        <v>16.916666666666668</v>
      </c>
      <c r="AC28" s="9">
        <f t="shared" si="12"/>
        <v>19.283018867924529</v>
      </c>
      <c r="AD28" s="9">
        <f t="shared" si="12"/>
        <v>16.263636363636365</v>
      </c>
      <c r="AE28" s="9">
        <f t="shared" si="12"/>
        <v>16.725663716814157</v>
      </c>
      <c r="AF28" s="9">
        <f t="shared" si="12"/>
        <v>15.623931623931625</v>
      </c>
      <c r="AG28" s="9">
        <f t="shared" si="12"/>
        <v>17.781512605042014</v>
      </c>
      <c r="AH28" s="9">
        <f t="shared" si="12"/>
        <v>20.837398373983739</v>
      </c>
      <c r="AI28" s="9">
        <f t="shared" si="12"/>
        <v>14.692913385826772</v>
      </c>
      <c r="AJ28" s="9">
        <f t="shared" si="12"/>
        <v>14.580152671755725</v>
      </c>
      <c r="AK28" s="9">
        <f t="shared" si="12"/>
        <v>18.185714285714287</v>
      </c>
      <c r="AL28" s="9">
        <f t="shared" si="12"/>
        <v>14.254545454545454</v>
      </c>
      <c r="AM28" s="9">
        <f t="shared" si="12"/>
        <v>19.294117647058826</v>
      </c>
      <c r="AN28" s="9">
        <f t="shared" si="12"/>
        <v>16.801652892561986</v>
      </c>
      <c r="AO28" s="9">
        <f t="shared" si="12"/>
        <v>19.875968992248058</v>
      </c>
      <c r="AP28" s="9">
        <f t="shared" si="12"/>
        <v>16.73228346456693</v>
      </c>
      <c r="AQ28" s="9">
        <f t="shared" si="12"/>
        <v>14.47887323943662</v>
      </c>
      <c r="AR28" s="9">
        <f t="shared" si="12"/>
        <v>14.641891891891891</v>
      </c>
      <c r="AS28" s="9">
        <f t="shared" si="12"/>
        <v>18.55704697986577</v>
      </c>
      <c r="AT28" s="9">
        <f t="shared" si="12"/>
        <v>17.025641025641029</v>
      </c>
      <c r="AU28" s="9">
        <f t="shared" si="12"/>
        <v>14.48407643312102</v>
      </c>
      <c r="AV28" s="9">
        <f t="shared" si="12"/>
        <v>12.625698324022347</v>
      </c>
      <c r="AW28" s="9">
        <f t="shared" si="12"/>
        <v>16.316939890710383</v>
      </c>
      <c r="AX28" s="9">
        <f t="shared" si="12"/>
        <v>17.131147540983605</v>
      </c>
      <c r="AY28" s="9">
        <f t="shared" si="12"/>
        <v>16.963541666666668</v>
      </c>
      <c r="AZ28" s="9">
        <f>AZ23/AZ26</f>
        <v>12.688118811881189</v>
      </c>
      <c r="BA28" s="9">
        <f>BA23/BA26</f>
        <v>12.208494208494209</v>
      </c>
      <c r="BB28" s="9">
        <f>BB23/BB26</f>
        <v>10.511173184357544</v>
      </c>
      <c r="BC28" s="9">
        <f>BC23/BC26</f>
        <v>8.3883792048929653</v>
      </c>
      <c r="BD28" s="9">
        <f>BD23/BD26</f>
        <v>10.411538461538461</v>
      </c>
      <c r="BE28" s="9">
        <f t="shared" si="12"/>
        <v>17.09051724137931</v>
      </c>
      <c r="BF28" s="9">
        <f t="shared" si="12"/>
        <v>14.09090909090909</v>
      </c>
      <c r="BG28" s="9">
        <f t="shared" si="12"/>
        <v>12.693617021276596</v>
      </c>
      <c r="BH28" s="9">
        <f t="shared" si="12"/>
        <v>12.256410256410257</v>
      </c>
      <c r="BI28" s="9">
        <f t="shared" si="12"/>
        <v>20.798245614035086</v>
      </c>
      <c r="BJ28" s="9">
        <f t="shared" si="12"/>
        <v>14.046808510638298</v>
      </c>
      <c r="BK28" s="9">
        <f t="shared" si="12"/>
        <v>13.826771653543307</v>
      </c>
      <c r="BL28" s="9">
        <f t="shared" si="12"/>
        <v>9.1036414565826327</v>
      </c>
      <c r="BM28" s="9">
        <f t="shared" si="12"/>
        <v>17.404255319148938</v>
      </c>
      <c r="BN28" s="9">
        <f t="shared" si="12"/>
        <v>14.071005917159765</v>
      </c>
      <c r="BO28" s="9">
        <f t="shared" si="12"/>
        <v>12.091194968553459</v>
      </c>
    </row>
  </sheetData>
  <phoneticPr fontId="3" type="noConversion"/>
  <pageMargins left="0.7" right="0.7" top="0.75" bottom="0.75" header="0.3" footer="0.3"/>
  <ignoredErrors>
    <ignoredError sqref="AT7:AX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9691-EAC5-45A9-913E-EED771DF9046}">
  <dimension ref="B23:Y25"/>
  <sheetViews>
    <sheetView topLeftCell="G1" zoomScale="137" zoomScaleNormal="78" workbookViewId="0">
      <selection activeCell="L25" sqref="L25"/>
    </sheetView>
  </sheetViews>
  <sheetFormatPr defaultRowHeight="14.4" x14ac:dyDescent="0.3"/>
  <sheetData>
    <row r="23" spans="2:25" x14ac:dyDescent="0.3">
      <c r="F23" t="s">
        <v>283</v>
      </c>
      <c r="O23" t="s">
        <v>272</v>
      </c>
    </row>
    <row r="24" spans="2:25" x14ac:dyDescent="0.3">
      <c r="B24" t="s">
        <v>149</v>
      </c>
      <c r="C24" t="s">
        <v>273</v>
      </c>
      <c r="D24" t="s">
        <v>274</v>
      </c>
      <c r="E24" t="s">
        <v>275</v>
      </c>
      <c r="F24" t="s">
        <v>276</v>
      </c>
      <c r="G24" t="s">
        <v>277</v>
      </c>
      <c r="H24" t="s">
        <v>278</v>
      </c>
      <c r="I24" t="s">
        <v>279</v>
      </c>
      <c r="J24" t="s">
        <v>280</v>
      </c>
      <c r="K24" t="s">
        <v>281</v>
      </c>
      <c r="L24" t="s">
        <v>282</v>
      </c>
      <c r="O24" t="s">
        <v>149</v>
      </c>
      <c r="P24" t="s">
        <v>273</v>
      </c>
      <c r="Q24" t="s">
        <v>274</v>
      </c>
      <c r="R24" t="s">
        <v>275</v>
      </c>
      <c r="S24" t="s">
        <v>276</v>
      </c>
      <c r="T24" t="s">
        <v>277</v>
      </c>
      <c r="U24" t="s">
        <v>278</v>
      </c>
      <c r="V24" t="s">
        <v>279</v>
      </c>
      <c r="W24" t="s">
        <v>280</v>
      </c>
      <c r="X24" t="s">
        <v>281</v>
      </c>
      <c r="Y24" t="s">
        <v>282</v>
      </c>
    </row>
    <row r="25" spans="2:25" x14ac:dyDescent="0.3">
      <c r="B25" t="s">
        <v>111</v>
      </c>
      <c r="C25">
        <v>0.53500000000000003</v>
      </c>
      <c r="D25">
        <v>0.55349999999999999</v>
      </c>
      <c r="E25">
        <v>-0.99860000000000004</v>
      </c>
      <c r="F25">
        <v>1</v>
      </c>
      <c r="G25">
        <v>0.66449999999999998</v>
      </c>
      <c r="H25">
        <v>0.42230000000000001</v>
      </c>
      <c r="I25">
        <v>0.51239999999999997</v>
      </c>
      <c r="J25">
        <v>1739</v>
      </c>
      <c r="K25">
        <v>2.4220000000000002</v>
      </c>
      <c r="L25">
        <v>718</v>
      </c>
      <c r="O25" t="s">
        <v>111</v>
      </c>
      <c r="P25">
        <v>0.5958</v>
      </c>
      <c r="Q25">
        <v>0.34470000000000001</v>
      </c>
      <c r="R25">
        <v>-0.3211</v>
      </c>
      <c r="S25">
        <v>0.99660000000000004</v>
      </c>
      <c r="T25">
        <v>0.62019999999999997</v>
      </c>
      <c r="U25">
        <v>0.65849999999999997</v>
      </c>
      <c r="V25">
        <v>0.5958</v>
      </c>
      <c r="W25">
        <v>212</v>
      </c>
      <c r="X25">
        <v>4.24</v>
      </c>
      <c r="Y25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FS</vt:lpstr>
      <vt:lpstr>FA</vt:lpstr>
      <vt:lpstr>Segments</vt:lpstr>
      <vt:lpstr>Comp.</vt:lpstr>
      <vt:lpstr>Sentiment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2026-04-09T18:52:29Z</dcterms:modified>
</cp:coreProperties>
</file>