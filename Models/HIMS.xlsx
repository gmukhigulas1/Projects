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EB83FD68-3EB8-41BC-B696-A3B805DC23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1" r:id="rId1"/>
    <sheet name="Model" sheetId="2" r:id="rId2"/>
    <sheet name="Forecas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16" i="2" l="1"/>
  <c r="AQ22" i="3"/>
  <c r="AQ23" i="3" s="1"/>
  <c r="AQ25" i="3" s="1"/>
  <c r="BF17" i="3"/>
  <c r="BG17" i="3" s="1"/>
  <c r="BH17" i="3" s="1"/>
  <c r="BI17" i="3" s="1"/>
  <c r="BJ17" i="3" s="1"/>
  <c r="BK17" i="3" s="1"/>
  <c r="BL17" i="3" s="1"/>
  <c r="BM17" i="3" s="1"/>
  <c r="BN17" i="3" s="1"/>
  <c r="BO17" i="3" s="1"/>
  <c r="BP17" i="3" s="1"/>
  <c r="BQ17" i="3" s="1"/>
  <c r="BR17" i="3" s="1"/>
  <c r="BS17" i="3" s="1"/>
  <c r="BT17" i="3" s="1"/>
  <c r="BU17" i="3" s="1"/>
  <c r="BV17" i="3" s="1"/>
  <c r="BW17" i="3" s="1"/>
  <c r="BX17" i="3" s="1"/>
  <c r="BY17" i="3" s="1"/>
  <c r="BZ17" i="3" s="1"/>
  <c r="CA17" i="3" s="1"/>
  <c r="CB17" i="3" s="1"/>
  <c r="CC17" i="3" s="1"/>
  <c r="CD17" i="3" s="1"/>
  <c r="CE17" i="3" s="1"/>
  <c r="CF17" i="3" s="1"/>
  <c r="CG17" i="3" s="1"/>
  <c r="CH17" i="3" s="1"/>
  <c r="CI17" i="3" s="1"/>
  <c r="CJ17" i="3" s="1"/>
  <c r="CK17" i="3" s="1"/>
  <c r="CL17" i="3" s="1"/>
  <c r="CM17" i="3" s="1"/>
  <c r="CN17" i="3" s="1"/>
  <c r="CO17" i="3" s="1"/>
  <c r="CP17" i="3" s="1"/>
  <c r="CQ17" i="3" s="1"/>
  <c r="CR17" i="3" s="1"/>
  <c r="CS17" i="3" s="1"/>
  <c r="CT17" i="3" s="1"/>
  <c r="CU17" i="3" s="1"/>
  <c r="CV17" i="3" s="1"/>
  <c r="CW17" i="3" s="1"/>
  <c r="CX17" i="3" s="1"/>
  <c r="CY17" i="3" s="1"/>
  <c r="CZ17" i="3" s="1"/>
  <c r="DA17" i="3" s="1"/>
  <c r="DB17" i="3" s="1"/>
  <c r="DC17" i="3" s="1"/>
  <c r="DD17" i="3" s="1"/>
  <c r="DE17" i="3" s="1"/>
  <c r="DF17" i="3" s="1"/>
  <c r="DG17" i="3" s="1"/>
  <c r="DH17" i="3" s="1"/>
  <c r="DI17" i="3" s="1"/>
  <c r="DJ17" i="3" s="1"/>
  <c r="DK17" i="3" s="1"/>
  <c r="DL17" i="3" s="1"/>
  <c r="DM17" i="3" s="1"/>
  <c r="DN17" i="3" s="1"/>
  <c r="DO17" i="3" s="1"/>
  <c r="DP17" i="3" s="1"/>
  <c r="DQ17" i="3" s="1"/>
  <c r="DR17" i="3" s="1"/>
  <c r="DS17" i="3" s="1"/>
  <c r="DT17" i="3" s="1"/>
  <c r="DU17" i="3" s="1"/>
  <c r="DV17" i="3" s="1"/>
  <c r="DW17" i="3" s="1"/>
  <c r="DX17" i="3" s="1"/>
  <c r="DY17" i="3" s="1"/>
  <c r="DZ17" i="3" s="1"/>
  <c r="EA17" i="3" s="1"/>
  <c r="EB17" i="3" s="1"/>
  <c r="EC17" i="3" s="1"/>
  <c r="ED17" i="3" s="1"/>
  <c r="EE17" i="3" s="1"/>
  <c r="EF17" i="3" s="1"/>
  <c r="EG17" i="3" s="1"/>
  <c r="EH17" i="3" s="1"/>
  <c r="EI17" i="3" s="1"/>
  <c r="EJ17" i="3" s="1"/>
  <c r="EK17" i="3" s="1"/>
  <c r="EL17" i="3" s="1"/>
  <c r="EM17" i="3" s="1"/>
  <c r="EN17" i="3" s="1"/>
  <c r="EO17" i="3" s="1"/>
  <c r="EP17" i="3" s="1"/>
  <c r="EQ17" i="3" s="1"/>
  <c r="ER17" i="3" s="1"/>
  <c r="ES17" i="3" s="1"/>
  <c r="ET17" i="3" s="1"/>
  <c r="EU17" i="3" s="1"/>
  <c r="EV17" i="3" s="1"/>
  <c r="EW17" i="3" s="1"/>
  <c r="EX17" i="3" s="1"/>
  <c r="EY17" i="3" s="1"/>
  <c r="EZ17" i="3" s="1"/>
  <c r="FA17" i="3" s="1"/>
  <c r="FB17" i="3" s="1"/>
  <c r="FC17" i="3" s="1"/>
  <c r="FD17" i="3" s="1"/>
  <c r="FE17" i="3" s="1"/>
  <c r="FF17" i="3" s="1"/>
  <c r="FG17" i="3" s="1"/>
  <c r="FH17" i="3" s="1"/>
  <c r="FI17" i="3" s="1"/>
  <c r="FJ17" i="3" s="1"/>
  <c r="FK17" i="3" s="1"/>
  <c r="FL17" i="3" s="1"/>
  <c r="FM17" i="3" s="1"/>
  <c r="FN17" i="3" s="1"/>
  <c r="FO17" i="3" s="1"/>
  <c r="FP17" i="3" s="1"/>
  <c r="FQ17" i="3" s="1"/>
  <c r="FR17" i="3" s="1"/>
  <c r="FS17" i="3" s="1"/>
  <c r="FT17" i="3" s="1"/>
  <c r="FU17" i="3" s="1"/>
  <c r="FV17" i="3" s="1"/>
  <c r="FW17" i="3" s="1"/>
  <c r="FX17" i="3" s="1"/>
  <c r="FY17" i="3" s="1"/>
  <c r="FZ17" i="3" s="1"/>
  <c r="GA17" i="3" s="1"/>
  <c r="GB17" i="3" s="1"/>
  <c r="GC17" i="3" s="1"/>
  <c r="GD17" i="3" s="1"/>
  <c r="GE17" i="3" s="1"/>
  <c r="GF17" i="3" s="1"/>
  <c r="GG17" i="3" s="1"/>
  <c r="GH17" i="3" s="1"/>
  <c r="GI17" i="3" s="1"/>
  <c r="GJ17" i="3" s="1"/>
  <c r="GK17" i="3" s="1"/>
  <c r="GL17" i="3" s="1"/>
  <c r="GM17" i="3" s="1"/>
  <c r="GN17" i="3" s="1"/>
  <c r="GO17" i="3" s="1"/>
  <c r="GP17" i="3" s="1"/>
  <c r="GQ17" i="3" s="1"/>
  <c r="GR17" i="3" s="1"/>
  <c r="GS17" i="3" s="1"/>
  <c r="GT17" i="3" s="1"/>
  <c r="GU17" i="3" s="1"/>
  <c r="GV17" i="3" s="1"/>
  <c r="GW17" i="3" s="1"/>
  <c r="GX17" i="3" s="1"/>
  <c r="GY17" i="3" s="1"/>
  <c r="GZ17" i="3" s="1"/>
  <c r="HA17" i="3" s="1"/>
  <c r="HB17" i="3" s="1"/>
  <c r="HC17" i="3" s="1"/>
  <c r="HD17" i="3" s="1"/>
  <c r="HE17" i="3" s="1"/>
  <c r="HF17" i="3" s="1"/>
  <c r="HG17" i="3" s="1"/>
  <c r="HH17" i="3" s="1"/>
  <c r="HI17" i="3" s="1"/>
  <c r="HJ17" i="3" s="1"/>
  <c r="HK17" i="3" s="1"/>
  <c r="HL17" i="3" s="1"/>
  <c r="HM17" i="3" s="1"/>
  <c r="HN17" i="3" s="1"/>
  <c r="HO17" i="3" s="1"/>
  <c r="HP17" i="3" s="1"/>
  <c r="HQ17" i="3" s="1"/>
  <c r="HR17" i="3" s="1"/>
  <c r="HS17" i="3" s="1"/>
  <c r="HT17" i="3" s="1"/>
  <c r="HU17" i="3" s="1"/>
  <c r="HV17" i="3" s="1"/>
  <c r="HW17" i="3" s="1"/>
  <c r="HX17" i="3" s="1"/>
  <c r="HY17" i="3" s="1"/>
  <c r="HZ17" i="3" s="1"/>
  <c r="IA17" i="3" s="1"/>
  <c r="IB17" i="3" s="1"/>
  <c r="IC17" i="3" s="1"/>
  <c r="ID17" i="3" s="1"/>
  <c r="IE17" i="3" s="1"/>
  <c r="IF17" i="3" s="1"/>
  <c r="IG17" i="3" s="1"/>
  <c r="IH17" i="3" s="1"/>
  <c r="II17" i="3" s="1"/>
  <c r="IJ17" i="3" s="1"/>
  <c r="IK17" i="3" s="1"/>
  <c r="IL17" i="3" s="1"/>
  <c r="IM17" i="3" s="1"/>
  <c r="IN17" i="3" s="1"/>
  <c r="IO17" i="3" s="1"/>
  <c r="IP17" i="3" s="1"/>
  <c r="IQ17" i="3" s="1"/>
  <c r="IR17" i="3" s="1"/>
  <c r="IS17" i="3" s="1"/>
  <c r="IT17" i="3" s="1"/>
  <c r="IU17" i="3" s="1"/>
  <c r="IV17" i="3" s="1"/>
  <c r="IW17" i="3" s="1"/>
  <c r="IX17" i="3" s="1"/>
  <c r="IY17" i="3" s="1"/>
  <c r="IZ17" i="3" s="1"/>
  <c r="JA17" i="3" s="1"/>
  <c r="JB17" i="3" s="1"/>
  <c r="JC17" i="3" s="1"/>
  <c r="JD17" i="3" s="1"/>
  <c r="JE17" i="3" s="1"/>
  <c r="JF17" i="3" s="1"/>
  <c r="JG17" i="3" s="1"/>
  <c r="JH17" i="3" s="1"/>
  <c r="JI17" i="3" s="1"/>
  <c r="JJ17" i="3" s="1"/>
  <c r="JK17" i="3" s="1"/>
  <c r="JL17" i="3" s="1"/>
  <c r="JM17" i="3" s="1"/>
  <c r="JN17" i="3" s="1"/>
  <c r="JO17" i="3" s="1"/>
  <c r="JP17" i="3" s="1"/>
  <c r="JQ17" i="3" s="1"/>
  <c r="JR17" i="3" s="1"/>
  <c r="JS17" i="3" s="1"/>
  <c r="JT17" i="3" s="1"/>
  <c r="JU17" i="3" s="1"/>
  <c r="JV17" i="3" s="1"/>
  <c r="JW17" i="3" s="1"/>
  <c r="JX17" i="3" s="1"/>
  <c r="JY17" i="3" s="1"/>
  <c r="JZ17" i="3" s="1"/>
  <c r="KA17" i="3" s="1"/>
  <c r="KB17" i="3" s="1"/>
  <c r="KC17" i="3" s="1"/>
  <c r="KD17" i="3" s="1"/>
  <c r="KE17" i="3" s="1"/>
  <c r="KF17" i="3" s="1"/>
  <c r="KG17" i="3" s="1"/>
  <c r="KH17" i="3" s="1"/>
  <c r="KI17" i="3" s="1"/>
  <c r="KJ17" i="3" s="1"/>
  <c r="KK17" i="3" s="1"/>
  <c r="KL17" i="3" s="1"/>
  <c r="KM17" i="3" s="1"/>
  <c r="KN17" i="3" s="1"/>
  <c r="KO17" i="3" s="1"/>
  <c r="KP17" i="3" s="1"/>
  <c r="KQ17" i="3" s="1"/>
  <c r="KR17" i="3" s="1"/>
  <c r="KS17" i="3" s="1"/>
  <c r="KT17" i="3" s="1"/>
  <c r="KU17" i="3" s="1"/>
  <c r="KV17" i="3" s="1"/>
  <c r="KW17" i="3" s="1"/>
  <c r="KX17" i="3" s="1"/>
  <c r="KY17" i="3" s="1"/>
  <c r="KZ17" i="3" s="1"/>
  <c r="LA17" i="3" s="1"/>
  <c r="LB17" i="3" s="1"/>
  <c r="LC17" i="3" s="1"/>
  <c r="LD17" i="3" s="1"/>
  <c r="LE17" i="3" s="1"/>
  <c r="LF17" i="3" s="1"/>
  <c r="LG17" i="3" s="1"/>
  <c r="LH17" i="3" s="1"/>
  <c r="LI17" i="3" s="1"/>
  <c r="LJ17" i="3" s="1"/>
  <c r="LK17" i="3" s="1"/>
  <c r="LL17" i="3" s="1"/>
  <c r="LM17" i="3" s="1"/>
  <c r="LN17" i="3" s="1"/>
  <c r="LO17" i="3" s="1"/>
  <c r="LP17" i="3" s="1"/>
  <c r="LQ17" i="3" s="1"/>
  <c r="LR17" i="3" s="1"/>
  <c r="LS17" i="3" s="1"/>
  <c r="LT17" i="3" s="1"/>
  <c r="LU17" i="3" s="1"/>
  <c r="LV17" i="3" s="1"/>
  <c r="LW17" i="3" s="1"/>
  <c r="LX17" i="3" s="1"/>
  <c r="LY17" i="3" s="1"/>
  <c r="LZ17" i="3" s="1"/>
  <c r="MA17" i="3" s="1"/>
  <c r="MB17" i="3" s="1"/>
  <c r="MC17" i="3" s="1"/>
  <c r="MD17" i="3" s="1"/>
  <c r="ME17" i="3" s="1"/>
  <c r="MF17" i="3" s="1"/>
  <c r="MG17" i="3" s="1"/>
  <c r="MH17" i="3" s="1"/>
  <c r="MI17" i="3" s="1"/>
  <c r="MJ17" i="3" s="1"/>
  <c r="MK17" i="3" s="1"/>
  <c r="ML17" i="3" s="1"/>
  <c r="MM17" i="3" s="1"/>
  <c r="MN17" i="3" s="1"/>
  <c r="MO17" i="3" s="1"/>
  <c r="MP17" i="3" s="1"/>
  <c r="MQ17" i="3" s="1"/>
  <c r="MR17" i="3" s="1"/>
  <c r="MS17" i="3" s="1"/>
  <c r="MT17" i="3" s="1"/>
  <c r="MU17" i="3" s="1"/>
  <c r="MV17" i="3" s="1"/>
  <c r="MW17" i="3" s="1"/>
  <c r="MX17" i="3" s="1"/>
  <c r="MY17" i="3" s="1"/>
  <c r="MZ17" i="3" s="1"/>
  <c r="NA17" i="3" s="1"/>
  <c r="NB17" i="3" s="1"/>
  <c r="NC17" i="3" s="1"/>
  <c r="ND17" i="3" s="1"/>
  <c r="NE17" i="3" s="1"/>
  <c r="NF17" i="3" s="1"/>
  <c r="NG17" i="3" s="1"/>
  <c r="NH17" i="3" s="1"/>
  <c r="NI17" i="3" s="1"/>
  <c r="NJ17" i="3" s="1"/>
  <c r="NK17" i="3" s="1"/>
  <c r="NL17" i="3" s="1"/>
  <c r="NM17" i="3" s="1"/>
  <c r="NN17" i="3" s="1"/>
  <c r="NO17" i="3" s="1"/>
  <c r="NP17" i="3" s="1"/>
  <c r="NQ17" i="3" s="1"/>
  <c r="NR17" i="3" s="1"/>
  <c r="NS17" i="3" s="1"/>
  <c r="NT17" i="3" s="1"/>
  <c r="NU17" i="3" s="1"/>
  <c r="NV17" i="3" s="1"/>
  <c r="NW17" i="3" s="1"/>
  <c r="NX17" i="3" s="1"/>
  <c r="NY17" i="3" s="1"/>
  <c r="NZ17" i="3" s="1"/>
  <c r="OA17" i="3" s="1"/>
  <c r="OB17" i="3" s="1"/>
  <c r="OC17" i="3" s="1"/>
  <c r="OD17" i="3" s="1"/>
  <c r="OE17" i="3" s="1"/>
  <c r="OF17" i="3" s="1"/>
  <c r="OG17" i="3" s="1"/>
  <c r="OH17" i="3" s="1"/>
  <c r="OI17" i="3" s="1"/>
  <c r="OJ17" i="3" s="1"/>
  <c r="OK17" i="3" s="1"/>
  <c r="OL17" i="3" s="1"/>
  <c r="OM17" i="3" s="1"/>
  <c r="ON17" i="3" s="1"/>
  <c r="OO17" i="3" s="1"/>
  <c r="OP17" i="3" s="1"/>
  <c r="OQ17" i="3" s="1"/>
  <c r="OR17" i="3" s="1"/>
  <c r="OS17" i="3" s="1"/>
  <c r="OT17" i="3" s="1"/>
  <c r="OU17" i="3" s="1"/>
  <c r="OV17" i="3" s="1"/>
  <c r="OW17" i="3" s="1"/>
  <c r="OX17" i="3" s="1"/>
  <c r="OY17" i="3" s="1"/>
  <c r="OZ17" i="3" s="1"/>
  <c r="PA17" i="3" s="1"/>
  <c r="PB17" i="3" s="1"/>
  <c r="PC17" i="3" s="1"/>
  <c r="PD17" i="3" s="1"/>
  <c r="PE17" i="3" s="1"/>
  <c r="PF17" i="3" s="1"/>
  <c r="PG17" i="3" s="1"/>
  <c r="PH17" i="3" s="1"/>
  <c r="PI17" i="3" s="1"/>
  <c r="PJ17" i="3" s="1"/>
  <c r="PK17" i="3" s="1"/>
  <c r="PL17" i="3" s="1"/>
  <c r="PM17" i="3" s="1"/>
  <c r="PN17" i="3" s="1"/>
  <c r="PO17" i="3" s="1"/>
  <c r="PP17" i="3" s="1"/>
  <c r="PQ17" i="3" s="1"/>
  <c r="PR17" i="3" s="1"/>
  <c r="PS17" i="3" s="1"/>
  <c r="PT17" i="3" s="1"/>
  <c r="PU17" i="3" s="1"/>
  <c r="PV17" i="3" s="1"/>
  <c r="PW17" i="3" s="1"/>
  <c r="PX17" i="3" s="1"/>
  <c r="PY17" i="3" s="1"/>
  <c r="PZ17" i="3" s="1"/>
  <c r="QA17" i="3" s="1"/>
  <c r="QB17" i="3" s="1"/>
  <c r="QC17" i="3" s="1"/>
  <c r="QD17" i="3" s="1"/>
  <c r="QE17" i="3" s="1"/>
  <c r="QF17" i="3" s="1"/>
  <c r="QG17" i="3" s="1"/>
  <c r="QH17" i="3" s="1"/>
  <c r="QI17" i="3" s="1"/>
  <c r="QJ17" i="3" s="1"/>
  <c r="QK17" i="3" s="1"/>
  <c r="QL17" i="3" s="1"/>
  <c r="QM17" i="3" s="1"/>
  <c r="QN17" i="3" s="1"/>
  <c r="QO17" i="3" s="1"/>
  <c r="QP17" i="3" s="1"/>
  <c r="QQ17" i="3" s="1"/>
  <c r="QR17" i="3" s="1"/>
  <c r="QS17" i="3" s="1"/>
  <c r="QT17" i="3" s="1"/>
  <c r="QU17" i="3" s="1"/>
  <c r="QV17" i="3" s="1"/>
  <c r="QW17" i="3" s="1"/>
  <c r="QX17" i="3" s="1"/>
  <c r="QY17" i="3" s="1"/>
  <c r="QZ17" i="3" s="1"/>
  <c r="RA17" i="3" s="1"/>
  <c r="RB17" i="3" s="1"/>
  <c r="RC17" i="3" s="1"/>
  <c r="RD17" i="3" s="1"/>
  <c r="RE17" i="3" s="1"/>
  <c r="RF17" i="3" s="1"/>
  <c r="RG17" i="3" s="1"/>
  <c r="RH17" i="3" s="1"/>
  <c r="RI17" i="3" s="1"/>
  <c r="RJ17" i="3" s="1"/>
  <c r="RK17" i="3" s="1"/>
  <c r="RL17" i="3" s="1"/>
  <c r="RM17" i="3" s="1"/>
  <c r="RN17" i="3" s="1"/>
  <c r="RO17" i="3" s="1"/>
  <c r="RP17" i="3" s="1"/>
  <c r="RQ17" i="3" s="1"/>
  <c r="RR17" i="3" s="1"/>
  <c r="RS17" i="3" s="1"/>
  <c r="RT17" i="3" s="1"/>
  <c r="RU17" i="3" s="1"/>
  <c r="RV17" i="3" s="1"/>
  <c r="RW17" i="3" s="1"/>
  <c r="RX17" i="3" s="1"/>
  <c r="RY17" i="3" s="1"/>
  <c r="RZ17" i="3" s="1"/>
  <c r="SA17" i="3" s="1"/>
  <c r="SB17" i="3" s="1"/>
  <c r="SC17" i="3" s="1"/>
  <c r="SD17" i="3" s="1"/>
  <c r="SE17" i="3" s="1"/>
  <c r="SF17" i="3" s="1"/>
  <c r="SG17" i="3" s="1"/>
  <c r="SH17" i="3" s="1"/>
  <c r="SI17" i="3" s="1"/>
  <c r="SJ17" i="3" s="1"/>
  <c r="SK17" i="3" s="1"/>
  <c r="SL17" i="3" s="1"/>
  <c r="SM17" i="3" s="1"/>
  <c r="SN17" i="3" s="1"/>
  <c r="SO17" i="3" s="1"/>
  <c r="SP17" i="3" s="1"/>
  <c r="SQ17" i="3" s="1"/>
  <c r="SR17" i="3" s="1"/>
  <c r="SS17" i="3" s="1"/>
  <c r="ST17" i="3" s="1"/>
  <c r="SU17" i="3" s="1"/>
  <c r="SV17" i="3" s="1"/>
  <c r="SW17" i="3" s="1"/>
  <c r="SX17" i="3" s="1"/>
  <c r="SY17" i="3" s="1"/>
  <c r="SZ17" i="3" s="1"/>
  <c r="TA17" i="3" s="1"/>
  <c r="TB17" i="3" s="1"/>
  <c r="TC17" i="3" s="1"/>
  <c r="TD17" i="3" s="1"/>
  <c r="TE17" i="3" s="1"/>
  <c r="TF17" i="3" s="1"/>
  <c r="TG17" i="3" s="1"/>
  <c r="TH17" i="3" s="1"/>
  <c r="TI17" i="3" s="1"/>
  <c r="TJ17" i="3" s="1"/>
  <c r="TK17" i="3" s="1"/>
  <c r="TL17" i="3" s="1"/>
  <c r="TM17" i="3" s="1"/>
  <c r="TN17" i="3" s="1"/>
  <c r="TO17" i="3" s="1"/>
  <c r="TP17" i="3" s="1"/>
  <c r="TQ17" i="3" s="1"/>
  <c r="TR17" i="3" s="1"/>
  <c r="TS17" i="3" s="1"/>
  <c r="TT17" i="3" s="1"/>
  <c r="TU17" i="3" s="1"/>
  <c r="TV17" i="3" s="1"/>
  <c r="TW17" i="3" s="1"/>
  <c r="TX17" i="3" s="1"/>
  <c r="TY17" i="3" s="1"/>
  <c r="TZ17" i="3" s="1"/>
  <c r="UA17" i="3" s="1"/>
  <c r="UB17" i="3" s="1"/>
  <c r="UC17" i="3" s="1"/>
  <c r="UD17" i="3" s="1"/>
  <c r="UE17" i="3" s="1"/>
  <c r="UF17" i="3" s="1"/>
  <c r="UG17" i="3" s="1"/>
  <c r="UH17" i="3" s="1"/>
  <c r="UI17" i="3" s="1"/>
  <c r="UJ17" i="3" s="1"/>
  <c r="UK17" i="3" s="1"/>
  <c r="UL17" i="3" s="1"/>
  <c r="UM17" i="3" s="1"/>
  <c r="UN17" i="3" s="1"/>
  <c r="UO17" i="3" s="1"/>
  <c r="UP17" i="3" s="1"/>
  <c r="UQ17" i="3" s="1"/>
  <c r="UR17" i="3" s="1"/>
  <c r="US17" i="3" s="1"/>
  <c r="UT17" i="3" s="1"/>
  <c r="UU17" i="3" s="1"/>
  <c r="UV17" i="3" s="1"/>
  <c r="UW17" i="3" s="1"/>
  <c r="UX17" i="3" s="1"/>
  <c r="UY17" i="3" s="1"/>
  <c r="UZ17" i="3" s="1"/>
  <c r="VA17" i="3" s="1"/>
  <c r="VB17" i="3" s="1"/>
  <c r="VC17" i="3" s="1"/>
  <c r="VD17" i="3" s="1"/>
  <c r="VE17" i="3" s="1"/>
  <c r="VF17" i="3" s="1"/>
  <c r="VG17" i="3" s="1"/>
  <c r="VH17" i="3" s="1"/>
  <c r="VI17" i="3" s="1"/>
  <c r="VJ17" i="3" s="1"/>
  <c r="VK17" i="3" s="1"/>
  <c r="VL17" i="3" s="1"/>
  <c r="VM17" i="3" s="1"/>
  <c r="VN17" i="3" s="1"/>
  <c r="VO17" i="3" s="1"/>
  <c r="VP17" i="3" s="1"/>
  <c r="VQ17" i="3" s="1"/>
  <c r="VR17" i="3" s="1"/>
  <c r="VS17" i="3" s="1"/>
  <c r="VT17" i="3" s="1"/>
  <c r="VU17" i="3" s="1"/>
  <c r="VV17" i="3" s="1"/>
  <c r="VW17" i="3" s="1"/>
  <c r="VX17" i="3" s="1"/>
  <c r="VY17" i="3" s="1"/>
  <c r="VZ17" i="3" s="1"/>
  <c r="WA17" i="3" s="1"/>
  <c r="WB17" i="3" s="1"/>
  <c r="WC17" i="3" s="1"/>
  <c r="WD17" i="3" s="1"/>
  <c r="WE17" i="3" s="1"/>
  <c r="WF17" i="3" s="1"/>
  <c r="WG17" i="3" s="1"/>
  <c r="WH17" i="3" s="1"/>
  <c r="WI17" i="3" s="1"/>
  <c r="WJ17" i="3" s="1"/>
  <c r="WK17" i="3" s="1"/>
  <c r="WL17" i="3" s="1"/>
  <c r="WM17" i="3" s="1"/>
  <c r="WN17" i="3" s="1"/>
  <c r="WO17" i="3" s="1"/>
  <c r="WP17" i="3" s="1"/>
  <c r="WQ17" i="3" s="1"/>
  <c r="WR17" i="3" s="1"/>
  <c r="WS17" i="3" s="1"/>
  <c r="WT17" i="3" s="1"/>
  <c r="WU17" i="3" s="1"/>
  <c r="WV17" i="3" s="1"/>
  <c r="WW17" i="3" s="1"/>
  <c r="WX17" i="3" s="1"/>
  <c r="WY17" i="3" s="1"/>
  <c r="WZ17" i="3" s="1"/>
  <c r="XA17" i="3" s="1"/>
  <c r="XB17" i="3" s="1"/>
  <c r="XC17" i="3" s="1"/>
  <c r="XD17" i="3" s="1"/>
  <c r="XE17" i="3" s="1"/>
  <c r="XF17" i="3" s="1"/>
  <c r="XG17" i="3" s="1"/>
  <c r="XH17" i="3" s="1"/>
  <c r="XI17" i="3" s="1"/>
  <c r="XJ17" i="3" s="1"/>
  <c r="XK17" i="3" s="1"/>
  <c r="XL17" i="3" s="1"/>
  <c r="XM17" i="3" s="1"/>
  <c r="XN17" i="3" s="1"/>
  <c r="XO17" i="3" s="1"/>
  <c r="XP17" i="3" s="1"/>
  <c r="XQ17" i="3" s="1"/>
  <c r="XR17" i="3" s="1"/>
  <c r="XS17" i="3" s="1"/>
  <c r="XT17" i="3" s="1"/>
  <c r="XU17" i="3" s="1"/>
  <c r="XV17" i="3" s="1"/>
  <c r="XW17" i="3" s="1"/>
  <c r="XX17" i="3" s="1"/>
  <c r="XY17" i="3" s="1"/>
  <c r="XZ17" i="3" s="1"/>
  <c r="YA17" i="3" s="1"/>
  <c r="YB17" i="3" s="1"/>
  <c r="YC17" i="3" s="1"/>
  <c r="YD17" i="3" s="1"/>
  <c r="YE17" i="3" s="1"/>
  <c r="YF17" i="3" s="1"/>
  <c r="YG17" i="3" s="1"/>
  <c r="YH17" i="3" s="1"/>
  <c r="YI17" i="3" s="1"/>
  <c r="YJ17" i="3" s="1"/>
  <c r="YK17" i="3" s="1"/>
  <c r="YL17" i="3" s="1"/>
  <c r="YM17" i="3" s="1"/>
  <c r="YN17" i="3" s="1"/>
  <c r="YO17" i="3" s="1"/>
  <c r="YP17" i="3" s="1"/>
  <c r="YQ17" i="3" s="1"/>
  <c r="YR17" i="3" s="1"/>
  <c r="YS17" i="3" s="1"/>
  <c r="YT17" i="3" s="1"/>
  <c r="YU17" i="3" s="1"/>
  <c r="YV17" i="3" s="1"/>
  <c r="YW17" i="3" s="1"/>
  <c r="YX17" i="3" s="1"/>
  <c r="YY17" i="3" s="1"/>
  <c r="YZ17" i="3" s="1"/>
  <c r="ZA17" i="3" s="1"/>
  <c r="ZB17" i="3" s="1"/>
  <c r="ZC17" i="3" s="1"/>
  <c r="ZD17" i="3" s="1"/>
  <c r="ZE17" i="3" s="1"/>
  <c r="ZF17" i="3" s="1"/>
  <c r="ZG17" i="3" s="1"/>
  <c r="ZH17" i="3" s="1"/>
  <c r="ZI17" i="3" s="1"/>
  <c r="ZJ17" i="3" s="1"/>
  <c r="ZK17" i="3" s="1"/>
  <c r="ZL17" i="3" s="1"/>
  <c r="ZM17" i="3" s="1"/>
  <c r="ZN17" i="3" s="1"/>
  <c r="ZO17" i="3" s="1"/>
  <c r="ZP17" i="3" s="1"/>
  <c r="ZQ17" i="3" s="1"/>
  <c r="ZR17" i="3" s="1"/>
  <c r="ZS17" i="3" s="1"/>
  <c r="ZT17" i="3" s="1"/>
  <c r="ZU17" i="3" s="1"/>
  <c r="ZV17" i="3" s="1"/>
  <c r="ZW17" i="3" s="1"/>
  <c r="ZX17" i="3" s="1"/>
  <c r="ZY17" i="3" s="1"/>
  <c r="ZZ17" i="3" s="1"/>
  <c r="AAA17" i="3" s="1"/>
  <c r="AAB17" i="3" s="1"/>
  <c r="AAC17" i="3" s="1"/>
  <c r="AAD17" i="3" s="1"/>
  <c r="AAE17" i="3" s="1"/>
  <c r="AAF17" i="3" s="1"/>
  <c r="AAG17" i="3" s="1"/>
  <c r="AAH17" i="3" s="1"/>
  <c r="AAI17" i="3" s="1"/>
  <c r="AAJ17" i="3" s="1"/>
  <c r="AAK17" i="3" s="1"/>
  <c r="AAL17" i="3" s="1"/>
  <c r="AAM17" i="3" s="1"/>
  <c r="AAN17" i="3" s="1"/>
  <c r="AAO17" i="3" s="1"/>
  <c r="AAP17" i="3" s="1"/>
  <c r="AAQ17" i="3" s="1"/>
  <c r="AAR17" i="3" s="1"/>
  <c r="AAS17" i="3" s="1"/>
  <c r="AAT17" i="3" s="1"/>
  <c r="AAU17" i="3" s="1"/>
  <c r="AAV17" i="3" s="1"/>
  <c r="AAW17" i="3" s="1"/>
  <c r="AAX17" i="3" s="1"/>
  <c r="AAY17" i="3" s="1"/>
  <c r="AAZ17" i="3" s="1"/>
  <c r="ABA17" i="3" s="1"/>
  <c r="ABB17" i="3" s="1"/>
  <c r="ABC17" i="3" s="1"/>
  <c r="ABD17" i="3" s="1"/>
  <c r="ABE17" i="3" s="1"/>
  <c r="ABF17" i="3" s="1"/>
  <c r="ABG17" i="3" s="1"/>
  <c r="ABH17" i="3" s="1"/>
  <c r="ABI17" i="3" s="1"/>
  <c r="ABJ17" i="3" s="1"/>
  <c r="ABK17" i="3" s="1"/>
  <c r="ABL17" i="3" s="1"/>
  <c r="ABM17" i="3" s="1"/>
  <c r="ABN17" i="3" s="1"/>
  <c r="ABO17" i="3" s="1"/>
  <c r="ABP17" i="3" s="1"/>
  <c r="ABQ17" i="3" s="1"/>
  <c r="ABR17" i="3" s="1"/>
  <c r="ABS17" i="3" s="1"/>
  <c r="ABT17" i="3" s="1"/>
  <c r="ABU17" i="3" s="1"/>
  <c r="ABV17" i="3" s="1"/>
  <c r="ABW17" i="3" s="1"/>
  <c r="ABX17" i="3" s="1"/>
  <c r="ABY17" i="3" s="1"/>
  <c r="ABZ17" i="3" s="1"/>
  <c r="ACA17" i="3" s="1"/>
  <c r="ACB17" i="3" s="1"/>
  <c r="ACC17" i="3" s="1"/>
  <c r="ACD17" i="3" s="1"/>
  <c r="ACE17" i="3" s="1"/>
  <c r="ACF17" i="3" s="1"/>
  <c r="ACG17" i="3" s="1"/>
  <c r="ACH17" i="3" s="1"/>
  <c r="ACI17" i="3" s="1"/>
  <c r="ACJ17" i="3" s="1"/>
  <c r="ACK17" i="3" s="1"/>
  <c r="ACL17" i="3" s="1"/>
  <c r="ACM17" i="3" s="1"/>
  <c r="ACN17" i="3" s="1"/>
  <c r="ACO17" i="3" s="1"/>
  <c r="ACP17" i="3" s="1"/>
  <c r="ACQ17" i="3" s="1"/>
  <c r="ACR17" i="3" s="1"/>
  <c r="ACS17" i="3" s="1"/>
  <c r="ACT17" i="3" s="1"/>
  <c r="ACU17" i="3" s="1"/>
  <c r="ACV17" i="3" s="1"/>
  <c r="ACW17" i="3" s="1"/>
  <c r="ACX17" i="3" s="1"/>
  <c r="ACY17" i="3" s="1"/>
  <c r="ACZ17" i="3" s="1"/>
  <c r="ADA17" i="3" s="1"/>
  <c r="ADB17" i="3" s="1"/>
  <c r="ADC17" i="3" s="1"/>
  <c r="ADD17" i="3" s="1"/>
  <c r="ADE17" i="3" s="1"/>
  <c r="ADF17" i="3" s="1"/>
  <c r="ADG17" i="3" s="1"/>
  <c r="ADH17" i="3" s="1"/>
  <c r="ADI17" i="3" s="1"/>
  <c r="ADJ17" i="3" s="1"/>
  <c r="ADK17" i="3" s="1"/>
  <c r="ADL17" i="3" s="1"/>
  <c r="ADM17" i="3" s="1"/>
  <c r="ADN17" i="3" s="1"/>
  <c r="ADO17" i="3" s="1"/>
  <c r="ADP17" i="3" s="1"/>
  <c r="ADQ17" i="3" s="1"/>
  <c r="ADR17" i="3" s="1"/>
  <c r="ADS17" i="3" s="1"/>
  <c r="ADT17" i="3" s="1"/>
  <c r="ADU17" i="3" s="1"/>
  <c r="ADV17" i="3" s="1"/>
  <c r="ADW17" i="3" s="1"/>
  <c r="ADX17" i="3" s="1"/>
  <c r="ADY17" i="3" s="1"/>
  <c r="ADZ17" i="3" s="1"/>
  <c r="AEA17" i="3" s="1"/>
  <c r="AEB17" i="3" s="1"/>
  <c r="AEC17" i="3" s="1"/>
  <c r="AED17" i="3" s="1"/>
  <c r="AEE17" i="3" s="1"/>
  <c r="AEF17" i="3" s="1"/>
  <c r="AEG17" i="3" s="1"/>
  <c r="AEH17" i="3" s="1"/>
  <c r="AEI17" i="3" s="1"/>
  <c r="AEJ17" i="3" s="1"/>
  <c r="AEK17" i="3" s="1"/>
  <c r="AEL17" i="3" s="1"/>
  <c r="AEM17" i="3" s="1"/>
  <c r="AEN17" i="3" s="1"/>
  <c r="AEO17" i="3" s="1"/>
  <c r="AEP17" i="3" s="1"/>
  <c r="AEQ17" i="3" s="1"/>
  <c r="AER17" i="3" s="1"/>
  <c r="AES17" i="3" s="1"/>
  <c r="AET17" i="3" s="1"/>
  <c r="AEU17" i="3" s="1"/>
  <c r="AEV17" i="3" s="1"/>
  <c r="AEW17" i="3" s="1"/>
  <c r="AEX17" i="3" s="1"/>
  <c r="AEY17" i="3" s="1"/>
  <c r="AEZ17" i="3" s="1"/>
  <c r="AFA17" i="3" s="1"/>
  <c r="AFB17" i="3" s="1"/>
  <c r="AFC17" i="3" s="1"/>
  <c r="AFD17" i="3" s="1"/>
  <c r="AFE17" i="3" s="1"/>
  <c r="AFF17" i="3" s="1"/>
  <c r="AFG17" i="3" s="1"/>
  <c r="AFH17" i="3" s="1"/>
  <c r="AFI17" i="3" s="1"/>
  <c r="AFJ17" i="3" s="1"/>
  <c r="AFK17" i="3" s="1"/>
  <c r="AFL17" i="3" s="1"/>
  <c r="AFM17" i="3" s="1"/>
  <c r="AFN17" i="3" s="1"/>
  <c r="AFO17" i="3" s="1"/>
  <c r="AFP17" i="3" s="1"/>
  <c r="AFQ17" i="3" s="1"/>
  <c r="AFR17" i="3" s="1"/>
  <c r="AFS17" i="3" s="1"/>
  <c r="AFT17" i="3" s="1"/>
  <c r="AFU17" i="3" s="1"/>
  <c r="AFV17" i="3" s="1"/>
  <c r="AFW17" i="3" s="1"/>
  <c r="AFX17" i="3" s="1"/>
  <c r="AFY17" i="3" s="1"/>
  <c r="AFZ17" i="3" s="1"/>
  <c r="AGA17" i="3" s="1"/>
  <c r="AGB17" i="3" s="1"/>
  <c r="AGC17" i="3" s="1"/>
  <c r="AGD17" i="3" s="1"/>
  <c r="AGE17" i="3" s="1"/>
  <c r="AGF17" i="3" s="1"/>
  <c r="AGG17" i="3" s="1"/>
  <c r="AGH17" i="3" s="1"/>
  <c r="AGI17" i="3" s="1"/>
  <c r="AGJ17" i="3" s="1"/>
  <c r="AGK17" i="3" s="1"/>
  <c r="AGL17" i="3" s="1"/>
  <c r="AGM17" i="3" s="1"/>
  <c r="AGN17" i="3" s="1"/>
  <c r="AGO17" i="3" s="1"/>
  <c r="AGP17" i="3" s="1"/>
  <c r="AGQ17" i="3" s="1"/>
  <c r="AGR17" i="3" s="1"/>
  <c r="AGS17" i="3" s="1"/>
  <c r="AGT17" i="3" s="1"/>
  <c r="AGU17" i="3" s="1"/>
  <c r="AGV17" i="3" s="1"/>
  <c r="AGW17" i="3" s="1"/>
  <c r="AGX17" i="3" s="1"/>
  <c r="AGY17" i="3" s="1"/>
  <c r="AGZ17" i="3" s="1"/>
  <c r="AHA17" i="3" s="1"/>
  <c r="AHB17" i="3" s="1"/>
  <c r="AHC17" i="3" s="1"/>
  <c r="AHD17" i="3" s="1"/>
  <c r="AHE17" i="3" s="1"/>
  <c r="AHF17" i="3" s="1"/>
  <c r="AHG17" i="3" s="1"/>
  <c r="AHH17" i="3" s="1"/>
  <c r="AHI17" i="3" s="1"/>
  <c r="AHJ17" i="3" s="1"/>
  <c r="AHK17" i="3" s="1"/>
  <c r="AHL17" i="3" s="1"/>
  <c r="AHM17" i="3" s="1"/>
  <c r="AHN17" i="3" s="1"/>
  <c r="AHO17" i="3" s="1"/>
  <c r="AHP17" i="3" s="1"/>
  <c r="AHQ17" i="3" s="1"/>
  <c r="AHR17" i="3" s="1"/>
  <c r="AHS17" i="3" s="1"/>
  <c r="AHT17" i="3" s="1"/>
  <c r="AHU17" i="3" s="1"/>
  <c r="AHV17" i="3" s="1"/>
  <c r="AHW17" i="3" s="1"/>
  <c r="AHX17" i="3" s="1"/>
  <c r="AHY17" i="3" s="1"/>
  <c r="AHZ17" i="3" s="1"/>
  <c r="AIA17" i="3" s="1"/>
  <c r="AIB17" i="3" s="1"/>
  <c r="AIC17" i="3" s="1"/>
  <c r="AID17" i="3" s="1"/>
  <c r="AIE17" i="3" s="1"/>
  <c r="AIF17" i="3" s="1"/>
  <c r="AIG17" i="3" s="1"/>
  <c r="AIH17" i="3" s="1"/>
  <c r="AII17" i="3" s="1"/>
  <c r="AIJ17" i="3" s="1"/>
  <c r="AIK17" i="3" s="1"/>
  <c r="AIL17" i="3" s="1"/>
  <c r="AIM17" i="3" s="1"/>
  <c r="AIN17" i="3" s="1"/>
  <c r="AIO17" i="3" s="1"/>
  <c r="AIP17" i="3" s="1"/>
  <c r="AIQ17" i="3" s="1"/>
  <c r="AIR17" i="3" s="1"/>
  <c r="AIS17" i="3" s="1"/>
  <c r="AIT17" i="3" s="1"/>
  <c r="AIU17" i="3" s="1"/>
  <c r="AIV17" i="3" s="1"/>
  <c r="AIW17" i="3" s="1"/>
  <c r="AIX17" i="3" s="1"/>
  <c r="AIY17" i="3" s="1"/>
  <c r="AIZ17" i="3" s="1"/>
  <c r="AJA17" i="3" s="1"/>
  <c r="AJB17" i="3" s="1"/>
  <c r="AJC17" i="3" s="1"/>
  <c r="AJD17" i="3" s="1"/>
  <c r="AJE17" i="3" s="1"/>
  <c r="AJF17" i="3" s="1"/>
  <c r="AJG17" i="3" s="1"/>
  <c r="AJH17" i="3" s="1"/>
  <c r="AJI17" i="3" s="1"/>
  <c r="AJJ17" i="3" s="1"/>
  <c r="AJK17" i="3" s="1"/>
  <c r="AJL17" i="3" s="1"/>
  <c r="AJM17" i="3" s="1"/>
  <c r="AJN17" i="3" s="1"/>
  <c r="AJO17" i="3" s="1"/>
  <c r="AJP17" i="3" s="1"/>
  <c r="AJQ17" i="3" s="1"/>
  <c r="AJR17" i="3" s="1"/>
  <c r="AJS17" i="3" s="1"/>
  <c r="AJT17" i="3" s="1"/>
  <c r="AJU17" i="3" s="1"/>
  <c r="AJV17" i="3" s="1"/>
  <c r="AJW17" i="3" s="1"/>
  <c r="AJX17" i="3" s="1"/>
  <c r="AJY17" i="3" s="1"/>
  <c r="AJZ17" i="3" s="1"/>
  <c r="AKA17" i="3" s="1"/>
  <c r="AKB17" i="3" s="1"/>
  <c r="AKC17" i="3" s="1"/>
  <c r="AKD17" i="3" s="1"/>
  <c r="AKE17" i="3" s="1"/>
  <c r="AKF17" i="3" s="1"/>
  <c r="AKG17" i="3" s="1"/>
  <c r="AKH17" i="3" s="1"/>
  <c r="AKI17" i="3" s="1"/>
  <c r="AKJ17" i="3" s="1"/>
  <c r="AKK17" i="3" s="1"/>
  <c r="AKL17" i="3" s="1"/>
  <c r="AKM17" i="3" s="1"/>
  <c r="AKN17" i="3" s="1"/>
  <c r="AKO17" i="3" s="1"/>
  <c r="AKP17" i="3" s="1"/>
  <c r="AKQ17" i="3" s="1"/>
  <c r="AKR17" i="3" s="1"/>
  <c r="AKS17" i="3" s="1"/>
  <c r="AKT17" i="3" s="1"/>
  <c r="AKU17" i="3" s="1"/>
  <c r="AKV17" i="3" s="1"/>
  <c r="AKW17" i="3" s="1"/>
  <c r="AKX17" i="3" s="1"/>
  <c r="AKY17" i="3" s="1"/>
  <c r="AKZ17" i="3" s="1"/>
  <c r="ALA17" i="3" s="1"/>
  <c r="ALB17" i="3" s="1"/>
  <c r="ALC17" i="3" s="1"/>
  <c r="ALD17" i="3" s="1"/>
  <c r="ALE17" i="3" s="1"/>
  <c r="ALF17" i="3" s="1"/>
  <c r="ALG17" i="3" s="1"/>
  <c r="ALH17" i="3" s="1"/>
  <c r="ALI17" i="3" s="1"/>
  <c r="ALJ17" i="3" s="1"/>
  <c r="ALK17" i="3" s="1"/>
  <c r="ALL17" i="3" s="1"/>
  <c r="ALM17" i="3" s="1"/>
  <c r="ALN17" i="3" s="1"/>
  <c r="ALO17" i="3" s="1"/>
  <c r="ALP17" i="3" s="1"/>
  <c r="ALQ17" i="3" s="1"/>
  <c r="ALR17" i="3" s="1"/>
  <c r="ALS17" i="3" s="1"/>
  <c r="ALT17" i="3" s="1"/>
  <c r="ALU17" i="3" s="1"/>
  <c r="ALV17" i="3" s="1"/>
  <c r="ALW17" i="3" s="1"/>
  <c r="ALX17" i="3" s="1"/>
  <c r="ALY17" i="3" s="1"/>
  <c r="ALZ17" i="3" s="1"/>
  <c r="AMA17" i="3" s="1"/>
  <c r="AMB17" i="3" s="1"/>
  <c r="AMC17" i="3" s="1"/>
  <c r="AMD17" i="3" s="1"/>
  <c r="AME17" i="3" s="1"/>
  <c r="AMF17" i="3" s="1"/>
  <c r="AMG17" i="3" s="1"/>
  <c r="AMH17" i="3" s="1"/>
  <c r="AMI17" i="3" s="1"/>
  <c r="AMJ17" i="3" s="1"/>
  <c r="AMK17" i="3" s="1"/>
  <c r="AML17" i="3" s="1"/>
  <c r="AMM17" i="3" s="1"/>
  <c r="AMN17" i="3" s="1"/>
  <c r="AMO17" i="3" s="1"/>
  <c r="AMP17" i="3" s="1"/>
  <c r="AMQ17" i="3" s="1"/>
  <c r="AMR17" i="3" s="1"/>
  <c r="AMS17" i="3" s="1"/>
  <c r="AMT17" i="3" s="1"/>
  <c r="AMU17" i="3" s="1"/>
  <c r="AMV17" i="3" s="1"/>
  <c r="AMW17" i="3" s="1"/>
  <c r="AMX17" i="3" s="1"/>
  <c r="AMY17" i="3" s="1"/>
  <c r="AMZ17" i="3" s="1"/>
  <c r="ANA17" i="3" s="1"/>
  <c r="ANB17" i="3" s="1"/>
  <c r="ANC17" i="3" s="1"/>
  <c r="AND17" i="3" s="1"/>
  <c r="ANE17" i="3" s="1"/>
  <c r="ANF17" i="3" s="1"/>
  <c r="ANG17" i="3" s="1"/>
  <c r="ANH17" i="3" s="1"/>
  <c r="ANI17" i="3" s="1"/>
  <c r="ANJ17" i="3" s="1"/>
  <c r="ANK17" i="3" s="1"/>
  <c r="ANL17" i="3" s="1"/>
  <c r="ANM17" i="3" s="1"/>
  <c r="ANN17" i="3" s="1"/>
  <c r="ANO17" i="3" s="1"/>
  <c r="ANP17" i="3" s="1"/>
  <c r="ANQ17" i="3" s="1"/>
  <c r="ANR17" i="3" s="1"/>
  <c r="ANS17" i="3" s="1"/>
  <c r="ANT17" i="3" s="1"/>
  <c r="ANU17" i="3" s="1"/>
  <c r="ANV17" i="3" s="1"/>
  <c r="ANW17" i="3" s="1"/>
  <c r="ANX17" i="3" s="1"/>
  <c r="ANY17" i="3" s="1"/>
  <c r="ANZ17" i="3" s="1"/>
  <c r="AOA17" i="3" s="1"/>
  <c r="AOB17" i="3" s="1"/>
  <c r="AOC17" i="3" s="1"/>
  <c r="AOD17" i="3" s="1"/>
  <c r="AOE17" i="3" s="1"/>
  <c r="AOF17" i="3" s="1"/>
  <c r="AOG17" i="3" s="1"/>
  <c r="AOH17" i="3" s="1"/>
  <c r="AOI17" i="3" s="1"/>
  <c r="AOJ17" i="3" s="1"/>
  <c r="AOK17" i="3" s="1"/>
  <c r="AOL17" i="3" s="1"/>
  <c r="AOM17" i="3" s="1"/>
  <c r="AON17" i="3" s="1"/>
  <c r="AOO17" i="3" s="1"/>
  <c r="AOP17" i="3" s="1"/>
  <c r="AOQ17" i="3" s="1"/>
  <c r="AOR17" i="3" s="1"/>
  <c r="AOS17" i="3" s="1"/>
  <c r="AOT17" i="3" s="1"/>
  <c r="AOU17" i="3" s="1"/>
  <c r="AOV17" i="3" s="1"/>
  <c r="AOW17" i="3" s="1"/>
  <c r="AOX17" i="3" s="1"/>
  <c r="AOY17" i="3" s="1"/>
  <c r="AOZ17" i="3" s="1"/>
  <c r="APA17" i="3" s="1"/>
  <c r="APB17" i="3" s="1"/>
  <c r="APC17" i="3" s="1"/>
  <c r="APD17" i="3" s="1"/>
  <c r="APE17" i="3" s="1"/>
  <c r="APF17" i="3" s="1"/>
  <c r="APG17" i="3" s="1"/>
  <c r="APH17" i="3" s="1"/>
  <c r="API17" i="3" s="1"/>
  <c r="APJ17" i="3" s="1"/>
  <c r="APK17" i="3" s="1"/>
  <c r="APL17" i="3" s="1"/>
  <c r="APM17" i="3" s="1"/>
  <c r="APN17" i="3" s="1"/>
  <c r="APO17" i="3" s="1"/>
  <c r="APP17" i="3" s="1"/>
  <c r="APQ17" i="3" s="1"/>
  <c r="APR17" i="3" s="1"/>
  <c r="APS17" i="3" s="1"/>
  <c r="APT17" i="3" s="1"/>
  <c r="APU17" i="3" s="1"/>
  <c r="APV17" i="3" s="1"/>
  <c r="APW17" i="3" s="1"/>
  <c r="APX17" i="3" s="1"/>
  <c r="APY17" i="3" s="1"/>
  <c r="APZ17" i="3" s="1"/>
  <c r="AQA17" i="3" s="1"/>
  <c r="AQB17" i="3" s="1"/>
  <c r="AQC17" i="3" s="1"/>
  <c r="AQD17" i="3" s="1"/>
  <c r="AQE17" i="3" s="1"/>
  <c r="AQF17" i="3" s="1"/>
  <c r="AQG17" i="3" s="1"/>
  <c r="AQH17" i="3" s="1"/>
  <c r="AQI17" i="3" s="1"/>
  <c r="AQJ17" i="3" s="1"/>
  <c r="AQK17" i="3" s="1"/>
  <c r="AQL17" i="3" s="1"/>
  <c r="AQM17" i="3" s="1"/>
  <c r="AQN17" i="3" s="1"/>
  <c r="AQO17" i="3" s="1"/>
  <c r="AQP17" i="3" s="1"/>
  <c r="AQQ17" i="3" s="1"/>
  <c r="AQR17" i="3" s="1"/>
  <c r="AQS17" i="3" s="1"/>
  <c r="AQT17" i="3" s="1"/>
  <c r="AQU17" i="3" s="1"/>
  <c r="AQV17" i="3" s="1"/>
  <c r="AQW17" i="3" s="1"/>
  <c r="AQX17" i="3" s="1"/>
  <c r="AQY17" i="3" s="1"/>
  <c r="AQZ17" i="3" s="1"/>
  <c r="ARA17" i="3" s="1"/>
  <c r="ARB17" i="3" s="1"/>
  <c r="ARC17" i="3" s="1"/>
  <c r="ARD17" i="3" s="1"/>
  <c r="ARE17" i="3" s="1"/>
  <c r="ARF17" i="3" s="1"/>
  <c r="ARG17" i="3" s="1"/>
  <c r="ARH17" i="3" s="1"/>
  <c r="ARI17" i="3" s="1"/>
  <c r="ARJ17" i="3" s="1"/>
  <c r="ARK17" i="3" s="1"/>
  <c r="ARL17" i="3" s="1"/>
  <c r="ARM17" i="3" s="1"/>
  <c r="ARN17" i="3" s="1"/>
  <c r="ARO17" i="3" s="1"/>
  <c r="ARP17" i="3" s="1"/>
  <c r="ARQ17" i="3" s="1"/>
  <c r="ARR17" i="3" s="1"/>
  <c r="ARS17" i="3" s="1"/>
  <c r="ART17" i="3" s="1"/>
  <c r="ARU17" i="3" s="1"/>
  <c r="ARV17" i="3" s="1"/>
  <c r="ARW17" i="3" s="1"/>
  <c r="ARX17" i="3" s="1"/>
  <c r="ARY17" i="3" s="1"/>
  <c r="ARZ17" i="3" s="1"/>
  <c r="ASA17" i="3" s="1"/>
  <c r="ASB17" i="3" s="1"/>
  <c r="ASC17" i="3" s="1"/>
  <c r="ASD17" i="3" s="1"/>
  <c r="ASE17" i="3" s="1"/>
  <c r="ASF17" i="3" s="1"/>
  <c r="ASG17" i="3" s="1"/>
  <c r="ASH17" i="3" s="1"/>
  <c r="ASI17" i="3" s="1"/>
  <c r="ASJ17" i="3" s="1"/>
  <c r="ASK17" i="3" s="1"/>
  <c r="ASL17" i="3" s="1"/>
  <c r="ASM17" i="3" s="1"/>
  <c r="ASN17" i="3" s="1"/>
  <c r="ASO17" i="3" s="1"/>
  <c r="ASP17" i="3" s="1"/>
  <c r="ASQ17" i="3" s="1"/>
  <c r="ASR17" i="3" s="1"/>
  <c r="ASS17" i="3" s="1"/>
  <c r="AST17" i="3" s="1"/>
  <c r="ASU17" i="3" s="1"/>
  <c r="ASV17" i="3" s="1"/>
  <c r="ASW17" i="3" s="1"/>
  <c r="ASX17" i="3" s="1"/>
  <c r="ASY17" i="3" s="1"/>
  <c r="ASZ17" i="3" s="1"/>
  <c r="ATA17" i="3" s="1"/>
  <c r="ATB17" i="3" s="1"/>
  <c r="ATC17" i="3" s="1"/>
  <c r="ATD17" i="3" s="1"/>
  <c r="ATE17" i="3" s="1"/>
  <c r="ATF17" i="3" s="1"/>
  <c r="ATG17" i="3" s="1"/>
  <c r="ATH17" i="3" s="1"/>
  <c r="ATI17" i="3" s="1"/>
  <c r="ATJ17" i="3" s="1"/>
  <c r="ATK17" i="3" s="1"/>
  <c r="ATL17" i="3" s="1"/>
  <c r="ATM17" i="3" s="1"/>
  <c r="ATN17" i="3" s="1"/>
  <c r="ATO17" i="3" s="1"/>
  <c r="ATP17" i="3" s="1"/>
  <c r="ATQ17" i="3" s="1"/>
  <c r="ATR17" i="3" s="1"/>
  <c r="ATS17" i="3" s="1"/>
  <c r="ATT17" i="3" s="1"/>
  <c r="ATU17" i="3" s="1"/>
  <c r="ATV17" i="3" s="1"/>
  <c r="ATW17" i="3" s="1"/>
  <c r="ATX17" i="3" s="1"/>
  <c r="ATY17" i="3" s="1"/>
  <c r="ATZ17" i="3" s="1"/>
  <c r="AUA17" i="3" s="1"/>
  <c r="AUB17" i="3" s="1"/>
  <c r="AUC17" i="3" s="1"/>
  <c r="AUD17" i="3" s="1"/>
  <c r="AUE17" i="3" s="1"/>
  <c r="AUF17" i="3" s="1"/>
  <c r="AUG17" i="3" s="1"/>
  <c r="AUH17" i="3" s="1"/>
  <c r="AUI17" i="3" s="1"/>
  <c r="AUJ17" i="3" s="1"/>
  <c r="AUK17" i="3" s="1"/>
  <c r="AUL17" i="3" s="1"/>
  <c r="AUM17" i="3" s="1"/>
  <c r="AUN17" i="3" s="1"/>
  <c r="AUO17" i="3" s="1"/>
  <c r="AUP17" i="3" s="1"/>
  <c r="AUQ17" i="3" s="1"/>
  <c r="AUR17" i="3" s="1"/>
  <c r="AUS17" i="3" s="1"/>
  <c r="AUT17" i="3" s="1"/>
  <c r="AUU17" i="3" s="1"/>
  <c r="AUV17" i="3" s="1"/>
  <c r="AUW17" i="3" s="1"/>
  <c r="AUX17" i="3" s="1"/>
  <c r="AUY17" i="3" s="1"/>
  <c r="AUZ17" i="3" s="1"/>
  <c r="AVA17" i="3" s="1"/>
  <c r="AVB17" i="3" s="1"/>
  <c r="AVC17" i="3" s="1"/>
  <c r="AVD17" i="3" s="1"/>
  <c r="AVE17" i="3" s="1"/>
  <c r="AVF17" i="3" s="1"/>
  <c r="AVG17" i="3" s="1"/>
  <c r="AVH17" i="3" s="1"/>
  <c r="AVI17" i="3" s="1"/>
  <c r="AVJ17" i="3" s="1"/>
  <c r="AVK17" i="3" s="1"/>
  <c r="AVL17" i="3" s="1"/>
  <c r="AVM17" i="3" s="1"/>
  <c r="AVN17" i="3" s="1"/>
  <c r="AVO17" i="3" s="1"/>
  <c r="AVP17" i="3" s="1"/>
  <c r="AVQ17" i="3" s="1"/>
  <c r="AVR17" i="3" s="1"/>
  <c r="AVS17" i="3" s="1"/>
  <c r="AVT17" i="3" s="1"/>
  <c r="AVU17" i="3" s="1"/>
  <c r="AVV17" i="3" s="1"/>
  <c r="AVW17" i="3" s="1"/>
  <c r="AVX17" i="3" s="1"/>
  <c r="AVY17" i="3" s="1"/>
  <c r="AVZ17" i="3" s="1"/>
  <c r="AWA17" i="3" s="1"/>
  <c r="AWB17" i="3" s="1"/>
  <c r="AWC17" i="3" s="1"/>
  <c r="AWD17" i="3" s="1"/>
  <c r="AWE17" i="3" s="1"/>
  <c r="AWF17" i="3" s="1"/>
  <c r="AWG17" i="3" s="1"/>
  <c r="AWH17" i="3" s="1"/>
  <c r="AWI17" i="3" s="1"/>
  <c r="AWJ17" i="3" s="1"/>
  <c r="AWK17" i="3" s="1"/>
  <c r="AWL17" i="3" s="1"/>
  <c r="AWM17" i="3" s="1"/>
  <c r="AWN17" i="3" s="1"/>
  <c r="AWO17" i="3" s="1"/>
  <c r="AWP17" i="3" s="1"/>
  <c r="AWQ17" i="3" s="1"/>
  <c r="AWR17" i="3" s="1"/>
  <c r="AWS17" i="3" s="1"/>
  <c r="AWT17" i="3" s="1"/>
  <c r="AWU17" i="3" s="1"/>
  <c r="AWV17" i="3" s="1"/>
  <c r="AWW17" i="3" s="1"/>
  <c r="AWX17" i="3" s="1"/>
  <c r="AWY17" i="3" s="1"/>
  <c r="AWZ17" i="3" s="1"/>
  <c r="AXA17" i="3" s="1"/>
  <c r="AXB17" i="3" s="1"/>
  <c r="AXC17" i="3" s="1"/>
  <c r="AXD17" i="3" s="1"/>
  <c r="AXE17" i="3" s="1"/>
  <c r="AXF17" i="3" s="1"/>
  <c r="AXG17" i="3" s="1"/>
  <c r="AXH17" i="3" s="1"/>
  <c r="AXI17" i="3" s="1"/>
  <c r="AXJ17" i="3" s="1"/>
  <c r="AXK17" i="3" s="1"/>
  <c r="AXL17" i="3" s="1"/>
  <c r="AXM17" i="3" s="1"/>
  <c r="AXN17" i="3" s="1"/>
  <c r="AXO17" i="3" s="1"/>
  <c r="AXP17" i="3" s="1"/>
  <c r="AXQ17" i="3" s="1"/>
  <c r="AXR17" i="3" s="1"/>
  <c r="AXS17" i="3" s="1"/>
  <c r="AXT17" i="3" s="1"/>
  <c r="AXU17" i="3" s="1"/>
  <c r="AXV17" i="3" s="1"/>
  <c r="AXW17" i="3" s="1"/>
  <c r="AXX17" i="3" s="1"/>
  <c r="AXY17" i="3" s="1"/>
  <c r="AXZ17" i="3" s="1"/>
  <c r="AYA17" i="3" s="1"/>
  <c r="AYB17" i="3" s="1"/>
  <c r="AYC17" i="3" s="1"/>
  <c r="AYD17" i="3" s="1"/>
  <c r="AYE17" i="3" s="1"/>
  <c r="AYF17" i="3" s="1"/>
  <c r="AYG17" i="3" s="1"/>
  <c r="AYH17" i="3" s="1"/>
  <c r="AYI17" i="3" s="1"/>
  <c r="AYJ17" i="3" s="1"/>
  <c r="AYK17" i="3" s="1"/>
  <c r="AYL17" i="3" s="1"/>
  <c r="AYM17" i="3" s="1"/>
  <c r="AYN17" i="3" s="1"/>
  <c r="AYO17" i="3" s="1"/>
  <c r="AYP17" i="3" s="1"/>
  <c r="AYQ17" i="3" s="1"/>
  <c r="AYR17" i="3" s="1"/>
  <c r="AYS17" i="3" s="1"/>
  <c r="AYT17" i="3" s="1"/>
  <c r="AYU17" i="3" s="1"/>
  <c r="AYV17" i="3" s="1"/>
  <c r="AYW17" i="3" s="1"/>
  <c r="AYX17" i="3" s="1"/>
  <c r="AYY17" i="3" s="1"/>
  <c r="AYZ17" i="3" s="1"/>
  <c r="AZA17" i="3" s="1"/>
  <c r="AZB17" i="3" s="1"/>
  <c r="AZC17" i="3" s="1"/>
  <c r="AZD17" i="3" s="1"/>
  <c r="AZE17" i="3" s="1"/>
  <c r="AZF17" i="3" s="1"/>
  <c r="AZG17" i="3" s="1"/>
  <c r="AZH17" i="3" s="1"/>
  <c r="AZI17" i="3" s="1"/>
  <c r="AZJ17" i="3" s="1"/>
  <c r="AZK17" i="3" s="1"/>
  <c r="AZL17" i="3" s="1"/>
  <c r="AZM17" i="3" s="1"/>
  <c r="AZN17" i="3" s="1"/>
  <c r="AZO17" i="3" s="1"/>
  <c r="AZP17" i="3" s="1"/>
  <c r="AZQ17" i="3" s="1"/>
  <c r="AZR17" i="3" s="1"/>
  <c r="AZS17" i="3" s="1"/>
  <c r="AZT17" i="3" s="1"/>
  <c r="AZU17" i="3" s="1"/>
  <c r="AZV17" i="3" s="1"/>
  <c r="AZW17" i="3" s="1"/>
  <c r="AZX17" i="3" s="1"/>
  <c r="AZY17" i="3" s="1"/>
  <c r="AZZ17" i="3" s="1"/>
  <c r="BAA17" i="3" s="1"/>
  <c r="BAB17" i="3" s="1"/>
  <c r="BAC17" i="3" s="1"/>
  <c r="BAD17" i="3" s="1"/>
  <c r="BAE17" i="3" s="1"/>
  <c r="BAF17" i="3" s="1"/>
  <c r="BAG17" i="3" s="1"/>
  <c r="BAH17" i="3" s="1"/>
  <c r="BAI17" i="3" s="1"/>
  <c r="BAJ17" i="3" s="1"/>
  <c r="BAK17" i="3" s="1"/>
  <c r="BAL17" i="3" s="1"/>
  <c r="BAM17" i="3" s="1"/>
  <c r="BAN17" i="3" s="1"/>
  <c r="BAO17" i="3" s="1"/>
  <c r="BAP17" i="3" s="1"/>
  <c r="BAQ17" i="3" s="1"/>
  <c r="BAR17" i="3" s="1"/>
  <c r="BAS17" i="3" s="1"/>
  <c r="BAT17" i="3" s="1"/>
  <c r="BAU17" i="3" s="1"/>
  <c r="BAV17" i="3" s="1"/>
  <c r="BAW17" i="3" s="1"/>
  <c r="BAX17" i="3" s="1"/>
  <c r="BAY17" i="3" s="1"/>
  <c r="BAZ17" i="3" s="1"/>
  <c r="BBA17" i="3" s="1"/>
  <c r="BBB17" i="3" s="1"/>
  <c r="BBC17" i="3" s="1"/>
  <c r="BBD17" i="3" s="1"/>
  <c r="BBE17" i="3" s="1"/>
  <c r="BBF17" i="3" s="1"/>
  <c r="BBG17" i="3" s="1"/>
  <c r="BBH17" i="3" s="1"/>
  <c r="BBI17" i="3" s="1"/>
  <c r="BBJ17" i="3" s="1"/>
  <c r="BBK17" i="3" s="1"/>
  <c r="BBL17" i="3" s="1"/>
  <c r="BBM17" i="3" s="1"/>
  <c r="BBN17" i="3" s="1"/>
  <c r="BBO17" i="3" s="1"/>
  <c r="BBP17" i="3" s="1"/>
  <c r="BBQ17" i="3" s="1"/>
  <c r="BBR17" i="3" s="1"/>
  <c r="BBS17" i="3" s="1"/>
  <c r="BBT17" i="3" s="1"/>
  <c r="BBU17" i="3" s="1"/>
  <c r="BBV17" i="3" s="1"/>
  <c r="BBW17" i="3" s="1"/>
  <c r="BBX17" i="3" s="1"/>
  <c r="BBY17" i="3" s="1"/>
  <c r="BBZ17" i="3" s="1"/>
  <c r="BCA17" i="3" s="1"/>
  <c r="BCB17" i="3" s="1"/>
  <c r="BCC17" i="3" s="1"/>
  <c r="BCD17" i="3" s="1"/>
  <c r="BCE17" i="3" s="1"/>
  <c r="BCF17" i="3" s="1"/>
  <c r="BCG17" i="3" s="1"/>
  <c r="BCH17" i="3" s="1"/>
  <c r="BCI17" i="3" s="1"/>
  <c r="BE17" i="3"/>
  <c r="BD17" i="3" l="1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BB5" i="3"/>
  <c r="BC5" i="3" s="1"/>
  <c r="BD5" i="3" s="1"/>
  <c r="BA5" i="3"/>
  <c r="AZ5" i="3"/>
  <c r="AV5" i="3"/>
  <c r="AW5" i="3" s="1"/>
  <c r="AX5" i="3" s="1"/>
  <c r="AY5" i="3" s="1"/>
  <c r="AU5" i="3"/>
  <c r="AL5" i="3"/>
  <c r="AM5" i="3" s="1"/>
  <c r="AN5" i="3" s="1"/>
  <c r="AO5" i="3" s="1"/>
  <c r="AP5" i="3" s="1"/>
  <c r="AQ5" i="3" s="1"/>
  <c r="AR5" i="3" s="1"/>
  <c r="AS5" i="3" s="1"/>
  <c r="AT5" i="3" s="1"/>
  <c r="AK5" i="3"/>
  <c r="AI35" i="3"/>
  <c r="AH35" i="3"/>
  <c r="AG35" i="3"/>
  <c r="AF35" i="3"/>
  <c r="AE35" i="3"/>
  <c r="AD35" i="3"/>
  <c r="AC35" i="3"/>
  <c r="AJ35" i="3"/>
  <c r="AJ40" i="3"/>
  <c r="AI40" i="3"/>
  <c r="AH40" i="3"/>
  <c r="AG40" i="3"/>
  <c r="AF40" i="3"/>
  <c r="AE40" i="3"/>
  <c r="AD40" i="3"/>
  <c r="AC40" i="3"/>
  <c r="AB40" i="3"/>
  <c r="AJ39" i="3"/>
  <c r="AI39" i="3"/>
  <c r="AH39" i="3"/>
  <c r="AG39" i="3"/>
  <c r="AF39" i="3"/>
  <c r="AE39" i="3"/>
  <c r="AD39" i="3"/>
  <c r="AC39" i="3"/>
  <c r="AB39" i="3"/>
  <c r="AJ38" i="3"/>
  <c r="AI38" i="3"/>
  <c r="AH38" i="3"/>
  <c r="AG38" i="3"/>
  <c r="AF38" i="3"/>
  <c r="AE38" i="3"/>
  <c r="AD38" i="3"/>
  <c r="AC38" i="3"/>
  <c r="AB38" i="3"/>
  <c r="AJ37" i="3"/>
  <c r="AI37" i="3"/>
  <c r="AH37" i="3"/>
  <c r="AG37" i="3"/>
  <c r="AF37" i="3"/>
  <c r="AE37" i="3"/>
  <c r="AD37" i="3"/>
  <c r="AC37" i="3"/>
  <c r="AB37" i="3"/>
  <c r="AJ32" i="3"/>
  <c r="AI32" i="3"/>
  <c r="AH32" i="3"/>
  <c r="AG32" i="3"/>
  <c r="AF32" i="3"/>
  <c r="AE32" i="3"/>
  <c r="AD32" i="3"/>
  <c r="AC32" i="3"/>
  <c r="AB32" i="3"/>
  <c r="AJ31" i="3"/>
  <c r="AI31" i="3"/>
  <c r="AH31" i="3"/>
  <c r="AG31" i="3"/>
  <c r="AF31" i="3"/>
  <c r="AE31" i="3"/>
  <c r="AD31" i="3"/>
  <c r="AC31" i="3"/>
  <c r="AB31" i="3"/>
  <c r="AJ30" i="3"/>
  <c r="AI30" i="3"/>
  <c r="AH30" i="3"/>
  <c r="AG30" i="3"/>
  <c r="AF30" i="3"/>
  <c r="AE30" i="3"/>
  <c r="AD30" i="3"/>
  <c r="AC30" i="3"/>
  <c r="AB30" i="3"/>
  <c r="AJ19" i="3"/>
  <c r="AI19" i="3"/>
  <c r="AH19" i="3"/>
  <c r="AG19" i="3"/>
  <c r="AF19" i="3"/>
  <c r="AG18" i="3"/>
  <c r="AH18" i="3" s="1"/>
  <c r="AI18" i="3" s="1"/>
  <c r="AJ18" i="3" s="1"/>
  <c r="AF18" i="3"/>
  <c r="AF20" i="3"/>
  <c r="AE20" i="3"/>
  <c r="AD20" i="3"/>
  <c r="AC20" i="3"/>
  <c r="AJ17" i="3"/>
  <c r="AI17" i="3"/>
  <c r="AH17" i="3"/>
  <c r="AG17" i="3"/>
  <c r="AF17" i="3"/>
  <c r="AJ16" i="3"/>
  <c r="AI16" i="3"/>
  <c r="AH16" i="3"/>
  <c r="AG16" i="3"/>
  <c r="AF16" i="3"/>
  <c r="AJ15" i="3"/>
  <c r="AI15" i="3"/>
  <c r="AH15" i="3"/>
  <c r="AG15" i="3"/>
  <c r="AF15" i="3"/>
  <c r="AJ14" i="3"/>
  <c r="AI14" i="3"/>
  <c r="AH14" i="3"/>
  <c r="AG14" i="3"/>
  <c r="AF14" i="3"/>
  <c r="AJ13" i="3"/>
  <c r="AI13" i="3"/>
  <c r="AH13" i="3"/>
  <c r="AG13" i="3"/>
  <c r="AF13" i="3"/>
  <c r="AJ12" i="3"/>
  <c r="AI12" i="3"/>
  <c r="AH12" i="3"/>
  <c r="AG12" i="3"/>
  <c r="AF12" i="3"/>
  <c r="AJ11" i="3"/>
  <c r="AI11" i="3"/>
  <c r="AH11" i="3"/>
  <c r="AG11" i="3"/>
  <c r="AF11" i="3"/>
  <c r="AJ10" i="3"/>
  <c r="AI10" i="3"/>
  <c r="AH10" i="3"/>
  <c r="AG10" i="3"/>
  <c r="AF10" i="3"/>
  <c r="AJ9" i="3"/>
  <c r="AI9" i="3"/>
  <c r="AH9" i="3"/>
  <c r="AG9" i="3"/>
  <c r="AF9" i="3"/>
  <c r="AJ8" i="3"/>
  <c r="AI8" i="3"/>
  <c r="AH8" i="3"/>
  <c r="AG8" i="3"/>
  <c r="AF8" i="3"/>
  <c r="AJ7" i="3"/>
  <c r="AI7" i="3"/>
  <c r="AH7" i="3"/>
  <c r="AG7" i="3"/>
  <c r="AF7" i="3"/>
  <c r="AJ6" i="3"/>
  <c r="AI6" i="3"/>
  <c r="AH6" i="3"/>
  <c r="AG6" i="3"/>
  <c r="AF6" i="3"/>
  <c r="AJ5" i="3"/>
  <c r="AI5" i="3"/>
  <c r="AH5" i="3"/>
  <c r="AG5" i="3"/>
  <c r="AF5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E7" i="3"/>
  <c r="AE6" i="3"/>
  <c r="AE5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X9" i="3"/>
  <c r="M9" i="3"/>
  <c r="L9" i="3"/>
  <c r="X7" i="3"/>
  <c r="S7" i="3"/>
  <c r="S11" i="3" s="1"/>
  <c r="R7" i="3"/>
  <c r="R11" i="3" s="1"/>
  <c r="Q7" i="3"/>
  <c r="Q11" i="3" s="1"/>
  <c r="M7" i="3"/>
  <c r="L7" i="3"/>
  <c r="G7" i="3"/>
  <c r="G11" i="3" s="1"/>
  <c r="F7" i="3"/>
  <c r="E7" i="3"/>
  <c r="E11" i="3" s="1"/>
  <c r="D5" i="3"/>
  <c r="D7" i="3" s="1"/>
  <c r="X5" i="3"/>
  <c r="W5" i="3"/>
  <c r="V5" i="3"/>
  <c r="V7" i="3" s="1"/>
  <c r="U5" i="3"/>
  <c r="U7" i="3" s="1"/>
  <c r="T5" i="3"/>
  <c r="S5" i="3"/>
  <c r="S6" i="3" s="1"/>
  <c r="R5" i="3"/>
  <c r="R6" i="3" s="1"/>
  <c r="Q5" i="3"/>
  <c r="Q6" i="3" s="1"/>
  <c r="P5" i="3"/>
  <c r="P7" i="3" s="1"/>
  <c r="O5" i="3"/>
  <c r="O7" i="3" s="1"/>
  <c r="N5" i="3"/>
  <c r="M5" i="3"/>
  <c r="M6" i="3" s="1"/>
  <c r="L5" i="3"/>
  <c r="K5" i="3"/>
  <c r="J5" i="3"/>
  <c r="J7" i="3" s="1"/>
  <c r="I5" i="3"/>
  <c r="I7" i="3" s="1"/>
  <c r="H5" i="3"/>
  <c r="G5" i="3"/>
  <c r="G6" i="3" s="1"/>
  <c r="F5" i="3"/>
  <c r="F6" i="3" s="1"/>
  <c r="E5" i="3"/>
  <c r="E6" i="3" s="1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D21" i="3"/>
  <c r="X30" i="3"/>
  <c r="W30" i="3"/>
  <c r="W7" i="3" s="1"/>
  <c r="V30" i="3"/>
  <c r="U30" i="3"/>
  <c r="T30" i="3"/>
  <c r="T7" i="3" s="1"/>
  <c r="S30" i="3"/>
  <c r="R30" i="3"/>
  <c r="Q30" i="3"/>
  <c r="P30" i="3"/>
  <c r="O30" i="3"/>
  <c r="N30" i="3"/>
  <c r="N7" i="3" s="1"/>
  <c r="M30" i="3"/>
  <c r="L30" i="3"/>
  <c r="K30" i="3"/>
  <c r="K7" i="3" s="1"/>
  <c r="J30" i="3"/>
  <c r="I30" i="3"/>
  <c r="H30" i="3"/>
  <c r="H7" i="3" s="1"/>
  <c r="G30" i="3"/>
  <c r="F30" i="3"/>
  <c r="E30" i="3"/>
  <c r="D30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D40" i="3"/>
  <c r="D37" i="3"/>
  <c r="D38" i="3"/>
  <c r="C14" i="3"/>
  <c r="C12" i="3"/>
  <c r="C5" i="3"/>
  <c r="P131" i="2"/>
  <c r="O131" i="2"/>
  <c r="D125" i="2"/>
  <c r="D117" i="2"/>
  <c r="H111" i="2"/>
  <c r="H124" i="2"/>
  <c r="H117" i="2"/>
  <c r="G44" i="2"/>
  <c r="G55" i="2" s="1"/>
  <c r="G27" i="2"/>
  <c r="H27" i="2"/>
  <c r="I27" i="2"/>
  <c r="L27" i="2"/>
  <c r="K27" i="2"/>
  <c r="J27" i="2"/>
  <c r="I26" i="2"/>
  <c r="H26" i="2"/>
  <c r="G26" i="2"/>
  <c r="F26" i="2"/>
  <c r="E26" i="2"/>
  <c r="D26" i="2"/>
  <c r="G14" i="2"/>
  <c r="G127" i="2" s="1"/>
  <c r="E102" i="2"/>
  <c r="E95" i="2"/>
  <c r="E116" i="2" s="1"/>
  <c r="E117" i="2"/>
  <c r="I111" i="2"/>
  <c r="I125" i="2"/>
  <c r="I117" i="2"/>
  <c r="H44" i="2"/>
  <c r="H55" i="2" s="1"/>
  <c r="D14" i="2"/>
  <c r="D127" i="2" s="1"/>
  <c r="H14" i="2"/>
  <c r="H127" i="2" s="1"/>
  <c r="AE125" i="2"/>
  <c r="AE124" i="2"/>
  <c r="AE123" i="2"/>
  <c r="J111" i="2"/>
  <c r="J117" i="2"/>
  <c r="J102" i="2"/>
  <c r="J95" i="2"/>
  <c r="J125" i="2"/>
  <c r="F111" i="2"/>
  <c r="F125" i="2"/>
  <c r="F117" i="2"/>
  <c r="AE18" i="2"/>
  <c r="F14" i="2"/>
  <c r="F127" i="2" s="1"/>
  <c r="AE14" i="2"/>
  <c r="AE66" i="2"/>
  <c r="AE68" i="2" s="1"/>
  <c r="AE44" i="2"/>
  <c r="AE43" i="2" s="1"/>
  <c r="AE12" i="2"/>
  <c r="AE5" i="2"/>
  <c r="AE7" i="2" s="1"/>
  <c r="AE13" i="2" s="1"/>
  <c r="AE127" i="2" s="1"/>
  <c r="F44" i="2"/>
  <c r="F55" i="2" s="1"/>
  <c r="I44" i="2"/>
  <c r="I43" i="2" s="1"/>
  <c r="I131" i="2" s="1"/>
  <c r="E14" i="2"/>
  <c r="E127" i="2" s="1"/>
  <c r="I14" i="2"/>
  <c r="I127" i="2" s="1"/>
  <c r="K44" i="2"/>
  <c r="K71" i="2" s="1"/>
  <c r="L44" i="2"/>
  <c r="L71" i="2" s="1"/>
  <c r="M44" i="2"/>
  <c r="M55" i="2" s="1"/>
  <c r="C127" i="2"/>
  <c r="H126" i="2"/>
  <c r="G126" i="2"/>
  <c r="F126" i="2"/>
  <c r="E126" i="2"/>
  <c r="D126" i="2"/>
  <c r="C126" i="2"/>
  <c r="H125" i="2"/>
  <c r="G125" i="2"/>
  <c r="E125" i="2"/>
  <c r="C125" i="2"/>
  <c r="G124" i="2"/>
  <c r="F124" i="2"/>
  <c r="E124" i="2"/>
  <c r="D124" i="2"/>
  <c r="C124" i="2"/>
  <c r="G117" i="2"/>
  <c r="C117" i="2"/>
  <c r="G111" i="2"/>
  <c r="E111" i="2"/>
  <c r="D111" i="2"/>
  <c r="C111" i="2"/>
  <c r="H102" i="2"/>
  <c r="G102" i="2"/>
  <c r="F102" i="2"/>
  <c r="D102" i="2"/>
  <c r="C102" i="2"/>
  <c r="G95" i="2"/>
  <c r="G116" i="2" s="1"/>
  <c r="C95" i="2"/>
  <c r="C116" i="2" s="1"/>
  <c r="H66" i="2"/>
  <c r="H72" i="2" s="1"/>
  <c r="G66" i="2"/>
  <c r="G72" i="2" s="1"/>
  <c r="F66" i="2"/>
  <c r="F72" i="2" s="1"/>
  <c r="E66" i="2"/>
  <c r="D66" i="2"/>
  <c r="C66" i="2"/>
  <c r="E55" i="2"/>
  <c r="D55" i="2"/>
  <c r="C55" i="2"/>
  <c r="E43" i="2"/>
  <c r="D43" i="2"/>
  <c r="C43" i="2"/>
  <c r="H12" i="2"/>
  <c r="G12" i="2"/>
  <c r="F12" i="2"/>
  <c r="E12" i="2"/>
  <c r="D12" i="2"/>
  <c r="C12" i="2"/>
  <c r="H5" i="2"/>
  <c r="H22" i="2" s="1"/>
  <c r="G5" i="2"/>
  <c r="F5" i="2"/>
  <c r="E5" i="2"/>
  <c r="D5" i="2"/>
  <c r="D22" i="2" s="1"/>
  <c r="C5" i="2"/>
  <c r="C22" i="2" s="1"/>
  <c r="N102" i="2"/>
  <c r="N95" i="2"/>
  <c r="N116" i="2" s="1"/>
  <c r="AF14" i="2"/>
  <c r="AF18" i="2"/>
  <c r="AG18" i="2"/>
  <c r="AG16" i="2"/>
  <c r="AG123" i="2" s="1"/>
  <c r="AG14" i="2"/>
  <c r="AG11" i="2"/>
  <c r="AG10" i="2"/>
  <c r="AG9" i="2"/>
  <c r="AG8" i="2"/>
  <c r="AG6" i="2"/>
  <c r="AG4" i="2"/>
  <c r="AH12" i="2"/>
  <c r="AF12" i="2"/>
  <c r="AH5" i="2"/>
  <c r="AF5" i="2"/>
  <c r="AF7" i="2" s="1"/>
  <c r="AF30" i="2" s="1"/>
  <c r="T27" i="2"/>
  <c r="S27" i="2"/>
  <c r="R27" i="2"/>
  <c r="T26" i="2"/>
  <c r="S26" i="2"/>
  <c r="R26" i="2"/>
  <c r="T12" i="2"/>
  <c r="S12" i="2"/>
  <c r="R12" i="2"/>
  <c r="T22" i="2"/>
  <c r="S22" i="2"/>
  <c r="R7" i="2"/>
  <c r="R39" i="2" s="1"/>
  <c r="AG3" i="2"/>
  <c r="AF66" i="2"/>
  <c r="AF68" i="2" s="1"/>
  <c r="AF44" i="2"/>
  <c r="AF55" i="2" s="1"/>
  <c r="AK66" i="2"/>
  <c r="AK68" i="2" s="1"/>
  <c r="AJ66" i="2"/>
  <c r="AJ68" i="2" s="1"/>
  <c r="AI66" i="2"/>
  <c r="AI68" i="2" s="1"/>
  <c r="AH66" i="2"/>
  <c r="AH68" i="2" s="1"/>
  <c r="AK55" i="2"/>
  <c r="AJ55" i="2"/>
  <c r="AI55" i="2"/>
  <c r="AH55" i="2"/>
  <c r="AK43" i="2"/>
  <c r="AJ43" i="2"/>
  <c r="AI43" i="2"/>
  <c r="AH43" i="2"/>
  <c r="AG66" i="2"/>
  <c r="AG68" i="2" s="1"/>
  <c r="AG44" i="2"/>
  <c r="AG55" i="2" s="1"/>
  <c r="AG125" i="2"/>
  <c r="AF125" i="2"/>
  <c r="AG124" i="2"/>
  <c r="AF124" i="2"/>
  <c r="AF123" i="2"/>
  <c r="AG117" i="2"/>
  <c r="AF117" i="2"/>
  <c r="AK111" i="2"/>
  <c r="AJ111" i="2"/>
  <c r="AI111" i="2"/>
  <c r="AH111" i="2"/>
  <c r="AG111" i="2"/>
  <c r="AF111" i="2"/>
  <c r="AE111" i="2"/>
  <c r="AK102" i="2"/>
  <c r="AJ102" i="2"/>
  <c r="AI102" i="2"/>
  <c r="AH102" i="2"/>
  <c r="AG102" i="2"/>
  <c r="AF102" i="2"/>
  <c r="AE102" i="2"/>
  <c r="AK95" i="2"/>
  <c r="AJ95" i="2"/>
  <c r="AI95" i="2"/>
  <c r="AH95" i="2"/>
  <c r="AG95" i="2"/>
  <c r="AG116" i="2" s="1"/>
  <c r="AF95" i="2"/>
  <c r="AF116" i="2" s="1"/>
  <c r="AE95" i="2"/>
  <c r="AK75" i="2"/>
  <c r="AJ75" i="2"/>
  <c r="AI75" i="2"/>
  <c r="J44" i="2"/>
  <c r="J43" i="2" s="1"/>
  <c r="J131" i="2" s="1"/>
  <c r="J14" i="2"/>
  <c r="J127" i="2" s="1"/>
  <c r="P111" i="2"/>
  <c r="L124" i="2"/>
  <c r="P95" i="2"/>
  <c r="P125" i="2"/>
  <c r="O44" i="2"/>
  <c r="O43" i="2" s="1"/>
  <c r="P127" i="2"/>
  <c r="O127" i="2"/>
  <c r="N127" i="2"/>
  <c r="M127" i="2"/>
  <c r="L127" i="2"/>
  <c r="K127" i="2"/>
  <c r="P126" i="2"/>
  <c r="O126" i="2"/>
  <c r="N126" i="2"/>
  <c r="M126" i="2"/>
  <c r="L126" i="2"/>
  <c r="K126" i="2"/>
  <c r="J126" i="2"/>
  <c r="I126" i="2"/>
  <c r="O125" i="2"/>
  <c r="N125" i="2"/>
  <c r="M125" i="2"/>
  <c r="L125" i="2"/>
  <c r="K125" i="2"/>
  <c r="P124" i="2"/>
  <c r="O124" i="2"/>
  <c r="N124" i="2"/>
  <c r="M124" i="2"/>
  <c r="K124" i="2"/>
  <c r="J124" i="2"/>
  <c r="I124" i="2"/>
  <c r="Q117" i="2"/>
  <c r="M111" i="2"/>
  <c r="M117" i="2"/>
  <c r="Q95" i="2"/>
  <c r="Q116" i="2" s="1"/>
  <c r="P44" i="2"/>
  <c r="P43" i="2" s="1"/>
  <c r="P26" i="2"/>
  <c r="O26" i="2"/>
  <c r="N26" i="2"/>
  <c r="M26" i="2"/>
  <c r="L26" i="2"/>
  <c r="K26" i="2"/>
  <c r="J26" i="2"/>
  <c r="Q26" i="2"/>
  <c r="P27" i="2"/>
  <c r="O27" i="2"/>
  <c r="N27" i="2"/>
  <c r="M27" i="2"/>
  <c r="O117" i="2"/>
  <c r="N117" i="2"/>
  <c r="L117" i="2"/>
  <c r="K117" i="2"/>
  <c r="Q126" i="2"/>
  <c r="Q124" i="2"/>
  <c r="Q125" i="2"/>
  <c r="Q27" i="2"/>
  <c r="P5" i="2"/>
  <c r="P22" i="2" s="1"/>
  <c r="O5" i="2"/>
  <c r="O22" i="2" s="1"/>
  <c r="N5" i="2"/>
  <c r="N22" i="2" s="1"/>
  <c r="M5" i="2"/>
  <c r="M22" i="2" s="1"/>
  <c r="L5" i="2"/>
  <c r="L22" i="2" s="1"/>
  <c r="L28" i="2" s="1"/>
  <c r="K5" i="2"/>
  <c r="K22" i="2" s="1"/>
  <c r="J5" i="2"/>
  <c r="J22" i="2" s="1"/>
  <c r="I5" i="2"/>
  <c r="I22" i="2" s="1"/>
  <c r="Q5" i="2"/>
  <c r="Q22" i="2" s="1"/>
  <c r="Q102" i="2"/>
  <c r="P102" i="2"/>
  <c r="O102" i="2"/>
  <c r="M102" i="2"/>
  <c r="L102" i="2"/>
  <c r="K102" i="2"/>
  <c r="I102" i="2"/>
  <c r="Q111" i="2"/>
  <c r="O111" i="2"/>
  <c r="N111" i="2"/>
  <c r="L111" i="2"/>
  <c r="K111" i="2"/>
  <c r="O95" i="2"/>
  <c r="O116" i="2" s="1"/>
  <c r="M95" i="2"/>
  <c r="L95" i="2"/>
  <c r="L116" i="2" s="1"/>
  <c r="K95" i="2"/>
  <c r="K116" i="2" s="1"/>
  <c r="N44" i="2"/>
  <c r="N43" i="2" s="1"/>
  <c r="N131" i="2" s="1"/>
  <c r="J8" i="1"/>
  <c r="J10" i="1"/>
  <c r="M43" i="2"/>
  <c r="M131" i="2" s="1"/>
  <c r="P66" i="2"/>
  <c r="P72" i="2" s="1"/>
  <c r="O66" i="2"/>
  <c r="O72" i="2" s="1"/>
  <c r="N66" i="2"/>
  <c r="N68" i="2" s="1"/>
  <c r="M66" i="2"/>
  <c r="M72" i="2" s="1"/>
  <c r="L66" i="2"/>
  <c r="L72" i="2" s="1"/>
  <c r="K66" i="2"/>
  <c r="K72" i="2" s="1"/>
  <c r="J66" i="2"/>
  <c r="J68" i="2" s="1"/>
  <c r="I66" i="2"/>
  <c r="I68" i="2" s="1"/>
  <c r="Q66" i="2"/>
  <c r="Q68" i="2" s="1"/>
  <c r="Q44" i="2"/>
  <c r="Q71" i="2" s="1"/>
  <c r="D11" i="3" l="1"/>
  <c r="D6" i="3"/>
  <c r="D9" i="3"/>
  <c r="D8" i="3"/>
  <c r="H9" i="3"/>
  <c r="H11" i="3"/>
  <c r="H8" i="3"/>
  <c r="H6" i="3"/>
  <c r="T9" i="3"/>
  <c r="T11" i="3"/>
  <c r="T8" i="3"/>
  <c r="T6" i="3"/>
  <c r="O9" i="3"/>
  <c r="O11" i="3"/>
  <c r="O8" i="3"/>
  <c r="P11" i="3"/>
  <c r="P8" i="3"/>
  <c r="P9" i="3"/>
  <c r="K9" i="3"/>
  <c r="K6" i="3"/>
  <c r="K8" i="3"/>
  <c r="K11" i="3"/>
  <c r="W9" i="3"/>
  <c r="W8" i="3"/>
  <c r="W6" i="3"/>
  <c r="W11" i="3"/>
  <c r="N11" i="3"/>
  <c r="N8" i="3"/>
  <c r="N6" i="3"/>
  <c r="N9" i="3"/>
  <c r="I11" i="3"/>
  <c r="I6" i="3"/>
  <c r="I9" i="3"/>
  <c r="I8" i="3"/>
  <c r="U9" i="3"/>
  <c r="U11" i="3"/>
  <c r="U6" i="3"/>
  <c r="U8" i="3"/>
  <c r="J11" i="3"/>
  <c r="J9" i="3"/>
  <c r="J8" i="3"/>
  <c r="J6" i="3"/>
  <c r="V8" i="3"/>
  <c r="V6" i="3"/>
  <c r="V9" i="3"/>
  <c r="V11" i="3"/>
  <c r="L6" i="3"/>
  <c r="X6" i="3"/>
  <c r="L8" i="3"/>
  <c r="X8" i="3"/>
  <c r="L11" i="3"/>
  <c r="X11" i="3"/>
  <c r="M8" i="3"/>
  <c r="E9" i="3"/>
  <c r="Q9" i="3"/>
  <c r="M11" i="3"/>
  <c r="F9" i="3"/>
  <c r="R9" i="3"/>
  <c r="O6" i="3"/>
  <c r="G9" i="3"/>
  <c r="S9" i="3"/>
  <c r="F8" i="3"/>
  <c r="R8" i="3"/>
  <c r="F11" i="3"/>
  <c r="P6" i="3"/>
  <c r="E8" i="3"/>
  <c r="Q8" i="3"/>
  <c r="G8" i="3"/>
  <c r="S8" i="3"/>
  <c r="N132" i="2"/>
  <c r="I132" i="2"/>
  <c r="M132" i="2"/>
  <c r="J132" i="2"/>
  <c r="Q43" i="2"/>
  <c r="Q131" i="2" s="1"/>
  <c r="Q134" i="2" s="1"/>
  <c r="O132" i="2"/>
  <c r="P132" i="2"/>
  <c r="H28" i="2"/>
  <c r="C7" i="3"/>
  <c r="F132" i="2"/>
  <c r="M71" i="2"/>
  <c r="P68" i="2"/>
  <c r="F43" i="2"/>
  <c r="F131" i="2" s="1"/>
  <c r="D95" i="2"/>
  <c r="D116" i="2" s="1"/>
  <c r="H95" i="2"/>
  <c r="H116" i="2" s="1"/>
  <c r="G43" i="2"/>
  <c r="G131" i="2" s="1"/>
  <c r="G71" i="2"/>
  <c r="AE31" i="2"/>
  <c r="I34" i="2"/>
  <c r="L55" i="2"/>
  <c r="G113" i="2"/>
  <c r="K43" i="2"/>
  <c r="K131" i="2" s="1"/>
  <c r="AF34" i="2"/>
  <c r="O68" i="2"/>
  <c r="K55" i="2"/>
  <c r="I71" i="2"/>
  <c r="K34" i="2"/>
  <c r="H43" i="2"/>
  <c r="H131" i="2" s="1"/>
  <c r="AE30" i="2"/>
  <c r="M68" i="2"/>
  <c r="L68" i="2"/>
  <c r="K68" i="2"/>
  <c r="F71" i="2"/>
  <c r="J34" i="2"/>
  <c r="G68" i="2"/>
  <c r="AE36" i="2"/>
  <c r="H71" i="2"/>
  <c r="E68" i="2"/>
  <c r="AE37" i="2"/>
  <c r="G22" i="2"/>
  <c r="G28" i="2" s="1"/>
  <c r="C113" i="2"/>
  <c r="D68" i="2"/>
  <c r="AE38" i="2"/>
  <c r="C68" i="2"/>
  <c r="AE39" i="2"/>
  <c r="G7" i="2"/>
  <c r="G39" i="2" s="1"/>
  <c r="G34" i="2"/>
  <c r="I95" i="2"/>
  <c r="I116" i="2" s="1"/>
  <c r="H68" i="2"/>
  <c r="L34" i="2"/>
  <c r="H7" i="2"/>
  <c r="H39" i="2" s="1"/>
  <c r="H34" i="2"/>
  <c r="J116" i="2"/>
  <c r="F95" i="2"/>
  <c r="F116" i="2" s="1"/>
  <c r="F7" i="2"/>
  <c r="F39" i="2" s="1"/>
  <c r="F22" i="2"/>
  <c r="J28" i="2" s="1"/>
  <c r="AE15" i="2"/>
  <c r="AE55" i="2"/>
  <c r="F68" i="2"/>
  <c r="I55" i="2"/>
  <c r="E7" i="2"/>
  <c r="E39" i="2" s="1"/>
  <c r="E22" i="2"/>
  <c r="I28" i="2" s="1"/>
  <c r="L43" i="2"/>
  <c r="L131" i="2" s="1"/>
  <c r="E113" i="2"/>
  <c r="C7" i="2"/>
  <c r="D7" i="2"/>
  <c r="AF43" i="2"/>
  <c r="S28" i="2"/>
  <c r="J71" i="2"/>
  <c r="T28" i="2"/>
  <c r="S7" i="2"/>
  <c r="S36" i="2" s="1"/>
  <c r="R34" i="2"/>
  <c r="S34" i="2"/>
  <c r="R22" i="2"/>
  <c r="R28" i="2" s="1"/>
  <c r="T34" i="2"/>
  <c r="AK113" i="2"/>
  <c r="AF37" i="2"/>
  <c r="AG43" i="2"/>
  <c r="AF38" i="2"/>
  <c r="R30" i="2"/>
  <c r="AH113" i="2"/>
  <c r="AI113" i="2"/>
  <c r="AJ113" i="2"/>
  <c r="AG12" i="2"/>
  <c r="O55" i="2"/>
  <c r="AE113" i="2"/>
  <c r="R36" i="2"/>
  <c r="AF36" i="2"/>
  <c r="R37" i="2"/>
  <c r="R38" i="2"/>
  <c r="AH7" i="2"/>
  <c r="AF39" i="2"/>
  <c r="O71" i="2"/>
  <c r="AG5" i="2"/>
  <c r="AF13" i="2"/>
  <c r="T7" i="2"/>
  <c r="R13" i="2"/>
  <c r="R31" i="2" s="1"/>
  <c r="AF113" i="2"/>
  <c r="AG113" i="2"/>
  <c r="J55" i="2"/>
  <c r="Q120" i="2"/>
  <c r="Q119" i="2"/>
  <c r="N28" i="2"/>
  <c r="O28" i="2"/>
  <c r="P55" i="2"/>
  <c r="M116" i="2"/>
  <c r="N119" i="2" s="1"/>
  <c r="M28" i="2"/>
  <c r="Q28" i="2"/>
  <c r="P117" i="2"/>
  <c r="P71" i="2"/>
  <c r="P28" i="2"/>
  <c r="N113" i="2"/>
  <c r="M113" i="2"/>
  <c r="O113" i="2"/>
  <c r="P113" i="2"/>
  <c r="Q113" i="2"/>
  <c r="J113" i="2"/>
  <c r="K113" i="2"/>
  <c r="L113" i="2"/>
  <c r="N71" i="2"/>
  <c r="Q55" i="2"/>
  <c r="J11" i="1"/>
  <c r="J13" i="1" s="1"/>
  <c r="Q72" i="2"/>
  <c r="I72" i="2"/>
  <c r="J72" i="2"/>
  <c r="N55" i="2"/>
  <c r="N72" i="2"/>
  <c r="P34" i="2"/>
  <c r="O34" i="2"/>
  <c r="N34" i="2"/>
  <c r="M34" i="2"/>
  <c r="Q34" i="2"/>
  <c r="Q14" i="2"/>
  <c r="Q127" i="2" s="1"/>
  <c r="P12" i="2"/>
  <c r="O12" i="2"/>
  <c r="N12" i="2"/>
  <c r="M12" i="2"/>
  <c r="L12" i="2"/>
  <c r="K12" i="2"/>
  <c r="J12" i="2"/>
  <c r="I12" i="2"/>
  <c r="Q12" i="2"/>
  <c r="P7" i="2"/>
  <c r="O7" i="2"/>
  <c r="N7" i="2"/>
  <c r="M7" i="2"/>
  <c r="L7" i="2"/>
  <c r="K7" i="2"/>
  <c r="J7" i="2"/>
  <c r="I7" i="2"/>
  <c r="Q7" i="2"/>
  <c r="J9" i="1"/>
  <c r="D12" i="3" l="1"/>
  <c r="D13" i="3" s="1"/>
  <c r="I134" i="2"/>
  <c r="M134" i="2"/>
  <c r="P134" i="2"/>
  <c r="K134" i="2"/>
  <c r="K132" i="2"/>
  <c r="N134" i="2"/>
  <c r="Q132" i="2"/>
  <c r="J134" i="2"/>
  <c r="O134" i="2"/>
  <c r="H134" i="2"/>
  <c r="H132" i="2"/>
  <c r="G134" i="2"/>
  <c r="G132" i="2"/>
  <c r="L134" i="2"/>
  <c r="L132" i="2"/>
  <c r="K119" i="2"/>
  <c r="G119" i="2"/>
  <c r="F134" i="2"/>
  <c r="C38" i="3"/>
  <c r="C37" i="3"/>
  <c r="C39" i="3"/>
  <c r="D39" i="3" s="1"/>
  <c r="D10" i="3" s="1"/>
  <c r="C13" i="3"/>
  <c r="C30" i="3"/>
  <c r="C40" i="3"/>
  <c r="K28" i="2"/>
  <c r="D113" i="2"/>
  <c r="H119" i="2"/>
  <c r="I120" i="2"/>
  <c r="I119" i="2"/>
  <c r="J119" i="2"/>
  <c r="H113" i="2"/>
  <c r="F119" i="2"/>
  <c r="L119" i="2"/>
  <c r="F113" i="2"/>
  <c r="L120" i="2"/>
  <c r="S37" i="2"/>
  <c r="AE17" i="2"/>
  <c r="AE75" i="2" s="1"/>
  <c r="AE126" i="2"/>
  <c r="AE128" i="2" s="1"/>
  <c r="AE130" i="2" s="1"/>
  <c r="G37" i="2"/>
  <c r="G13" i="2"/>
  <c r="G15" i="2" s="1"/>
  <c r="G17" i="2" s="1"/>
  <c r="G38" i="2"/>
  <c r="G36" i="2"/>
  <c r="G30" i="2"/>
  <c r="J120" i="2"/>
  <c r="K120" i="2"/>
  <c r="I113" i="2"/>
  <c r="H13" i="2"/>
  <c r="H15" i="2" s="1"/>
  <c r="H17" i="2" s="1"/>
  <c r="H36" i="2"/>
  <c r="H38" i="2"/>
  <c r="H30" i="2"/>
  <c r="H37" i="2"/>
  <c r="F38" i="2"/>
  <c r="F36" i="2"/>
  <c r="F30" i="2"/>
  <c r="F37" i="2"/>
  <c r="F13" i="2"/>
  <c r="F31" i="2" s="1"/>
  <c r="E37" i="2"/>
  <c r="E13" i="2"/>
  <c r="E15" i="2" s="1"/>
  <c r="E17" i="2" s="1"/>
  <c r="E36" i="2"/>
  <c r="E30" i="2"/>
  <c r="E38" i="2"/>
  <c r="C38" i="2"/>
  <c r="C39" i="2"/>
  <c r="C36" i="2"/>
  <c r="C30" i="2"/>
  <c r="C37" i="2"/>
  <c r="C13" i="2"/>
  <c r="D38" i="2"/>
  <c r="D39" i="2"/>
  <c r="D36" i="2"/>
  <c r="D30" i="2"/>
  <c r="D37" i="2"/>
  <c r="D13" i="2"/>
  <c r="S39" i="2"/>
  <c r="S13" i="2"/>
  <c r="S31" i="2" s="1"/>
  <c r="S30" i="2"/>
  <c r="S38" i="2"/>
  <c r="P120" i="2"/>
  <c r="L30" i="2"/>
  <c r="L37" i="2"/>
  <c r="L38" i="2"/>
  <c r="L36" i="2"/>
  <c r="L39" i="2"/>
  <c r="AF127" i="2"/>
  <c r="AF31" i="2"/>
  <c r="N30" i="2"/>
  <c r="N37" i="2"/>
  <c r="N39" i="2"/>
  <c r="N38" i="2"/>
  <c r="N36" i="2"/>
  <c r="O30" i="2"/>
  <c r="O39" i="2"/>
  <c r="O38" i="2"/>
  <c r="O36" i="2"/>
  <c r="O37" i="2"/>
  <c r="P30" i="2"/>
  <c r="P36" i="2"/>
  <c r="P38" i="2"/>
  <c r="P39" i="2"/>
  <c r="P37" i="2"/>
  <c r="AH13" i="2"/>
  <c r="AH36" i="2"/>
  <c r="AH38" i="2"/>
  <c r="AH39" i="2"/>
  <c r="AH37" i="2"/>
  <c r="AH30" i="2"/>
  <c r="AG7" i="2"/>
  <c r="AG34" i="2"/>
  <c r="M30" i="2"/>
  <c r="M37" i="2"/>
  <c r="M38" i="2"/>
  <c r="M39" i="2"/>
  <c r="M36" i="2"/>
  <c r="T36" i="2"/>
  <c r="T39" i="2"/>
  <c r="T30" i="2"/>
  <c r="T38" i="2"/>
  <c r="T37" i="2"/>
  <c r="Q38" i="2"/>
  <c r="Q39" i="2"/>
  <c r="Q36" i="2"/>
  <c r="Q37" i="2"/>
  <c r="AH34" i="2"/>
  <c r="I30" i="2"/>
  <c r="I36" i="2"/>
  <c r="I37" i="2"/>
  <c r="I38" i="2"/>
  <c r="I39" i="2"/>
  <c r="J30" i="2"/>
  <c r="J36" i="2"/>
  <c r="J37" i="2"/>
  <c r="J38" i="2"/>
  <c r="J39" i="2"/>
  <c r="K30" i="2"/>
  <c r="K38" i="2"/>
  <c r="K39" i="2"/>
  <c r="K37" i="2"/>
  <c r="K36" i="2"/>
  <c r="AF15" i="2"/>
  <c r="AF17" i="2" s="1"/>
  <c r="AF32" i="2" s="1"/>
  <c r="R15" i="2"/>
  <c r="R17" i="2" s="1"/>
  <c r="R32" i="2" s="1"/>
  <c r="T13" i="2"/>
  <c r="T31" i="2" s="1"/>
  <c r="M120" i="2"/>
  <c r="N120" i="2"/>
  <c r="O120" i="2"/>
  <c r="P119" i="2"/>
  <c r="O119" i="2"/>
  <c r="M119" i="2"/>
  <c r="P13" i="2"/>
  <c r="P15" i="2" s="1"/>
  <c r="P17" i="2" s="1"/>
  <c r="O13" i="2"/>
  <c r="O31" i="2" s="1"/>
  <c r="N13" i="2"/>
  <c r="N15" i="2" s="1"/>
  <c r="N17" i="2" s="1"/>
  <c r="N75" i="2" s="1"/>
  <c r="K13" i="2"/>
  <c r="K31" i="2" s="1"/>
  <c r="L13" i="2"/>
  <c r="L31" i="2" s="1"/>
  <c r="Q30" i="2"/>
  <c r="Q13" i="2"/>
  <c r="I13" i="2"/>
  <c r="J13" i="2"/>
  <c r="M13" i="2"/>
  <c r="D31" i="3" l="1"/>
  <c r="D15" i="3"/>
  <c r="E39" i="3"/>
  <c r="E10" i="3" s="1"/>
  <c r="E12" i="3" s="1"/>
  <c r="E13" i="3" s="1"/>
  <c r="C15" i="3"/>
  <c r="C17" i="3" s="1"/>
  <c r="C31" i="3"/>
  <c r="AE19" i="2"/>
  <c r="AE32" i="2"/>
  <c r="G31" i="2"/>
  <c r="H31" i="2"/>
  <c r="F15" i="2"/>
  <c r="F17" i="2" s="1"/>
  <c r="F75" i="2" s="1"/>
  <c r="E31" i="2"/>
  <c r="H123" i="2"/>
  <c r="H128" i="2" s="1"/>
  <c r="H32" i="2"/>
  <c r="H75" i="2"/>
  <c r="H19" i="2"/>
  <c r="E123" i="2"/>
  <c r="E128" i="2" s="1"/>
  <c r="E75" i="2"/>
  <c r="E19" i="2"/>
  <c r="E32" i="2"/>
  <c r="G123" i="2"/>
  <c r="G128" i="2" s="1"/>
  <c r="G75" i="2"/>
  <c r="G19" i="2"/>
  <c r="G32" i="2"/>
  <c r="C15" i="2"/>
  <c r="C17" i="2" s="1"/>
  <c r="C31" i="2"/>
  <c r="D15" i="2"/>
  <c r="D17" i="2" s="1"/>
  <c r="D31" i="2"/>
  <c r="S15" i="2"/>
  <c r="S17" i="2" s="1"/>
  <c r="S32" i="2" s="1"/>
  <c r="AH15" i="2"/>
  <c r="AH17" i="2" s="1"/>
  <c r="AH31" i="2"/>
  <c r="AG30" i="2"/>
  <c r="AG37" i="2"/>
  <c r="AG36" i="2"/>
  <c r="AG13" i="2"/>
  <c r="AG38" i="2"/>
  <c r="AG39" i="2"/>
  <c r="AF126" i="2"/>
  <c r="AF128" i="2" s="1"/>
  <c r="AF130" i="2" s="1"/>
  <c r="AF75" i="2"/>
  <c r="AF19" i="2"/>
  <c r="R19" i="2"/>
  <c r="T15" i="2"/>
  <c r="T17" i="2" s="1"/>
  <c r="T32" i="2" s="1"/>
  <c r="N123" i="2"/>
  <c r="N128" i="2" s="1"/>
  <c r="P75" i="2"/>
  <c r="P123" i="2"/>
  <c r="P128" i="2" s="1"/>
  <c r="P130" i="2" s="1"/>
  <c r="O15" i="2"/>
  <c r="O17" i="2" s="1"/>
  <c r="P31" i="2"/>
  <c r="P19" i="2"/>
  <c r="P32" i="2"/>
  <c r="N32" i="2"/>
  <c r="N19" i="2"/>
  <c r="L15" i="2"/>
  <c r="L17" i="2" s="1"/>
  <c r="N31" i="2"/>
  <c r="K15" i="2"/>
  <c r="K17" i="2" s="1"/>
  <c r="J15" i="2"/>
  <c r="J17" i="2" s="1"/>
  <c r="J31" i="2"/>
  <c r="I15" i="2"/>
  <c r="I17" i="2" s="1"/>
  <c r="I31" i="2"/>
  <c r="Q15" i="2"/>
  <c r="Q17" i="2" s="1"/>
  <c r="Q31" i="2"/>
  <c r="M15" i="2"/>
  <c r="M17" i="2" s="1"/>
  <c r="M31" i="2"/>
  <c r="E31" i="3" l="1"/>
  <c r="E15" i="3"/>
  <c r="F39" i="3"/>
  <c r="F10" i="3" s="1"/>
  <c r="F12" i="3" s="1"/>
  <c r="F13" i="3" s="1"/>
  <c r="E130" i="2"/>
  <c r="H130" i="2"/>
  <c r="G130" i="2"/>
  <c r="N130" i="2"/>
  <c r="C19" i="3"/>
  <c r="C32" i="3"/>
  <c r="F123" i="2"/>
  <c r="F128" i="2" s="1"/>
  <c r="F32" i="2"/>
  <c r="F19" i="2"/>
  <c r="C32" i="2"/>
  <c r="C123" i="2"/>
  <c r="C128" i="2" s="1"/>
  <c r="C75" i="2"/>
  <c r="C19" i="2"/>
  <c r="D32" i="2"/>
  <c r="D75" i="2"/>
  <c r="D19" i="2"/>
  <c r="D123" i="2"/>
  <c r="D128" i="2" s="1"/>
  <c r="S19" i="2"/>
  <c r="AG31" i="2"/>
  <c r="AG15" i="2"/>
  <c r="AG127" i="2"/>
  <c r="AH32" i="2"/>
  <c r="AH75" i="2"/>
  <c r="AH19" i="2"/>
  <c r="T19" i="2"/>
  <c r="K75" i="2"/>
  <c r="K123" i="2"/>
  <c r="K128" i="2" s="1"/>
  <c r="L75" i="2"/>
  <c r="L123" i="2"/>
  <c r="L128" i="2" s="1"/>
  <c r="M75" i="2"/>
  <c r="M123" i="2"/>
  <c r="M128" i="2" s="1"/>
  <c r="Q75" i="2"/>
  <c r="Q123" i="2"/>
  <c r="Q128" i="2" s="1"/>
  <c r="Q130" i="2" s="1"/>
  <c r="O75" i="2"/>
  <c r="O123" i="2"/>
  <c r="O128" i="2" s="1"/>
  <c r="O130" i="2" s="1"/>
  <c r="I75" i="2"/>
  <c r="I123" i="2"/>
  <c r="I128" i="2" s="1"/>
  <c r="J75" i="2"/>
  <c r="J123" i="2"/>
  <c r="J128" i="2" s="1"/>
  <c r="O19" i="2"/>
  <c r="O32" i="2"/>
  <c r="L19" i="2"/>
  <c r="L32" i="2"/>
  <c r="K32" i="2"/>
  <c r="K19" i="2"/>
  <c r="M19" i="2"/>
  <c r="M32" i="2"/>
  <c r="J19" i="2"/>
  <c r="J32" i="2"/>
  <c r="Q32" i="2"/>
  <c r="Q19" i="2"/>
  <c r="I32" i="2"/>
  <c r="I19" i="2"/>
  <c r="F31" i="3" l="1"/>
  <c r="F15" i="3"/>
  <c r="G39" i="3"/>
  <c r="G10" i="3" s="1"/>
  <c r="G12" i="3" s="1"/>
  <c r="G13" i="3" s="1"/>
  <c r="M130" i="2"/>
  <c r="P133" i="2"/>
  <c r="F130" i="2"/>
  <c r="I133" i="2"/>
  <c r="L130" i="2"/>
  <c r="O133" i="2"/>
  <c r="D130" i="2"/>
  <c r="G133" i="2"/>
  <c r="Q133" i="2"/>
  <c r="J130" i="2"/>
  <c r="M133" i="2"/>
  <c r="K130" i="2"/>
  <c r="N133" i="2"/>
  <c r="J133" i="2"/>
  <c r="I130" i="2"/>
  <c r="L133" i="2"/>
  <c r="K133" i="2"/>
  <c r="C130" i="2"/>
  <c r="F133" i="2"/>
  <c r="H133" i="2"/>
  <c r="AG17" i="2"/>
  <c r="AG126" i="2"/>
  <c r="AG128" i="2" s="1"/>
  <c r="AG130" i="2" s="1"/>
  <c r="G15" i="3" l="1"/>
  <c r="G31" i="3"/>
  <c r="H39" i="3"/>
  <c r="H10" i="3" s="1"/>
  <c r="H12" i="3" s="1"/>
  <c r="H13" i="3" s="1"/>
  <c r="AG32" i="2"/>
  <c r="AG75" i="2"/>
  <c r="AG19" i="2"/>
  <c r="H15" i="3" l="1"/>
  <c r="H31" i="3"/>
  <c r="I39" i="3"/>
  <c r="I10" i="3" s="1"/>
  <c r="I12" i="3" s="1"/>
  <c r="I13" i="3" s="1"/>
  <c r="I15" i="3" l="1"/>
  <c r="I31" i="3"/>
  <c r="J39" i="3"/>
  <c r="J10" i="3" s="1"/>
  <c r="J12" i="3" s="1"/>
  <c r="J13" i="3" s="1"/>
  <c r="J15" i="3" l="1"/>
  <c r="J31" i="3"/>
  <c r="K39" i="3"/>
  <c r="K10" i="3" s="1"/>
  <c r="K12" i="3" s="1"/>
  <c r="K13" i="3" s="1"/>
  <c r="K31" i="3" l="1"/>
  <c r="K15" i="3"/>
  <c r="L39" i="3"/>
  <c r="L10" i="3" s="1"/>
  <c r="L12" i="3" s="1"/>
  <c r="L13" i="3" s="1"/>
  <c r="L15" i="3" l="1"/>
  <c r="L31" i="3"/>
  <c r="M39" i="3"/>
  <c r="M10" i="3" s="1"/>
  <c r="M12" i="3" s="1"/>
  <c r="M13" i="3" s="1"/>
  <c r="M31" i="3" l="1"/>
  <c r="M15" i="3"/>
  <c r="N39" i="3"/>
  <c r="N10" i="3" s="1"/>
  <c r="N12" i="3" s="1"/>
  <c r="N13" i="3" s="1"/>
  <c r="N31" i="3" l="1"/>
  <c r="N15" i="3"/>
  <c r="O39" i="3"/>
  <c r="O10" i="3" s="1"/>
  <c r="O12" i="3" s="1"/>
  <c r="O13" i="3" s="1"/>
  <c r="O31" i="3" l="1"/>
  <c r="O15" i="3"/>
  <c r="P39" i="3"/>
  <c r="P10" i="3" s="1"/>
  <c r="P12" i="3" s="1"/>
  <c r="P13" i="3" s="1"/>
  <c r="P31" i="3" l="1"/>
  <c r="P15" i="3"/>
  <c r="Q39" i="3"/>
  <c r="Q10" i="3" s="1"/>
  <c r="Q12" i="3" s="1"/>
  <c r="Q13" i="3" s="1"/>
  <c r="Q31" i="3" l="1"/>
  <c r="Q15" i="3"/>
  <c r="R39" i="3"/>
  <c r="R10" i="3" s="1"/>
  <c r="R12" i="3" s="1"/>
  <c r="R13" i="3" s="1"/>
  <c r="R31" i="3" l="1"/>
  <c r="R15" i="3"/>
  <c r="S39" i="3"/>
  <c r="S10" i="3" s="1"/>
  <c r="S12" i="3" s="1"/>
  <c r="S13" i="3" s="1"/>
  <c r="S15" i="3" l="1"/>
  <c r="S31" i="3"/>
  <c r="T39" i="3"/>
  <c r="T10" i="3" s="1"/>
  <c r="T12" i="3" s="1"/>
  <c r="T13" i="3" s="1"/>
  <c r="T15" i="3" l="1"/>
  <c r="T31" i="3"/>
  <c r="U39" i="3"/>
  <c r="U10" i="3" s="1"/>
  <c r="U12" i="3" s="1"/>
  <c r="U13" i="3" s="1"/>
  <c r="U15" i="3" l="1"/>
  <c r="U31" i="3"/>
  <c r="V39" i="3"/>
  <c r="V10" i="3" s="1"/>
  <c r="V12" i="3" s="1"/>
  <c r="V13" i="3" s="1"/>
  <c r="V15" i="3" l="1"/>
  <c r="V31" i="3"/>
  <c r="W39" i="3"/>
  <c r="W10" i="3" s="1"/>
  <c r="W12" i="3" s="1"/>
  <c r="W13" i="3" s="1"/>
  <c r="W15" i="3" l="1"/>
  <c r="W31" i="3"/>
  <c r="X39" i="3"/>
  <c r="X10" i="3" s="1"/>
  <c r="X12" i="3" s="1"/>
  <c r="X13" i="3" s="1"/>
  <c r="X15" i="3" l="1"/>
  <c r="X3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Gega Mukhigulashvili</author>
  </authors>
  <commentList>
    <comment ref="AF20" authorId="0" shapeId="0" xr:uid="{F47114EE-2A9C-4F71-830F-7078CFAABBB6}">
      <text>
        <r>
          <rPr>
            <b/>
            <sz val="9"/>
            <color indexed="81"/>
            <rFont val="Tahoma"/>
            <family val="2"/>
          </rPr>
          <t xml:space="preserve">Gega Mukhigulashvili:
</t>
        </r>
        <r>
          <rPr>
            <sz val="9"/>
            <color indexed="81"/>
            <rFont val="Tahoma"/>
            <family val="2"/>
          </rPr>
          <t>Avg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<sst xmlns="http://schemas.openxmlformats.org/spreadsheetml/2006/main" count="212" uniqueCount="156">
  <si>
    <t>Main</t>
  </si>
  <si>
    <t>P</t>
  </si>
  <si>
    <t>S/O</t>
  </si>
  <si>
    <t>MC</t>
  </si>
  <si>
    <t>D</t>
  </si>
  <si>
    <t>C</t>
  </si>
  <si>
    <t>EV</t>
  </si>
  <si>
    <t>Q325</t>
  </si>
  <si>
    <t>Q323</t>
  </si>
  <si>
    <t>Q423</t>
  </si>
  <si>
    <t>Q124</t>
  </si>
  <si>
    <t>Q224</t>
  </si>
  <si>
    <t>Q324</t>
  </si>
  <si>
    <t>Q424</t>
  </si>
  <si>
    <t>Q125</t>
  </si>
  <si>
    <t>Q225</t>
  </si>
  <si>
    <t>Revenue</t>
  </si>
  <si>
    <t>COGS</t>
  </si>
  <si>
    <t>Gross Profit</t>
  </si>
  <si>
    <t>Marketing</t>
  </si>
  <si>
    <t>Operations</t>
  </si>
  <si>
    <t>R&amp;D</t>
  </si>
  <si>
    <t>G&amp;A</t>
  </si>
  <si>
    <t>OpEx</t>
  </si>
  <si>
    <t>OpInc</t>
  </si>
  <si>
    <t>Other income</t>
  </si>
  <si>
    <t>Pretax Inc</t>
  </si>
  <si>
    <t>Taxes</t>
  </si>
  <si>
    <t>Net Income</t>
  </si>
  <si>
    <t>EPS</t>
  </si>
  <si>
    <t>Gross Margin</t>
  </si>
  <si>
    <t>Op Margin</t>
  </si>
  <si>
    <t>Net Margin</t>
  </si>
  <si>
    <t>Revenue Y/Y</t>
  </si>
  <si>
    <t>Marketing Margin</t>
  </si>
  <si>
    <t>Operating Margin</t>
  </si>
  <si>
    <t>R&amp;D Margin</t>
  </si>
  <si>
    <t>G&amp;A Margin</t>
  </si>
  <si>
    <t>Net Cash</t>
  </si>
  <si>
    <t>Cash</t>
  </si>
  <si>
    <t>Inventory</t>
  </si>
  <si>
    <t>Prepaids</t>
  </si>
  <si>
    <t>Restricted cash</t>
  </si>
  <si>
    <t>Goodwill</t>
  </si>
  <si>
    <t>PP&amp;A</t>
  </si>
  <si>
    <t>Intangibles</t>
  </si>
  <si>
    <t>Operating lease ROU</t>
  </si>
  <si>
    <t>Deferred tax</t>
  </si>
  <si>
    <t>ONCA</t>
  </si>
  <si>
    <t>Total assets</t>
  </si>
  <si>
    <t>A/P</t>
  </si>
  <si>
    <t>Deferred revenue</t>
  </si>
  <si>
    <t>Debt</t>
  </si>
  <si>
    <t>Operating lease, NC</t>
  </si>
  <si>
    <t>Operating lease</t>
  </si>
  <si>
    <t>Accrued</t>
  </si>
  <si>
    <t>Earn-out</t>
  </si>
  <si>
    <t>Earn-out, NC</t>
  </si>
  <si>
    <t>ONCL</t>
  </si>
  <si>
    <t>Total liabilities</t>
  </si>
  <si>
    <t>SE</t>
  </si>
  <si>
    <t>L+SE</t>
  </si>
  <si>
    <t>Investments, NC</t>
  </si>
  <si>
    <t>Trl EV/R</t>
  </si>
  <si>
    <t>Current Ratio</t>
  </si>
  <si>
    <t>Debt-to-Equity</t>
  </si>
  <si>
    <t>GAAP NI</t>
  </si>
  <si>
    <t>Model NI</t>
  </si>
  <si>
    <t>D&amp;A</t>
  </si>
  <si>
    <t>SBC</t>
  </si>
  <si>
    <t>Fair value of liabilities</t>
  </si>
  <si>
    <t>Accretion of securities</t>
  </si>
  <si>
    <t>Deferreed taxes</t>
  </si>
  <si>
    <t>Impairments</t>
  </si>
  <si>
    <t>FCF Yield</t>
  </si>
  <si>
    <t xml:space="preserve">Amort. Of debt </t>
  </si>
  <si>
    <t>Non-cash operating lease</t>
  </si>
  <si>
    <t>Non-cash acquisitions</t>
  </si>
  <si>
    <t>Non-cash other</t>
  </si>
  <si>
    <t>Prepaids &amp; currents</t>
  </si>
  <si>
    <t>Earn-out payable</t>
  </si>
  <si>
    <t>CFFO</t>
  </si>
  <si>
    <t>Purch of Investments</t>
  </si>
  <si>
    <t xml:space="preserve">Maturities </t>
  </si>
  <si>
    <t>Sales of Investments</t>
  </si>
  <si>
    <t>CapEx</t>
  </si>
  <si>
    <t>Acquisitions</t>
  </si>
  <si>
    <t>CFFI</t>
  </si>
  <si>
    <t>Proceeds from issuance of notes</t>
  </si>
  <si>
    <t>Purch of capped calls</t>
  </si>
  <si>
    <t>Proceeds from vested stock options</t>
  </si>
  <si>
    <t>Pmnt for taxes on equity awards</t>
  </si>
  <si>
    <t>Proceeds from employee stock purch plan</t>
  </si>
  <si>
    <t>Debt issuance costs</t>
  </si>
  <si>
    <t>Repurchase of stock</t>
  </si>
  <si>
    <t>Acquisition related earn-outs</t>
  </si>
  <si>
    <t>FX adj.</t>
  </si>
  <si>
    <t>CF</t>
  </si>
  <si>
    <t>CFFF</t>
  </si>
  <si>
    <t>FCF</t>
  </si>
  <si>
    <t>CapEx Margin</t>
  </si>
  <si>
    <t>Share price</t>
  </si>
  <si>
    <t>Online</t>
  </si>
  <si>
    <t>Wholesale</t>
  </si>
  <si>
    <t>Total revenue</t>
  </si>
  <si>
    <t>Subscribers</t>
  </si>
  <si>
    <t>Subscriber seq</t>
  </si>
  <si>
    <t>Subscriber Y/Y</t>
  </si>
  <si>
    <t>Rev per Avg Subscriber Y/Y</t>
  </si>
  <si>
    <t>QT-ly Revenue per Avg Subscriber</t>
  </si>
  <si>
    <t>NI</t>
  </si>
  <si>
    <t>Int. Income</t>
  </si>
  <si>
    <t>EBITDA</t>
  </si>
  <si>
    <t>EBITDA Margin</t>
  </si>
  <si>
    <t>Software Ex</t>
  </si>
  <si>
    <t>Trl FCF per Share</t>
  </si>
  <si>
    <t>Trl EV/EBITDA</t>
  </si>
  <si>
    <t>Net Orders</t>
  </si>
  <si>
    <t>AOV (Avg Order Value)</t>
  </si>
  <si>
    <t>Q122</t>
  </si>
  <si>
    <t>Q222</t>
  </si>
  <si>
    <t>Q322</t>
  </si>
  <si>
    <t>Q422</t>
  </si>
  <si>
    <t>Q123</t>
  </si>
  <si>
    <t>Q223</t>
  </si>
  <si>
    <t>Trl EV/FCF</t>
  </si>
  <si>
    <t>.Feb-07</t>
  </si>
  <si>
    <t>Q425</t>
  </si>
  <si>
    <t>Q126</t>
  </si>
  <si>
    <t>Q226</t>
  </si>
  <si>
    <t>Q326</t>
  </si>
  <si>
    <t>Q426</t>
  </si>
  <si>
    <t>Q127</t>
  </si>
  <si>
    <t>Q227</t>
  </si>
  <si>
    <t>Q327</t>
  </si>
  <si>
    <t>Q427</t>
  </si>
  <si>
    <t>Q128</t>
  </si>
  <si>
    <t>Q228</t>
  </si>
  <si>
    <t>Q328</t>
  </si>
  <si>
    <t>Q428</t>
  </si>
  <si>
    <t>Q129</t>
  </si>
  <si>
    <t>Q229</t>
  </si>
  <si>
    <t>Q329</t>
  </si>
  <si>
    <t>Q429</t>
  </si>
  <si>
    <t>Q130</t>
  </si>
  <si>
    <t>Q230</t>
  </si>
  <si>
    <t>Q330</t>
  </si>
  <si>
    <t>Q430</t>
  </si>
  <si>
    <t>Revenue trend estimate</t>
  </si>
  <si>
    <t>S/O Y/Y</t>
  </si>
  <si>
    <t>Maturity</t>
  </si>
  <si>
    <t>Discount</t>
  </si>
  <si>
    <t>NPV</t>
  </si>
  <si>
    <t>Share</t>
  </si>
  <si>
    <t>Current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</si>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</sst>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5" fillId="0" borderId="0" xfId="1" applyFont="1"/>
    <xf numFmtId="0" fontId="1" fillId="0" borderId="0" xfId="0" applyFont="1"/>
    <xf numFmtId="3" fontId="1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44" fontId="2" fillId="0" borderId="0" xfId="0" applyNumberFormat="1" applyFont="1"/>
    <xf numFmtId="44" fontId="1" fillId="0" borderId="0" xfId="0" applyNumberFormat="1" applyFont="1"/>
    <xf numFmtId="42" fontId="2" fillId="0" borderId="0" xfId="0" applyNumberFormat="1" applyFont="1"/>
    <xf numFmtId="42" fontId="1" fillId="0" borderId="0" xfId="0" applyNumberFormat="1" applyFont="1"/>
    <xf numFmtId="2" fontId="2" fillId="0" borderId="0" xfId="0" applyNumberFormat="1" applyFont="1"/>
    <xf numFmtId="2" fontId="1" fillId="0" borderId="0" xfId="0" applyNumberFormat="1" applyFont="1"/>
    <xf numFmtId="10" fontId="1" fillId="0" borderId="0" xfId="0" applyNumberFormat="1" applyFont="1"/>
    <xf numFmtId="4" fontId="1" fillId="0" borderId="0" xfId="0" applyNumberFormat="1" applyFont="1"/>
    <xf numFmtId="2" fontId="6" fillId="0" borderId="0" xfId="0" applyNumberFormat="1" applyFont="1"/>
    <xf numFmtId="16" fontId="1" fillId="0" borderId="0" xfId="0" applyNumberFormat="1" applyFont="1"/>
    <xf numFmtId="0" fontId="2" fillId="0" borderId="0" xfId="0" applyFont="1"/>
    <xf numFmtId="9" fontId="1" fillId="0" borderId="0" xfId="0" applyNumberFormat="1" applyFont="1"/>
    <xf numFmtId="38" fontId="1" fillId="0" borderId="0" xfId="0" applyNumberFormat="1" applyFont="1"/>
    <xf numFmtId="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7F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Statement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036028367581448E-2"/>
          <c:y val="2.365426220947188E-2"/>
          <c:w val="0.89693145719340805"/>
          <c:h val="0.94284991947034102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Model!$C$5:$Q$5</c:f>
              <c:numCache>
                <c:formatCode>#,##0</c:formatCode>
                <c:ptCount val="15"/>
                <c:pt idx="0">
                  <c:v>101314</c:v>
                </c:pt>
                <c:pt idx="1">
                  <c:v>113563</c:v>
                </c:pt>
                <c:pt idx="2">
                  <c:v>144836</c:v>
                </c:pt>
                <c:pt idx="3">
                  <c:v>167203</c:v>
                </c:pt>
                <c:pt idx="4">
                  <c:v>190770</c:v>
                </c:pt>
                <c:pt idx="5">
                  <c:v>207912</c:v>
                </c:pt>
                <c:pt idx="6">
                  <c:v>226699</c:v>
                </c:pt>
                <c:pt idx="7">
                  <c:v>246619</c:v>
                </c:pt>
                <c:pt idx="8">
                  <c:v>278171</c:v>
                </c:pt>
                <c:pt idx="9">
                  <c:v>315648</c:v>
                </c:pt>
                <c:pt idx="10">
                  <c:v>401556</c:v>
                </c:pt>
                <c:pt idx="11">
                  <c:v>481139</c:v>
                </c:pt>
                <c:pt idx="12">
                  <c:v>586010</c:v>
                </c:pt>
                <c:pt idx="13">
                  <c:v>544833</c:v>
                </c:pt>
                <c:pt idx="14">
                  <c:v>598976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5B-47C8-B4ED-0967B5A0CE76}"/>
            </c:ext>
          </c:extLst>
        </c:ser>
        <c:ser>
          <c:idx val="1"/>
          <c:order val="1"/>
          <c:tx>
            <c:v>OpInc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Model!$C$13:$Q$13</c:f>
              <c:numCache>
                <c:formatCode>#,##0</c:formatCode>
                <c:ptCount val="15"/>
                <c:pt idx="0">
                  <c:v>-16919</c:v>
                </c:pt>
                <c:pt idx="1">
                  <c:v>-20190</c:v>
                </c:pt>
                <c:pt idx="2">
                  <c:v>-19983</c:v>
                </c:pt>
                <c:pt idx="3">
                  <c:v>-11605</c:v>
                </c:pt>
                <c:pt idx="4">
                  <c:v>-11263</c:v>
                </c:pt>
                <c:pt idx="5">
                  <c:v>-9236</c:v>
                </c:pt>
                <c:pt idx="6">
                  <c:v>-8554</c:v>
                </c:pt>
                <c:pt idx="7">
                  <c:v>-400</c:v>
                </c:pt>
                <c:pt idx="8">
                  <c:v>9903</c:v>
                </c:pt>
                <c:pt idx="9">
                  <c:v>11030</c:v>
                </c:pt>
                <c:pt idx="10">
                  <c:v>22374</c:v>
                </c:pt>
                <c:pt idx="11">
                  <c:v>18596</c:v>
                </c:pt>
                <c:pt idx="12">
                  <c:v>57897</c:v>
                </c:pt>
                <c:pt idx="13">
                  <c:v>26723</c:v>
                </c:pt>
                <c:pt idx="14">
                  <c:v>11807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5B-47C8-B4ED-0967B5A0CE76}"/>
            </c:ext>
          </c:extLst>
        </c:ser>
        <c:ser>
          <c:idx val="2"/>
          <c:order val="2"/>
          <c:tx>
            <c:v>Net Income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Model!$C$17:$Q$17</c:f>
              <c:numCache>
                <c:formatCode>#,##0</c:formatCode>
                <c:ptCount val="15"/>
                <c:pt idx="0">
                  <c:v>-16252</c:v>
                </c:pt>
                <c:pt idx="1">
                  <c:v>-19679</c:v>
                </c:pt>
                <c:pt idx="2">
                  <c:v>-18840</c:v>
                </c:pt>
                <c:pt idx="3">
                  <c:v>-10907</c:v>
                </c:pt>
                <c:pt idx="4">
                  <c:v>-10067</c:v>
                </c:pt>
                <c:pt idx="5">
                  <c:v>-7157</c:v>
                </c:pt>
                <c:pt idx="6">
                  <c:v>-7567</c:v>
                </c:pt>
                <c:pt idx="7">
                  <c:v>1245</c:v>
                </c:pt>
                <c:pt idx="8">
                  <c:v>11128</c:v>
                </c:pt>
                <c:pt idx="9">
                  <c:v>13297</c:v>
                </c:pt>
                <c:pt idx="10">
                  <c:v>75588</c:v>
                </c:pt>
                <c:pt idx="11">
                  <c:v>26025</c:v>
                </c:pt>
                <c:pt idx="12">
                  <c:v>49485</c:v>
                </c:pt>
                <c:pt idx="13">
                  <c:v>42505</c:v>
                </c:pt>
                <c:pt idx="14">
                  <c:v>15774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5B-47C8-B4ED-0967B5A0CE7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0699808"/>
        <c:axId val="1060700288"/>
      </c:barChart>
      <c:catAx>
        <c:axId val="106069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00288"/>
        <c:crosses val="autoZero"/>
        <c:auto val="1"/>
        <c:lblAlgn val="ctr"/>
        <c:lblOffset val="100"/>
        <c:noMultiLvlLbl val="0"/>
      </c:catAx>
      <c:valAx>
        <c:axId val="1060700288"/>
        <c:scaling>
          <c:orientation val="minMax"/>
          <c:min val="-5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9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Balance</a:t>
            </a:r>
            <a:r>
              <a:rPr lang="en-US" baseline="0"/>
              <a:t> Sheet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412180950196636E-2"/>
          <c:y val="3.3770502131162096E-2"/>
          <c:w val="0.9080171919615817"/>
          <c:h val="0.94284991947034102"/>
        </c:manualLayout>
      </c:layout>
      <c:barChart>
        <c:barDir val="col"/>
        <c:grouping val="clustered"/>
        <c:varyColors val="0"/>
        <c:ser>
          <c:idx val="0"/>
          <c:order val="0"/>
          <c:tx>
            <c:v>Total Assets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Model!$F$2:$Q$2</c:f>
              <c:strCache>
                <c:ptCount val="12"/>
                <c:pt idx="0">
                  <c:v>Q422</c:v>
                </c:pt>
                <c:pt idx="1">
                  <c:v>Q123</c:v>
                </c:pt>
                <c:pt idx="2">
                  <c:v>Q223</c:v>
                </c:pt>
                <c:pt idx="3">
                  <c:v>Q323</c:v>
                </c:pt>
                <c:pt idx="4">
                  <c:v>Q423</c:v>
                </c:pt>
                <c:pt idx="5">
                  <c:v>Q124</c:v>
                </c:pt>
                <c:pt idx="6">
                  <c:v>Q224</c:v>
                </c:pt>
                <c:pt idx="7">
                  <c:v>Q324</c:v>
                </c:pt>
                <c:pt idx="8">
                  <c:v>Q424</c:v>
                </c:pt>
                <c:pt idx="9">
                  <c:v>Q125</c:v>
                </c:pt>
                <c:pt idx="10">
                  <c:v>Q225</c:v>
                </c:pt>
                <c:pt idx="11">
                  <c:v>Q325</c:v>
                </c:pt>
              </c:strCache>
            </c:strRef>
          </c:cat>
          <c:val>
            <c:numRef>
              <c:f>Model!$F$55:$Q$55</c:f>
              <c:numCache>
                <c:formatCode>#,##0</c:formatCode>
                <c:ptCount val="12"/>
                <c:pt idx="0">
                  <c:v>366341</c:v>
                </c:pt>
                <c:pt idx="1">
                  <c:v>376306</c:v>
                </c:pt>
                <c:pt idx="2">
                  <c:v>389884</c:v>
                </c:pt>
                <c:pt idx="3">
                  <c:v>413865</c:v>
                </c:pt>
                <c:pt idx="4">
                  <c:v>441186</c:v>
                </c:pt>
                <c:pt idx="5">
                  <c:v>448096</c:v>
                </c:pt>
                <c:pt idx="6">
                  <c:v>480500</c:v>
                </c:pt>
                <c:pt idx="7">
                  <c:v>602260</c:v>
                </c:pt>
                <c:pt idx="8">
                  <c:v>707539</c:v>
                </c:pt>
                <c:pt idx="9">
                  <c:v>891711</c:v>
                </c:pt>
                <c:pt idx="10">
                  <c:v>1877582</c:v>
                </c:pt>
                <c:pt idx="11">
                  <c:v>2233304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2-4B6C-918D-5138A5DE8C04}"/>
            </c:ext>
          </c:extLst>
        </c:ser>
        <c:ser>
          <c:idx val="1"/>
          <c:order val="1"/>
          <c:tx>
            <c:v>Cash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Model!$F$2:$Q$2</c:f>
              <c:strCache>
                <c:ptCount val="12"/>
                <c:pt idx="0">
                  <c:v>Q422</c:v>
                </c:pt>
                <c:pt idx="1">
                  <c:v>Q123</c:v>
                </c:pt>
                <c:pt idx="2">
                  <c:v>Q223</c:v>
                </c:pt>
                <c:pt idx="3">
                  <c:v>Q323</c:v>
                </c:pt>
                <c:pt idx="4">
                  <c:v>Q423</c:v>
                </c:pt>
                <c:pt idx="5">
                  <c:v>Q124</c:v>
                </c:pt>
                <c:pt idx="6">
                  <c:v>Q224</c:v>
                </c:pt>
                <c:pt idx="7">
                  <c:v>Q324</c:v>
                </c:pt>
                <c:pt idx="8">
                  <c:v>Q424</c:v>
                </c:pt>
                <c:pt idx="9">
                  <c:v>Q125</c:v>
                </c:pt>
                <c:pt idx="10">
                  <c:v>Q225</c:v>
                </c:pt>
                <c:pt idx="11">
                  <c:v>Q325</c:v>
                </c:pt>
              </c:strCache>
            </c:strRef>
          </c:cat>
          <c:val>
            <c:numRef>
              <c:f>Model!$F$44:$Q$44</c:f>
              <c:numCache>
                <c:formatCode>#,##0</c:formatCode>
                <c:ptCount val="12"/>
                <c:pt idx="0">
                  <c:v>179625</c:v>
                </c:pt>
                <c:pt idx="1">
                  <c:v>184393</c:v>
                </c:pt>
                <c:pt idx="2">
                  <c:v>193142</c:v>
                </c:pt>
                <c:pt idx="3">
                  <c:v>212497</c:v>
                </c:pt>
                <c:pt idx="4">
                  <c:v>220981</c:v>
                </c:pt>
                <c:pt idx="5">
                  <c:v>203592</c:v>
                </c:pt>
                <c:pt idx="6">
                  <c:v>227292</c:v>
                </c:pt>
                <c:pt idx="7">
                  <c:v>254071</c:v>
                </c:pt>
                <c:pt idx="8">
                  <c:v>300251</c:v>
                </c:pt>
                <c:pt idx="9">
                  <c:v>322671</c:v>
                </c:pt>
                <c:pt idx="10">
                  <c:v>1144615</c:v>
                </c:pt>
                <c:pt idx="11">
                  <c:v>629744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12-4B6C-918D-5138A5DE8C04}"/>
            </c:ext>
          </c:extLst>
        </c:ser>
        <c:ser>
          <c:idx val="2"/>
          <c:order val="2"/>
          <c:tx>
            <c:v>Debt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Model!$F$2:$Q$2</c:f>
              <c:strCache>
                <c:ptCount val="12"/>
                <c:pt idx="0">
                  <c:v>Q422</c:v>
                </c:pt>
                <c:pt idx="1">
                  <c:v>Q123</c:v>
                </c:pt>
                <c:pt idx="2">
                  <c:v>Q223</c:v>
                </c:pt>
                <c:pt idx="3">
                  <c:v>Q323</c:v>
                </c:pt>
                <c:pt idx="4">
                  <c:v>Q423</c:v>
                </c:pt>
                <c:pt idx="5">
                  <c:v>Q124</c:v>
                </c:pt>
                <c:pt idx="6">
                  <c:v>Q224</c:v>
                </c:pt>
                <c:pt idx="7">
                  <c:v>Q324</c:v>
                </c:pt>
                <c:pt idx="8">
                  <c:v>Q424</c:v>
                </c:pt>
                <c:pt idx="9">
                  <c:v>Q125</c:v>
                </c:pt>
                <c:pt idx="10">
                  <c:v>Q225</c:v>
                </c:pt>
                <c:pt idx="11">
                  <c:v>Q325</c:v>
                </c:pt>
              </c:strCache>
            </c:strRef>
          </c:cat>
          <c:val>
            <c:numRef>
              <c:f>Model!$F$61:$Q$61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969467</c:v>
                </c:pt>
                <c:pt idx="11">
                  <c:v>971023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12-4B6C-918D-5138A5DE8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1060699808"/>
        <c:axId val="1060700288"/>
      </c:barChart>
      <c:catAx>
        <c:axId val="106069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00288"/>
        <c:crosses val="autoZero"/>
        <c:auto val="1"/>
        <c:lblAlgn val="ctr"/>
        <c:lblOffset val="100"/>
        <c:noMultiLvlLbl val="0"/>
      </c:catAx>
      <c:valAx>
        <c:axId val="1060700288"/>
        <c:scaling>
          <c:orientation val="minMax"/>
          <c:min val="-5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9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756317589014238E-2"/>
          <c:y val="1.5929581453130424E-2"/>
          <c:w val="0.89693145719340805"/>
          <c:h val="0.94284991947034102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Model!$C$5:$Q$5</c:f>
              <c:numCache>
                <c:formatCode>#,##0</c:formatCode>
                <c:ptCount val="15"/>
                <c:pt idx="0">
                  <c:v>101314</c:v>
                </c:pt>
                <c:pt idx="1">
                  <c:v>113563</c:v>
                </c:pt>
                <c:pt idx="2">
                  <c:v>144836</c:v>
                </c:pt>
                <c:pt idx="3">
                  <c:v>167203</c:v>
                </c:pt>
                <c:pt idx="4">
                  <c:v>190770</c:v>
                </c:pt>
                <c:pt idx="5">
                  <c:v>207912</c:v>
                </c:pt>
                <c:pt idx="6">
                  <c:v>226699</c:v>
                </c:pt>
                <c:pt idx="7">
                  <c:v>246619</c:v>
                </c:pt>
                <c:pt idx="8">
                  <c:v>278171</c:v>
                </c:pt>
                <c:pt idx="9">
                  <c:v>315648</c:v>
                </c:pt>
                <c:pt idx="10">
                  <c:v>401556</c:v>
                </c:pt>
                <c:pt idx="11">
                  <c:v>481139</c:v>
                </c:pt>
                <c:pt idx="12">
                  <c:v>586010</c:v>
                </c:pt>
                <c:pt idx="13">
                  <c:v>544833</c:v>
                </c:pt>
                <c:pt idx="14">
                  <c:v>598976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E-428F-B176-0C51ACD8C3C8}"/>
            </c:ext>
          </c:extLst>
        </c:ser>
        <c:ser>
          <c:idx val="1"/>
          <c:order val="1"/>
          <c:tx>
            <c:v>EBITDA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Model!$C$128:$Q$128</c:f>
              <c:numCache>
                <c:formatCode>#,##0</c:formatCode>
                <c:ptCount val="15"/>
                <c:pt idx="0">
                  <c:v>-6322</c:v>
                </c:pt>
                <c:pt idx="1">
                  <c:v>-7737</c:v>
                </c:pt>
                <c:pt idx="2">
                  <c:v>-7102</c:v>
                </c:pt>
                <c:pt idx="3">
                  <c:v>2755</c:v>
                </c:pt>
                <c:pt idx="4">
                  <c:v>5021</c:v>
                </c:pt>
                <c:pt idx="5">
                  <c:v>9986</c:v>
                </c:pt>
                <c:pt idx="6">
                  <c:v>11086</c:v>
                </c:pt>
                <c:pt idx="7">
                  <c:v>20049</c:v>
                </c:pt>
                <c:pt idx="8">
                  <c:v>31936</c:v>
                </c:pt>
                <c:pt idx="9">
                  <c:v>38715</c:v>
                </c:pt>
                <c:pt idx="10">
                  <c:v>51656</c:v>
                </c:pt>
                <c:pt idx="11">
                  <c:v>49006</c:v>
                </c:pt>
                <c:pt idx="12">
                  <c:v>91031</c:v>
                </c:pt>
                <c:pt idx="13">
                  <c:v>72914</c:v>
                </c:pt>
                <c:pt idx="14">
                  <c:v>69648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E-428F-B176-0C51ACD8C3C8}"/>
            </c:ext>
          </c:extLst>
        </c:ser>
        <c:ser>
          <c:idx val="2"/>
          <c:order val="2"/>
          <c:tx>
            <c:v>Net Income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Model!$C$17:$Q$17</c:f>
              <c:numCache>
                <c:formatCode>#,##0</c:formatCode>
                <c:ptCount val="15"/>
                <c:pt idx="0">
                  <c:v>-16252</c:v>
                </c:pt>
                <c:pt idx="1">
                  <c:v>-19679</c:v>
                </c:pt>
                <c:pt idx="2">
                  <c:v>-18840</c:v>
                </c:pt>
                <c:pt idx="3">
                  <c:v>-10907</c:v>
                </c:pt>
                <c:pt idx="4">
                  <c:v>-10067</c:v>
                </c:pt>
                <c:pt idx="5">
                  <c:v>-7157</c:v>
                </c:pt>
                <c:pt idx="6">
                  <c:v>-7567</c:v>
                </c:pt>
                <c:pt idx="7">
                  <c:v>1245</c:v>
                </c:pt>
                <c:pt idx="8">
                  <c:v>11128</c:v>
                </c:pt>
                <c:pt idx="9">
                  <c:v>13297</c:v>
                </c:pt>
                <c:pt idx="10">
                  <c:v>75588</c:v>
                </c:pt>
                <c:pt idx="11">
                  <c:v>26025</c:v>
                </c:pt>
                <c:pt idx="12">
                  <c:v>49485</c:v>
                </c:pt>
                <c:pt idx="13">
                  <c:v>42505</c:v>
                </c:pt>
                <c:pt idx="14">
                  <c:v>15774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FE-428F-B176-0C51ACD8C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0699808"/>
        <c:axId val="1060700288"/>
      </c:barChart>
      <c:lineChart>
        <c:grouping val="standard"/>
        <c:varyColors val="0"/>
        <c:ser>
          <c:idx val="3"/>
          <c:order val="3"/>
          <c:tx>
            <c:v>Stock Price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Model!$C$118:$Q$118</c:f>
              <c:numCache>
                <c:formatCode>0.00</c:formatCode>
                <c:ptCount val="15"/>
                <c:pt idx="0">
                  <c:v>3.2</c:v>
                </c:pt>
                <c:pt idx="1">
                  <c:v>6.67</c:v>
                </c:pt>
                <c:pt idx="2">
                  <c:v>5.53</c:v>
                </c:pt>
                <c:pt idx="3">
                  <c:v>11.27</c:v>
                </c:pt>
                <c:pt idx="4">
                  <c:v>10.65</c:v>
                </c:pt>
                <c:pt idx="5">
                  <c:v>7.44</c:v>
                </c:pt>
                <c:pt idx="6">
                  <c:v>6.97</c:v>
                </c:pt>
                <c:pt idx="7">
                  <c:v>13.43</c:v>
                </c:pt>
                <c:pt idx="8">
                  <c:v>12.35</c:v>
                </c:pt>
                <c:pt idx="9">
                  <c:v>16.88</c:v>
                </c:pt>
                <c:pt idx="10">
                  <c:v>20.64</c:v>
                </c:pt>
                <c:pt idx="11">
                  <c:v>39.86</c:v>
                </c:pt>
                <c:pt idx="12">
                  <c:v>49.47</c:v>
                </c:pt>
                <c:pt idx="13">
                  <c:v>55.52</c:v>
                </c:pt>
                <c:pt idx="14">
                  <c:v>19.38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FE-428F-B176-0C51ACD8C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683840"/>
        <c:axId val="1599692000"/>
      </c:lineChart>
      <c:catAx>
        <c:axId val="106069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00288"/>
        <c:crosses val="autoZero"/>
        <c:auto val="1"/>
        <c:lblAlgn val="ctr"/>
        <c:lblOffset val="100"/>
        <c:noMultiLvlLbl val="0"/>
      </c:catAx>
      <c:valAx>
        <c:axId val="1060700288"/>
        <c:scaling>
          <c:orientation val="minMax"/>
          <c:min val="-5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99808"/>
        <c:crosses val="autoZero"/>
        <c:crossBetween val="between"/>
      </c:valAx>
      <c:valAx>
        <c:axId val="159969200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83840"/>
        <c:crosses val="max"/>
        <c:crossBetween val="between"/>
      </c:valAx>
      <c:catAx>
        <c:axId val="1599683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96920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812736378436782E-2"/>
          <c:y val="1.5741742891109699E-2"/>
          <c:w val="0.89693145719340805"/>
          <c:h val="0.94284991947034102"/>
        </c:manualLayout>
      </c:layout>
      <c:barChart>
        <c:barDir val="col"/>
        <c:grouping val="clustered"/>
        <c:varyColors val="0"/>
        <c:ser>
          <c:idx val="1"/>
          <c:order val="0"/>
          <c:tx>
            <c:v>EBITDA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Model!$C$128:$Q$128</c:f>
              <c:numCache>
                <c:formatCode>#,##0</c:formatCode>
                <c:ptCount val="15"/>
                <c:pt idx="0">
                  <c:v>-6322</c:v>
                </c:pt>
                <c:pt idx="1">
                  <c:v>-7737</c:v>
                </c:pt>
                <c:pt idx="2">
                  <c:v>-7102</c:v>
                </c:pt>
                <c:pt idx="3">
                  <c:v>2755</c:v>
                </c:pt>
                <c:pt idx="4">
                  <c:v>5021</c:v>
                </c:pt>
                <c:pt idx="5">
                  <c:v>9986</c:v>
                </c:pt>
                <c:pt idx="6">
                  <c:v>11086</c:v>
                </c:pt>
                <c:pt idx="7">
                  <c:v>20049</c:v>
                </c:pt>
                <c:pt idx="8">
                  <c:v>31936</c:v>
                </c:pt>
                <c:pt idx="9">
                  <c:v>38715</c:v>
                </c:pt>
                <c:pt idx="10">
                  <c:v>51656</c:v>
                </c:pt>
                <c:pt idx="11">
                  <c:v>49006</c:v>
                </c:pt>
                <c:pt idx="12">
                  <c:v>91031</c:v>
                </c:pt>
                <c:pt idx="13">
                  <c:v>72914</c:v>
                </c:pt>
                <c:pt idx="14">
                  <c:v>69648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04-4FC2-BF3A-1EC39059ACC0}"/>
            </c:ext>
          </c:extLst>
        </c:ser>
        <c:ser>
          <c:idx val="2"/>
          <c:order val="1"/>
          <c:tx>
            <c:v>Net Income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Model!$C$17:$Q$17</c:f>
              <c:numCache>
                <c:formatCode>#,##0</c:formatCode>
                <c:ptCount val="15"/>
                <c:pt idx="0">
                  <c:v>-16252</c:v>
                </c:pt>
                <c:pt idx="1">
                  <c:v>-19679</c:v>
                </c:pt>
                <c:pt idx="2">
                  <c:v>-18840</c:v>
                </c:pt>
                <c:pt idx="3">
                  <c:v>-10907</c:v>
                </c:pt>
                <c:pt idx="4">
                  <c:v>-10067</c:v>
                </c:pt>
                <c:pt idx="5">
                  <c:v>-7157</c:v>
                </c:pt>
                <c:pt idx="6">
                  <c:v>-7567</c:v>
                </c:pt>
                <c:pt idx="7">
                  <c:v>1245</c:v>
                </c:pt>
                <c:pt idx="8">
                  <c:v>11128</c:v>
                </c:pt>
                <c:pt idx="9">
                  <c:v>13297</c:v>
                </c:pt>
                <c:pt idx="10">
                  <c:v>75588</c:v>
                </c:pt>
                <c:pt idx="11">
                  <c:v>26025</c:v>
                </c:pt>
                <c:pt idx="12">
                  <c:v>49485</c:v>
                </c:pt>
                <c:pt idx="13">
                  <c:v>42505</c:v>
                </c:pt>
                <c:pt idx="14">
                  <c:v>15774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04-4FC2-BF3A-1EC39059ACC0}"/>
            </c:ext>
          </c:extLst>
        </c:ser>
        <c:ser>
          <c:idx val="0"/>
          <c:order val="3"/>
          <c:tx>
            <c:v>FCF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Model!$C$116:$Q$116</c:f>
              <c:numCache>
                <c:formatCode>#,##0</c:formatCode>
                <c:ptCount val="15"/>
                <c:pt idx="0">
                  <c:v>-20700</c:v>
                </c:pt>
                <c:pt idx="1">
                  <c:v>-7770</c:v>
                </c:pt>
                <c:pt idx="2">
                  <c:v>4024</c:v>
                </c:pt>
                <c:pt idx="3">
                  <c:v>-9332</c:v>
                </c:pt>
                <c:pt idx="4">
                  <c:v>6973</c:v>
                </c:pt>
                <c:pt idx="5">
                  <c:v>9962</c:v>
                </c:pt>
                <c:pt idx="6">
                  <c:v>19271</c:v>
                </c:pt>
                <c:pt idx="7">
                  <c:v>10785</c:v>
                </c:pt>
                <c:pt idx="8">
                  <c:v>11880</c:v>
                </c:pt>
                <c:pt idx="9">
                  <c:v>47568</c:v>
                </c:pt>
                <c:pt idx="10">
                  <c:v>79386</c:v>
                </c:pt>
                <c:pt idx="11">
                  <c:v>59500</c:v>
                </c:pt>
                <c:pt idx="12">
                  <c:v>50052</c:v>
                </c:pt>
                <c:pt idx="13">
                  <c:v>-69432</c:v>
                </c:pt>
                <c:pt idx="14">
                  <c:v>79364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04-4FC2-BF3A-1EC39059A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0699808"/>
        <c:axId val="1060700288"/>
      </c:barChart>
      <c:lineChart>
        <c:grouping val="standard"/>
        <c:varyColors val="0"/>
        <c:ser>
          <c:idx val="3"/>
          <c:order val="2"/>
          <c:tx>
            <c:v>Stock Price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Model!$C$118:$Q$118</c:f>
              <c:numCache>
                <c:formatCode>0.00</c:formatCode>
                <c:ptCount val="15"/>
                <c:pt idx="0">
                  <c:v>3.2</c:v>
                </c:pt>
                <c:pt idx="1">
                  <c:v>6.67</c:v>
                </c:pt>
                <c:pt idx="2">
                  <c:v>5.53</c:v>
                </c:pt>
                <c:pt idx="3">
                  <c:v>11.27</c:v>
                </c:pt>
                <c:pt idx="4">
                  <c:v>10.65</c:v>
                </c:pt>
                <c:pt idx="5">
                  <c:v>7.44</c:v>
                </c:pt>
                <c:pt idx="6">
                  <c:v>6.97</c:v>
                </c:pt>
                <c:pt idx="7">
                  <c:v>13.43</c:v>
                </c:pt>
                <c:pt idx="8">
                  <c:v>12.35</c:v>
                </c:pt>
                <c:pt idx="9">
                  <c:v>16.88</c:v>
                </c:pt>
                <c:pt idx="10">
                  <c:v>20.64</c:v>
                </c:pt>
                <c:pt idx="11">
                  <c:v>39.86</c:v>
                </c:pt>
                <c:pt idx="12">
                  <c:v>49.47</c:v>
                </c:pt>
                <c:pt idx="13">
                  <c:v>55.52</c:v>
                </c:pt>
                <c:pt idx="14">
                  <c:v>19.38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04-4FC2-BF3A-1EC39059ACC0}"/>
            </c:ext>
          </c:extLst>
        </c:ser>
        <c:ser>
          <c:idx val="4"/>
          <c:order val="4"/>
          <c:tx>
            <c:v>EV/EBITDA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Model!$C$133:$Q$133</c:f>
              <c:numCache>
                <c:formatCode>0.00</c:formatCode>
                <c:ptCount val="15"/>
                <c:pt idx="3">
                  <c:v>-116.46071875529718</c:v>
                </c:pt>
                <c:pt idx="4">
                  <c:v>-286.23122946340084</c:v>
                </c:pt>
                <c:pt idx="5">
                  <c:v>127.34745009380865</c:v>
                </c:pt>
                <c:pt idx="6">
                  <c:v>43.404801947102051</c:v>
                </c:pt>
                <c:pt idx="7">
                  <c:v>56.794339396861858</c:v>
                </c:pt>
                <c:pt idx="8">
                  <c:v>33.296485431923017</c:v>
                </c:pt>
                <c:pt idx="9">
                  <c:v>33.358816188473853</c:v>
                </c:pt>
                <c:pt idx="10">
                  <c:v>29.622262718255644</c:v>
                </c:pt>
                <c:pt idx="11">
                  <c:v>49.209251791165869</c:v>
                </c:pt>
                <c:pt idx="12">
                  <c:v>46.262026521171137</c:v>
                </c:pt>
                <c:pt idx="13">
                  <c:v>46.416239101762244</c:v>
                </c:pt>
                <c:pt idx="14">
                  <c:v>15.810405325921181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04-4FC2-BF3A-1EC39059ACC0}"/>
            </c:ext>
          </c:extLst>
        </c:ser>
        <c:ser>
          <c:idx val="5"/>
          <c:order val="5"/>
          <c:tx>
            <c:v>EV/FCF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Model!$C$134:$Q$134</c:f>
              <c:numCache>
                <c:formatCode>0.00</c:formatCode>
                <c:ptCount val="15"/>
                <c:pt idx="3">
                  <c:v>-63.460713760731835</c:v>
                </c:pt>
                <c:pt idx="4">
                  <c:v>-331.14679339885345</c:v>
                </c:pt>
                <c:pt idx="5">
                  <c:v>116.75615532811561</c:v>
                </c:pt>
                <c:pt idx="6">
                  <c:v>46.593053753441986</c:v>
                </c:pt>
                <c:pt idx="7">
                  <c:v>55.768219626098613</c:v>
                </c:pt>
                <c:pt idx="8">
                  <c:v>46.871581490616208</c:v>
                </c:pt>
                <c:pt idx="9">
                  <c:v>37.936410267250622</c:v>
                </c:pt>
                <c:pt idx="10">
                  <c:v>28.184300332979102</c:v>
                </c:pt>
                <c:pt idx="11">
                  <c:v>42.504989321548493</c:v>
                </c:pt>
                <c:pt idx="12">
                  <c:v>45.069220259486016</c:v>
                </c:pt>
                <c:pt idx="13">
                  <c:v>102.77359948454472</c:v>
                </c:pt>
                <c:pt idx="14">
                  <c:v>37.394167710321049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04-4FC2-BF3A-1EC39059A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683840"/>
        <c:axId val="1599692000"/>
      </c:lineChart>
      <c:catAx>
        <c:axId val="106069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00288"/>
        <c:crosses val="autoZero"/>
        <c:auto val="1"/>
        <c:lblAlgn val="ctr"/>
        <c:lblOffset val="100"/>
        <c:noMultiLvlLbl val="0"/>
      </c:catAx>
      <c:valAx>
        <c:axId val="1060700288"/>
        <c:scaling>
          <c:orientation val="minMax"/>
          <c:min val="-5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99808"/>
        <c:crosses val="autoZero"/>
        <c:crossBetween val="between"/>
      </c:valAx>
      <c:valAx>
        <c:axId val="1599692000"/>
        <c:scaling>
          <c:orientation val="minMax"/>
          <c:max val="110"/>
          <c:min val="-50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83840"/>
        <c:crosses val="max"/>
        <c:crossBetween val="between"/>
        <c:majorUnit val="10"/>
      </c:valAx>
      <c:catAx>
        <c:axId val="159968384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59969200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254693011780543E-2"/>
          <c:y val="1.592966720775283E-2"/>
          <c:w val="0.93068551167928038"/>
          <c:h val="0.94284991947034102"/>
        </c:manualLayout>
      </c:layout>
      <c:lineChart>
        <c:grouping val="standard"/>
        <c:varyColors val="0"/>
        <c:ser>
          <c:idx val="0"/>
          <c:order val="0"/>
          <c:tx>
            <c:v>Marketing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8575" cap="rnd">
                <a:solidFill>
                  <a:schemeClr val="accent1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8103557062398776E-2"/>
                  <c:y val="-4.44408005487836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Model!$C$36:$Q$36</c:f>
              <c:numCache>
                <c:formatCode>0.00%</c:formatCode>
                <c:ptCount val="15"/>
                <c:pt idx="0">
                  <c:v>0.64333297661726152</c:v>
                </c:pt>
                <c:pt idx="1">
                  <c:v>0.69388363769844907</c:v>
                </c:pt>
                <c:pt idx="2">
                  <c:v>0.68553904222694029</c:v>
                </c:pt>
                <c:pt idx="3">
                  <c:v>0.64639518804264873</c:v>
                </c:pt>
                <c:pt idx="4">
                  <c:v>0.63382760306338604</c:v>
                </c:pt>
                <c:pt idx="5">
                  <c:v>0.63011436429671241</c:v>
                </c:pt>
                <c:pt idx="6">
                  <c:v>0.61970657953744634</c:v>
                </c:pt>
                <c:pt idx="7">
                  <c:v>0.6169569436140705</c:v>
                </c:pt>
                <c:pt idx="8">
                  <c:v>0.56986403020580978</c:v>
                </c:pt>
                <c:pt idx="9">
                  <c:v>0.56474925276583809</c:v>
                </c:pt>
                <c:pt idx="10">
                  <c:v>0.57342569348760253</c:v>
                </c:pt>
                <c:pt idx="11">
                  <c:v>0.59826920422903007</c:v>
                </c:pt>
                <c:pt idx="12">
                  <c:v>0.53689553250721522</c:v>
                </c:pt>
                <c:pt idx="13">
                  <c:v>0.52346010052955816</c:v>
                </c:pt>
                <c:pt idx="14">
                  <c:v>0.52515733229576211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7E-44B9-9818-71F20B3AC19A}"/>
            </c:ext>
          </c:extLst>
        </c:ser>
        <c:ser>
          <c:idx val="1"/>
          <c:order val="1"/>
          <c:tx>
            <c:v>Operating &amp; Support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2517661352163604E-3"/>
                  <c:y val="-4.65198909806790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Model!$C$37:$Q$37</c:f>
              <c:numCache>
                <c:formatCode>0.00%</c:formatCode>
                <c:ptCount val="15"/>
                <c:pt idx="0">
                  <c:v>0.20978918080154102</c:v>
                </c:pt>
                <c:pt idx="1">
                  <c:v>0.20014682940258788</c:v>
                </c:pt>
                <c:pt idx="2">
                  <c:v>0.19004307444977414</c:v>
                </c:pt>
                <c:pt idx="3">
                  <c:v>0.17017916380150677</c:v>
                </c:pt>
                <c:pt idx="4">
                  <c:v>0.17065015479876161</c:v>
                </c:pt>
                <c:pt idx="5">
                  <c:v>0.17176389003161768</c:v>
                </c:pt>
                <c:pt idx="6">
                  <c:v>0.16875413757020521</c:v>
                </c:pt>
                <c:pt idx="7">
                  <c:v>0.16092973566338983</c:v>
                </c:pt>
                <c:pt idx="8">
                  <c:v>0.16913070996748075</c:v>
                </c:pt>
                <c:pt idx="9">
                  <c:v>0.16153897113552315</c:v>
                </c:pt>
                <c:pt idx="10">
                  <c:v>0.14948440635951252</c:v>
                </c:pt>
                <c:pt idx="11">
                  <c:v>0.15717606436092341</c:v>
                </c:pt>
                <c:pt idx="12">
                  <c:v>0.14635386555031588</c:v>
                </c:pt>
                <c:pt idx="13">
                  <c:v>0.15975646089823065</c:v>
                </c:pt>
                <c:pt idx="14">
                  <c:v>0.1738414416207828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7E-44B9-9818-71F20B3AC19A}"/>
            </c:ext>
          </c:extLst>
        </c:ser>
        <c:ser>
          <c:idx val="2"/>
          <c:order val="2"/>
          <c:tx>
            <c:v>R&amp;D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3387003545398975E-3"/>
                  <c:y val="2.97047571273467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Model!$C$38:$Q$38</c:f>
              <c:numCache>
                <c:formatCode>0.00%</c:formatCode>
                <c:ptCount val="15"/>
                <c:pt idx="0">
                  <c:v>8.1438279201669433E-2</c:v>
                </c:pt>
                <c:pt idx="1">
                  <c:v>7.8702853996512806E-2</c:v>
                </c:pt>
                <c:pt idx="2">
                  <c:v>6.9696731409399498E-2</c:v>
                </c:pt>
                <c:pt idx="3">
                  <c:v>6.2801786348489083E-2</c:v>
                </c:pt>
                <c:pt idx="4">
                  <c:v>7.005377220140134E-2</c:v>
                </c:pt>
                <c:pt idx="5">
                  <c:v>6.937082006135474E-2</c:v>
                </c:pt>
                <c:pt idx="6">
                  <c:v>6.5507079249151126E-2</c:v>
                </c:pt>
                <c:pt idx="7">
                  <c:v>6.5692107146007511E-2</c:v>
                </c:pt>
                <c:pt idx="8">
                  <c:v>6.6889281739016565E-2</c:v>
                </c:pt>
                <c:pt idx="9">
                  <c:v>7.2693121548791373E-2</c:v>
                </c:pt>
                <c:pt idx="10">
                  <c:v>6.6350830171822597E-2</c:v>
                </c:pt>
                <c:pt idx="11">
                  <c:v>6.4266211327024605E-2</c:v>
                </c:pt>
                <c:pt idx="12">
                  <c:v>6.9456150493743748E-2</c:v>
                </c:pt>
                <c:pt idx="13">
                  <c:v>9.093792347836116E-2</c:v>
                </c:pt>
                <c:pt idx="14">
                  <c:v>9.1791122431898076E-2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7E-44B9-9818-71F20B3AC19A}"/>
            </c:ext>
          </c:extLst>
        </c:ser>
        <c:ser>
          <c:idx val="3"/>
          <c:order val="3"/>
          <c:tx>
            <c:v>G&amp;A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1661792082794109E-2"/>
                  <c:y val="1.46830667845218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Model!$C$39:$Q$39</c:f>
              <c:numCache>
                <c:formatCode>0.00%</c:formatCode>
                <c:ptCount val="15"/>
                <c:pt idx="0">
                  <c:v>0.29176253411097436</c:v>
                </c:pt>
                <c:pt idx="1">
                  <c:v>0.25886711939065798</c:v>
                </c:pt>
                <c:pt idx="2">
                  <c:v>0.22931683747913992</c:v>
                </c:pt>
                <c:pt idx="3">
                  <c:v>0.2083166461382682</c:v>
                </c:pt>
                <c:pt idx="4">
                  <c:v>0.19887893107381457</c:v>
                </c:pt>
                <c:pt idx="5">
                  <c:v>0.18302988986706473</c:v>
                </c:pt>
                <c:pt idx="6">
                  <c:v>0.19170030110833494</c:v>
                </c:pt>
                <c:pt idx="7">
                  <c:v>0.1583814405708181</c:v>
                </c:pt>
                <c:pt idx="8">
                  <c:v>0.15088936903904493</c:v>
                </c:pt>
                <c:pt idx="9">
                  <c:v>0.15803564121848854</c:v>
                </c:pt>
                <c:pt idx="10">
                  <c:v>0.14035534751451778</c:v>
                </c:pt>
                <c:pt idx="11">
                  <c:v>0.1299666342841525</c:v>
                </c:pt>
                <c:pt idx="12">
                  <c:v>0.11286566408707907</c:v>
                </c:pt>
                <c:pt idx="13">
                  <c:v>0.1616377860431143</c:v>
                </c:pt>
                <c:pt idx="14">
                  <c:v>0.1825009387908374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7E-44B9-9818-71F20B3AC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0699808"/>
        <c:axId val="1060700288"/>
      </c:lineChart>
      <c:catAx>
        <c:axId val="106069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00288"/>
        <c:crosses val="autoZero"/>
        <c:auto val="1"/>
        <c:lblAlgn val="ctr"/>
        <c:lblOffset val="100"/>
        <c:noMultiLvlLbl val="0"/>
      </c:catAx>
      <c:valAx>
        <c:axId val="1060700288"/>
        <c:scaling>
          <c:orientation val="minMax"/>
          <c:max val="1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9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Model!$C$2:$Z$2</c:f>
              <c:strCache>
                <c:ptCount val="24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  <c:pt idx="15">
                  <c:v>Q425</c:v>
                </c:pt>
                <c:pt idx="16">
                  <c:v>Q126</c:v>
                </c:pt>
                <c:pt idx="17">
                  <c:v>Q226</c:v>
                </c:pt>
                <c:pt idx="18">
                  <c:v>Q326</c:v>
                </c:pt>
                <c:pt idx="19">
                  <c:v>Q426</c:v>
                </c:pt>
                <c:pt idx="20">
                  <c:v>Q127</c:v>
                </c:pt>
                <c:pt idx="21">
                  <c:v>Q227</c:v>
                </c:pt>
                <c:pt idx="22">
                  <c:v>Q327</c:v>
                </c:pt>
                <c:pt idx="23">
                  <c:v>Q427</c:v>
                </c:pt>
              </c:strCache>
            </c:strRef>
          </c:cat>
          <c:val>
            <c:numRef>
              <c:f>Model!$C$5:$Z$5</c:f>
              <c:numCache>
                <c:formatCode>#,##0</c:formatCode>
                <c:ptCount val="24"/>
                <c:pt idx="0">
                  <c:v>101314</c:v>
                </c:pt>
                <c:pt idx="1">
                  <c:v>113563</c:v>
                </c:pt>
                <c:pt idx="2">
                  <c:v>144836</c:v>
                </c:pt>
                <c:pt idx="3">
                  <c:v>167203</c:v>
                </c:pt>
                <c:pt idx="4">
                  <c:v>190770</c:v>
                </c:pt>
                <c:pt idx="5">
                  <c:v>207912</c:v>
                </c:pt>
                <c:pt idx="6">
                  <c:v>226699</c:v>
                </c:pt>
                <c:pt idx="7">
                  <c:v>246619</c:v>
                </c:pt>
                <c:pt idx="8">
                  <c:v>278171</c:v>
                </c:pt>
                <c:pt idx="9">
                  <c:v>315648</c:v>
                </c:pt>
                <c:pt idx="10">
                  <c:v>401556</c:v>
                </c:pt>
                <c:pt idx="11">
                  <c:v>481139</c:v>
                </c:pt>
                <c:pt idx="12">
                  <c:v>586010</c:v>
                </c:pt>
                <c:pt idx="13">
                  <c:v>544833</c:v>
                </c:pt>
                <c:pt idx="14">
                  <c:v>598976</c:v>
                </c:pt>
                <c:pt idx="15">
                  <c:v>619000</c:v>
                </c:pt>
                <c:pt idx="16">
                  <c:v>651000</c:v>
                </c:pt>
                <c:pt idx="17">
                  <c:v>663000</c:v>
                </c:pt>
                <c:pt idx="18">
                  <c:v>707000</c:v>
                </c:pt>
                <c:pt idx="19">
                  <c:v>751000</c:v>
                </c:pt>
                <c:pt idx="20">
                  <c:v>736000</c:v>
                </c:pt>
                <c:pt idx="21">
                  <c:v>763000</c:v>
                </c:pt>
                <c:pt idx="22">
                  <c:v>805000</c:v>
                </c:pt>
                <c:pt idx="23">
                  <c:v>836000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12-4018-A06F-A77F2AB23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2272096"/>
        <c:axId val="1762274496"/>
      </c:lineChart>
      <c:catAx>
        <c:axId val="176227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274496"/>
        <c:crosses val="autoZero"/>
        <c:auto val="1"/>
        <c:lblAlgn val="ctr"/>
        <c:lblOffset val="100"/>
        <c:noMultiLvlLbl val="0"/>
      </c:catAx>
      <c:valAx>
        <c:axId val="176227449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27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Subscribers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Subscribers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022528433945755E-2"/>
                  <c:y val="-8.37500000000000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Model!$C$21:$Q$21</c:f>
              <c:numCache>
                <c:formatCode>#,##0</c:formatCode>
                <c:ptCount val="15"/>
                <c:pt idx="0">
                  <c:v>646</c:v>
                </c:pt>
                <c:pt idx="1">
                  <c:v>748</c:v>
                </c:pt>
                <c:pt idx="2">
                  <c:v>916</c:v>
                </c:pt>
                <c:pt idx="3">
                  <c:v>1040</c:v>
                </c:pt>
                <c:pt idx="4">
                  <c:v>1209</c:v>
                </c:pt>
                <c:pt idx="5">
                  <c:v>1300</c:v>
                </c:pt>
                <c:pt idx="6">
                  <c:v>1426</c:v>
                </c:pt>
                <c:pt idx="7">
                  <c:v>1537</c:v>
                </c:pt>
                <c:pt idx="8">
                  <c:v>1709</c:v>
                </c:pt>
                <c:pt idx="9">
                  <c:v>1864</c:v>
                </c:pt>
                <c:pt idx="10">
                  <c:v>2047</c:v>
                </c:pt>
                <c:pt idx="11">
                  <c:v>2229</c:v>
                </c:pt>
                <c:pt idx="12">
                  <c:v>2366</c:v>
                </c:pt>
                <c:pt idx="13">
                  <c:v>2439</c:v>
                </c:pt>
                <c:pt idx="14">
                  <c:v>2471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A-45CC-BD58-7B55F8BB2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2216416"/>
        <c:axId val="1762244256"/>
      </c:barChart>
      <c:lineChart>
        <c:grouping val="standard"/>
        <c:varyColors val="0"/>
        <c:ser>
          <c:idx val="1"/>
          <c:order val="1"/>
          <c:tx>
            <c:v>Revenue per Subscriber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Model!$C$22:$Q$22</c:f>
              <c:numCache>
                <c:formatCode>_("$"* #,##0.00_);_("$"* \(#,##0.00\);_("$"* "-"??_);_(@_)</c:formatCode>
                <c:ptCount val="15"/>
                <c:pt idx="0">
                  <c:v>156.83281733746131</c:v>
                </c:pt>
                <c:pt idx="1">
                  <c:v>151.82219251336898</c:v>
                </c:pt>
                <c:pt idx="2">
                  <c:v>158.11790393013101</c:v>
                </c:pt>
                <c:pt idx="3">
                  <c:v>160.77211538461538</c:v>
                </c:pt>
                <c:pt idx="4">
                  <c:v>157.79156327543424</c:v>
                </c:pt>
                <c:pt idx="5">
                  <c:v>159.93230769230769</c:v>
                </c:pt>
                <c:pt idx="6">
                  <c:v>158.97545582047687</c:v>
                </c:pt>
                <c:pt idx="7">
                  <c:v>160.45478204294079</c:v>
                </c:pt>
                <c:pt idx="8">
                  <c:v>162.76828554710357</c:v>
                </c:pt>
                <c:pt idx="9">
                  <c:v>169.33905579399141</c:v>
                </c:pt>
                <c:pt idx="10">
                  <c:v>196.16805080605764</c:v>
                </c:pt>
                <c:pt idx="11">
                  <c:v>215.85419470614625</c:v>
                </c:pt>
                <c:pt idx="12">
                  <c:v>247.67962806424345</c:v>
                </c:pt>
                <c:pt idx="13">
                  <c:v>223.38376383763838</c:v>
                </c:pt>
                <c:pt idx="14">
                  <c:v>242.40226628895184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DA-45CC-BD58-7B55F8BB2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2241376"/>
        <c:axId val="1762223136"/>
      </c:lineChart>
      <c:catAx>
        <c:axId val="17622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244256"/>
        <c:crosses val="autoZero"/>
        <c:auto val="1"/>
        <c:lblAlgn val="ctr"/>
        <c:lblOffset val="100"/>
        <c:noMultiLvlLbl val="0"/>
      </c:catAx>
      <c:valAx>
        <c:axId val="17622442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216416"/>
        <c:crosses val="autoZero"/>
        <c:crossBetween val="between"/>
      </c:valAx>
      <c:valAx>
        <c:axId val="1762223136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241376"/>
        <c:crosses val="max"/>
        <c:crossBetween val="between"/>
      </c:valAx>
      <c:catAx>
        <c:axId val="1762241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22231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Revenue/Subscribers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2.8000594265339473E-2"/>
                  <c:y val="-7.34592899155677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Model!$E$21:$Q$21</c:f>
              <c:numCache>
                <c:formatCode>#,##0</c:formatCode>
                <c:ptCount val="13"/>
                <c:pt idx="0">
                  <c:v>916</c:v>
                </c:pt>
                <c:pt idx="1">
                  <c:v>1040</c:v>
                </c:pt>
                <c:pt idx="2">
                  <c:v>1209</c:v>
                </c:pt>
                <c:pt idx="3">
                  <c:v>1300</c:v>
                </c:pt>
                <c:pt idx="4">
                  <c:v>1426</c:v>
                </c:pt>
                <c:pt idx="5">
                  <c:v>1537</c:v>
                </c:pt>
                <c:pt idx="6">
                  <c:v>1709</c:v>
                </c:pt>
                <c:pt idx="7">
                  <c:v>1864</c:v>
                </c:pt>
                <c:pt idx="8">
                  <c:v>2047</c:v>
                </c:pt>
                <c:pt idx="9">
                  <c:v>2229</c:v>
                </c:pt>
                <c:pt idx="10">
                  <c:v>2366</c:v>
                </c:pt>
                <c:pt idx="11">
                  <c:v>2439</c:v>
                </c:pt>
                <c:pt idx="12">
                  <c:v>2471</c:v>
                </c:pt>
              </c:numCache>
            </c:numRef>
          </c:xVal>
          <c:yVal>
            <c:numRef>
              <c:f>Model!$C$5:$Q$5</c:f>
              <c:numCache>
                <c:formatCode>#,##0</c:formatCode>
                <c:ptCount val="15"/>
                <c:pt idx="0">
                  <c:v>101314</c:v>
                </c:pt>
                <c:pt idx="1">
                  <c:v>113563</c:v>
                </c:pt>
                <c:pt idx="2">
                  <c:v>144836</c:v>
                </c:pt>
                <c:pt idx="3">
                  <c:v>167203</c:v>
                </c:pt>
                <c:pt idx="4">
                  <c:v>190770</c:v>
                </c:pt>
                <c:pt idx="5">
                  <c:v>207912</c:v>
                </c:pt>
                <c:pt idx="6">
                  <c:v>226699</c:v>
                </c:pt>
                <c:pt idx="7">
                  <c:v>246619</c:v>
                </c:pt>
                <c:pt idx="8">
                  <c:v>278171</c:v>
                </c:pt>
                <c:pt idx="9">
                  <c:v>315648</c:v>
                </c:pt>
                <c:pt idx="10">
                  <c:v>401556</c:v>
                </c:pt>
                <c:pt idx="11">
                  <c:v>481139</c:v>
                </c:pt>
                <c:pt idx="12">
                  <c:v>586010</c:v>
                </c:pt>
                <c:pt idx="13">
                  <c:v>544833</c:v>
                </c:pt>
                <c:pt idx="14">
                  <c:v>598976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4-4000-AD3D-0D4141B86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603200"/>
        <c:axId val="1599609440"/>
      </c:scatterChart>
      <c:valAx>
        <c:axId val="159960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09440"/>
        <c:crosses val="autoZero"/>
        <c:crossBetween val="midCat"/>
      </c:valAx>
      <c:valAx>
        <c:axId val="15996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03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260625972033823E-2"/>
          <c:y val="1.3540823027950248E-2"/>
          <c:w val="0.93068551167928038"/>
          <c:h val="0.94284991947034102"/>
        </c:manualLayout>
      </c:layout>
      <c:lineChart>
        <c:grouping val="standard"/>
        <c:varyColors val="0"/>
        <c:ser>
          <c:idx val="0"/>
          <c:order val="0"/>
          <c:tx>
            <c:v>Marketing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1.0785645070747887E-2"/>
                  <c:y val="3.34446336129101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DBD-4820-B894-A1A9924FB3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chemeClr val="accent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8103557062398776E-2"/>
                  <c:y val="-4.44408005487836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Model!$C$36:$Q$36</c:f>
              <c:numCache>
                <c:formatCode>0.00%</c:formatCode>
                <c:ptCount val="15"/>
                <c:pt idx="0">
                  <c:v>0.64333297661726152</c:v>
                </c:pt>
                <c:pt idx="1">
                  <c:v>0.69388363769844907</c:v>
                </c:pt>
                <c:pt idx="2">
                  <c:v>0.68553904222694029</c:v>
                </c:pt>
                <c:pt idx="3">
                  <c:v>0.64639518804264873</c:v>
                </c:pt>
                <c:pt idx="4">
                  <c:v>0.63382760306338604</c:v>
                </c:pt>
                <c:pt idx="5">
                  <c:v>0.63011436429671241</c:v>
                </c:pt>
                <c:pt idx="6">
                  <c:v>0.61970657953744634</c:v>
                </c:pt>
                <c:pt idx="7">
                  <c:v>0.6169569436140705</c:v>
                </c:pt>
                <c:pt idx="8">
                  <c:v>0.56986403020580978</c:v>
                </c:pt>
                <c:pt idx="9">
                  <c:v>0.56474925276583809</c:v>
                </c:pt>
                <c:pt idx="10">
                  <c:v>0.57342569348760253</c:v>
                </c:pt>
                <c:pt idx="11">
                  <c:v>0.59826920422903007</c:v>
                </c:pt>
                <c:pt idx="12">
                  <c:v>0.53689553250721522</c:v>
                </c:pt>
                <c:pt idx="13">
                  <c:v>0.52346010052955816</c:v>
                </c:pt>
                <c:pt idx="14">
                  <c:v>0.52515733229576211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D-4820-B894-A1A9924FB3E3}"/>
            </c:ext>
          </c:extLst>
        </c:ser>
        <c:ser>
          <c:idx val="1"/>
          <c:order val="1"/>
          <c:tx>
            <c:v>Operating &amp; Support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0"/>
                  <c:y val="3.04906663057057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BD-4820-B894-A1A9924FB3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2517661352163604E-3"/>
                  <c:y val="-4.65198909806790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Model!$C$37:$Q$37</c:f>
              <c:numCache>
                <c:formatCode>0.00%</c:formatCode>
                <c:ptCount val="15"/>
                <c:pt idx="0">
                  <c:v>0.20978918080154102</c:v>
                </c:pt>
                <c:pt idx="1">
                  <c:v>0.20014682940258788</c:v>
                </c:pt>
                <c:pt idx="2">
                  <c:v>0.19004307444977414</c:v>
                </c:pt>
                <c:pt idx="3">
                  <c:v>0.17017916380150677</c:v>
                </c:pt>
                <c:pt idx="4">
                  <c:v>0.17065015479876161</c:v>
                </c:pt>
                <c:pt idx="5">
                  <c:v>0.17176389003161768</c:v>
                </c:pt>
                <c:pt idx="6">
                  <c:v>0.16875413757020521</c:v>
                </c:pt>
                <c:pt idx="7">
                  <c:v>0.16092973566338983</c:v>
                </c:pt>
                <c:pt idx="8">
                  <c:v>0.16913070996748075</c:v>
                </c:pt>
                <c:pt idx="9">
                  <c:v>0.16153897113552315</c:v>
                </c:pt>
                <c:pt idx="10">
                  <c:v>0.14948440635951252</c:v>
                </c:pt>
                <c:pt idx="11">
                  <c:v>0.15717606436092341</c:v>
                </c:pt>
                <c:pt idx="12">
                  <c:v>0.14635386555031588</c:v>
                </c:pt>
                <c:pt idx="13">
                  <c:v>0.15975646089823065</c:v>
                </c:pt>
                <c:pt idx="14">
                  <c:v>0.1738414416207828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BD-4820-B894-A1A9924FB3E3}"/>
            </c:ext>
          </c:extLst>
        </c:ser>
        <c:ser>
          <c:idx val="2"/>
          <c:order val="2"/>
          <c:tx>
            <c:v>R&amp;D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0"/>
                  <c:y val="4.98627139450698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DBD-4820-B894-A1A9924FB3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387003545398975E-3"/>
                  <c:y val="2.97047571273467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Model!$C$38:$Q$38</c:f>
              <c:numCache>
                <c:formatCode>0.00%</c:formatCode>
                <c:ptCount val="15"/>
                <c:pt idx="0">
                  <c:v>8.1438279201669433E-2</c:v>
                </c:pt>
                <c:pt idx="1">
                  <c:v>7.8702853996512806E-2</c:v>
                </c:pt>
                <c:pt idx="2">
                  <c:v>6.9696731409399498E-2</c:v>
                </c:pt>
                <c:pt idx="3">
                  <c:v>6.2801786348489083E-2</c:v>
                </c:pt>
                <c:pt idx="4">
                  <c:v>7.005377220140134E-2</c:v>
                </c:pt>
                <c:pt idx="5">
                  <c:v>6.937082006135474E-2</c:v>
                </c:pt>
                <c:pt idx="6">
                  <c:v>6.5507079249151126E-2</c:v>
                </c:pt>
                <c:pt idx="7">
                  <c:v>6.5692107146007511E-2</c:v>
                </c:pt>
                <c:pt idx="8">
                  <c:v>6.6889281739016565E-2</c:v>
                </c:pt>
                <c:pt idx="9">
                  <c:v>7.2693121548791373E-2</c:v>
                </c:pt>
                <c:pt idx="10">
                  <c:v>6.6350830171822597E-2</c:v>
                </c:pt>
                <c:pt idx="11">
                  <c:v>6.4266211327024605E-2</c:v>
                </c:pt>
                <c:pt idx="12">
                  <c:v>6.9456150493743748E-2</c:v>
                </c:pt>
                <c:pt idx="13">
                  <c:v>9.093792347836116E-2</c:v>
                </c:pt>
                <c:pt idx="14">
                  <c:v>9.1791122431898076E-2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BD-4820-B894-A1A9924FB3E3}"/>
            </c:ext>
          </c:extLst>
        </c:ser>
        <c:ser>
          <c:idx val="3"/>
          <c:order val="3"/>
          <c:tx>
            <c:v>G&amp;A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4.5737160044364407E-2"/>
                  <c:y val="-6.41092036436614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DBD-4820-B894-A1A9924FB3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661792082794109E-2"/>
                  <c:y val="1.46830667845218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Model!$C$39:$Q$39</c:f>
              <c:numCache>
                <c:formatCode>0.00%</c:formatCode>
                <c:ptCount val="15"/>
                <c:pt idx="0">
                  <c:v>0.29176253411097436</c:v>
                </c:pt>
                <c:pt idx="1">
                  <c:v>0.25886711939065798</c:v>
                </c:pt>
                <c:pt idx="2">
                  <c:v>0.22931683747913992</c:v>
                </c:pt>
                <c:pt idx="3">
                  <c:v>0.2083166461382682</c:v>
                </c:pt>
                <c:pt idx="4">
                  <c:v>0.19887893107381457</c:v>
                </c:pt>
                <c:pt idx="5">
                  <c:v>0.18302988986706473</c:v>
                </c:pt>
                <c:pt idx="6">
                  <c:v>0.19170030110833494</c:v>
                </c:pt>
                <c:pt idx="7">
                  <c:v>0.1583814405708181</c:v>
                </c:pt>
                <c:pt idx="8">
                  <c:v>0.15088936903904493</c:v>
                </c:pt>
                <c:pt idx="9">
                  <c:v>0.15803564121848854</c:v>
                </c:pt>
                <c:pt idx="10">
                  <c:v>0.14035534751451778</c:v>
                </c:pt>
                <c:pt idx="11">
                  <c:v>0.1299666342841525</c:v>
                </c:pt>
                <c:pt idx="12">
                  <c:v>0.11286566408707907</c:v>
                </c:pt>
                <c:pt idx="13">
                  <c:v>0.1616377860431143</c:v>
                </c:pt>
                <c:pt idx="14">
                  <c:v>0.1825009387908374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BD-4820-B894-A1A9924FB3E3}"/>
            </c:ext>
          </c:extLst>
        </c:ser>
        <c:ser>
          <c:idx val="4"/>
          <c:order val="4"/>
          <c:tx>
            <c:v>Gross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611075877710976E-4"/>
                  <c:y val="-2.782126579270401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/>
                      <a:t>y = -0.0016x + 0.7991</a:t>
                    </a:r>
                    <a:br>
                      <a:rPr lang="en-US" sz="1100" baseline="0"/>
                    </a:br>
                    <a:r>
                      <a:rPr lang="en-US" sz="1100" baseline="0"/>
                      <a:t>R² = 0.0457</a:t>
                    </a:r>
                    <a:endParaRPr lang="en-US" sz="11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Model!$C$30:$Q$30</c:f>
              <c:numCache>
                <c:formatCode>0.00%</c:formatCode>
                <c:ptCount val="15"/>
                <c:pt idx="0">
                  <c:v>0.73786446098268743</c:v>
                </c:pt>
                <c:pt idx="1">
                  <c:v>0.76764439121897099</c:v>
                </c:pt>
                <c:pt idx="2">
                  <c:v>0.7902248059874617</c:v>
                </c:pt>
                <c:pt idx="3">
                  <c:v>0.79147503334270319</c:v>
                </c:pt>
                <c:pt idx="4">
                  <c:v>0.80424070870681974</c:v>
                </c:pt>
                <c:pt idx="5">
                  <c:v>0.81841355958290041</c:v>
                </c:pt>
                <c:pt idx="6">
                  <c:v>0.82624096268620506</c:v>
                </c:pt>
                <c:pt idx="7">
                  <c:v>0.82742205588377216</c:v>
                </c:pt>
                <c:pt idx="8">
                  <c:v>0.82357614560827697</c:v>
                </c:pt>
                <c:pt idx="9">
                  <c:v>0.81297204480940799</c:v>
                </c:pt>
                <c:pt idx="10">
                  <c:v>0.7916355377581209</c:v>
                </c:pt>
                <c:pt idx="11">
                  <c:v>0.76805455388151866</c:v>
                </c:pt>
                <c:pt idx="12">
                  <c:v>0.73495162198597297</c:v>
                </c:pt>
                <c:pt idx="13">
                  <c:v>0.76389646001618849</c:v>
                </c:pt>
                <c:pt idx="14">
                  <c:v>0.73802289240303454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DBD-4820-B894-A1A9924FB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0699808"/>
        <c:axId val="1060700288"/>
      </c:lineChart>
      <c:catAx>
        <c:axId val="106069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00288"/>
        <c:crosses val="autoZero"/>
        <c:auto val="1"/>
        <c:lblAlgn val="ctr"/>
        <c:lblOffset val="100"/>
        <c:noMultiLvlLbl val="0"/>
      </c:catAx>
      <c:valAx>
        <c:axId val="1060700288"/>
        <c:scaling>
          <c:orientation val="minMax"/>
          <c:max val="1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9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Model!$C$2:$Z$2</c:f>
              <c:strCache>
                <c:ptCount val="24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  <c:pt idx="15">
                  <c:v>Q425</c:v>
                </c:pt>
                <c:pt idx="16">
                  <c:v>Q126</c:v>
                </c:pt>
                <c:pt idx="17">
                  <c:v>Q226</c:v>
                </c:pt>
                <c:pt idx="18">
                  <c:v>Q326</c:v>
                </c:pt>
                <c:pt idx="19">
                  <c:v>Q426</c:v>
                </c:pt>
                <c:pt idx="20">
                  <c:v>Q127</c:v>
                </c:pt>
                <c:pt idx="21">
                  <c:v>Q227</c:v>
                </c:pt>
                <c:pt idx="22">
                  <c:v>Q327</c:v>
                </c:pt>
                <c:pt idx="23">
                  <c:v>Q427</c:v>
                </c:pt>
              </c:strCache>
            </c:strRef>
          </c:cat>
          <c:val>
            <c:numRef>
              <c:f>Model!$C$5:$Z$5</c:f>
              <c:numCache>
                <c:formatCode>#,##0</c:formatCode>
                <c:ptCount val="24"/>
                <c:pt idx="0">
                  <c:v>101314</c:v>
                </c:pt>
                <c:pt idx="1">
                  <c:v>113563</c:v>
                </c:pt>
                <c:pt idx="2">
                  <c:v>144836</c:v>
                </c:pt>
                <c:pt idx="3">
                  <c:v>167203</c:v>
                </c:pt>
                <c:pt idx="4">
                  <c:v>190770</c:v>
                </c:pt>
                <c:pt idx="5">
                  <c:v>207912</c:v>
                </c:pt>
                <c:pt idx="6">
                  <c:v>226699</c:v>
                </c:pt>
                <c:pt idx="7">
                  <c:v>246619</c:v>
                </c:pt>
                <c:pt idx="8">
                  <c:v>278171</c:v>
                </c:pt>
                <c:pt idx="9">
                  <c:v>315648</c:v>
                </c:pt>
                <c:pt idx="10">
                  <c:v>401556</c:v>
                </c:pt>
                <c:pt idx="11">
                  <c:v>481139</c:v>
                </c:pt>
                <c:pt idx="12">
                  <c:v>586010</c:v>
                </c:pt>
                <c:pt idx="13">
                  <c:v>544833</c:v>
                </c:pt>
                <c:pt idx="14">
                  <c:v>598976</c:v>
                </c:pt>
                <c:pt idx="15">
                  <c:v>619000</c:v>
                </c:pt>
                <c:pt idx="16">
                  <c:v>651000</c:v>
                </c:pt>
                <c:pt idx="17">
                  <c:v>663000</c:v>
                </c:pt>
                <c:pt idx="18">
                  <c:v>707000</c:v>
                </c:pt>
                <c:pt idx="19">
                  <c:v>751000</c:v>
                </c:pt>
                <c:pt idx="20">
                  <c:v>736000</c:v>
                </c:pt>
                <c:pt idx="21">
                  <c:v>763000</c:v>
                </c:pt>
                <c:pt idx="22">
                  <c:v>805000</c:v>
                </c:pt>
                <c:pt idx="23">
                  <c:v>836000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F2-481D-83C2-B8CCA8A18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2272096"/>
        <c:axId val="1762274496"/>
      </c:lineChart>
      <c:catAx>
        <c:axId val="176227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274496"/>
        <c:crosses val="autoZero"/>
        <c:auto val="1"/>
        <c:lblAlgn val="ctr"/>
        <c:lblOffset val="100"/>
        <c:noMultiLvlLbl val="0"/>
      </c:catAx>
      <c:valAx>
        <c:axId val="176227449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27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Subscribers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Subscribers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022528433945755E-2"/>
                  <c:y val="-8.37500000000000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Model!$C$21:$Q$21</c:f>
              <c:numCache>
                <c:formatCode>#,##0</c:formatCode>
                <c:ptCount val="15"/>
                <c:pt idx="0">
                  <c:v>646</c:v>
                </c:pt>
                <c:pt idx="1">
                  <c:v>748</c:v>
                </c:pt>
                <c:pt idx="2">
                  <c:v>916</c:v>
                </c:pt>
                <c:pt idx="3">
                  <c:v>1040</c:v>
                </c:pt>
                <c:pt idx="4">
                  <c:v>1209</c:v>
                </c:pt>
                <c:pt idx="5">
                  <c:v>1300</c:v>
                </c:pt>
                <c:pt idx="6">
                  <c:v>1426</c:v>
                </c:pt>
                <c:pt idx="7">
                  <c:v>1537</c:v>
                </c:pt>
                <c:pt idx="8">
                  <c:v>1709</c:v>
                </c:pt>
                <c:pt idx="9">
                  <c:v>1864</c:v>
                </c:pt>
                <c:pt idx="10">
                  <c:v>2047</c:v>
                </c:pt>
                <c:pt idx="11">
                  <c:v>2229</c:v>
                </c:pt>
                <c:pt idx="12">
                  <c:v>2366</c:v>
                </c:pt>
                <c:pt idx="13">
                  <c:v>2439</c:v>
                </c:pt>
                <c:pt idx="14">
                  <c:v>2471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4-4048-945B-08D9BAB56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2216416"/>
        <c:axId val="1762244256"/>
      </c:barChart>
      <c:lineChart>
        <c:grouping val="standard"/>
        <c:varyColors val="0"/>
        <c:ser>
          <c:idx val="1"/>
          <c:order val="1"/>
          <c:tx>
            <c:v>Revenue per Subscriber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Model!$C$2:$Q$2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Model!$C$22:$Q$22</c:f>
              <c:numCache>
                <c:formatCode>_("$"* #,##0.00_);_("$"* \(#,##0.00\);_("$"* "-"??_);_(@_)</c:formatCode>
                <c:ptCount val="15"/>
                <c:pt idx="0">
                  <c:v>156.83281733746131</c:v>
                </c:pt>
                <c:pt idx="1">
                  <c:v>151.82219251336898</c:v>
                </c:pt>
                <c:pt idx="2">
                  <c:v>158.11790393013101</c:v>
                </c:pt>
                <c:pt idx="3">
                  <c:v>160.77211538461538</c:v>
                </c:pt>
                <c:pt idx="4">
                  <c:v>157.79156327543424</c:v>
                </c:pt>
                <c:pt idx="5">
                  <c:v>159.93230769230769</c:v>
                </c:pt>
                <c:pt idx="6">
                  <c:v>158.97545582047687</c:v>
                </c:pt>
                <c:pt idx="7">
                  <c:v>160.45478204294079</c:v>
                </c:pt>
                <c:pt idx="8">
                  <c:v>162.76828554710357</c:v>
                </c:pt>
                <c:pt idx="9">
                  <c:v>169.33905579399141</c:v>
                </c:pt>
                <c:pt idx="10">
                  <c:v>196.16805080605764</c:v>
                </c:pt>
                <c:pt idx="11">
                  <c:v>215.85419470614625</c:v>
                </c:pt>
                <c:pt idx="12">
                  <c:v>247.67962806424345</c:v>
                </c:pt>
                <c:pt idx="13">
                  <c:v>223.38376383763838</c:v>
                </c:pt>
                <c:pt idx="14">
                  <c:v>242.40226628895184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C4-4048-945B-08D9BAB56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2241376"/>
        <c:axId val="1762223136"/>
      </c:lineChart>
      <c:catAx>
        <c:axId val="17622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244256"/>
        <c:crosses val="autoZero"/>
        <c:auto val="1"/>
        <c:lblAlgn val="ctr"/>
        <c:lblOffset val="100"/>
        <c:noMultiLvlLbl val="0"/>
      </c:catAx>
      <c:valAx>
        <c:axId val="17622442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216416"/>
        <c:crosses val="autoZero"/>
        <c:crossBetween val="between"/>
      </c:valAx>
      <c:valAx>
        <c:axId val="1762223136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241376"/>
        <c:crosses val="max"/>
        <c:crossBetween val="between"/>
      </c:valAx>
      <c:catAx>
        <c:axId val="1762241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2223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Revenue/Subscribers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2.7056163979497495E-2"/>
                  <c:y val="-6.28966413326865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Model!$E$21:$Q$21</c:f>
              <c:numCache>
                <c:formatCode>#,##0</c:formatCode>
                <c:ptCount val="13"/>
                <c:pt idx="0">
                  <c:v>916</c:v>
                </c:pt>
                <c:pt idx="1">
                  <c:v>1040</c:v>
                </c:pt>
                <c:pt idx="2">
                  <c:v>1209</c:v>
                </c:pt>
                <c:pt idx="3">
                  <c:v>1300</c:v>
                </c:pt>
                <c:pt idx="4">
                  <c:v>1426</c:v>
                </c:pt>
                <c:pt idx="5">
                  <c:v>1537</c:v>
                </c:pt>
                <c:pt idx="6">
                  <c:v>1709</c:v>
                </c:pt>
                <c:pt idx="7">
                  <c:v>1864</c:v>
                </c:pt>
                <c:pt idx="8">
                  <c:v>2047</c:v>
                </c:pt>
                <c:pt idx="9">
                  <c:v>2229</c:v>
                </c:pt>
                <c:pt idx="10">
                  <c:v>2366</c:v>
                </c:pt>
                <c:pt idx="11">
                  <c:v>2439</c:v>
                </c:pt>
                <c:pt idx="12">
                  <c:v>2471</c:v>
                </c:pt>
              </c:numCache>
            </c:numRef>
          </c:xVal>
          <c:yVal>
            <c:numRef>
              <c:f>Model!$C$5:$Q$5</c:f>
              <c:numCache>
                <c:formatCode>#,##0</c:formatCode>
                <c:ptCount val="15"/>
                <c:pt idx="0">
                  <c:v>101314</c:v>
                </c:pt>
                <c:pt idx="1">
                  <c:v>113563</c:v>
                </c:pt>
                <c:pt idx="2">
                  <c:v>144836</c:v>
                </c:pt>
                <c:pt idx="3">
                  <c:v>167203</c:v>
                </c:pt>
                <c:pt idx="4">
                  <c:v>190770</c:v>
                </c:pt>
                <c:pt idx="5">
                  <c:v>207912</c:v>
                </c:pt>
                <c:pt idx="6">
                  <c:v>226699</c:v>
                </c:pt>
                <c:pt idx="7">
                  <c:v>246619</c:v>
                </c:pt>
                <c:pt idx="8">
                  <c:v>278171</c:v>
                </c:pt>
                <c:pt idx="9">
                  <c:v>315648</c:v>
                </c:pt>
                <c:pt idx="10">
                  <c:v>401556</c:v>
                </c:pt>
                <c:pt idx="11">
                  <c:v>481139</c:v>
                </c:pt>
                <c:pt idx="12">
                  <c:v>586010</c:v>
                </c:pt>
                <c:pt idx="13">
                  <c:v>544833</c:v>
                </c:pt>
                <c:pt idx="14">
                  <c:v>598976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7F-455B-9A41-5EA7D766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603200"/>
        <c:axId val="1599609440"/>
      </c:scatterChart>
      <c:valAx>
        <c:axId val="159960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09440"/>
        <c:crosses val="autoZero"/>
        <c:crossBetween val="midCat"/>
      </c:valAx>
      <c:valAx>
        <c:axId val="15996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03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716280</xdr:colOff>
      <xdr:row>4</xdr:row>
      <xdr:rowOff>7620</xdr:rowOff>
    </xdr:from>
    <xdr:to>
      <xdr:col>11</xdr:col>
      <xdr:colOff>540489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D3F102-0B0B-C3D4-3DE7-FF0ACAE16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152400</xdr:colOff>
      <xdr:row>44</xdr:row>
      <xdr:rowOff>142240</xdr:rowOff>
    </xdr:from>
    <xdr:to>
      <xdr:col>15</xdr:col>
      <xdr:colOff>162560</xdr:colOff>
      <xdr:row>65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B7FF12-A926-4EF4-80FE-B6D855954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1737360</xdr:colOff>
      <xdr:row>134</xdr:row>
      <xdr:rowOff>40640</xdr:rowOff>
    </xdr:from>
    <xdr:to>
      <xdr:col>13</xdr:col>
      <xdr:colOff>396240</xdr:colOff>
      <xdr:row>158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4D9C7D-67A8-457C-BFAE-E418D3705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240210</xdr:colOff>
      <xdr:row>133</xdr:row>
      <xdr:rowOff>140063</xdr:rowOff>
    </xdr:from>
    <xdr:to>
      <xdr:col>35</xdr:col>
      <xdr:colOff>370114</xdr:colOff>
      <xdr:row>165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AA50F7-04A5-4C61-9CAF-A75A1DF63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702336</xdr:colOff>
      <xdr:row>19</xdr:row>
      <xdr:rowOff>72088</xdr:rowOff>
    </xdr:from>
    <xdr:to>
      <xdr:col>49</xdr:col>
      <xdr:colOff>212254</xdr:colOff>
      <xdr:row>47</xdr:row>
      <xdr:rowOff>93860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CF46F2-AE4D-42FF-9A12-AD78D6E89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237084</xdr:colOff>
      <xdr:row>7</xdr:row>
      <xdr:rowOff>30878</xdr:rowOff>
    </xdr:from>
    <xdr:to>
      <xdr:col>27</xdr:col>
      <xdr:colOff>502327</xdr:colOff>
      <xdr:row>23</xdr:row>
      <xdr:rowOff>93801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850184-C205-E58B-0F16-52A9C5907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198120</xdr:colOff>
      <xdr:row>34</xdr:row>
      <xdr:rowOff>121920</xdr:rowOff>
    </xdr:from>
    <xdr:to>
      <xdr:col>27</xdr:col>
      <xdr:colOff>502920</xdr:colOff>
      <xdr:row>50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B036D2-9158-2940-62E4-EA577F8A9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19594</xdr:colOff>
      <xdr:row>14</xdr:row>
      <xdr:rowOff>151674</xdr:rowOff>
    </xdr:from>
    <xdr:to>
      <xdr:col>30</xdr:col>
      <xdr:colOff>658223</xdr:colOff>
      <xdr:row>34</xdr:row>
      <xdr:rowOff>70395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2900B8-A864-ED47-0A56-A2AAF482F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134911</xdr:colOff>
      <xdr:row>63</xdr:row>
      <xdr:rowOff>54015</xdr:rowOff>
    </xdr:from>
    <xdr:to>
      <xdr:col>47</xdr:col>
      <xdr:colOff>304800</xdr:colOff>
      <xdr:row>83</xdr:row>
      <xdr:rowOff>25401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D32B6F-8F2C-40A3-8143-7A456E1C7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564679</xdr:colOff>
      <xdr:row>43</xdr:row>
      <xdr:rowOff>127000</xdr:rowOff>
    </xdr:from>
    <xdr:to>
      <xdr:col>35</xdr:col>
      <xdr:colOff>204158</xdr:colOff>
      <xdr:row>59</xdr:row>
      <xdr:rowOff>19462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E8994D-F8FE-482C-A0C0-065AE041E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87565</xdr:colOff>
      <xdr:row>62</xdr:row>
      <xdr:rowOff>34551</xdr:rowOff>
    </xdr:from>
    <xdr:to>
      <xdr:col>35</xdr:col>
      <xdr:colOff>376201</xdr:colOff>
      <xdr:row>77</xdr:row>
      <xdr:rowOff>40621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BCF632-74CE-4BE0-92BD-7D67D153B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241300</xdr:colOff>
      <xdr:row>44</xdr:row>
      <xdr:rowOff>149082</xdr:rowOff>
    </xdr:from>
    <xdr:to>
      <xdr:col>47</xdr:col>
      <xdr:colOff>244929</xdr:colOff>
      <xdr:row>62</xdr:row>
      <xdr:rowOff>15353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F4D0BC-7531-476F-90AB-7CD7C65FA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7:K14"/>
  <sheetViews>
    <sheetView workbookViewId="0">
      <selection activeCell="BM19" sqref="BM19"/>
    </sheetView>
  </sheetViews>
  <sheetFormatPr defaultRowHeight="13.2" x14ac:dyDescent="0.25"/>
  <cols>
    <col min="1" max="9" width="8.88671875" style="2"/>
    <col min="10" max="10" width="9.88671875" style="2" bestFit="1" customWidth="1"/>
    <col min="11" max="11" width="9" style="2" bestFit="1" customWidth="1"/>
    <col min="12" max="16384" width="8.88671875" style="2"/>
  </cols>
  <sheetData>
    <row r="7" spans="9:11" x14ac:dyDescent="0.25">
      <c r="I7" s="2" t="s">
        <v>1</v>
      </c>
      <c r="J7" s="2">
        <v>19.38</v>
      </c>
      <c r="K7" s="15">
        <v>46060</v>
      </c>
    </row>
    <row r="8" spans="9:11" x14ac:dyDescent="0.25">
      <c r="I8" s="2" t="s">
        <v>2</v>
      </c>
      <c r="J8" s="3">
        <f>219270.891+8377.623</f>
        <v>227648.514</v>
      </c>
    </row>
    <row r="9" spans="9:11" x14ac:dyDescent="0.25">
      <c r="I9" s="2" t="s">
        <v>3</v>
      </c>
      <c r="J9" s="3">
        <f>J7*J8</f>
        <v>4411828.20132</v>
      </c>
      <c r="K9" s="2" t="s">
        <v>7</v>
      </c>
    </row>
    <row r="10" spans="9:11" x14ac:dyDescent="0.25">
      <c r="I10" s="2" t="s">
        <v>4</v>
      </c>
      <c r="J10" s="3">
        <f>+Model!Q61</f>
        <v>971023</v>
      </c>
      <c r="K10" s="2" t="s">
        <v>7</v>
      </c>
    </row>
    <row r="11" spans="9:11" x14ac:dyDescent="0.25">
      <c r="I11" s="2" t="s">
        <v>5</v>
      </c>
      <c r="J11" s="3">
        <f>+Model!Q44+Model!Q49</f>
        <v>888980</v>
      </c>
      <c r="K11" s="2" t="s">
        <v>7</v>
      </c>
    </row>
    <row r="12" spans="9:11" x14ac:dyDescent="0.25">
      <c r="J12" s="3"/>
    </row>
    <row r="13" spans="9:11" x14ac:dyDescent="0.25">
      <c r="I13" s="2" t="s">
        <v>6</v>
      </c>
      <c r="J13" s="3">
        <f>J9-J11+J10</f>
        <v>4493871.20132</v>
      </c>
    </row>
    <row r="14" spans="9:11" x14ac:dyDescent="0.25">
      <c r="J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571C-5FFD-4737-B1EC-765201E1BDDF}">
  <dimension ref="A1:AK134"/>
  <sheetViews>
    <sheetView tabSelected="1" zoomScale="62" zoomScaleNormal="100" workbookViewId="0">
      <pane xSplit="2" ySplit="2" topLeftCell="C3" activePane="bottomRight" state="frozen"/>
      <selection activeCell="BM19" sqref="BM19"/>
      <selection pane="topRight" activeCell="BM19" sqref="BM19"/>
      <selection pane="bottomLeft" activeCell="BM19" sqref="BM19"/>
      <selection pane="bottomRight" activeCell="P21" sqref="P21"/>
    </sheetView>
  </sheetViews>
  <sheetFormatPr defaultRowHeight="13.2" x14ac:dyDescent="0.25"/>
  <cols>
    <col min="1" max="1" width="8.88671875" style="2"/>
    <col min="2" max="2" width="26.5546875" style="2" customWidth="1"/>
    <col min="3" max="3" width="12.88671875" style="2" bestFit="1" customWidth="1"/>
    <col min="4" max="5" width="12.44140625" style="2" bestFit="1" customWidth="1"/>
    <col min="6" max="12" width="12.88671875" style="2" bestFit="1" customWidth="1"/>
    <col min="13" max="13" width="12.44140625" style="2" bestFit="1" customWidth="1"/>
    <col min="14" max="14" width="12.88671875" style="2" bestFit="1" customWidth="1"/>
    <col min="15" max="16" width="13.33203125" style="2" bestFit="1" customWidth="1"/>
    <col min="17" max="17" width="10.109375" style="2" customWidth="1"/>
    <col min="18" max="20" width="11" style="2" bestFit="1" customWidth="1"/>
    <col min="21" max="30" width="8.88671875" style="2"/>
    <col min="31" max="31" width="10.77734375" style="2" bestFit="1" customWidth="1"/>
    <col min="32" max="32" width="11.21875" style="2" bestFit="1" customWidth="1"/>
    <col min="33" max="33" width="11.44140625" style="2" bestFit="1" customWidth="1"/>
    <col min="34" max="34" width="11" style="2" bestFit="1" customWidth="1"/>
    <col min="35" max="37" width="9" style="2" bestFit="1" customWidth="1"/>
    <col min="38" max="16384" width="8.88671875" style="2"/>
  </cols>
  <sheetData>
    <row r="1" spans="1:37" x14ac:dyDescent="0.25">
      <c r="A1" s="1" t="s">
        <v>0</v>
      </c>
    </row>
    <row r="2" spans="1:37" x14ac:dyDescent="0.25">
      <c r="C2" s="2" t="s">
        <v>119</v>
      </c>
      <c r="D2" s="2" t="s">
        <v>120</v>
      </c>
      <c r="E2" s="2" t="s">
        <v>121</v>
      </c>
      <c r="F2" s="2" t="s">
        <v>122</v>
      </c>
      <c r="G2" s="2" t="s">
        <v>123</v>
      </c>
      <c r="H2" s="2" t="s">
        <v>124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7</v>
      </c>
      <c r="R2" s="2" t="s">
        <v>127</v>
      </c>
      <c r="S2" s="2" t="s">
        <v>128</v>
      </c>
      <c r="T2" s="2" t="s">
        <v>129</v>
      </c>
      <c r="U2" s="2" t="s">
        <v>130</v>
      </c>
      <c r="V2" s="2" t="s">
        <v>131</v>
      </c>
      <c r="W2" s="2" t="s">
        <v>132</v>
      </c>
      <c r="X2" s="2" t="s">
        <v>133</v>
      </c>
      <c r="Y2" s="2" t="s">
        <v>134</v>
      </c>
      <c r="Z2" s="2" t="s">
        <v>135</v>
      </c>
      <c r="AE2" s="2">
        <v>2022</v>
      </c>
      <c r="AF2" s="2">
        <v>2023</v>
      </c>
      <c r="AG2" s="2">
        <v>2024</v>
      </c>
      <c r="AH2" s="2">
        <v>2025</v>
      </c>
      <c r="AI2" s="2">
        <v>2026</v>
      </c>
      <c r="AJ2" s="2">
        <v>2027</v>
      </c>
      <c r="AK2" s="2">
        <v>2028</v>
      </c>
    </row>
    <row r="3" spans="1:37" s="3" customFormat="1" x14ac:dyDescent="0.25">
      <c r="B3" s="3" t="s">
        <v>102</v>
      </c>
      <c r="C3" s="3">
        <v>94102</v>
      </c>
      <c r="D3" s="3">
        <v>107462</v>
      </c>
      <c r="E3" s="3">
        <v>139781</v>
      </c>
      <c r="F3" s="3">
        <v>161162</v>
      </c>
      <c r="G3" s="3">
        <v>184175</v>
      </c>
      <c r="H3" s="3">
        <v>201178</v>
      </c>
      <c r="I3" s="3">
        <v>219665</v>
      </c>
      <c r="J3" s="3">
        <v>237363</v>
      </c>
      <c r="K3" s="3">
        <v>267761</v>
      </c>
      <c r="L3" s="3">
        <v>306843</v>
      </c>
      <c r="M3" s="3">
        <v>392573</v>
      </c>
      <c r="N3" s="3">
        <v>470760</v>
      </c>
      <c r="O3" s="3">
        <v>576361</v>
      </c>
      <c r="P3" s="3">
        <v>536880</v>
      </c>
      <c r="Q3" s="3">
        <v>589095</v>
      </c>
      <c r="AE3" s="3">
        <v>502507</v>
      </c>
      <c r="AF3" s="3">
        <v>842381</v>
      </c>
      <c r="AG3" s="3">
        <f>SUM(K3:N3)</f>
        <v>1437937</v>
      </c>
    </row>
    <row r="4" spans="1:37" s="3" customFormat="1" x14ac:dyDescent="0.25">
      <c r="B4" s="3" t="s">
        <v>103</v>
      </c>
      <c r="C4" s="3">
        <v>7212</v>
      </c>
      <c r="D4" s="3">
        <v>6101</v>
      </c>
      <c r="E4" s="3">
        <v>5055</v>
      </c>
      <c r="F4" s="3">
        <v>6041</v>
      </c>
      <c r="G4" s="3">
        <v>6595</v>
      </c>
      <c r="H4" s="3">
        <v>6734</v>
      </c>
      <c r="I4" s="3">
        <v>7034</v>
      </c>
      <c r="J4" s="3">
        <v>9256</v>
      </c>
      <c r="K4" s="3">
        <v>10410</v>
      </c>
      <c r="L4" s="3">
        <v>8805</v>
      </c>
      <c r="M4" s="3">
        <v>8983</v>
      </c>
      <c r="N4" s="3">
        <v>10379</v>
      </c>
      <c r="O4" s="3">
        <v>9649</v>
      </c>
      <c r="P4" s="3">
        <v>7953</v>
      </c>
      <c r="Q4" s="3">
        <v>9881</v>
      </c>
      <c r="AE4" s="3">
        <v>24409</v>
      </c>
      <c r="AF4" s="3">
        <v>29619</v>
      </c>
      <c r="AG4" s="3">
        <f>SUM(K4:N4)</f>
        <v>38577</v>
      </c>
    </row>
    <row r="5" spans="1:37" s="4" customFormat="1" x14ac:dyDescent="0.25">
      <c r="B5" s="4" t="s">
        <v>104</v>
      </c>
      <c r="C5" s="4">
        <f t="shared" ref="C5" si="0">SUM(C3:C4)</f>
        <v>101314</v>
      </c>
      <c r="D5" s="4">
        <f t="shared" ref="D5" si="1">SUM(D3:D4)</f>
        <v>113563</v>
      </c>
      <c r="E5" s="4">
        <f t="shared" ref="E5" si="2">SUM(E3:E4)</f>
        <v>144836</v>
      </c>
      <c r="F5" s="4">
        <f t="shared" ref="F5" si="3">SUM(F3:F4)</f>
        <v>167203</v>
      </c>
      <c r="G5" s="4">
        <f t="shared" ref="G5" si="4">SUM(G3:G4)</f>
        <v>190770</v>
      </c>
      <c r="H5" s="4">
        <f t="shared" ref="H5" si="5">SUM(H3:H4)</f>
        <v>207912</v>
      </c>
      <c r="I5" s="4">
        <f t="shared" ref="I5:P5" si="6">SUM(I3:I4)</f>
        <v>226699</v>
      </c>
      <c r="J5" s="4">
        <f t="shared" si="6"/>
        <v>246619</v>
      </c>
      <c r="K5" s="4">
        <f t="shared" si="6"/>
        <v>278171</v>
      </c>
      <c r="L5" s="4">
        <f t="shared" si="6"/>
        <v>315648</v>
      </c>
      <c r="M5" s="4">
        <f t="shared" si="6"/>
        <v>401556</v>
      </c>
      <c r="N5" s="4">
        <f t="shared" si="6"/>
        <v>481139</v>
      </c>
      <c r="O5" s="4">
        <f t="shared" si="6"/>
        <v>586010</v>
      </c>
      <c r="P5" s="4">
        <f t="shared" si="6"/>
        <v>544833</v>
      </c>
      <c r="Q5" s="4">
        <f>SUM(Q3:Q4)</f>
        <v>598976</v>
      </c>
      <c r="R5" s="4">
        <v>619000</v>
      </c>
      <c r="S5" s="4">
        <v>651000</v>
      </c>
      <c r="T5" s="4">
        <v>663000</v>
      </c>
      <c r="U5" s="4">
        <v>707000</v>
      </c>
      <c r="V5" s="4">
        <v>751000</v>
      </c>
      <c r="W5" s="4">
        <v>736000</v>
      </c>
      <c r="X5" s="4">
        <v>763000</v>
      </c>
      <c r="Y5" s="4">
        <v>805000</v>
      </c>
      <c r="Z5" s="4">
        <v>836000</v>
      </c>
      <c r="AE5" s="4">
        <f t="shared" ref="AE5" si="7">SUM(AE3:AE4)</f>
        <v>526916</v>
      </c>
      <c r="AF5" s="4">
        <f t="shared" ref="AF5" si="8">SUM(AF3:AF4)</f>
        <v>872000</v>
      </c>
      <c r="AG5" s="4">
        <f t="shared" ref="AG5" si="9">SUM(AG3:AG4)</f>
        <v>1476514</v>
      </c>
      <c r="AH5" s="4">
        <f t="shared" ref="AH5" si="10">SUM(AH3:AH4)</f>
        <v>0</v>
      </c>
    </row>
    <row r="6" spans="1:37" s="3" customFormat="1" x14ac:dyDescent="0.25">
      <c r="B6" s="3" t="s">
        <v>17</v>
      </c>
      <c r="C6" s="3">
        <v>26558</v>
      </c>
      <c r="D6" s="3">
        <v>26387</v>
      </c>
      <c r="E6" s="3">
        <v>30383</v>
      </c>
      <c r="F6" s="3">
        <v>34866</v>
      </c>
      <c r="G6" s="3">
        <v>37345</v>
      </c>
      <c r="H6" s="3">
        <v>37754</v>
      </c>
      <c r="I6" s="3">
        <v>39391</v>
      </c>
      <c r="J6" s="3">
        <v>42561</v>
      </c>
      <c r="K6" s="3">
        <v>49076</v>
      </c>
      <c r="L6" s="3">
        <v>59035</v>
      </c>
      <c r="M6" s="3">
        <v>83670</v>
      </c>
      <c r="N6" s="3">
        <v>111598</v>
      </c>
      <c r="O6" s="3">
        <v>155321</v>
      </c>
      <c r="P6" s="3">
        <v>128637</v>
      </c>
      <c r="Q6" s="3">
        <v>156918</v>
      </c>
      <c r="AE6" s="3">
        <v>118194</v>
      </c>
      <c r="AF6" s="3">
        <v>157051</v>
      </c>
      <c r="AG6" s="3">
        <f>SUM(K6:N6)</f>
        <v>303379</v>
      </c>
    </row>
    <row r="7" spans="1:37" s="4" customFormat="1" x14ac:dyDescent="0.25">
      <c r="B7" s="4" t="s">
        <v>18</v>
      </c>
      <c r="C7" s="4">
        <f t="shared" ref="C7" si="11">C5-C6</f>
        <v>74756</v>
      </c>
      <c r="D7" s="4">
        <f t="shared" ref="D7" si="12">D5-D6</f>
        <v>87176</v>
      </c>
      <c r="E7" s="4">
        <f t="shared" ref="E7" si="13">E5-E6</f>
        <v>114453</v>
      </c>
      <c r="F7" s="4">
        <f t="shared" ref="F7" si="14">F5-F6</f>
        <v>132337</v>
      </c>
      <c r="G7" s="4">
        <f t="shared" ref="G7" si="15">G5-G6</f>
        <v>153425</v>
      </c>
      <c r="H7" s="4">
        <f t="shared" ref="H7" si="16">H5-H6</f>
        <v>170158</v>
      </c>
      <c r="I7" s="4">
        <f t="shared" ref="I7:P7" si="17">I5-I6</f>
        <v>187308</v>
      </c>
      <c r="J7" s="4">
        <f t="shared" si="17"/>
        <v>204058</v>
      </c>
      <c r="K7" s="4">
        <f t="shared" si="17"/>
        <v>229095</v>
      </c>
      <c r="L7" s="4">
        <f t="shared" si="17"/>
        <v>256613</v>
      </c>
      <c r="M7" s="4">
        <f t="shared" si="17"/>
        <v>317886</v>
      </c>
      <c r="N7" s="4">
        <f t="shared" si="17"/>
        <v>369541</v>
      </c>
      <c r="O7" s="4">
        <f t="shared" si="17"/>
        <v>430689</v>
      </c>
      <c r="P7" s="4">
        <f t="shared" si="17"/>
        <v>416196</v>
      </c>
      <c r="Q7" s="4">
        <f>Q5-Q6</f>
        <v>442058</v>
      </c>
      <c r="R7" s="4">
        <f t="shared" ref="R7" si="18">R5-R6</f>
        <v>619000</v>
      </c>
      <c r="S7" s="4">
        <f t="shared" ref="S7" si="19">S5-S6</f>
        <v>651000</v>
      </c>
      <c r="T7" s="4">
        <f t="shared" ref="T7" si="20">T5-T6</f>
        <v>663000</v>
      </c>
      <c r="AE7" s="4">
        <f t="shared" ref="AE7" si="21">AE5-AE6</f>
        <v>408722</v>
      </c>
      <c r="AF7" s="4">
        <f t="shared" ref="AF7" si="22">AF5-AF6</f>
        <v>714949</v>
      </c>
      <c r="AG7" s="4">
        <f t="shared" ref="AG7" si="23">AG5-AG6</f>
        <v>1173135</v>
      </c>
      <c r="AH7" s="4">
        <f t="shared" ref="AH7" si="24">AH5-AH6</f>
        <v>0</v>
      </c>
    </row>
    <row r="8" spans="1:37" s="3" customFormat="1" x14ac:dyDescent="0.25">
      <c r="B8" s="3" t="s">
        <v>19</v>
      </c>
      <c r="C8" s="3">
        <v>48093</v>
      </c>
      <c r="D8" s="3">
        <v>60490</v>
      </c>
      <c r="E8" s="3">
        <v>78462</v>
      </c>
      <c r="F8" s="3">
        <v>85542</v>
      </c>
      <c r="G8" s="3">
        <v>97245</v>
      </c>
      <c r="H8" s="3">
        <v>107219</v>
      </c>
      <c r="I8" s="3">
        <v>116076</v>
      </c>
      <c r="J8" s="3">
        <v>125895</v>
      </c>
      <c r="K8" s="3">
        <v>130553</v>
      </c>
      <c r="L8" s="3">
        <v>144922</v>
      </c>
      <c r="M8" s="3">
        <v>182284</v>
      </c>
      <c r="N8" s="3">
        <v>221085</v>
      </c>
      <c r="O8" s="3">
        <v>231235</v>
      </c>
      <c r="P8" s="3">
        <v>217862</v>
      </c>
      <c r="Q8" s="3">
        <v>232150</v>
      </c>
      <c r="AE8" s="3">
        <v>272587</v>
      </c>
      <c r="AF8" s="3">
        <v>446435</v>
      </c>
      <c r="AG8" s="3">
        <f t="shared" ref="AG8:AG11" si="25">SUM(K8:N8)</f>
        <v>678844</v>
      </c>
    </row>
    <row r="9" spans="1:37" s="3" customFormat="1" x14ac:dyDescent="0.25">
      <c r="B9" s="3" t="s">
        <v>20</v>
      </c>
      <c r="C9" s="3">
        <v>15683</v>
      </c>
      <c r="D9" s="3">
        <v>17448</v>
      </c>
      <c r="E9" s="3">
        <v>21751</v>
      </c>
      <c r="F9" s="3">
        <v>22521</v>
      </c>
      <c r="G9" s="3">
        <v>26182</v>
      </c>
      <c r="H9" s="3">
        <v>29227</v>
      </c>
      <c r="I9" s="3">
        <v>31609</v>
      </c>
      <c r="J9" s="3">
        <v>32839</v>
      </c>
      <c r="K9" s="3">
        <v>38747</v>
      </c>
      <c r="L9" s="3">
        <v>41453</v>
      </c>
      <c r="M9" s="3">
        <v>47519</v>
      </c>
      <c r="N9" s="3">
        <v>58083</v>
      </c>
      <c r="O9" s="3">
        <v>63033</v>
      </c>
      <c r="P9" s="3">
        <v>66490</v>
      </c>
      <c r="Q9" s="3">
        <v>76848</v>
      </c>
      <c r="AE9" s="3">
        <v>77403</v>
      </c>
      <c r="AF9" s="3">
        <v>119857</v>
      </c>
      <c r="AG9" s="3">
        <f t="shared" si="25"/>
        <v>185802</v>
      </c>
    </row>
    <row r="10" spans="1:37" s="3" customFormat="1" x14ac:dyDescent="0.25">
      <c r="B10" s="3" t="s">
        <v>21</v>
      </c>
      <c r="C10" s="3">
        <v>6088</v>
      </c>
      <c r="D10" s="3">
        <v>6861</v>
      </c>
      <c r="E10" s="3">
        <v>7977</v>
      </c>
      <c r="F10" s="3">
        <v>8311</v>
      </c>
      <c r="G10" s="3">
        <v>10748</v>
      </c>
      <c r="H10" s="3">
        <v>11804</v>
      </c>
      <c r="I10" s="3">
        <v>12270</v>
      </c>
      <c r="J10" s="3">
        <v>13405</v>
      </c>
      <c r="K10" s="3">
        <v>15324</v>
      </c>
      <c r="L10" s="3">
        <v>18654</v>
      </c>
      <c r="M10" s="3">
        <v>21092</v>
      </c>
      <c r="N10" s="3">
        <v>23749</v>
      </c>
      <c r="O10" s="3">
        <v>29914</v>
      </c>
      <c r="P10" s="3">
        <v>37848</v>
      </c>
      <c r="Q10" s="3">
        <v>40577</v>
      </c>
      <c r="AE10" s="3">
        <v>29237</v>
      </c>
      <c r="AF10" s="3">
        <v>48227</v>
      </c>
      <c r="AG10" s="3">
        <f t="shared" si="25"/>
        <v>78819</v>
      </c>
    </row>
    <row r="11" spans="1:37" s="3" customFormat="1" x14ac:dyDescent="0.25">
      <c r="B11" s="3" t="s">
        <v>22</v>
      </c>
      <c r="C11" s="3">
        <v>21811</v>
      </c>
      <c r="D11" s="3">
        <v>22567</v>
      </c>
      <c r="E11" s="3">
        <v>26246</v>
      </c>
      <c r="F11" s="3">
        <v>27568</v>
      </c>
      <c r="G11" s="3">
        <v>30513</v>
      </c>
      <c r="H11" s="3">
        <v>31144</v>
      </c>
      <c r="I11" s="3">
        <v>35907</v>
      </c>
      <c r="J11" s="3">
        <v>32319</v>
      </c>
      <c r="K11" s="3">
        <v>34568</v>
      </c>
      <c r="L11" s="3">
        <v>40554</v>
      </c>
      <c r="M11" s="3">
        <v>44617</v>
      </c>
      <c r="N11" s="3">
        <v>48028</v>
      </c>
      <c r="O11" s="3">
        <v>48610</v>
      </c>
      <c r="P11" s="3">
        <v>67273</v>
      </c>
      <c r="Q11" s="3">
        <v>80676</v>
      </c>
      <c r="AE11" s="3">
        <v>98192</v>
      </c>
      <c r="AF11" s="3">
        <v>129883</v>
      </c>
      <c r="AG11" s="3">
        <f t="shared" si="25"/>
        <v>167767</v>
      </c>
    </row>
    <row r="12" spans="1:37" s="4" customFormat="1" x14ac:dyDescent="0.25">
      <c r="B12" s="4" t="s">
        <v>23</v>
      </c>
      <c r="C12" s="4">
        <f t="shared" ref="C12" si="26">SUM(C8:C11)</f>
        <v>91675</v>
      </c>
      <c r="D12" s="4">
        <f t="shared" ref="D12" si="27">SUM(D8:D11)</f>
        <v>107366</v>
      </c>
      <c r="E12" s="4">
        <f t="shared" ref="E12" si="28">SUM(E8:E11)</f>
        <v>134436</v>
      </c>
      <c r="F12" s="4">
        <f t="shared" ref="F12" si="29">SUM(F8:F11)</f>
        <v>143942</v>
      </c>
      <c r="G12" s="4">
        <f t="shared" ref="G12" si="30">SUM(G8:G11)</f>
        <v>164688</v>
      </c>
      <c r="H12" s="4">
        <f t="shared" ref="H12" si="31">SUM(H8:H11)</f>
        <v>179394</v>
      </c>
      <c r="I12" s="4">
        <f t="shared" ref="I12:P12" si="32">SUM(I8:I11)</f>
        <v>195862</v>
      </c>
      <c r="J12" s="4">
        <f t="shared" si="32"/>
        <v>204458</v>
      </c>
      <c r="K12" s="4">
        <f t="shared" si="32"/>
        <v>219192</v>
      </c>
      <c r="L12" s="4">
        <f t="shared" si="32"/>
        <v>245583</v>
      </c>
      <c r="M12" s="4">
        <f t="shared" si="32"/>
        <v>295512</v>
      </c>
      <c r="N12" s="4">
        <f t="shared" si="32"/>
        <v>350945</v>
      </c>
      <c r="O12" s="4">
        <f t="shared" si="32"/>
        <v>372792</v>
      </c>
      <c r="P12" s="4">
        <f t="shared" si="32"/>
        <v>389473</v>
      </c>
      <c r="Q12" s="4">
        <f>SUM(Q8:Q11)</f>
        <v>430251</v>
      </c>
      <c r="R12" s="4">
        <f t="shared" ref="R12" si="33">SUM(R8:R11)</f>
        <v>0</v>
      </c>
      <c r="S12" s="4">
        <f t="shared" ref="S12" si="34">SUM(S8:S11)</f>
        <v>0</v>
      </c>
      <c r="T12" s="4">
        <f t="shared" ref="T12" si="35">SUM(T8:T11)</f>
        <v>0</v>
      </c>
      <c r="AE12" s="4">
        <f t="shared" ref="AE12" si="36">SUM(AE8:AE11)</f>
        <v>477419</v>
      </c>
      <c r="AF12" s="4">
        <f t="shared" ref="AF12" si="37">SUM(AF8:AF11)</f>
        <v>744402</v>
      </c>
      <c r="AG12" s="4">
        <f t="shared" ref="AG12" si="38">SUM(AG8:AG11)</f>
        <v>1111232</v>
      </c>
      <c r="AH12" s="4">
        <f t="shared" ref="AH12" si="39">SUM(AH8:AH11)</f>
        <v>0</v>
      </c>
    </row>
    <row r="13" spans="1:37" s="4" customFormat="1" x14ac:dyDescent="0.25">
      <c r="B13" s="4" t="s">
        <v>24</v>
      </c>
      <c r="C13" s="4">
        <f t="shared" ref="C13" si="40">+C7-C12</f>
        <v>-16919</v>
      </c>
      <c r="D13" s="4">
        <f t="shared" ref="D13" si="41">+D7-D12</f>
        <v>-20190</v>
      </c>
      <c r="E13" s="4">
        <f t="shared" ref="E13" si="42">+E7-E12</f>
        <v>-19983</v>
      </c>
      <c r="F13" s="4">
        <f t="shared" ref="F13" si="43">+F7-F12</f>
        <v>-11605</v>
      </c>
      <c r="G13" s="4">
        <f t="shared" ref="G13" si="44">+G7-G12</f>
        <v>-11263</v>
      </c>
      <c r="H13" s="4">
        <f t="shared" ref="H13" si="45">+H7-H12</f>
        <v>-9236</v>
      </c>
      <c r="I13" s="4">
        <f t="shared" ref="I13:P13" si="46">+I7-I12</f>
        <v>-8554</v>
      </c>
      <c r="J13" s="4">
        <f t="shared" si="46"/>
        <v>-400</v>
      </c>
      <c r="K13" s="4">
        <f t="shared" si="46"/>
        <v>9903</v>
      </c>
      <c r="L13" s="4">
        <f t="shared" si="46"/>
        <v>11030</v>
      </c>
      <c r="M13" s="4">
        <f t="shared" si="46"/>
        <v>22374</v>
      </c>
      <c r="N13" s="4">
        <f t="shared" si="46"/>
        <v>18596</v>
      </c>
      <c r="O13" s="4">
        <f t="shared" si="46"/>
        <v>57897</v>
      </c>
      <c r="P13" s="4">
        <f t="shared" si="46"/>
        <v>26723</v>
      </c>
      <c r="Q13" s="4">
        <f>+Q7-Q12</f>
        <v>11807</v>
      </c>
      <c r="R13" s="4">
        <f t="shared" ref="R13" si="47">+R7-R12</f>
        <v>619000</v>
      </c>
      <c r="S13" s="4">
        <f t="shared" ref="S13" si="48">+S7-S12</f>
        <v>651000</v>
      </c>
      <c r="T13" s="4">
        <f t="shared" ref="T13" si="49">+T7-T12</f>
        <v>663000</v>
      </c>
      <c r="AE13" s="4">
        <f t="shared" ref="AE13" si="50">+AE7-AE12</f>
        <v>-68697</v>
      </c>
      <c r="AF13" s="4">
        <f t="shared" ref="AF13" si="51">+AF7-AF12</f>
        <v>-29453</v>
      </c>
      <c r="AG13" s="4">
        <f t="shared" ref="AG13" si="52">+AG7-AG12</f>
        <v>61903</v>
      </c>
      <c r="AH13" s="4">
        <f t="shared" ref="AH13" si="53">+AH7-AH12</f>
        <v>0</v>
      </c>
    </row>
    <row r="14" spans="1:37" s="3" customFormat="1" x14ac:dyDescent="0.25">
      <c r="B14" s="3" t="s">
        <v>25</v>
      </c>
      <c r="C14" s="3">
        <v>761</v>
      </c>
      <c r="D14" s="3">
        <f>121+402</f>
        <v>523</v>
      </c>
      <c r="E14" s="3">
        <f>450+677</f>
        <v>1127</v>
      </c>
      <c r="F14" s="3">
        <f>-942+1519</f>
        <v>577</v>
      </c>
      <c r="G14" s="3">
        <f>-295+1877</f>
        <v>1582</v>
      </c>
      <c r="H14" s="3">
        <f>-173+2239</f>
        <v>2066</v>
      </c>
      <c r="I14" s="3">
        <f>-588+2226</f>
        <v>1638</v>
      </c>
      <c r="J14" s="3">
        <f>-19+2615</f>
        <v>2596</v>
      </c>
      <c r="K14" s="3">
        <v>2500</v>
      </c>
      <c r="L14" s="3">
        <v>2394</v>
      </c>
      <c r="M14" s="3">
        <v>1219</v>
      </c>
      <c r="N14" s="3">
        <v>3695</v>
      </c>
      <c r="O14" s="3">
        <v>2598</v>
      </c>
      <c r="P14" s="3">
        <v>6130</v>
      </c>
      <c r="Q14" s="3">
        <f>-7626+8042</f>
        <v>416</v>
      </c>
      <c r="AE14" s="3">
        <f>70+2918</f>
        <v>2988</v>
      </c>
      <c r="AF14" s="3">
        <f>-1075+8957</f>
        <v>7882</v>
      </c>
      <c r="AG14" s="3">
        <f>SUM(K14:N14)</f>
        <v>9808</v>
      </c>
    </row>
    <row r="15" spans="1:37" s="4" customFormat="1" x14ac:dyDescent="0.25">
      <c r="B15" s="4" t="s">
        <v>26</v>
      </c>
      <c r="C15" s="4">
        <f t="shared" ref="C15" si="54">C13+C14</f>
        <v>-16158</v>
      </c>
      <c r="D15" s="4">
        <f t="shared" ref="D15" si="55">D13+D14</f>
        <v>-19667</v>
      </c>
      <c r="E15" s="4">
        <f t="shared" ref="E15" si="56">E13+E14</f>
        <v>-18856</v>
      </c>
      <c r="F15" s="4">
        <f t="shared" ref="F15" si="57">F13+F14</f>
        <v>-11028</v>
      </c>
      <c r="G15" s="4">
        <f t="shared" ref="G15" si="58">G13+G14</f>
        <v>-9681</v>
      </c>
      <c r="H15" s="4">
        <f t="shared" ref="H15" si="59">H13+H14</f>
        <v>-7170</v>
      </c>
      <c r="I15" s="4">
        <f t="shared" ref="I15:P15" si="60">I13+I14</f>
        <v>-6916</v>
      </c>
      <c r="J15" s="4">
        <f t="shared" si="60"/>
        <v>2196</v>
      </c>
      <c r="K15" s="4">
        <f t="shared" si="60"/>
        <v>12403</v>
      </c>
      <c r="L15" s="4">
        <f t="shared" si="60"/>
        <v>13424</v>
      </c>
      <c r="M15" s="4">
        <f t="shared" si="60"/>
        <v>23593</v>
      </c>
      <c r="N15" s="4">
        <f t="shared" si="60"/>
        <v>22291</v>
      </c>
      <c r="O15" s="4">
        <f t="shared" si="60"/>
        <v>60495</v>
      </c>
      <c r="P15" s="4">
        <f t="shared" si="60"/>
        <v>32853</v>
      </c>
      <c r="Q15" s="4">
        <f>Q13+Q14</f>
        <v>12223</v>
      </c>
      <c r="R15" s="4">
        <f t="shared" ref="R15" si="61">R13+R14</f>
        <v>619000</v>
      </c>
      <c r="S15" s="4">
        <f t="shared" ref="S15" si="62">S13+S14</f>
        <v>651000</v>
      </c>
      <c r="T15" s="4">
        <f t="shared" ref="T15" si="63">T13+T14</f>
        <v>663000</v>
      </c>
      <c r="AE15" s="4">
        <f t="shared" ref="AE15" si="64">AE13+AE14</f>
        <v>-65709</v>
      </c>
      <c r="AF15" s="4">
        <f t="shared" ref="AF15" si="65">AF13+AF14</f>
        <v>-21571</v>
      </c>
      <c r="AG15" s="4">
        <f t="shared" ref="AG15" si="66">AG13+AG14</f>
        <v>71711</v>
      </c>
      <c r="AH15" s="4">
        <f t="shared" ref="AH15" si="67">AH13+AH14</f>
        <v>0</v>
      </c>
    </row>
    <row r="16" spans="1:37" s="3" customFormat="1" x14ac:dyDescent="0.25">
      <c r="B16" s="3" t="s">
        <v>27</v>
      </c>
      <c r="C16" s="3">
        <v>-94</v>
      </c>
      <c r="D16" s="3">
        <v>-12</v>
      </c>
      <c r="E16" s="3">
        <v>16</v>
      </c>
      <c r="F16" s="3">
        <v>121</v>
      </c>
      <c r="G16" s="3">
        <v>-386</v>
      </c>
      <c r="H16" s="3">
        <v>13</v>
      </c>
      <c r="I16" s="3">
        <v>-651</v>
      </c>
      <c r="J16" s="3">
        <v>-951</v>
      </c>
      <c r="K16" s="3">
        <v>-1275</v>
      </c>
      <c r="L16" s="3">
        <v>-127</v>
      </c>
      <c r="M16" s="3">
        <v>51995</v>
      </c>
      <c r="N16" s="3">
        <v>3734</v>
      </c>
      <c r="O16" s="3">
        <v>-11010</v>
      </c>
      <c r="P16" s="3">
        <v>9652</v>
      </c>
      <c r="Q16" s="3">
        <v>3551</v>
      </c>
      <c r="AE16" s="3">
        <v>31</v>
      </c>
      <c r="AF16" s="3">
        <v>-1975</v>
      </c>
      <c r="AG16" s="3">
        <f>SUM(K16:N16)</f>
        <v>54327</v>
      </c>
    </row>
    <row r="17" spans="2:34" s="4" customFormat="1" x14ac:dyDescent="0.25">
      <c r="B17" s="4" t="s">
        <v>28</v>
      </c>
      <c r="C17" s="4">
        <f t="shared" ref="C17" si="68">C15+C16</f>
        <v>-16252</v>
      </c>
      <c r="D17" s="4">
        <f t="shared" ref="D17" si="69">D15+D16</f>
        <v>-19679</v>
      </c>
      <c r="E17" s="4">
        <f t="shared" ref="E17" si="70">E15+E16</f>
        <v>-18840</v>
      </c>
      <c r="F17" s="4">
        <f t="shared" ref="F17" si="71">F15+F16</f>
        <v>-10907</v>
      </c>
      <c r="G17" s="4">
        <f t="shared" ref="G17" si="72">G15+G16</f>
        <v>-10067</v>
      </c>
      <c r="H17" s="4">
        <f t="shared" ref="H17" si="73">H15+H16</f>
        <v>-7157</v>
      </c>
      <c r="I17" s="4">
        <f t="shared" ref="I17:P17" si="74">I15+I16</f>
        <v>-7567</v>
      </c>
      <c r="J17" s="4">
        <f t="shared" si="74"/>
        <v>1245</v>
      </c>
      <c r="K17" s="4">
        <f t="shared" si="74"/>
        <v>11128</v>
      </c>
      <c r="L17" s="4">
        <f t="shared" si="74"/>
        <v>13297</v>
      </c>
      <c r="M17" s="4">
        <f t="shared" si="74"/>
        <v>75588</v>
      </c>
      <c r="N17" s="4">
        <f t="shared" si="74"/>
        <v>26025</v>
      </c>
      <c r="O17" s="4">
        <f t="shared" si="74"/>
        <v>49485</v>
      </c>
      <c r="P17" s="4">
        <f t="shared" si="74"/>
        <v>42505</v>
      </c>
      <c r="Q17" s="4">
        <f>Q15+Q16</f>
        <v>15774</v>
      </c>
      <c r="R17" s="4">
        <f t="shared" ref="R17" si="75">R15+R16</f>
        <v>619000</v>
      </c>
      <c r="S17" s="4">
        <f t="shared" ref="S17" si="76">S15+S16</f>
        <v>651000</v>
      </c>
      <c r="T17" s="4">
        <f t="shared" ref="T17" si="77">T15+T16</f>
        <v>663000</v>
      </c>
      <c r="AE17" s="4">
        <f t="shared" ref="AE17" si="78">AE15+AE16</f>
        <v>-65678</v>
      </c>
      <c r="AF17" s="4">
        <f t="shared" ref="AF17" si="79">AF15+AF16</f>
        <v>-23546</v>
      </c>
      <c r="AG17" s="4">
        <f t="shared" ref="AG17" si="80">AG15+AG16</f>
        <v>126038</v>
      </c>
      <c r="AH17" s="4">
        <f t="shared" ref="AH17" si="81">AH15+AH16</f>
        <v>0</v>
      </c>
    </row>
    <row r="18" spans="2:34" s="3" customFormat="1" x14ac:dyDescent="0.25">
      <c r="B18" s="3" t="s">
        <v>2</v>
      </c>
      <c r="C18" s="3">
        <v>202695.97</v>
      </c>
      <c r="D18" s="3">
        <v>203949.535</v>
      </c>
      <c r="E18" s="3">
        <v>205232.967</v>
      </c>
      <c r="F18" s="3">
        <v>206140.283</v>
      </c>
      <c r="G18" s="3">
        <v>207140.29800000001</v>
      </c>
      <c r="H18" s="3">
        <v>208422.82500000001</v>
      </c>
      <c r="I18" s="3">
        <v>210134.68100000001</v>
      </c>
      <c r="J18" s="3">
        <v>211584.91500000001</v>
      </c>
      <c r="K18" s="3">
        <v>213452.092</v>
      </c>
      <c r="L18" s="3">
        <v>214618.03700000001</v>
      </c>
      <c r="M18" s="3">
        <v>216617.14300000001</v>
      </c>
      <c r="N18" s="3">
        <v>219027.48499999999</v>
      </c>
      <c r="O18" s="3">
        <v>221989.32699999999</v>
      </c>
      <c r="P18" s="3">
        <v>224373.375</v>
      </c>
      <c r="Q18" s="3">
        <v>226313.815</v>
      </c>
      <c r="AE18" s="3">
        <f>+F18</f>
        <v>206140.283</v>
      </c>
      <c r="AF18" s="3">
        <f>J18</f>
        <v>211584.91500000001</v>
      </c>
      <c r="AG18" s="3">
        <f>N18</f>
        <v>219027.48499999999</v>
      </c>
    </row>
    <row r="19" spans="2:34" s="5" customFormat="1" x14ac:dyDescent="0.25">
      <c r="B19" s="5" t="s">
        <v>29</v>
      </c>
      <c r="C19" s="5">
        <f t="shared" ref="C19" si="82">C17/C18</f>
        <v>-8.0179196458617305E-2</v>
      </c>
      <c r="D19" s="5">
        <f t="shared" ref="D19" si="83">D17/D18</f>
        <v>-9.648955561482403E-2</v>
      </c>
      <c r="E19" s="5">
        <f t="shared" ref="E19" si="84">E17/E18</f>
        <v>-9.1798117404792962E-2</v>
      </c>
      <c r="F19" s="5">
        <f t="shared" ref="F19" si="85">F17/F18</f>
        <v>-5.2910570613701934E-2</v>
      </c>
      <c r="G19" s="5">
        <f t="shared" ref="G19" si="86">G17/G18</f>
        <v>-4.8599910771587283E-2</v>
      </c>
      <c r="H19" s="5">
        <f t="shared" ref="H19" si="87">H17/H18</f>
        <v>-3.4338849403850083E-2</v>
      </c>
      <c r="I19" s="5">
        <f t="shared" ref="I19:P19" si="88">I17/I18</f>
        <v>-3.6010238595503424E-2</v>
      </c>
      <c r="J19" s="5">
        <f t="shared" si="88"/>
        <v>5.8841623940912796E-3</v>
      </c>
      <c r="K19" s="5">
        <f t="shared" si="88"/>
        <v>5.2133478270149726E-2</v>
      </c>
      <c r="L19" s="5">
        <f t="shared" si="88"/>
        <v>6.1956581962400482E-2</v>
      </c>
      <c r="M19" s="5">
        <f t="shared" si="88"/>
        <v>0.34894745149510165</v>
      </c>
      <c r="N19" s="5">
        <f t="shared" si="88"/>
        <v>0.11882070416870286</v>
      </c>
      <c r="O19" s="5">
        <f t="shared" si="88"/>
        <v>0.22291612244943651</v>
      </c>
      <c r="P19" s="5">
        <f t="shared" si="88"/>
        <v>0.18943869788472006</v>
      </c>
      <c r="Q19" s="5">
        <f>Q17/Q18</f>
        <v>6.9699677856608092E-2</v>
      </c>
      <c r="R19" s="5" t="e">
        <f t="shared" ref="R19" si="89">R17/R18</f>
        <v>#DIV/0!</v>
      </c>
      <c r="S19" s="5" t="e">
        <f t="shared" ref="S19" si="90">S17/S18</f>
        <v>#DIV/0!</v>
      </c>
      <c r="T19" s="5" t="e">
        <f t="shared" ref="T19" si="91">T17/T18</f>
        <v>#DIV/0!</v>
      </c>
      <c r="AE19" s="5">
        <f t="shared" ref="AE19" si="92">AE17/AE18</f>
        <v>-0.31860827512301415</v>
      </c>
      <c r="AF19" s="5">
        <f t="shared" ref="AF19" si="93">AF17/AF18</f>
        <v>-0.11128392588857292</v>
      </c>
      <c r="AG19" s="5">
        <f t="shared" ref="AG19" si="94">AG17/AG18</f>
        <v>0.57544376222920157</v>
      </c>
      <c r="AH19" s="5" t="e">
        <f t="shared" ref="AH19" si="95">AH17/AH18</f>
        <v>#DIV/0!</v>
      </c>
    </row>
    <row r="20" spans="2:34" s="5" customFormat="1" x14ac:dyDescent="0.25"/>
    <row r="21" spans="2:34" s="3" customFormat="1" x14ac:dyDescent="0.25">
      <c r="B21" s="4" t="s">
        <v>105</v>
      </c>
      <c r="C21" s="4">
        <v>646</v>
      </c>
      <c r="D21" s="4">
        <v>748</v>
      </c>
      <c r="E21" s="4">
        <v>916</v>
      </c>
      <c r="F21" s="4">
        <v>1040</v>
      </c>
      <c r="G21" s="4">
        <v>1209</v>
      </c>
      <c r="H21" s="4">
        <v>1300</v>
      </c>
      <c r="I21" s="4">
        <v>1426</v>
      </c>
      <c r="J21" s="4">
        <v>1537</v>
      </c>
      <c r="K21" s="4">
        <v>1709</v>
      </c>
      <c r="L21" s="4">
        <v>1864</v>
      </c>
      <c r="M21" s="4">
        <v>2047</v>
      </c>
      <c r="N21" s="4">
        <v>2229</v>
      </c>
      <c r="O21" s="4">
        <v>2366</v>
      </c>
      <c r="P21" s="4">
        <v>2439</v>
      </c>
      <c r="Q21" s="4">
        <v>2471</v>
      </c>
      <c r="R21" s="4"/>
      <c r="S21" s="4"/>
      <c r="T21" s="4"/>
    </row>
    <row r="22" spans="2:34" s="7" customFormat="1" x14ac:dyDescent="0.25">
      <c r="B22" s="6" t="s">
        <v>109</v>
      </c>
      <c r="C22" s="6">
        <f t="shared" ref="C22" si="96">C5/C21</f>
        <v>156.83281733746131</v>
      </c>
      <c r="D22" s="6">
        <f t="shared" ref="D22" si="97">D5/D21</f>
        <v>151.82219251336898</v>
      </c>
      <c r="E22" s="6">
        <f t="shared" ref="E22" si="98">E5/E21</f>
        <v>158.11790393013101</v>
      </c>
      <c r="F22" s="6">
        <f t="shared" ref="F22" si="99">F5/F21</f>
        <v>160.77211538461538</v>
      </c>
      <c r="G22" s="6">
        <f t="shared" ref="G22" si="100">G5/G21</f>
        <v>157.79156327543424</v>
      </c>
      <c r="H22" s="6">
        <f t="shared" ref="H22" si="101">H5/H21</f>
        <v>159.93230769230769</v>
      </c>
      <c r="I22" s="6">
        <f t="shared" ref="I22:P22" si="102">I5/I21</f>
        <v>158.97545582047687</v>
      </c>
      <c r="J22" s="6">
        <f t="shared" si="102"/>
        <v>160.45478204294079</v>
      </c>
      <c r="K22" s="6">
        <f t="shared" si="102"/>
        <v>162.76828554710357</v>
      </c>
      <c r="L22" s="6">
        <f t="shared" si="102"/>
        <v>169.33905579399141</v>
      </c>
      <c r="M22" s="6">
        <f t="shared" si="102"/>
        <v>196.16805080605764</v>
      </c>
      <c r="N22" s="6">
        <f t="shared" si="102"/>
        <v>215.85419470614625</v>
      </c>
      <c r="O22" s="6">
        <f t="shared" si="102"/>
        <v>247.67962806424345</v>
      </c>
      <c r="P22" s="6">
        <f t="shared" si="102"/>
        <v>223.38376383763838</v>
      </c>
      <c r="Q22" s="6">
        <f>Q5/Q21</f>
        <v>242.40226628895184</v>
      </c>
      <c r="R22" s="6" t="e">
        <f t="shared" ref="R22" si="103">R5/R21</f>
        <v>#DIV/0!</v>
      </c>
      <c r="S22" s="6" t="e">
        <f t="shared" ref="S22" si="104">S5/S21</f>
        <v>#DIV/0!</v>
      </c>
      <c r="T22" s="6" t="e">
        <f t="shared" ref="T22" si="105">T5/T21</f>
        <v>#DIV/0!</v>
      </c>
    </row>
    <row r="23" spans="2:34" s="3" customFormat="1" x14ac:dyDescent="0.25">
      <c r="B23" s="4" t="s">
        <v>117</v>
      </c>
      <c r="C23" s="4">
        <v>1207</v>
      </c>
      <c r="D23" s="4">
        <v>1385</v>
      </c>
      <c r="E23" s="4">
        <v>1675</v>
      </c>
      <c r="F23" s="4">
        <v>1855</v>
      </c>
      <c r="G23" s="4">
        <v>2047</v>
      </c>
      <c r="H23" s="4">
        <v>2109</v>
      </c>
      <c r="I23" s="4">
        <v>2222</v>
      </c>
      <c r="J23" s="4">
        <v>2298</v>
      </c>
      <c r="K23" s="4">
        <v>2461</v>
      </c>
      <c r="L23" s="4">
        <v>2527</v>
      </c>
      <c r="M23" s="4">
        <v>2664</v>
      </c>
      <c r="N23" s="4">
        <v>2807</v>
      </c>
      <c r="O23" s="4"/>
      <c r="P23" s="4"/>
      <c r="Q23" s="4"/>
      <c r="R23" s="4"/>
      <c r="S23" s="4"/>
      <c r="T23" s="4"/>
    </row>
    <row r="24" spans="2:34" s="9" customFormat="1" x14ac:dyDescent="0.25">
      <c r="B24" s="8" t="s">
        <v>118</v>
      </c>
      <c r="C24" s="8">
        <v>78</v>
      </c>
      <c r="D24" s="8">
        <v>78</v>
      </c>
      <c r="E24" s="8">
        <v>83</v>
      </c>
      <c r="F24" s="8">
        <v>87</v>
      </c>
      <c r="G24" s="8">
        <v>90</v>
      </c>
      <c r="H24" s="8">
        <v>95</v>
      </c>
      <c r="I24" s="8">
        <v>99</v>
      </c>
      <c r="J24" s="8">
        <v>103</v>
      </c>
      <c r="K24" s="8">
        <v>109</v>
      </c>
      <c r="L24" s="8">
        <v>121</v>
      </c>
      <c r="M24" s="8">
        <v>147</v>
      </c>
      <c r="N24" s="8">
        <v>168</v>
      </c>
      <c r="O24" s="8"/>
      <c r="P24" s="8"/>
      <c r="Q24" s="8"/>
      <c r="R24" s="8"/>
      <c r="S24" s="8"/>
      <c r="T24" s="8"/>
    </row>
    <row r="25" spans="2:34" s="11" customFormat="1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2:34" x14ac:dyDescent="0.25">
      <c r="B26" s="2" t="s">
        <v>106</v>
      </c>
      <c r="C26" s="12"/>
      <c r="D26" s="12">
        <f t="shared" ref="D26:I26" si="106">D21/C21-1</f>
        <v>0.15789473684210531</v>
      </c>
      <c r="E26" s="12">
        <f t="shared" si="106"/>
        <v>0.22459893048128343</v>
      </c>
      <c r="F26" s="12">
        <f t="shared" si="106"/>
        <v>0.13537117903930129</v>
      </c>
      <c r="G26" s="12">
        <f t="shared" si="106"/>
        <v>0.16250000000000009</v>
      </c>
      <c r="H26" s="12">
        <f t="shared" si="106"/>
        <v>7.5268817204301008E-2</v>
      </c>
      <c r="I26" s="12">
        <f t="shared" si="106"/>
        <v>9.692307692307689E-2</v>
      </c>
      <c r="J26" s="12">
        <f t="shared" ref="J26:P26" si="107">J21/I21-1</f>
        <v>7.7840112201963629E-2</v>
      </c>
      <c r="K26" s="12">
        <f t="shared" si="107"/>
        <v>0.11190631099544568</v>
      </c>
      <c r="L26" s="12">
        <f t="shared" si="107"/>
        <v>9.0696313633704007E-2</v>
      </c>
      <c r="M26" s="12">
        <f t="shared" si="107"/>
        <v>9.817596566523612E-2</v>
      </c>
      <c r="N26" s="12">
        <f t="shared" si="107"/>
        <v>8.8910600879335666E-2</v>
      </c>
      <c r="O26" s="12">
        <f t="shared" si="107"/>
        <v>6.1462539255271453E-2</v>
      </c>
      <c r="P26" s="12">
        <f t="shared" si="107"/>
        <v>3.085376162299247E-2</v>
      </c>
      <c r="Q26" s="12">
        <f>Q21/P21-1</f>
        <v>1.3120131201312057E-2</v>
      </c>
      <c r="R26" s="12">
        <f t="shared" ref="R26:T26" si="108">R21/Q21-1</f>
        <v>-1</v>
      </c>
      <c r="S26" s="12" t="e">
        <f t="shared" si="108"/>
        <v>#DIV/0!</v>
      </c>
      <c r="T26" s="12" t="e">
        <f t="shared" si="108"/>
        <v>#DIV/0!</v>
      </c>
    </row>
    <row r="27" spans="2:34" x14ac:dyDescent="0.25">
      <c r="B27" s="2" t="s">
        <v>107</v>
      </c>
      <c r="C27" s="12"/>
      <c r="D27" s="12"/>
      <c r="E27" s="12"/>
      <c r="F27" s="12"/>
      <c r="G27" s="12">
        <f t="shared" ref="G27:G28" si="109">G21/C21-1</f>
        <v>0.87151702786377716</v>
      </c>
      <c r="H27" s="12">
        <f t="shared" ref="H27:H28" si="110">H21/D21-1</f>
        <v>0.73796791443850274</v>
      </c>
      <c r="I27" s="12">
        <f t="shared" ref="I27:I28" si="111">I21/E21-1</f>
        <v>0.55676855895196509</v>
      </c>
      <c r="J27" s="12">
        <f t="shared" ref="J27:J28" si="112">J21/F21-1</f>
        <v>0.47788461538461546</v>
      </c>
      <c r="K27" s="12">
        <f t="shared" ref="K27:K28" si="113">K21/G21-1</f>
        <v>0.41356492969396186</v>
      </c>
      <c r="L27" s="12">
        <f t="shared" ref="L27:L28" si="114">L21/H21-1</f>
        <v>0.43384615384615377</v>
      </c>
      <c r="M27" s="12">
        <f t="shared" ref="M27:P27" si="115">M21/I21-1</f>
        <v>0.43548387096774199</v>
      </c>
      <c r="N27" s="12">
        <f t="shared" si="115"/>
        <v>0.45022771633051395</v>
      </c>
      <c r="O27" s="12">
        <f t="shared" si="115"/>
        <v>0.38443534230544185</v>
      </c>
      <c r="P27" s="12">
        <f t="shared" si="115"/>
        <v>0.30847639484978551</v>
      </c>
      <c r="Q27" s="12">
        <f>Q21/M21-1</f>
        <v>0.2071323888617489</v>
      </c>
      <c r="R27" s="12">
        <f t="shared" ref="R27:T27" si="116">R21/N21-1</f>
        <v>-1</v>
      </c>
      <c r="S27" s="12">
        <f t="shared" si="116"/>
        <v>-1</v>
      </c>
      <c r="T27" s="12">
        <f t="shared" si="116"/>
        <v>-1</v>
      </c>
    </row>
    <row r="28" spans="2:34" x14ac:dyDescent="0.25">
      <c r="B28" s="2" t="s">
        <v>108</v>
      </c>
      <c r="C28" s="12"/>
      <c r="D28" s="12"/>
      <c r="E28" s="12"/>
      <c r="F28" s="12"/>
      <c r="G28" s="12">
        <f t="shared" si="109"/>
        <v>6.1131716833855432E-3</v>
      </c>
      <c r="H28" s="12">
        <f t="shared" si="110"/>
        <v>5.3418509143349224E-2</v>
      </c>
      <c r="I28" s="12">
        <f t="shared" si="111"/>
        <v>5.4234964480985859E-3</v>
      </c>
      <c r="J28" s="12">
        <f t="shared" si="112"/>
        <v>-1.9738083368214809E-3</v>
      </c>
      <c r="K28" s="12">
        <f t="shared" si="113"/>
        <v>3.1539850219888921E-2</v>
      </c>
      <c r="L28" s="12">
        <f t="shared" si="114"/>
        <v>5.8817059776197889E-2</v>
      </c>
      <c r="M28" s="12">
        <f t="shared" ref="M28:P28" si="117">M22/I22-1</f>
        <v>0.2339518059163832</v>
      </c>
      <c r="N28" s="12">
        <f t="shared" si="117"/>
        <v>0.34526495226785769</v>
      </c>
      <c r="O28" s="12">
        <f t="shared" si="117"/>
        <v>0.5216700675548207</v>
      </c>
      <c r="P28" s="12">
        <f t="shared" si="117"/>
        <v>0.31915087627153649</v>
      </c>
      <c r="Q28" s="12">
        <f>Q22/M22-1</f>
        <v>0.2356867761743926</v>
      </c>
      <c r="R28" s="12" t="e">
        <f t="shared" ref="R28:T28" si="118">R22/N22-1</f>
        <v>#DIV/0!</v>
      </c>
      <c r="S28" s="12" t="e">
        <f t="shared" si="118"/>
        <v>#DIV/0!</v>
      </c>
      <c r="T28" s="12" t="e">
        <f t="shared" si="118"/>
        <v>#DIV/0!</v>
      </c>
    </row>
    <row r="30" spans="2:34" s="12" customFormat="1" x14ac:dyDescent="0.25">
      <c r="B30" s="12" t="s">
        <v>30</v>
      </c>
      <c r="C30" s="12">
        <f t="shared" ref="C30:H30" si="119">C7/C5</f>
        <v>0.73786446098268743</v>
      </c>
      <c r="D30" s="12">
        <f t="shared" si="119"/>
        <v>0.76764439121897099</v>
      </c>
      <c r="E30" s="12">
        <f t="shared" si="119"/>
        <v>0.7902248059874617</v>
      </c>
      <c r="F30" s="12">
        <f t="shared" si="119"/>
        <v>0.79147503334270319</v>
      </c>
      <c r="G30" s="12">
        <f t="shared" si="119"/>
        <v>0.80424070870681974</v>
      </c>
      <c r="H30" s="12">
        <f t="shared" si="119"/>
        <v>0.81841355958290041</v>
      </c>
      <c r="I30" s="12">
        <f t="shared" ref="I30:P30" si="120">I7/I5</f>
        <v>0.82624096268620506</v>
      </c>
      <c r="J30" s="12">
        <f t="shared" si="120"/>
        <v>0.82742205588377216</v>
      </c>
      <c r="K30" s="12">
        <f t="shared" si="120"/>
        <v>0.82357614560827697</v>
      </c>
      <c r="L30" s="12">
        <f t="shared" si="120"/>
        <v>0.81297204480940799</v>
      </c>
      <c r="M30" s="12">
        <f t="shared" si="120"/>
        <v>0.7916355377581209</v>
      </c>
      <c r="N30" s="12">
        <f t="shared" si="120"/>
        <v>0.76805455388151866</v>
      </c>
      <c r="O30" s="12">
        <f t="shared" si="120"/>
        <v>0.73495162198597297</v>
      </c>
      <c r="P30" s="12">
        <f t="shared" si="120"/>
        <v>0.76389646001618849</v>
      </c>
      <c r="Q30" s="12">
        <f>Q7/Q5</f>
        <v>0.73802289240303454</v>
      </c>
      <c r="R30" s="12">
        <f t="shared" ref="R30:T30" si="121">R7/R5</f>
        <v>1</v>
      </c>
      <c r="S30" s="12">
        <f t="shared" si="121"/>
        <v>1</v>
      </c>
      <c r="T30" s="12">
        <f t="shared" si="121"/>
        <v>1</v>
      </c>
      <c r="AE30" s="12">
        <f t="shared" ref="AE30:AF30" si="122">AE7/AE5</f>
        <v>0.77568720630992416</v>
      </c>
      <c r="AF30" s="12">
        <f t="shared" ref="AF30:AH30" si="123">AF7/AF5</f>
        <v>0.81989564220183486</v>
      </c>
      <c r="AG30" s="12">
        <f t="shared" si="123"/>
        <v>0.79453022456949274</v>
      </c>
      <c r="AH30" s="12" t="e">
        <f t="shared" si="123"/>
        <v>#DIV/0!</v>
      </c>
    </row>
    <row r="31" spans="2:34" s="12" customFormat="1" x14ac:dyDescent="0.25">
      <c r="B31" s="12" t="s">
        <v>31</v>
      </c>
      <c r="C31" s="12">
        <f t="shared" ref="C31:H31" si="124">C13/C5</f>
        <v>-0.1669956768067592</v>
      </c>
      <c r="D31" s="12">
        <f t="shared" si="124"/>
        <v>-0.17778677914461577</v>
      </c>
      <c r="E31" s="12">
        <f t="shared" si="124"/>
        <v>-0.1379698417520506</v>
      </c>
      <c r="F31" s="12">
        <f t="shared" si="124"/>
        <v>-6.9406649402223644E-2</v>
      </c>
      <c r="G31" s="12">
        <f t="shared" si="124"/>
        <v>-5.9039681291607693E-2</v>
      </c>
      <c r="H31" s="12">
        <f t="shared" si="124"/>
        <v>-4.4422640347839472E-2</v>
      </c>
      <c r="I31" s="12">
        <f t="shared" ref="I31:P31" si="125">I13/I5</f>
        <v>-3.7732852813642762E-2</v>
      </c>
      <c r="J31" s="12">
        <f t="shared" si="125"/>
        <v>-1.6219350496109383E-3</v>
      </c>
      <c r="K31" s="12">
        <f t="shared" si="125"/>
        <v>3.5600404068001336E-2</v>
      </c>
      <c r="L31" s="12">
        <f t="shared" si="125"/>
        <v>3.494398824006488E-2</v>
      </c>
      <c r="M31" s="12">
        <f t="shared" si="125"/>
        <v>5.5718255984221379E-2</v>
      </c>
      <c r="N31" s="12">
        <f t="shared" si="125"/>
        <v>3.8649953547727371E-2</v>
      </c>
      <c r="O31" s="12">
        <f t="shared" si="125"/>
        <v>9.8798655313049266E-2</v>
      </c>
      <c r="P31" s="12">
        <f t="shared" si="125"/>
        <v>4.9048056927535597E-2</v>
      </c>
      <c r="Q31" s="12">
        <f>Q13/Q5</f>
        <v>1.9711975104177798E-2</v>
      </c>
      <c r="R31" s="12">
        <f t="shared" ref="R31:T31" si="126">R13/R5</f>
        <v>1</v>
      </c>
      <c r="S31" s="12">
        <f t="shared" si="126"/>
        <v>1</v>
      </c>
      <c r="T31" s="12">
        <f t="shared" si="126"/>
        <v>1</v>
      </c>
      <c r="AE31" s="12">
        <f t="shared" ref="AE31:AF31" si="127">AE13/AE5</f>
        <v>-0.13037561964335873</v>
      </c>
      <c r="AF31" s="12">
        <f t="shared" ref="AF31:AH31" si="128">AF13/AF5</f>
        <v>-3.3776376146788988E-2</v>
      </c>
      <c r="AG31" s="12">
        <f t="shared" si="128"/>
        <v>4.19251019631375E-2</v>
      </c>
      <c r="AH31" s="12" t="e">
        <f t="shared" si="128"/>
        <v>#DIV/0!</v>
      </c>
    </row>
    <row r="32" spans="2:34" s="12" customFormat="1" x14ac:dyDescent="0.25">
      <c r="B32" s="12" t="s">
        <v>32</v>
      </c>
      <c r="C32" s="12">
        <f t="shared" ref="C32:H32" si="129">C17/C5</f>
        <v>-0.16041218390350789</v>
      </c>
      <c r="D32" s="12">
        <f t="shared" si="129"/>
        <v>-0.17328707413506159</v>
      </c>
      <c r="E32" s="12">
        <f t="shared" si="129"/>
        <v>-0.13007815736419123</v>
      </c>
      <c r="F32" s="12">
        <f t="shared" si="129"/>
        <v>-6.5232083156402693E-2</v>
      </c>
      <c r="G32" s="12">
        <f t="shared" si="129"/>
        <v>-5.2770351732452689E-2</v>
      </c>
      <c r="H32" s="12">
        <f t="shared" si="129"/>
        <v>-3.4423217515102543E-2</v>
      </c>
      <c r="I32" s="12">
        <f t="shared" ref="I32:P32" si="130">I17/I5</f>
        <v>-3.3379062104376286E-2</v>
      </c>
      <c r="J32" s="12">
        <f t="shared" si="130"/>
        <v>5.0482728419140458E-3</v>
      </c>
      <c r="K32" s="12">
        <f t="shared" si="130"/>
        <v>4.0004170096810954E-2</v>
      </c>
      <c r="L32" s="12">
        <f t="shared" si="130"/>
        <v>4.2126039132197889E-2</v>
      </c>
      <c r="M32" s="12">
        <f t="shared" si="130"/>
        <v>0.18823775513253443</v>
      </c>
      <c r="N32" s="12">
        <f t="shared" si="130"/>
        <v>5.4090397993095549E-2</v>
      </c>
      <c r="O32" s="12">
        <f t="shared" si="130"/>
        <v>8.4443951468404971E-2</v>
      </c>
      <c r="P32" s="12">
        <f t="shared" si="130"/>
        <v>7.8014731119443945E-2</v>
      </c>
      <c r="Q32" s="12">
        <f>Q17/Q5</f>
        <v>2.6334944972753498E-2</v>
      </c>
      <c r="R32" s="12">
        <f t="shared" ref="R32:T32" si="131">R17/R5</f>
        <v>1</v>
      </c>
      <c r="S32" s="12">
        <f t="shared" si="131"/>
        <v>1</v>
      </c>
      <c r="T32" s="12">
        <f t="shared" si="131"/>
        <v>1</v>
      </c>
      <c r="AE32" s="12">
        <f t="shared" ref="AE32:AF32" si="132">AE17/AE5</f>
        <v>-0.12464605364042845</v>
      </c>
      <c r="AF32" s="12">
        <f t="shared" ref="AF32:AH32" si="133">AF17/AF5</f>
        <v>-2.7002293577981652E-2</v>
      </c>
      <c r="AG32" s="12">
        <f t="shared" si="133"/>
        <v>8.5361872627012003E-2</v>
      </c>
      <c r="AH32" s="12" t="e">
        <f t="shared" si="133"/>
        <v>#DIV/0!</v>
      </c>
    </row>
    <row r="34" spans="2:37" s="12" customFormat="1" x14ac:dyDescent="0.25">
      <c r="B34" s="12" t="s">
        <v>33</v>
      </c>
      <c r="G34" s="12">
        <f t="shared" ref="G34" si="134">G5/C5-1</f>
        <v>0.88295793276348777</v>
      </c>
      <c r="H34" s="12">
        <f t="shared" ref="H34" si="135">H5/D5-1</f>
        <v>0.83080756936678313</v>
      </c>
      <c r="I34" s="12">
        <f t="shared" ref="I34" si="136">I5/E5-1</f>
        <v>0.56521168770195263</v>
      </c>
      <c r="J34" s="12">
        <f t="shared" ref="J34" si="137">J5/F5-1</f>
        <v>0.47496755440990901</v>
      </c>
      <c r="K34" s="12">
        <f t="shared" ref="K34" si="138">K5/G5-1</f>
        <v>0.45814855585259728</v>
      </c>
      <c r="L34" s="12">
        <f t="shared" ref="L34" si="139">L5/H5-1</f>
        <v>0.51818076878679431</v>
      </c>
      <c r="M34" s="12">
        <f t="shared" ref="M34:P34" si="140">M5/I5-1</f>
        <v>0.77131791494448576</v>
      </c>
      <c r="N34" s="12">
        <f t="shared" si="140"/>
        <v>0.95094051958689318</v>
      </c>
      <c r="O34" s="12">
        <f t="shared" si="140"/>
        <v>1.1066538208512031</v>
      </c>
      <c r="P34" s="12">
        <f t="shared" si="140"/>
        <v>0.72607778284671531</v>
      </c>
      <c r="Q34" s="12">
        <f>Q5/M5-1</f>
        <v>0.49163753000826782</v>
      </c>
      <c r="R34" s="12">
        <f t="shared" ref="R34:T34" si="141">R5/N5-1</f>
        <v>0.28653050365902577</v>
      </c>
      <c r="S34" s="12">
        <f t="shared" si="141"/>
        <v>0.1109025443251821</v>
      </c>
      <c r="T34" s="12">
        <f t="shared" si="141"/>
        <v>0.21688664232893373</v>
      </c>
      <c r="AF34" s="12">
        <f t="shared" ref="AF34:AH34" si="142">AF5/AE5-1</f>
        <v>0.65491273751413881</v>
      </c>
      <c r="AG34" s="12">
        <f t="shared" si="142"/>
        <v>0.69324999999999992</v>
      </c>
      <c r="AH34" s="12">
        <f>AH5/AG5-1</f>
        <v>-1</v>
      </c>
    </row>
    <row r="36" spans="2:37" x14ac:dyDescent="0.25">
      <c r="B36" s="12" t="s">
        <v>34</v>
      </c>
      <c r="C36" s="12">
        <f t="shared" ref="C36:H36" si="143">C8/C$7</f>
        <v>0.64333297661726152</v>
      </c>
      <c r="D36" s="12">
        <f t="shared" si="143"/>
        <v>0.69388363769844907</v>
      </c>
      <c r="E36" s="12">
        <f t="shared" si="143"/>
        <v>0.68553904222694029</v>
      </c>
      <c r="F36" s="12">
        <f t="shared" si="143"/>
        <v>0.64639518804264873</v>
      </c>
      <c r="G36" s="12">
        <f t="shared" si="143"/>
        <v>0.63382760306338604</v>
      </c>
      <c r="H36" s="12">
        <f t="shared" si="143"/>
        <v>0.63011436429671241</v>
      </c>
      <c r="I36" s="12">
        <f t="shared" ref="I36:Q36" si="144">I8/I$7</f>
        <v>0.61970657953744634</v>
      </c>
      <c r="J36" s="12">
        <f t="shared" si="144"/>
        <v>0.6169569436140705</v>
      </c>
      <c r="K36" s="12">
        <f t="shared" si="144"/>
        <v>0.56986403020580978</v>
      </c>
      <c r="L36" s="12">
        <f t="shared" si="144"/>
        <v>0.56474925276583809</v>
      </c>
      <c r="M36" s="12">
        <f t="shared" si="144"/>
        <v>0.57342569348760253</v>
      </c>
      <c r="N36" s="12">
        <f t="shared" si="144"/>
        <v>0.59826920422903007</v>
      </c>
      <c r="O36" s="12">
        <f t="shared" si="144"/>
        <v>0.53689553250721522</v>
      </c>
      <c r="P36" s="12">
        <f t="shared" si="144"/>
        <v>0.52346010052955816</v>
      </c>
      <c r="Q36" s="12">
        <f>Q8/Q$7</f>
        <v>0.52515733229576211</v>
      </c>
      <c r="R36" s="12">
        <f t="shared" ref="R36:T36" si="145">R8/R$7</f>
        <v>0</v>
      </c>
      <c r="S36" s="12">
        <f t="shared" si="145"/>
        <v>0</v>
      </c>
      <c r="T36" s="12">
        <f t="shared" si="145"/>
        <v>0</v>
      </c>
      <c r="AE36" s="12">
        <f t="shared" ref="AE36:AF36" si="146">AE8/AE$7</f>
        <v>0.66692519609905998</v>
      </c>
      <c r="AF36" s="12">
        <f t="shared" ref="AF36:AH36" si="147">AF8/AF$7</f>
        <v>0.62442915508658658</v>
      </c>
      <c r="AG36" s="12">
        <f t="shared" si="147"/>
        <v>0.5786580402085012</v>
      </c>
      <c r="AH36" s="12" t="e">
        <f t="shared" si="147"/>
        <v>#DIV/0!</v>
      </c>
    </row>
    <row r="37" spans="2:37" x14ac:dyDescent="0.25">
      <c r="B37" s="2" t="s">
        <v>35</v>
      </c>
      <c r="C37" s="12">
        <f t="shared" ref="C37:H37" si="148">C9/C$7</f>
        <v>0.20978918080154102</v>
      </c>
      <c r="D37" s="12">
        <f t="shared" si="148"/>
        <v>0.20014682940258788</v>
      </c>
      <c r="E37" s="12">
        <f t="shared" si="148"/>
        <v>0.19004307444977414</v>
      </c>
      <c r="F37" s="12">
        <f t="shared" si="148"/>
        <v>0.17017916380150677</v>
      </c>
      <c r="G37" s="12">
        <f t="shared" si="148"/>
        <v>0.17065015479876161</v>
      </c>
      <c r="H37" s="12">
        <f t="shared" si="148"/>
        <v>0.17176389003161768</v>
      </c>
      <c r="I37" s="12">
        <f t="shared" ref="I37:Q37" si="149">I9/I$7</f>
        <v>0.16875413757020521</v>
      </c>
      <c r="J37" s="12">
        <f t="shared" si="149"/>
        <v>0.16092973566338983</v>
      </c>
      <c r="K37" s="12">
        <f t="shared" si="149"/>
        <v>0.16913070996748075</v>
      </c>
      <c r="L37" s="12">
        <f t="shared" si="149"/>
        <v>0.16153897113552315</v>
      </c>
      <c r="M37" s="12">
        <f t="shared" si="149"/>
        <v>0.14948440635951252</v>
      </c>
      <c r="N37" s="12">
        <f t="shared" si="149"/>
        <v>0.15717606436092341</v>
      </c>
      <c r="O37" s="12">
        <f t="shared" si="149"/>
        <v>0.14635386555031588</v>
      </c>
      <c r="P37" s="12">
        <f t="shared" si="149"/>
        <v>0.15975646089823065</v>
      </c>
      <c r="Q37" s="12">
        <f t="shared" si="149"/>
        <v>0.1738414416207828</v>
      </c>
      <c r="R37" s="12">
        <f t="shared" ref="R37:T37" si="150">R9/R$7</f>
        <v>0</v>
      </c>
      <c r="S37" s="12">
        <f t="shared" si="150"/>
        <v>0</v>
      </c>
      <c r="T37" s="12">
        <f t="shared" si="150"/>
        <v>0</v>
      </c>
      <c r="AE37" s="12">
        <f t="shared" ref="AE37:AF37" si="151">AE9/AE$7</f>
        <v>0.18937811030480375</v>
      </c>
      <c r="AF37" s="12">
        <f t="shared" ref="AF37:AH37" si="152">AF9/AF$7</f>
        <v>0.16764412566490758</v>
      </c>
      <c r="AG37" s="12">
        <f t="shared" si="152"/>
        <v>0.15838074901865515</v>
      </c>
      <c r="AH37" s="12" t="e">
        <f t="shared" si="152"/>
        <v>#DIV/0!</v>
      </c>
    </row>
    <row r="38" spans="2:37" x14ac:dyDescent="0.25">
      <c r="B38" s="12" t="s">
        <v>36</v>
      </c>
      <c r="C38" s="12">
        <f t="shared" ref="C38:H38" si="153">C10/C$7</f>
        <v>8.1438279201669433E-2</v>
      </c>
      <c r="D38" s="12">
        <f t="shared" si="153"/>
        <v>7.8702853996512806E-2</v>
      </c>
      <c r="E38" s="12">
        <f t="shared" si="153"/>
        <v>6.9696731409399498E-2</v>
      </c>
      <c r="F38" s="12">
        <f t="shared" si="153"/>
        <v>6.2801786348489083E-2</v>
      </c>
      <c r="G38" s="12">
        <f t="shared" si="153"/>
        <v>7.005377220140134E-2</v>
      </c>
      <c r="H38" s="12">
        <f t="shared" si="153"/>
        <v>6.937082006135474E-2</v>
      </c>
      <c r="I38" s="12">
        <f t="shared" ref="I38:Q38" si="154">I10/I$7</f>
        <v>6.5507079249151126E-2</v>
      </c>
      <c r="J38" s="12">
        <f t="shared" si="154"/>
        <v>6.5692107146007511E-2</v>
      </c>
      <c r="K38" s="12">
        <f t="shared" si="154"/>
        <v>6.6889281739016565E-2</v>
      </c>
      <c r="L38" s="12">
        <f t="shared" si="154"/>
        <v>7.2693121548791373E-2</v>
      </c>
      <c r="M38" s="12">
        <f t="shared" si="154"/>
        <v>6.6350830171822597E-2</v>
      </c>
      <c r="N38" s="12">
        <f t="shared" si="154"/>
        <v>6.4266211327024605E-2</v>
      </c>
      <c r="O38" s="12">
        <f t="shared" si="154"/>
        <v>6.9456150493743748E-2</v>
      </c>
      <c r="P38" s="12">
        <f t="shared" si="154"/>
        <v>9.093792347836116E-2</v>
      </c>
      <c r="Q38" s="12">
        <f t="shared" si="154"/>
        <v>9.1791122431898076E-2</v>
      </c>
      <c r="R38" s="12">
        <f t="shared" ref="R38:T38" si="155">R10/R$7</f>
        <v>0</v>
      </c>
      <c r="S38" s="12">
        <f t="shared" si="155"/>
        <v>0</v>
      </c>
      <c r="T38" s="12">
        <f t="shared" si="155"/>
        <v>0</v>
      </c>
      <c r="AE38" s="12">
        <f t="shared" ref="AE38:AF38" si="156">AE10/AE$7</f>
        <v>7.1532728847480687E-2</v>
      </c>
      <c r="AF38" s="12">
        <f t="shared" ref="AF38:AH38" si="157">AF10/AF$7</f>
        <v>6.7455161137367839E-2</v>
      </c>
      <c r="AG38" s="12">
        <f t="shared" si="157"/>
        <v>6.7186640923678861E-2</v>
      </c>
      <c r="AH38" s="12" t="e">
        <f t="shared" si="157"/>
        <v>#DIV/0!</v>
      </c>
    </row>
    <row r="39" spans="2:37" x14ac:dyDescent="0.25">
      <c r="B39" s="2" t="s">
        <v>37</v>
      </c>
      <c r="C39" s="12">
        <f t="shared" ref="C39:H39" si="158">C11/C$7</f>
        <v>0.29176253411097436</v>
      </c>
      <c r="D39" s="12">
        <f t="shared" si="158"/>
        <v>0.25886711939065798</v>
      </c>
      <c r="E39" s="12">
        <f t="shared" si="158"/>
        <v>0.22931683747913992</v>
      </c>
      <c r="F39" s="12">
        <f t="shared" si="158"/>
        <v>0.2083166461382682</v>
      </c>
      <c r="G39" s="12">
        <f t="shared" si="158"/>
        <v>0.19887893107381457</v>
      </c>
      <c r="H39" s="12">
        <f t="shared" si="158"/>
        <v>0.18302988986706473</v>
      </c>
      <c r="I39" s="12">
        <f t="shared" ref="I39:Q39" si="159">I11/I$7</f>
        <v>0.19170030110833494</v>
      </c>
      <c r="J39" s="12">
        <f t="shared" si="159"/>
        <v>0.1583814405708181</v>
      </c>
      <c r="K39" s="12">
        <f t="shared" si="159"/>
        <v>0.15088936903904493</v>
      </c>
      <c r="L39" s="12">
        <f t="shared" si="159"/>
        <v>0.15803564121848854</v>
      </c>
      <c r="M39" s="12">
        <f t="shared" si="159"/>
        <v>0.14035534751451778</v>
      </c>
      <c r="N39" s="12">
        <f t="shared" si="159"/>
        <v>0.1299666342841525</v>
      </c>
      <c r="O39" s="12">
        <f t="shared" si="159"/>
        <v>0.11286566408707907</v>
      </c>
      <c r="P39" s="12">
        <f t="shared" si="159"/>
        <v>0.1616377860431143</v>
      </c>
      <c r="Q39" s="12">
        <f t="shared" si="159"/>
        <v>0.1825009387908374</v>
      </c>
      <c r="R39" s="12">
        <f t="shared" ref="R39:T39" si="160">R11/R$7</f>
        <v>0</v>
      </c>
      <c r="S39" s="12">
        <f t="shared" si="160"/>
        <v>0</v>
      </c>
      <c r="T39" s="12">
        <f t="shared" si="160"/>
        <v>0</v>
      </c>
      <c r="AE39" s="12">
        <f t="shared" ref="AE39:AF39" si="161">AE11/AE$7</f>
        <v>0.24024153336497669</v>
      </c>
      <c r="AF39" s="12">
        <f t="shared" ref="AF39:AH39" si="162">AF11/AF$7</f>
        <v>0.18166750355619771</v>
      </c>
      <c r="AG39" s="12">
        <f t="shared" si="162"/>
        <v>0.14300741176420445</v>
      </c>
      <c r="AH39" s="12" t="e">
        <f t="shared" si="162"/>
        <v>#DIV/0!</v>
      </c>
    </row>
    <row r="40" spans="2:37" x14ac:dyDescent="0.25">
      <c r="Q40" s="12"/>
    </row>
    <row r="43" spans="2:37" s="3" customFormat="1" x14ac:dyDescent="0.25">
      <c r="B43" s="3" t="s">
        <v>38</v>
      </c>
      <c r="C43" s="3">
        <f t="shared" ref="C43" si="163">+C44+C49-C61</f>
        <v>0</v>
      </c>
      <c r="D43" s="3">
        <f t="shared" ref="D43" si="164">+D44+D49-D61</f>
        <v>0</v>
      </c>
      <c r="E43" s="3">
        <f t="shared" ref="E43" si="165">+E44+E49-E61</f>
        <v>0</v>
      </c>
      <c r="F43" s="3">
        <f t="shared" ref="F43" si="166">+F44+F49-F61</f>
        <v>179625</v>
      </c>
      <c r="G43" s="3">
        <f t="shared" ref="G43" si="167">+G44+G49-G61</f>
        <v>184393</v>
      </c>
      <c r="H43" s="3">
        <f t="shared" ref="H43" si="168">+H44+H49-H61</f>
        <v>193142</v>
      </c>
      <c r="I43" s="3">
        <f t="shared" ref="I43:P43" si="169">+I44+I49-I61</f>
        <v>212497</v>
      </c>
      <c r="J43" s="3">
        <f t="shared" si="169"/>
        <v>220981</v>
      </c>
      <c r="K43" s="3">
        <f t="shared" si="169"/>
        <v>203592</v>
      </c>
      <c r="L43" s="3">
        <f t="shared" si="169"/>
        <v>227292</v>
      </c>
      <c r="M43" s="3">
        <f t="shared" si="169"/>
        <v>254071</v>
      </c>
      <c r="N43" s="3">
        <f t="shared" si="169"/>
        <v>300251</v>
      </c>
      <c r="O43" s="3">
        <f t="shared" si="169"/>
        <v>322671</v>
      </c>
      <c r="P43" s="3">
        <f t="shared" si="169"/>
        <v>175148</v>
      </c>
      <c r="Q43" s="3">
        <f t="shared" ref="Q43" si="170">+Q44+Q49-Q61</f>
        <v>-82043</v>
      </c>
      <c r="AE43" s="3">
        <f t="shared" ref="AE43" si="171">+AE44+AE49-AE61</f>
        <v>179625</v>
      </c>
      <c r="AF43" s="3">
        <f t="shared" ref="AF43" si="172">+AF44+AF49-AF61</f>
        <v>331862</v>
      </c>
      <c r="AG43" s="3">
        <f t="shared" ref="AG43" si="173">+AG44+AG49-AG61</f>
        <v>300251</v>
      </c>
      <c r="AH43" s="3">
        <f t="shared" ref="AH43" si="174">+AH44+AH49-AH61</f>
        <v>0</v>
      </c>
      <c r="AI43" s="3">
        <f t="shared" ref="AI43" si="175">+AI44+AI49-AI61</f>
        <v>0</v>
      </c>
      <c r="AJ43" s="3">
        <f t="shared" ref="AJ43" si="176">+AJ44+AJ49-AJ61</f>
        <v>0</v>
      </c>
      <c r="AK43" s="3">
        <f t="shared" ref="AK43" si="177">+AK44+AK49-AK61</f>
        <v>0</v>
      </c>
    </row>
    <row r="44" spans="2:37" s="3" customFormat="1" x14ac:dyDescent="0.25">
      <c r="B44" s="3" t="s">
        <v>39</v>
      </c>
      <c r="F44" s="3">
        <f>46772+132853</f>
        <v>179625</v>
      </c>
      <c r="G44" s="3">
        <f>48745+135648</f>
        <v>184393</v>
      </c>
      <c r="H44" s="3">
        <f>65417+127725</f>
        <v>193142</v>
      </c>
      <c r="I44" s="3">
        <f>57996+154501</f>
        <v>212497</v>
      </c>
      <c r="J44" s="3">
        <f>96663+124318</f>
        <v>220981</v>
      </c>
      <c r="K44" s="3">
        <f>105237+98355</f>
        <v>203592</v>
      </c>
      <c r="L44" s="3">
        <f>129295+97997</f>
        <v>227292</v>
      </c>
      <c r="M44" s="3">
        <f>165518+88553</f>
        <v>254071</v>
      </c>
      <c r="N44" s="3">
        <f>220584+79667</f>
        <v>300251</v>
      </c>
      <c r="O44" s="3">
        <f>273736+48935</f>
        <v>322671</v>
      </c>
      <c r="P44" s="3">
        <f>1124582+20033</f>
        <v>1144615</v>
      </c>
      <c r="Q44" s="3">
        <f>345778+283966</f>
        <v>629744</v>
      </c>
      <c r="AE44" s="3">
        <f>46772+132853</f>
        <v>179625</v>
      </c>
      <c r="AF44" s="3">
        <f>96663+124318</f>
        <v>220981</v>
      </c>
      <c r="AG44" s="3">
        <f>220584+79667</f>
        <v>300251</v>
      </c>
    </row>
    <row r="45" spans="2:37" s="3" customFormat="1" x14ac:dyDescent="0.25">
      <c r="B45" s="3" t="s">
        <v>40</v>
      </c>
      <c r="F45" s="3">
        <v>21562</v>
      </c>
      <c r="G45" s="3">
        <v>20697</v>
      </c>
      <c r="H45" s="3">
        <v>21417</v>
      </c>
      <c r="I45" s="3">
        <v>21992</v>
      </c>
      <c r="J45" s="3">
        <v>22464</v>
      </c>
      <c r="K45" s="3">
        <v>29826</v>
      </c>
      <c r="L45" s="3">
        <v>40588</v>
      </c>
      <c r="M45" s="3">
        <v>49110</v>
      </c>
      <c r="N45" s="3">
        <v>64427</v>
      </c>
      <c r="O45" s="3">
        <v>76096</v>
      </c>
      <c r="P45" s="3">
        <v>141800</v>
      </c>
      <c r="Q45" s="3">
        <v>105989</v>
      </c>
      <c r="AE45" s="3">
        <v>21562</v>
      </c>
      <c r="AF45" s="3">
        <v>22464</v>
      </c>
      <c r="AG45" s="3">
        <v>64427</v>
      </c>
    </row>
    <row r="46" spans="2:37" s="3" customFormat="1" x14ac:dyDescent="0.25">
      <c r="B46" s="3" t="s">
        <v>41</v>
      </c>
      <c r="F46" s="3">
        <v>15408</v>
      </c>
      <c r="G46" s="3">
        <v>20435</v>
      </c>
      <c r="H46" s="3">
        <v>20089</v>
      </c>
      <c r="I46" s="3">
        <v>15730</v>
      </c>
      <c r="J46" s="3">
        <v>21608</v>
      </c>
      <c r="K46" s="3">
        <v>28316</v>
      </c>
      <c r="L46" s="3">
        <v>23038</v>
      </c>
      <c r="M46" s="3">
        <v>23194</v>
      </c>
      <c r="N46" s="3">
        <v>31153</v>
      </c>
      <c r="O46" s="3">
        <v>48197</v>
      </c>
      <c r="P46" s="3">
        <v>69151</v>
      </c>
      <c r="Q46" s="3">
        <v>109527</v>
      </c>
      <c r="AE46" s="3">
        <v>15408</v>
      </c>
      <c r="AF46" s="3">
        <v>21608</v>
      </c>
      <c r="AG46" s="3">
        <v>31153</v>
      </c>
    </row>
    <row r="47" spans="2:37" s="3" customFormat="1" x14ac:dyDescent="0.25">
      <c r="B47" s="3" t="s">
        <v>42</v>
      </c>
      <c r="F47" s="3">
        <v>856</v>
      </c>
      <c r="G47" s="3">
        <v>856</v>
      </c>
      <c r="H47" s="3">
        <v>856</v>
      </c>
      <c r="I47" s="3">
        <v>856</v>
      </c>
      <c r="J47" s="3">
        <v>856</v>
      </c>
      <c r="K47" s="3">
        <v>856</v>
      </c>
      <c r="L47" s="3">
        <v>856</v>
      </c>
      <c r="M47" s="3">
        <v>856</v>
      </c>
      <c r="N47" s="3">
        <v>856</v>
      </c>
      <c r="O47" s="3">
        <v>1223</v>
      </c>
      <c r="P47" s="3">
        <v>368</v>
      </c>
      <c r="Q47" s="3">
        <v>0</v>
      </c>
      <c r="AE47" s="3">
        <v>856</v>
      </c>
      <c r="AF47" s="3">
        <v>856</v>
      </c>
      <c r="AG47" s="3">
        <v>856</v>
      </c>
    </row>
    <row r="48" spans="2:37" s="3" customFormat="1" x14ac:dyDescent="0.25">
      <c r="B48" s="3" t="s">
        <v>43</v>
      </c>
      <c r="F48" s="3">
        <v>110881</v>
      </c>
      <c r="G48" s="3">
        <v>110881</v>
      </c>
      <c r="H48" s="3">
        <v>110881</v>
      </c>
      <c r="I48" s="3">
        <v>110881</v>
      </c>
      <c r="J48" s="3">
        <v>110881</v>
      </c>
      <c r="K48" s="3">
        <v>110881</v>
      </c>
      <c r="L48" s="3">
        <v>110881</v>
      </c>
      <c r="M48" s="3">
        <v>112728</v>
      </c>
      <c r="N48" s="3">
        <v>112728</v>
      </c>
      <c r="O48" s="3">
        <v>117753</v>
      </c>
      <c r="P48" s="3">
        <v>117753</v>
      </c>
      <c r="Q48" s="3">
        <v>438340</v>
      </c>
      <c r="AE48" s="3">
        <v>110881</v>
      </c>
      <c r="AG48" s="3">
        <v>112728</v>
      </c>
    </row>
    <row r="49" spans="2:37" s="3" customFormat="1" x14ac:dyDescent="0.25">
      <c r="B49" s="3" t="s">
        <v>62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259236</v>
      </c>
      <c r="AE49" s="3">
        <v>0</v>
      </c>
      <c r="AF49" s="3">
        <v>110881</v>
      </c>
      <c r="AG49" s="3">
        <v>0</v>
      </c>
    </row>
    <row r="50" spans="2:37" s="3" customFormat="1" x14ac:dyDescent="0.25">
      <c r="B50" s="3" t="s">
        <v>44</v>
      </c>
      <c r="F50" s="3">
        <v>11199</v>
      </c>
      <c r="G50" s="3">
        <v>13587</v>
      </c>
      <c r="H50" s="3">
        <v>18802</v>
      </c>
      <c r="I50" s="3">
        <v>28238</v>
      </c>
      <c r="J50" s="3">
        <v>36143</v>
      </c>
      <c r="K50" s="3">
        <v>45212</v>
      </c>
      <c r="L50" s="3">
        <v>49540</v>
      </c>
      <c r="M50" s="3">
        <v>52144</v>
      </c>
      <c r="N50" s="3">
        <v>82083</v>
      </c>
      <c r="O50" s="3">
        <v>155707</v>
      </c>
      <c r="P50" s="3">
        <v>205480</v>
      </c>
      <c r="Q50" s="3">
        <v>267438</v>
      </c>
      <c r="AE50" s="3">
        <v>11199</v>
      </c>
      <c r="AF50" s="3">
        <v>36143</v>
      </c>
      <c r="AG50" s="3">
        <v>82083</v>
      </c>
    </row>
    <row r="51" spans="2:37" s="3" customFormat="1" x14ac:dyDescent="0.25">
      <c r="B51" s="3" t="s">
        <v>45</v>
      </c>
      <c r="F51" s="3">
        <v>21841</v>
      </c>
      <c r="G51" s="3">
        <v>20909</v>
      </c>
      <c r="H51" s="3">
        <v>19962</v>
      </c>
      <c r="I51" s="3">
        <v>19297</v>
      </c>
      <c r="J51" s="3">
        <v>18574</v>
      </c>
      <c r="K51" s="3">
        <v>17853</v>
      </c>
      <c r="L51" s="3">
        <v>17133</v>
      </c>
      <c r="M51" s="3">
        <v>44818</v>
      </c>
      <c r="N51" s="3">
        <v>43410</v>
      </c>
      <c r="O51" s="3">
        <v>43431</v>
      </c>
      <c r="P51" s="3">
        <v>40657</v>
      </c>
      <c r="Q51" s="3">
        <v>194931</v>
      </c>
      <c r="AE51" s="3">
        <v>21841</v>
      </c>
      <c r="AF51" s="3">
        <v>18574</v>
      </c>
      <c r="AG51" s="3">
        <v>43410</v>
      </c>
    </row>
    <row r="52" spans="2:37" s="3" customFormat="1" x14ac:dyDescent="0.25">
      <c r="B52" s="3" t="s">
        <v>46</v>
      </c>
      <c r="F52" s="3">
        <v>4936</v>
      </c>
      <c r="G52" s="3">
        <v>4548</v>
      </c>
      <c r="H52" s="3">
        <v>4735</v>
      </c>
      <c r="I52" s="3">
        <v>4302</v>
      </c>
      <c r="J52" s="3">
        <v>9588</v>
      </c>
      <c r="K52" s="3">
        <v>11422</v>
      </c>
      <c r="L52" s="3">
        <v>11034</v>
      </c>
      <c r="M52" s="3">
        <v>10884</v>
      </c>
      <c r="N52" s="3">
        <v>10881</v>
      </c>
      <c r="O52" s="3">
        <v>62198</v>
      </c>
      <c r="P52" s="3">
        <v>71661</v>
      </c>
      <c r="Q52" s="3">
        <v>139297</v>
      </c>
      <c r="AE52" s="3">
        <v>4936</v>
      </c>
      <c r="AF52" s="3">
        <v>9588</v>
      </c>
      <c r="AG52" s="3">
        <v>10881</v>
      </c>
    </row>
    <row r="53" spans="2:37" s="3" customFormat="1" x14ac:dyDescent="0.25">
      <c r="B53" s="3" t="s">
        <v>47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54317</v>
      </c>
      <c r="N53" s="3">
        <v>61603</v>
      </c>
      <c r="O53" s="3">
        <v>62493</v>
      </c>
      <c r="P53" s="3">
        <v>84229</v>
      </c>
      <c r="Q53" s="3">
        <v>84925</v>
      </c>
      <c r="AE53" s="3">
        <v>0</v>
      </c>
      <c r="AG53" s="3">
        <v>61603</v>
      </c>
    </row>
    <row r="54" spans="2:37" s="3" customFormat="1" x14ac:dyDescent="0.25">
      <c r="B54" s="3" t="s">
        <v>48</v>
      </c>
      <c r="F54" s="3">
        <v>33</v>
      </c>
      <c r="G54" s="3">
        <v>0</v>
      </c>
      <c r="H54" s="3">
        <v>0</v>
      </c>
      <c r="I54" s="3">
        <v>72</v>
      </c>
      <c r="J54" s="3">
        <v>91</v>
      </c>
      <c r="K54" s="3">
        <v>138</v>
      </c>
      <c r="L54" s="3">
        <v>138</v>
      </c>
      <c r="M54" s="3">
        <v>138</v>
      </c>
      <c r="N54" s="3">
        <v>147</v>
      </c>
      <c r="O54" s="3">
        <v>1942</v>
      </c>
      <c r="P54" s="3">
        <v>1868</v>
      </c>
      <c r="Q54" s="3">
        <v>3877</v>
      </c>
      <c r="AE54" s="3">
        <v>33</v>
      </c>
      <c r="AF54" s="3">
        <v>91</v>
      </c>
      <c r="AG54" s="3">
        <v>147</v>
      </c>
    </row>
    <row r="55" spans="2:37" s="4" customFormat="1" x14ac:dyDescent="0.25">
      <c r="B55" s="4" t="s">
        <v>49</v>
      </c>
      <c r="C55" s="4">
        <f t="shared" ref="C55" si="178">SUM(C44:C54)</f>
        <v>0</v>
      </c>
      <c r="D55" s="4">
        <f t="shared" ref="D55" si="179">SUM(D44:D54)</f>
        <v>0</v>
      </c>
      <c r="E55" s="4">
        <f t="shared" ref="E55" si="180">SUM(E44:E54)</f>
        <v>0</v>
      </c>
      <c r="F55" s="4">
        <f t="shared" ref="F55" si="181">SUM(F44:F54)</f>
        <v>366341</v>
      </c>
      <c r="G55" s="4">
        <f t="shared" ref="G55" si="182">SUM(G44:G54)</f>
        <v>376306</v>
      </c>
      <c r="H55" s="4">
        <f t="shared" ref="H55" si="183">SUM(H44:H54)</f>
        <v>389884</v>
      </c>
      <c r="I55" s="4">
        <f t="shared" ref="I55:P55" si="184">SUM(I44:I54)</f>
        <v>413865</v>
      </c>
      <c r="J55" s="4">
        <f t="shared" si="184"/>
        <v>441186</v>
      </c>
      <c r="K55" s="4">
        <f t="shared" si="184"/>
        <v>448096</v>
      </c>
      <c r="L55" s="4">
        <f t="shared" si="184"/>
        <v>480500</v>
      </c>
      <c r="M55" s="4">
        <f t="shared" si="184"/>
        <v>602260</v>
      </c>
      <c r="N55" s="4">
        <f t="shared" si="184"/>
        <v>707539</v>
      </c>
      <c r="O55" s="4">
        <f t="shared" si="184"/>
        <v>891711</v>
      </c>
      <c r="P55" s="4">
        <f t="shared" si="184"/>
        <v>1877582</v>
      </c>
      <c r="Q55" s="4">
        <f>SUM(Q44:Q54)</f>
        <v>2233304</v>
      </c>
      <c r="AE55" s="4">
        <f t="shared" ref="AE55" si="185">SUM(AE44:AE54)</f>
        <v>366341</v>
      </c>
      <c r="AF55" s="4">
        <f t="shared" ref="AF55" si="186">SUM(AF44:AF54)</f>
        <v>441186</v>
      </c>
      <c r="AG55" s="4">
        <f t="shared" ref="AG55" si="187">SUM(AG44:AG54)</f>
        <v>707539</v>
      </c>
      <c r="AH55" s="4">
        <f t="shared" ref="AH55" si="188">SUM(AH44:AH54)</f>
        <v>0</v>
      </c>
      <c r="AI55" s="4">
        <f t="shared" ref="AI55" si="189">SUM(AI44:AI54)</f>
        <v>0</v>
      </c>
      <c r="AJ55" s="4">
        <f t="shared" ref="AJ55" si="190">SUM(AJ44:AJ54)</f>
        <v>0</v>
      </c>
      <c r="AK55" s="4">
        <f t="shared" ref="AK55" si="191">SUM(AK44:AK54)</f>
        <v>0</v>
      </c>
    </row>
    <row r="56" spans="2:37" s="3" customFormat="1" x14ac:dyDescent="0.25">
      <c r="B56" s="3" t="s">
        <v>50</v>
      </c>
      <c r="F56" s="3">
        <v>32363</v>
      </c>
      <c r="G56" s="3">
        <v>37609</v>
      </c>
      <c r="H56" s="3">
        <v>32267</v>
      </c>
      <c r="I56" s="3">
        <v>42001</v>
      </c>
      <c r="J56" s="3">
        <v>43070</v>
      </c>
      <c r="K56" s="3">
        <v>43919</v>
      </c>
      <c r="L56" s="3">
        <v>57099</v>
      </c>
      <c r="M56" s="3">
        <v>75444</v>
      </c>
      <c r="N56" s="3">
        <v>91180</v>
      </c>
      <c r="O56" s="3">
        <v>108919</v>
      </c>
      <c r="P56" s="3">
        <v>105009</v>
      </c>
      <c r="Q56" s="3">
        <v>198413</v>
      </c>
      <c r="AE56" s="3">
        <v>32363</v>
      </c>
      <c r="AF56" s="3">
        <v>43070</v>
      </c>
      <c r="AG56" s="3">
        <v>91180</v>
      </c>
    </row>
    <row r="57" spans="2:37" s="3" customFormat="1" x14ac:dyDescent="0.25">
      <c r="B57" s="3" t="s">
        <v>55</v>
      </c>
      <c r="F57" s="3">
        <v>12448</v>
      </c>
      <c r="G57" s="3">
        <v>14121</v>
      </c>
      <c r="H57" s="3">
        <v>19607</v>
      </c>
      <c r="I57" s="3">
        <v>27360</v>
      </c>
      <c r="J57" s="3">
        <v>28972</v>
      </c>
      <c r="K57" s="3">
        <v>26714</v>
      </c>
      <c r="L57" s="3">
        <v>28948</v>
      </c>
      <c r="M57" s="3">
        <v>43224</v>
      </c>
      <c r="N57" s="3">
        <v>53013</v>
      </c>
      <c r="O57" s="3">
        <v>56942</v>
      </c>
      <c r="P57" s="3">
        <v>65671</v>
      </c>
      <c r="Q57" s="3">
        <v>80131</v>
      </c>
      <c r="AE57" s="3">
        <v>12448</v>
      </c>
      <c r="AF57" s="3">
        <v>28972</v>
      </c>
      <c r="AG57" s="3">
        <v>53013</v>
      </c>
    </row>
    <row r="58" spans="2:37" s="3" customFormat="1" x14ac:dyDescent="0.25">
      <c r="B58" s="3" t="s">
        <v>51</v>
      </c>
      <c r="F58" s="3">
        <v>1472</v>
      </c>
      <c r="G58" s="3">
        <v>2866</v>
      </c>
      <c r="H58" s="3">
        <v>2058</v>
      </c>
      <c r="I58" s="3">
        <v>4392</v>
      </c>
      <c r="J58" s="3">
        <v>7733</v>
      </c>
      <c r="K58" s="3">
        <v>13735</v>
      </c>
      <c r="L58" s="3">
        <v>20990</v>
      </c>
      <c r="M58" s="3">
        <v>32184</v>
      </c>
      <c r="N58" s="3">
        <v>75285</v>
      </c>
      <c r="O58" s="3">
        <v>110765</v>
      </c>
      <c r="P58" s="3">
        <v>98417</v>
      </c>
      <c r="Q58" s="3">
        <v>118458</v>
      </c>
      <c r="AE58" s="3">
        <v>1472</v>
      </c>
      <c r="AF58" s="3">
        <v>7733</v>
      </c>
      <c r="AG58" s="3">
        <v>75285</v>
      </c>
    </row>
    <row r="59" spans="2:37" s="3" customFormat="1" x14ac:dyDescent="0.25">
      <c r="B59" s="3" t="s">
        <v>56</v>
      </c>
      <c r="F59" s="3">
        <v>0</v>
      </c>
      <c r="G59" s="3">
        <v>0</v>
      </c>
      <c r="H59" s="3">
        <v>4776</v>
      </c>
      <c r="I59" s="3">
        <v>6862</v>
      </c>
      <c r="J59" s="3">
        <v>7412</v>
      </c>
      <c r="K59" s="3">
        <v>7412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50361</v>
      </c>
      <c r="AE59" s="3">
        <v>0</v>
      </c>
      <c r="AF59" s="3">
        <v>7412</v>
      </c>
      <c r="AG59" s="3">
        <v>0</v>
      </c>
    </row>
    <row r="60" spans="2:37" s="3" customFormat="1" x14ac:dyDescent="0.25">
      <c r="B60" s="3" t="s">
        <v>54</v>
      </c>
      <c r="F60" s="3">
        <v>1658</v>
      </c>
      <c r="G60" s="3">
        <v>1687</v>
      </c>
      <c r="H60" s="3">
        <v>1839</v>
      </c>
      <c r="I60" s="3">
        <v>1930</v>
      </c>
      <c r="J60" s="3">
        <v>1281</v>
      </c>
      <c r="K60" s="3">
        <v>1544</v>
      </c>
      <c r="L60" s="3">
        <v>1634</v>
      </c>
      <c r="M60" s="3">
        <v>1793</v>
      </c>
      <c r="N60" s="3">
        <v>1889</v>
      </c>
      <c r="O60" s="3">
        <v>3736</v>
      </c>
      <c r="P60" s="3">
        <v>3135</v>
      </c>
      <c r="Q60" s="3">
        <v>3422</v>
      </c>
      <c r="AE60" s="3">
        <v>1658</v>
      </c>
      <c r="AF60" s="3">
        <v>1281</v>
      </c>
      <c r="AG60" s="3">
        <v>1889</v>
      </c>
    </row>
    <row r="61" spans="2:37" s="3" customFormat="1" x14ac:dyDescent="0.25">
      <c r="B61" s="3" t="s">
        <v>52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969467</v>
      </c>
      <c r="Q61" s="3">
        <v>971023</v>
      </c>
      <c r="AE61" s="3">
        <v>0</v>
      </c>
      <c r="AF61" s="3">
        <v>0</v>
      </c>
      <c r="AG61" s="3">
        <v>0</v>
      </c>
    </row>
    <row r="62" spans="2:37" s="3" customFormat="1" x14ac:dyDescent="0.25">
      <c r="B62" s="3" t="s">
        <v>53</v>
      </c>
      <c r="F62" s="3">
        <v>3649</v>
      </c>
      <c r="G62" s="3">
        <v>3217</v>
      </c>
      <c r="H62" s="3">
        <v>3252</v>
      </c>
      <c r="I62" s="3">
        <v>2753</v>
      </c>
      <c r="J62" s="3">
        <v>8667</v>
      </c>
      <c r="K62" s="3">
        <v>10279</v>
      </c>
      <c r="L62" s="3">
        <v>9841</v>
      </c>
      <c r="M62" s="3">
        <v>9565</v>
      </c>
      <c r="N62" s="3">
        <v>9456</v>
      </c>
      <c r="O62" s="3">
        <v>56648</v>
      </c>
      <c r="P62" s="3">
        <v>71786</v>
      </c>
      <c r="Q62" s="3">
        <v>143578</v>
      </c>
      <c r="AE62" s="3">
        <v>3649</v>
      </c>
      <c r="AF62" s="3">
        <v>8667</v>
      </c>
      <c r="AG62" s="3">
        <v>9456</v>
      </c>
    </row>
    <row r="63" spans="2:37" s="3" customFormat="1" x14ac:dyDescent="0.25">
      <c r="B63" s="3" t="s">
        <v>57</v>
      </c>
      <c r="F63" s="3">
        <v>2975</v>
      </c>
      <c r="G63" s="3">
        <v>3977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49623</v>
      </c>
      <c r="AE63" s="3">
        <v>2975</v>
      </c>
      <c r="AF63" s="3">
        <v>0</v>
      </c>
      <c r="AG63" s="3">
        <v>0</v>
      </c>
    </row>
    <row r="64" spans="2:37" s="3" customFormat="1" x14ac:dyDescent="0.25">
      <c r="B64" s="3" t="s">
        <v>47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31208</v>
      </c>
      <c r="AE64" s="3">
        <v>0</v>
      </c>
      <c r="AF64" s="3">
        <v>0</v>
      </c>
      <c r="AG64" s="3">
        <v>0</v>
      </c>
    </row>
    <row r="65" spans="2:37" s="3" customFormat="1" x14ac:dyDescent="0.25">
      <c r="B65" s="3" t="s">
        <v>58</v>
      </c>
      <c r="F65" s="3">
        <v>35</v>
      </c>
      <c r="G65" s="3">
        <v>84</v>
      </c>
      <c r="H65" s="3">
        <v>14</v>
      </c>
      <c r="I65" s="3">
        <v>5</v>
      </c>
      <c r="J65" s="3">
        <v>22</v>
      </c>
      <c r="K65" s="3">
        <v>21</v>
      </c>
      <c r="L65" s="3">
        <v>22</v>
      </c>
      <c r="M65" s="3">
        <v>0</v>
      </c>
      <c r="N65" s="3">
        <v>0</v>
      </c>
      <c r="O65" s="3">
        <v>2440</v>
      </c>
      <c r="P65" s="3">
        <v>1401</v>
      </c>
      <c r="Q65" s="3">
        <v>6105</v>
      </c>
      <c r="AE65" s="3">
        <v>35</v>
      </c>
      <c r="AF65" s="3">
        <v>22</v>
      </c>
      <c r="AG65" s="3">
        <v>0</v>
      </c>
    </row>
    <row r="66" spans="2:37" s="4" customFormat="1" x14ac:dyDescent="0.25">
      <c r="B66" s="4" t="s">
        <v>59</v>
      </c>
      <c r="C66" s="4">
        <f t="shared" ref="C66" si="192">SUM(C56:C65)</f>
        <v>0</v>
      </c>
      <c r="D66" s="4">
        <f t="shared" ref="D66" si="193">SUM(D56:D65)</f>
        <v>0</v>
      </c>
      <c r="E66" s="4">
        <f t="shared" ref="E66" si="194">SUM(E56:E65)</f>
        <v>0</v>
      </c>
      <c r="F66" s="4">
        <f t="shared" ref="F66" si="195">SUM(F56:F65)</f>
        <v>54600</v>
      </c>
      <c r="G66" s="4">
        <f t="shared" ref="G66" si="196">SUM(G56:G65)</f>
        <v>63561</v>
      </c>
      <c r="H66" s="4">
        <f t="shared" ref="H66" si="197">SUM(H56:H65)</f>
        <v>63813</v>
      </c>
      <c r="I66" s="4">
        <f t="shared" ref="I66:P66" si="198">SUM(I56:I65)</f>
        <v>85303</v>
      </c>
      <c r="J66" s="4">
        <f t="shared" si="198"/>
        <v>97157</v>
      </c>
      <c r="K66" s="4">
        <f t="shared" si="198"/>
        <v>103624</v>
      </c>
      <c r="L66" s="4">
        <f t="shared" si="198"/>
        <v>118534</v>
      </c>
      <c r="M66" s="4">
        <f t="shared" si="198"/>
        <v>162210</v>
      </c>
      <c r="N66" s="4">
        <f t="shared" si="198"/>
        <v>230823</v>
      </c>
      <c r="O66" s="4">
        <f t="shared" si="198"/>
        <v>339450</v>
      </c>
      <c r="P66" s="4">
        <f t="shared" si="198"/>
        <v>1314886</v>
      </c>
      <c r="Q66" s="4">
        <f>SUM(Q56:Q65)</f>
        <v>1652322</v>
      </c>
      <c r="AE66" s="4">
        <f t="shared" ref="AE66" si="199">SUM(AE56:AE65)</f>
        <v>54600</v>
      </c>
      <c r="AF66" s="4">
        <f t="shared" ref="AF66" si="200">SUM(AF56:AF65)</f>
        <v>97157</v>
      </c>
      <c r="AG66" s="4">
        <f t="shared" ref="AG66" si="201">SUM(AG56:AG65)</f>
        <v>230823</v>
      </c>
      <c r="AH66" s="4">
        <f t="shared" ref="AH66" si="202">SUM(AH56:AH65)</f>
        <v>0</v>
      </c>
      <c r="AI66" s="4">
        <f t="shared" ref="AI66" si="203">SUM(AI56:AI65)</f>
        <v>0</v>
      </c>
      <c r="AJ66" s="4">
        <f t="shared" ref="AJ66" si="204">SUM(AJ56:AJ65)</f>
        <v>0</v>
      </c>
      <c r="AK66" s="4">
        <f t="shared" ref="AK66" si="205">SUM(AK56:AK65)</f>
        <v>0</v>
      </c>
    </row>
    <row r="67" spans="2:37" s="3" customFormat="1" x14ac:dyDescent="0.25">
      <c r="B67" s="3" t="s">
        <v>60</v>
      </c>
      <c r="F67" s="3">
        <v>311741</v>
      </c>
      <c r="G67" s="3">
        <v>312745</v>
      </c>
      <c r="H67" s="3">
        <v>320071</v>
      </c>
      <c r="I67" s="3">
        <v>328562</v>
      </c>
      <c r="J67" s="3">
        <v>344029</v>
      </c>
      <c r="K67" s="3">
        <v>344482</v>
      </c>
      <c r="L67" s="3">
        <v>361966</v>
      </c>
      <c r="M67" s="3">
        <v>440051</v>
      </c>
      <c r="N67" s="3">
        <v>476716</v>
      </c>
      <c r="O67" s="3">
        <v>549261</v>
      </c>
      <c r="P67" s="3">
        <v>562696</v>
      </c>
      <c r="Q67" s="3">
        <v>580982</v>
      </c>
      <c r="AE67" s="3">
        <v>311741</v>
      </c>
      <c r="AF67" s="3">
        <v>344029</v>
      </c>
      <c r="AG67" s="3">
        <v>476716</v>
      </c>
    </row>
    <row r="68" spans="2:37" s="4" customFormat="1" x14ac:dyDescent="0.25">
      <c r="B68" s="4" t="s">
        <v>61</v>
      </c>
      <c r="C68" s="4">
        <f t="shared" ref="C68" si="206">C66+C67</f>
        <v>0</v>
      </c>
      <c r="D68" s="4">
        <f t="shared" ref="D68" si="207">D66+D67</f>
        <v>0</v>
      </c>
      <c r="E68" s="4">
        <f t="shared" ref="E68" si="208">E66+E67</f>
        <v>0</v>
      </c>
      <c r="F68" s="4">
        <f t="shared" ref="F68" si="209">F66+F67</f>
        <v>366341</v>
      </c>
      <c r="G68" s="4">
        <f t="shared" ref="G68" si="210">G66+G67</f>
        <v>376306</v>
      </c>
      <c r="H68" s="4">
        <f t="shared" ref="H68" si="211">H66+H67</f>
        <v>383884</v>
      </c>
      <c r="I68" s="4">
        <f t="shared" ref="I68:P68" si="212">I66+I67</f>
        <v>413865</v>
      </c>
      <c r="J68" s="4">
        <f t="shared" si="212"/>
        <v>441186</v>
      </c>
      <c r="K68" s="4">
        <f t="shared" si="212"/>
        <v>448106</v>
      </c>
      <c r="L68" s="4">
        <f t="shared" si="212"/>
        <v>480500</v>
      </c>
      <c r="M68" s="4">
        <f t="shared" si="212"/>
        <v>602261</v>
      </c>
      <c r="N68" s="4">
        <f t="shared" si="212"/>
        <v>707539</v>
      </c>
      <c r="O68" s="4">
        <f t="shared" si="212"/>
        <v>888711</v>
      </c>
      <c r="P68" s="4">
        <f t="shared" si="212"/>
        <v>1877582</v>
      </c>
      <c r="Q68" s="4">
        <f>Q66+Q67</f>
        <v>2233304</v>
      </c>
      <c r="AE68" s="4">
        <f t="shared" ref="AE68" si="213">AE66+AE67</f>
        <v>366341</v>
      </c>
      <c r="AF68" s="4">
        <f t="shared" ref="AF68" si="214">AF66+AF67</f>
        <v>441186</v>
      </c>
      <c r="AG68" s="4">
        <f t="shared" ref="AG68" si="215">AG66+AG67</f>
        <v>707539</v>
      </c>
      <c r="AH68" s="4">
        <f t="shared" ref="AH68" si="216">AH66+AH67</f>
        <v>0</v>
      </c>
      <c r="AI68" s="4">
        <f t="shared" ref="AI68" si="217">AI66+AI67</f>
        <v>0</v>
      </c>
      <c r="AJ68" s="4">
        <f t="shared" ref="AJ68" si="218">AJ66+AJ67</f>
        <v>0</v>
      </c>
      <c r="AK68" s="4">
        <f t="shared" ref="AK68" si="219">AK66+AK67</f>
        <v>0</v>
      </c>
    </row>
    <row r="70" spans="2:37" x14ac:dyDescent="0.25">
      <c r="I70" s="3"/>
    </row>
    <row r="71" spans="2:37" s="11" customFormat="1" x14ac:dyDescent="0.25">
      <c r="B71" s="11" t="s">
        <v>64</v>
      </c>
      <c r="F71" s="11">
        <f t="shared" ref="F71:H71" si="220">(F44+F45+F46)/(F56+F57+F58+F59+F60)</f>
        <v>4.5179491458250762</v>
      </c>
      <c r="G71" s="11">
        <f t="shared" si="220"/>
        <v>4.0069825702254676</v>
      </c>
      <c r="H71" s="11">
        <f t="shared" si="220"/>
        <v>3.8754686441937669</v>
      </c>
      <c r="I71" s="11">
        <f t="shared" ref="I71:P71" si="221">(I44+I45+I46)/(I56+I57+I58+I59+I60)</f>
        <v>3.0313041371373188</v>
      </c>
      <c r="J71" s="11">
        <f t="shared" si="221"/>
        <v>2.9960324637156939</v>
      </c>
      <c r="K71" s="11">
        <f t="shared" si="221"/>
        <v>2.8045733144743044</v>
      </c>
      <c r="L71" s="11">
        <f t="shared" si="221"/>
        <v>2.6770527555649619</v>
      </c>
      <c r="M71" s="11">
        <f t="shared" si="221"/>
        <v>2.1381309574502931</v>
      </c>
      <c r="N71" s="11">
        <f t="shared" si="221"/>
        <v>1.7881210839917423</v>
      </c>
      <c r="O71" s="11">
        <f t="shared" si="221"/>
        <v>1.5942388768806044</v>
      </c>
      <c r="P71" s="11">
        <f t="shared" si="221"/>
        <v>4.979451350318846</v>
      </c>
      <c r="Q71" s="11">
        <f>(Q44+Q45+Q46)/(Q56+Q57+Q58+Q59+Q60)</f>
        <v>1.8750845746863805</v>
      </c>
    </row>
    <row r="72" spans="2:37" s="13" customFormat="1" x14ac:dyDescent="0.25">
      <c r="B72" s="13" t="s">
        <v>65</v>
      </c>
      <c r="F72" s="13">
        <f t="shared" ref="F72:H72" si="222">F66/F67</f>
        <v>0.17514539313083619</v>
      </c>
      <c r="G72" s="13">
        <f t="shared" si="222"/>
        <v>0.20323586308334265</v>
      </c>
      <c r="H72" s="13">
        <f t="shared" si="222"/>
        <v>0.19937138947296068</v>
      </c>
      <c r="I72" s="13">
        <f t="shared" ref="I72:P72" si="223">I66/I67</f>
        <v>0.259625276203578</v>
      </c>
      <c r="J72" s="13">
        <f t="shared" si="223"/>
        <v>0.2824093317714495</v>
      </c>
      <c r="K72" s="13">
        <f t="shared" si="223"/>
        <v>0.30081107285721748</v>
      </c>
      <c r="L72" s="13">
        <f t="shared" si="223"/>
        <v>0.3274727460590221</v>
      </c>
      <c r="M72" s="13">
        <f t="shared" si="223"/>
        <v>0.36861636492133865</v>
      </c>
      <c r="N72" s="13">
        <f t="shared" si="223"/>
        <v>0.4841939435638829</v>
      </c>
      <c r="O72" s="13">
        <f t="shared" si="223"/>
        <v>0.61801220184939398</v>
      </c>
      <c r="P72" s="13">
        <f t="shared" si="223"/>
        <v>2.336760879764562</v>
      </c>
      <c r="Q72" s="13">
        <f>Q66/Q67</f>
        <v>2.8440158214884455</v>
      </c>
    </row>
    <row r="75" spans="2:37" s="3" customFormat="1" x14ac:dyDescent="0.25">
      <c r="B75" s="3" t="s">
        <v>67</v>
      </c>
      <c r="C75" s="3">
        <f t="shared" ref="C75:H75" si="224">C17</f>
        <v>-16252</v>
      </c>
      <c r="D75" s="3">
        <f t="shared" si="224"/>
        <v>-19679</v>
      </c>
      <c r="E75" s="3">
        <f t="shared" si="224"/>
        <v>-18840</v>
      </c>
      <c r="F75" s="3">
        <f t="shared" si="224"/>
        <v>-10907</v>
      </c>
      <c r="G75" s="3">
        <f t="shared" si="224"/>
        <v>-10067</v>
      </c>
      <c r="H75" s="3">
        <f t="shared" si="224"/>
        <v>-7157</v>
      </c>
      <c r="I75" s="3">
        <f t="shared" ref="I75:Q75" si="225">I17</f>
        <v>-7567</v>
      </c>
      <c r="J75" s="3">
        <f t="shared" si="225"/>
        <v>1245</v>
      </c>
      <c r="K75" s="3">
        <f t="shared" si="225"/>
        <v>11128</v>
      </c>
      <c r="L75" s="3">
        <f t="shared" si="225"/>
        <v>13297</v>
      </c>
      <c r="M75" s="3">
        <f t="shared" si="225"/>
        <v>75588</v>
      </c>
      <c r="N75" s="3">
        <f t="shared" si="225"/>
        <v>26025</v>
      </c>
      <c r="O75" s="3">
        <f t="shared" si="225"/>
        <v>49485</v>
      </c>
      <c r="P75" s="3">
        <f t="shared" si="225"/>
        <v>42505</v>
      </c>
      <c r="Q75" s="3">
        <f>Q17</f>
        <v>15774</v>
      </c>
      <c r="AE75" s="3">
        <f t="shared" ref="AE75:AK75" si="226">AE17</f>
        <v>-65678</v>
      </c>
      <c r="AF75" s="3">
        <f t="shared" si="226"/>
        <v>-23546</v>
      </c>
      <c r="AG75" s="3">
        <f t="shared" si="226"/>
        <v>126038</v>
      </c>
      <c r="AH75" s="3">
        <f t="shared" si="226"/>
        <v>0</v>
      </c>
      <c r="AI75" s="3">
        <f t="shared" si="226"/>
        <v>0</v>
      </c>
      <c r="AJ75" s="3">
        <f t="shared" si="226"/>
        <v>0</v>
      </c>
      <c r="AK75" s="3">
        <f t="shared" si="226"/>
        <v>0</v>
      </c>
    </row>
    <row r="76" spans="2:37" s="3" customFormat="1" x14ac:dyDescent="0.25">
      <c r="B76" s="3" t="s">
        <v>66</v>
      </c>
      <c r="C76" s="3">
        <v>-16252</v>
      </c>
      <c r="D76" s="3">
        <v>-19679</v>
      </c>
      <c r="E76" s="3">
        <v>-18840</v>
      </c>
      <c r="F76" s="3">
        <v>-10907</v>
      </c>
      <c r="G76" s="3">
        <v>-10067</v>
      </c>
      <c r="H76" s="3">
        <v>-7157</v>
      </c>
      <c r="I76" s="3">
        <v>-7567</v>
      </c>
      <c r="J76" s="3">
        <v>1245</v>
      </c>
      <c r="K76" s="3">
        <v>11128</v>
      </c>
      <c r="L76" s="3">
        <v>13297</v>
      </c>
      <c r="M76" s="3">
        <v>75588</v>
      </c>
      <c r="N76" s="3">
        <v>26025</v>
      </c>
      <c r="O76" s="3">
        <v>49485</v>
      </c>
      <c r="P76" s="3">
        <v>42505</v>
      </c>
      <c r="Q76" s="3">
        <v>15774</v>
      </c>
      <c r="AE76" s="3">
        <v>-65678</v>
      </c>
      <c r="AF76" s="3">
        <v>-23546</v>
      </c>
      <c r="AG76" s="3">
        <v>126038</v>
      </c>
    </row>
    <row r="77" spans="2:37" s="3" customFormat="1" x14ac:dyDescent="0.25">
      <c r="B77" s="3" t="s">
        <v>68</v>
      </c>
      <c r="C77" s="3">
        <v>1741</v>
      </c>
      <c r="D77" s="3">
        <v>1821</v>
      </c>
      <c r="E77" s="3">
        <v>1902</v>
      </c>
      <c r="F77" s="3">
        <v>2010</v>
      </c>
      <c r="G77" s="3">
        <v>2117</v>
      </c>
      <c r="H77" s="3">
        <v>2377</v>
      </c>
      <c r="I77" s="3">
        <v>2363</v>
      </c>
      <c r="J77" s="3">
        <v>2658</v>
      </c>
      <c r="K77" s="3">
        <v>3001</v>
      </c>
      <c r="L77" s="3">
        <v>3643</v>
      </c>
      <c r="M77" s="3">
        <v>4383</v>
      </c>
      <c r="N77" s="3">
        <v>6061</v>
      </c>
      <c r="O77" s="3">
        <v>8276</v>
      </c>
      <c r="P77" s="3">
        <v>10465</v>
      </c>
      <c r="Q77" s="3">
        <v>17669</v>
      </c>
      <c r="AE77" s="3">
        <v>7474</v>
      </c>
      <c r="AF77" s="3">
        <v>9515</v>
      </c>
      <c r="AG77" s="3">
        <v>17088</v>
      </c>
    </row>
    <row r="78" spans="2:37" s="3" customFormat="1" x14ac:dyDescent="0.25">
      <c r="B78" s="3" t="s">
        <v>69</v>
      </c>
      <c r="C78" s="3">
        <v>8856</v>
      </c>
      <c r="D78" s="3">
        <v>10632</v>
      </c>
      <c r="E78" s="3">
        <v>10979</v>
      </c>
      <c r="F78" s="3">
        <v>12350</v>
      </c>
      <c r="G78" s="3">
        <v>14167</v>
      </c>
      <c r="H78" s="3">
        <v>16845</v>
      </c>
      <c r="I78" s="3">
        <v>17277</v>
      </c>
      <c r="J78" s="3">
        <v>17791</v>
      </c>
      <c r="K78" s="3">
        <v>19032</v>
      </c>
      <c r="L78" s="3">
        <v>24042</v>
      </c>
      <c r="M78" s="3">
        <v>24899</v>
      </c>
      <c r="N78" s="3">
        <v>24349</v>
      </c>
      <c r="O78" s="3">
        <v>24858</v>
      </c>
      <c r="P78" s="3">
        <v>35726</v>
      </c>
      <c r="Q78" s="3">
        <v>40172</v>
      </c>
      <c r="AE78" s="3">
        <v>42817</v>
      </c>
      <c r="AF78" s="3">
        <v>66080</v>
      </c>
      <c r="AG78" s="3">
        <v>92322</v>
      </c>
    </row>
    <row r="79" spans="2:37" s="3" customFormat="1" x14ac:dyDescent="0.25">
      <c r="B79" s="3" t="s">
        <v>70</v>
      </c>
      <c r="C79" s="3">
        <v>-441</v>
      </c>
      <c r="D79" s="3">
        <v>-121</v>
      </c>
      <c r="E79" s="3">
        <v>-450</v>
      </c>
      <c r="F79" s="3">
        <v>942</v>
      </c>
      <c r="G79" s="3">
        <v>295</v>
      </c>
      <c r="H79" s="3">
        <v>173</v>
      </c>
      <c r="I79" s="3">
        <v>588</v>
      </c>
      <c r="J79" s="3">
        <v>19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7626</v>
      </c>
      <c r="AE79" s="3">
        <v>-70</v>
      </c>
      <c r="AF79" s="3">
        <v>1075</v>
      </c>
      <c r="AG79" s="3">
        <v>0</v>
      </c>
    </row>
    <row r="80" spans="2:37" s="3" customFormat="1" x14ac:dyDescent="0.25">
      <c r="B80" s="3" t="s">
        <v>71</v>
      </c>
      <c r="C80" s="3">
        <v>971</v>
      </c>
      <c r="D80" s="3">
        <v>-108</v>
      </c>
      <c r="E80" s="3">
        <v>123</v>
      </c>
      <c r="F80" s="3">
        <v>-840</v>
      </c>
      <c r="G80" s="3">
        <v>-1041</v>
      </c>
      <c r="H80" s="3">
        <v>-1476</v>
      </c>
      <c r="I80" s="3">
        <v>-1517</v>
      </c>
      <c r="J80" s="3">
        <v>-1652</v>
      </c>
      <c r="K80" s="3">
        <v>-1077</v>
      </c>
      <c r="L80" s="3">
        <v>-1204</v>
      </c>
      <c r="M80" s="3">
        <v>-1159</v>
      </c>
      <c r="N80" s="3">
        <v>-915</v>
      </c>
      <c r="O80" s="3">
        <v>-693</v>
      </c>
      <c r="P80" s="3">
        <v>-367</v>
      </c>
      <c r="Q80" s="3">
        <v>-253</v>
      </c>
      <c r="AE80" s="3">
        <v>146</v>
      </c>
      <c r="AF80" s="3">
        <v>-5686</v>
      </c>
      <c r="AG80" s="3">
        <v>-4355</v>
      </c>
    </row>
    <row r="81" spans="2:37" s="3" customFormat="1" x14ac:dyDescent="0.25">
      <c r="B81" s="3" t="s">
        <v>72</v>
      </c>
      <c r="C81" s="3">
        <v>-112</v>
      </c>
      <c r="D81" s="3">
        <v>-146</v>
      </c>
      <c r="E81" s="3">
        <v>-122</v>
      </c>
      <c r="F81" s="3">
        <v>-214</v>
      </c>
      <c r="G81" s="3">
        <v>49</v>
      </c>
      <c r="H81" s="3">
        <v>-69</v>
      </c>
      <c r="I81" s="3">
        <v>-10</v>
      </c>
      <c r="J81" s="3">
        <v>17</v>
      </c>
      <c r="K81" s="3">
        <v>-1</v>
      </c>
      <c r="L81" s="3">
        <v>1</v>
      </c>
      <c r="M81" s="3">
        <v>-54340</v>
      </c>
      <c r="N81" s="3">
        <v>-7309</v>
      </c>
      <c r="O81" s="3">
        <v>-890</v>
      </c>
      <c r="P81" s="3">
        <v>-9456</v>
      </c>
      <c r="Q81" s="3">
        <v>862</v>
      </c>
      <c r="AE81" s="3">
        <v>-594</v>
      </c>
      <c r="AF81" s="3">
        <v>-13</v>
      </c>
      <c r="AG81" s="3">
        <v>-61649</v>
      </c>
    </row>
    <row r="82" spans="2:37" s="3" customFormat="1" x14ac:dyDescent="0.25">
      <c r="B82" s="3" t="s">
        <v>73</v>
      </c>
      <c r="C82" s="3">
        <v>0</v>
      </c>
      <c r="D82" s="3">
        <v>0</v>
      </c>
      <c r="E82" s="3">
        <v>1127</v>
      </c>
      <c r="F82" s="3">
        <v>0</v>
      </c>
      <c r="G82" s="3">
        <v>429</v>
      </c>
      <c r="H82" s="3">
        <v>0</v>
      </c>
      <c r="I82" s="3">
        <v>0</v>
      </c>
      <c r="J82" s="3">
        <v>0</v>
      </c>
      <c r="K82" s="3">
        <v>0</v>
      </c>
      <c r="L82" s="3">
        <v>114</v>
      </c>
      <c r="M82" s="3">
        <v>0</v>
      </c>
      <c r="N82" s="3">
        <v>0</v>
      </c>
      <c r="O82" s="3">
        <v>0</v>
      </c>
      <c r="P82" s="3">
        <v>0</v>
      </c>
      <c r="Q82" s="3">
        <v>531</v>
      </c>
      <c r="AE82" s="3">
        <v>1127</v>
      </c>
      <c r="AF82" s="3">
        <v>429</v>
      </c>
      <c r="AG82" s="3">
        <v>114</v>
      </c>
    </row>
    <row r="83" spans="2:37" s="3" customFormat="1" x14ac:dyDescent="0.25">
      <c r="B83" s="3" t="s">
        <v>75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1047</v>
      </c>
      <c r="Q83" s="3">
        <v>1743</v>
      </c>
      <c r="AE83" s="3">
        <v>0</v>
      </c>
      <c r="AF83" s="3">
        <v>0</v>
      </c>
      <c r="AG83" s="3">
        <v>0</v>
      </c>
    </row>
    <row r="84" spans="2:37" s="3" customFormat="1" x14ac:dyDescent="0.25">
      <c r="B84" s="3" t="s">
        <v>76</v>
      </c>
      <c r="C84" s="3">
        <v>377</v>
      </c>
      <c r="D84" s="3">
        <v>378</v>
      </c>
      <c r="E84" s="3">
        <v>401</v>
      </c>
      <c r="F84" s="3">
        <v>449</v>
      </c>
      <c r="G84" s="3">
        <v>448</v>
      </c>
      <c r="H84" s="3">
        <v>466</v>
      </c>
      <c r="I84" s="3">
        <v>498</v>
      </c>
      <c r="J84" s="3">
        <v>510</v>
      </c>
      <c r="K84" s="3">
        <v>574</v>
      </c>
      <c r="L84" s="3">
        <v>647</v>
      </c>
      <c r="M84" s="3">
        <v>654</v>
      </c>
      <c r="N84" s="3">
        <v>671</v>
      </c>
      <c r="O84" s="3">
        <v>1905</v>
      </c>
      <c r="P84" s="3">
        <v>2689</v>
      </c>
      <c r="Q84" s="3">
        <v>3311</v>
      </c>
      <c r="AE84" s="3">
        <v>1605</v>
      </c>
      <c r="AF84" s="3">
        <v>1922</v>
      </c>
      <c r="AG84" s="3">
        <v>2546</v>
      </c>
    </row>
    <row r="85" spans="2:37" s="3" customFormat="1" x14ac:dyDescent="0.25">
      <c r="B85" s="3" t="s">
        <v>77</v>
      </c>
      <c r="C85" s="3">
        <v>69</v>
      </c>
      <c r="D85" s="3">
        <v>-11</v>
      </c>
      <c r="E85" s="3">
        <v>-256</v>
      </c>
      <c r="F85" s="3">
        <v>1035</v>
      </c>
      <c r="G85" s="3">
        <v>566</v>
      </c>
      <c r="H85" s="3">
        <v>500</v>
      </c>
      <c r="I85" s="3">
        <v>1198</v>
      </c>
      <c r="J85" s="3">
        <v>427</v>
      </c>
      <c r="K85" s="3">
        <v>0</v>
      </c>
      <c r="L85" s="3">
        <v>0</v>
      </c>
      <c r="M85" s="3">
        <v>0</v>
      </c>
      <c r="N85" s="3">
        <v>0</v>
      </c>
      <c r="O85" s="3">
        <v>1030</v>
      </c>
      <c r="P85" s="3">
        <v>1955</v>
      </c>
      <c r="Q85" s="3">
        <v>1976</v>
      </c>
      <c r="AE85" s="3">
        <v>837</v>
      </c>
      <c r="AF85" s="3">
        <v>2691</v>
      </c>
      <c r="AG85" s="3">
        <v>0</v>
      </c>
    </row>
    <row r="86" spans="2:37" s="3" customFormat="1" x14ac:dyDescent="0.25">
      <c r="B86" s="3" t="s">
        <v>78</v>
      </c>
      <c r="C86" s="3">
        <v>-163</v>
      </c>
      <c r="D86" s="3">
        <v>163</v>
      </c>
      <c r="E86" s="3">
        <v>0</v>
      </c>
      <c r="F86" s="3">
        <v>0</v>
      </c>
      <c r="G86" s="3">
        <v>75</v>
      </c>
      <c r="H86" s="3">
        <v>0</v>
      </c>
      <c r="I86" s="3">
        <v>12</v>
      </c>
      <c r="J86" s="3">
        <v>108</v>
      </c>
      <c r="K86" s="3">
        <v>484</v>
      </c>
      <c r="L86" s="3">
        <v>-72</v>
      </c>
      <c r="M86" s="3">
        <v>23</v>
      </c>
      <c r="N86" s="3">
        <v>-78</v>
      </c>
      <c r="O86" s="3">
        <v>832</v>
      </c>
      <c r="P86" s="3">
        <v>-2147</v>
      </c>
      <c r="Q86" s="3">
        <v>-814</v>
      </c>
      <c r="AE86" s="3">
        <v>0</v>
      </c>
      <c r="AF86" s="3">
        <v>195</v>
      </c>
      <c r="AG86" s="3">
        <v>357</v>
      </c>
    </row>
    <row r="87" spans="2:37" s="3" customFormat="1" x14ac:dyDescent="0.25">
      <c r="B87" s="3" t="s">
        <v>40</v>
      </c>
      <c r="C87" s="3">
        <v>1415</v>
      </c>
      <c r="D87" s="3">
        <v>-7530</v>
      </c>
      <c r="E87" s="3">
        <v>-2674</v>
      </c>
      <c r="F87" s="3">
        <v>785</v>
      </c>
      <c r="G87" s="3">
        <v>865</v>
      </c>
      <c r="H87" s="3">
        <v>-720</v>
      </c>
      <c r="I87" s="3">
        <v>-575</v>
      </c>
      <c r="J87" s="3">
        <v>-472</v>
      </c>
      <c r="K87" s="3">
        <v>-7362</v>
      </c>
      <c r="L87" s="3">
        <v>-10762</v>
      </c>
      <c r="M87" s="3">
        <v>-8171</v>
      </c>
      <c r="N87" s="3">
        <v>-15317</v>
      </c>
      <c r="O87" s="3">
        <v>-11669</v>
      </c>
      <c r="P87" s="3">
        <v>-65704</v>
      </c>
      <c r="Q87" s="3">
        <v>37270</v>
      </c>
      <c r="AE87" s="3">
        <v>-8004</v>
      </c>
      <c r="AF87" s="3">
        <v>-902</v>
      </c>
      <c r="AG87" s="3">
        <v>-41612</v>
      </c>
    </row>
    <row r="88" spans="2:37" s="3" customFormat="1" x14ac:dyDescent="0.25">
      <c r="B88" s="3" t="s">
        <v>79</v>
      </c>
      <c r="C88" s="3">
        <v>-7677</v>
      </c>
      <c r="D88" s="3">
        <v>915</v>
      </c>
      <c r="E88" s="3">
        <v>3118</v>
      </c>
      <c r="F88" s="3">
        <v>-2691</v>
      </c>
      <c r="G88" s="3">
        <v>-4984</v>
      </c>
      <c r="H88" s="3">
        <v>228</v>
      </c>
      <c r="I88" s="3">
        <v>4355</v>
      </c>
      <c r="J88" s="3">
        <v>-5994</v>
      </c>
      <c r="K88" s="3">
        <v>-6708</v>
      </c>
      <c r="L88" s="3">
        <v>5278</v>
      </c>
      <c r="M88" s="3">
        <v>-105</v>
      </c>
      <c r="N88" s="3">
        <v>-7959</v>
      </c>
      <c r="O88" s="3">
        <v>-17239</v>
      </c>
      <c r="P88" s="3">
        <v>-20842</v>
      </c>
      <c r="Q88" s="3">
        <v>-16301</v>
      </c>
      <c r="AE88" s="3">
        <v>-6335</v>
      </c>
      <c r="AF88" s="3">
        <v>-6395</v>
      </c>
      <c r="AG88" s="3">
        <v>-9494</v>
      </c>
    </row>
    <row r="89" spans="2:37" s="3" customFormat="1" x14ac:dyDescent="0.25">
      <c r="B89" s="3" t="s">
        <v>48</v>
      </c>
      <c r="C89" s="3">
        <v>-30</v>
      </c>
      <c r="D89" s="3">
        <v>3</v>
      </c>
      <c r="E89" s="3">
        <v>34</v>
      </c>
      <c r="F89" s="3">
        <v>10</v>
      </c>
      <c r="G89" s="3">
        <v>5</v>
      </c>
      <c r="H89" s="3">
        <v>-37</v>
      </c>
      <c r="I89" s="3">
        <v>-7</v>
      </c>
      <c r="J89" s="3">
        <v>-19</v>
      </c>
      <c r="K89" s="3">
        <v>-47</v>
      </c>
      <c r="L89" s="3">
        <v>0</v>
      </c>
      <c r="M89" s="3">
        <v>0</v>
      </c>
      <c r="N89" s="3">
        <v>-9</v>
      </c>
      <c r="O89" s="3">
        <v>73</v>
      </c>
      <c r="P89" s="3">
        <v>-83</v>
      </c>
      <c r="Q89" s="3">
        <v>5</v>
      </c>
      <c r="AE89" s="3">
        <v>17</v>
      </c>
      <c r="AF89" s="3">
        <v>-58</v>
      </c>
      <c r="AG89" s="3">
        <v>-56</v>
      </c>
    </row>
    <row r="90" spans="2:37" s="3" customFormat="1" x14ac:dyDescent="0.25">
      <c r="B90" s="3" t="s">
        <v>50</v>
      </c>
      <c r="C90" s="3">
        <v>4266</v>
      </c>
      <c r="D90" s="3">
        <v>3187</v>
      </c>
      <c r="E90" s="3">
        <v>5879</v>
      </c>
      <c r="F90" s="3">
        <v>-609</v>
      </c>
      <c r="G90" s="3">
        <v>3955</v>
      </c>
      <c r="H90" s="3">
        <v>1483</v>
      </c>
      <c r="I90" s="3">
        <v>-1037</v>
      </c>
      <c r="J90" s="3">
        <v>2923</v>
      </c>
      <c r="K90" s="3">
        <v>3602</v>
      </c>
      <c r="L90" s="3">
        <v>12554</v>
      </c>
      <c r="M90" s="3">
        <v>18896</v>
      </c>
      <c r="N90" s="3">
        <v>8658</v>
      </c>
      <c r="O90" s="3">
        <v>14473</v>
      </c>
      <c r="P90" s="3">
        <v>-9327</v>
      </c>
      <c r="Q90" s="3">
        <v>70952</v>
      </c>
      <c r="AE90" s="3">
        <v>12723</v>
      </c>
      <c r="AF90" s="3">
        <v>7324</v>
      </c>
      <c r="AG90" s="3">
        <v>43710</v>
      </c>
    </row>
    <row r="91" spans="2:37" s="3" customFormat="1" x14ac:dyDescent="0.25">
      <c r="B91" s="3" t="s">
        <v>55</v>
      </c>
      <c r="C91" s="3">
        <v>-3148</v>
      </c>
      <c r="D91" s="3">
        <v>3298</v>
      </c>
      <c r="E91" s="3">
        <v>5370</v>
      </c>
      <c r="F91" s="3">
        <v>-4611</v>
      </c>
      <c r="G91" s="3">
        <v>1673</v>
      </c>
      <c r="H91" s="3">
        <v>5486</v>
      </c>
      <c r="I91" s="3">
        <v>7753</v>
      </c>
      <c r="J91" s="3">
        <v>1612</v>
      </c>
      <c r="K91" s="3">
        <v>-2258</v>
      </c>
      <c r="L91" s="3">
        <v>2234</v>
      </c>
      <c r="M91" s="3">
        <v>14026</v>
      </c>
      <c r="N91" s="3">
        <v>9789</v>
      </c>
      <c r="O91" s="3">
        <v>4351</v>
      </c>
      <c r="P91" s="3">
        <v>7386</v>
      </c>
      <c r="Q91" s="3">
        <v>-52883</v>
      </c>
      <c r="AE91" s="3">
        <v>909</v>
      </c>
      <c r="AF91" s="3">
        <v>16524</v>
      </c>
      <c r="AG91" s="3">
        <v>23791</v>
      </c>
    </row>
    <row r="92" spans="2:37" s="3" customFormat="1" x14ac:dyDescent="0.25">
      <c r="B92" s="3" t="s">
        <v>51</v>
      </c>
      <c r="C92" s="3">
        <v>-2043</v>
      </c>
      <c r="D92" s="3">
        <v>1192</v>
      </c>
      <c r="E92" s="3">
        <v>-213</v>
      </c>
      <c r="F92" s="3">
        <v>-652</v>
      </c>
      <c r="G92" s="3">
        <v>1394</v>
      </c>
      <c r="H92" s="3">
        <v>-808</v>
      </c>
      <c r="I92" s="3">
        <v>2334</v>
      </c>
      <c r="J92" s="3">
        <v>3341</v>
      </c>
      <c r="K92" s="3">
        <v>6002</v>
      </c>
      <c r="L92" s="3">
        <v>7255</v>
      </c>
      <c r="M92" s="3">
        <v>11194</v>
      </c>
      <c r="N92" s="3">
        <v>43101</v>
      </c>
      <c r="O92" s="3">
        <v>35480</v>
      </c>
      <c r="P92" s="3">
        <v>-12348</v>
      </c>
      <c r="Q92" s="3">
        <v>19947</v>
      </c>
      <c r="AE92" s="3">
        <v>-1716</v>
      </c>
      <c r="AF92" s="3">
        <v>6261</v>
      </c>
      <c r="AG92" s="3">
        <v>67552</v>
      </c>
    </row>
    <row r="93" spans="2:37" s="3" customFormat="1" x14ac:dyDescent="0.25">
      <c r="B93" s="3" t="s">
        <v>54</v>
      </c>
      <c r="C93" s="3">
        <v>-384</v>
      </c>
      <c r="D93" s="3">
        <v>-388</v>
      </c>
      <c r="E93" s="3">
        <v>-393</v>
      </c>
      <c r="F93" s="3">
        <v>-440</v>
      </c>
      <c r="G93" s="3">
        <v>-463</v>
      </c>
      <c r="H93" s="3">
        <v>-465</v>
      </c>
      <c r="I93" s="3">
        <v>-474</v>
      </c>
      <c r="J93" s="3">
        <v>-531</v>
      </c>
      <c r="K93" s="3">
        <v>-532</v>
      </c>
      <c r="L93" s="3">
        <v>-608</v>
      </c>
      <c r="M93" s="3">
        <v>-621</v>
      </c>
      <c r="N93" s="3">
        <v>-682</v>
      </c>
      <c r="O93" s="3">
        <v>-1182</v>
      </c>
      <c r="P93" s="3">
        <v>-616</v>
      </c>
      <c r="Q93" s="3">
        <v>1134</v>
      </c>
      <c r="AE93" s="3">
        <v>-1605</v>
      </c>
      <c r="AF93" s="3">
        <v>-1933</v>
      </c>
      <c r="AG93" s="3">
        <v>-2443</v>
      </c>
    </row>
    <row r="94" spans="2:37" s="3" customFormat="1" x14ac:dyDescent="0.25">
      <c r="B94" s="3" t="s">
        <v>80</v>
      </c>
      <c r="C94" s="3">
        <v>-6848</v>
      </c>
      <c r="D94" s="3">
        <v>0</v>
      </c>
      <c r="E94" s="3">
        <v>0</v>
      </c>
      <c r="F94" s="3">
        <v>-3336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-2825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AE94" s="3">
        <v>-10184</v>
      </c>
      <c r="AF94" s="3">
        <v>0</v>
      </c>
      <c r="AG94" s="3">
        <v>-2825</v>
      </c>
    </row>
    <row r="95" spans="2:37" s="4" customFormat="1" x14ac:dyDescent="0.25">
      <c r="B95" s="4" t="s">
        <v>81</v>
      </c>
      <c r="C95" s="4">
        <f t="shared" ref="C95:H95" si="227">SUM(C76:C94)</f>
        <v>-19403</v>
      </c>
      <c r="D95" s="4">
        <f t="shared" si="227"/>
        <v>-6394</v>
      </c>
      <c r="E95" s="4">
        <f t="shared" si="227"/>
        <v>5985</v>
      </c>
      <c r="F95" s="4">
        <f t="shared" si="227"/>
        <v>-6719</v>
      </c>
      <c r="G95" s="4">
        <f t="shared" si="227"/>
        <v>9483</v>
      </c>
      <c r="H95" s="4">
        <f t="shared" si="227"/>
        <v>16826</v>
      </c>
      <c r="I95" s="4">
        <f>SUM(I76:I94)</f>
        <v>25191</v>
      </c>
      <c r="J95" s="4">
        <f>SUM(J76:J94)</f>
        <v>21983</v>
      </c>
      <c r="K95" s="4">
        <f>SUM(K76:K94)</f>
        <v>25838</v>
      </c>
      <c r="L95" s="4">
        <f>SUM(L76:L94)</f>
        <v>53594</v>
      </c>
      <c r="M95" s="4">
        <f>SUM(M76:M94)</f>
        <v>85267</v>
      </c>
      <c r="N95" s="4">
        <f>SUM(N76:N94)</f>
        <v>86385</v>
      </c>
      <c r="O95" s="4">
        <f>SUM(O76:O94)</f>
        <v>109090</v>
      </c>
      <c r="P95" s="4">
        <f>SUM(P76:P94)</f>
        <v>-19117</v>
      </c>
      <c r="Q95" s="4">
        <f>SUM(Q76:Q94)</f>
        <v>148721</v>
      </c>
      <c r="V95" s="3"/>
      <c r="W95" s="3"/>
      <c r="X95" s="3"/>
      <c r="Y95" s="3"/>
      <c r="Z95" s="3"/>
      <c r="AA95" s="3"/>
      <c r="AB95" s="3"/>
      <c r="AC95" s="3"/>
      <c r="AD95" s="3"/>
      <c r="AE95" s="4">
        <f t="shared" ref="AE95:AK95" si="228">SUM(AE76:AE94)</f>
        <v>-26531</v>
      </c>
      <c r="AF95" s="4">
        <f t="shared" si="228"/>
        <v>73483</v>
      </c>
      <c r="AG95" s="4">
        <f t="shared" si="228"/>
        <v>251084</v>
      </c>
      <c r="AH95" s="4">
        <f t="shared" si="228"/>
        <v>0</v>
      </c>
      <c r="AI95" s="4">
        <f t="shared" si="228"/>
        <v>0</v>
      </c>
      <c r="AJ95" s="4">
        <f t="shared" si="228"/>
        <v>0</v>
      </c>
      <c r="AK95" s="4">
        <f t="shared" si="228"/>
        <v>0</v>
      </c>
    </row>
    <row r="96" spans="2:37" s="3" customFormat="1" x14ac:dyDescent="0.25">
      <c r="B96" s="3" t="s">
        <v>82</v>
      </c>
      <c r="C96" s="3">
        <v>-84881</v>
      </c>
      <c r="D96" s="3">
        <v>-4265</v>
      </c>
      <c r="E96" s="3">
        <v>-47670</v>
      </c>
      <c r="F96" s="3">
        <v>-50884</v>
      </c>
      <c r="G96" s="3">
        <v>-40687</v>
      </c>
      <c r="H96" s="3">
        <v>-24689</v>
      </c>
      <c r="I96" s="3">
        <v>-71039</v>
      </c>
      <c r="J96" s="3">
        <v>-20824</v>
      </c>
      <c r="K96" s="3">
        <v>-70700</v>
      </c>
      <c r="L96" s="3">
        <v>-26839</v>
      </c>
      <c r="M96" s="3">
        <v>-53056</v>
      </c>
      <c r="N96" s="3">
        <v>-9969</v>
      </c>
      <c r="O96" s="3">
        <v>0</v>
      </c>
      <c r="P96" s="3">
        <v>0</v>
      </c>
      <c r="Q96" s="3">
        <v>-713556</v>
      </c>
      <c r="AE96" s="3">
        <v>-187700</v>
      </c>
      <c r="AF96" s="3">
        <v>-157239</v>
      </c>
      <c r="AG96" s="3">
        <v>-160564</v>
      </c>
    </row>
    <row r="97" spans="2:37" s="3" customFormat="1" x14ac:dyDescent="0.25">
      <c r="B97" s="3" t="s">
        <v>83</v>
      </c>
      <c r="C97" s="3">
        <v>82340</v>
      </c>
      <c r="D97" s="3">
        <v>18919</v>
      </c>
      <c r="E97" s="3">
        <v>33500</v>
      </c>
      <c r="F97" s="3">
        <v>59500</v>
      </c>
      <c r="G97" s="3">
        <v>39084</v>
      </c>
      <c r="H97" s="3">
        <v>33250</v>
      </c>
      <c r="I97" s="3">
        <v>45000</v>
      </c>
      <c r="J97" s="3">
        <v>52717</v>
      </c>
      <c r="K97" s="3">
        <v>97700</v>
      </c>
      <c r="L97" s="3">
        <v>28395</v>
      </c>
      <c r="M97" s="3">
        <v>63197</v>
      </c>
      <c r="N97" s="3">
        <v>19648</v>
      </c>
      <c r="O97" s="3">
        <v>31342</v>
      </c>
      <c r="P97" s="3">
        <v>29227</v>
      </c>
      <c r="Q97" s="3">
        <v>12188</v>
      </c>
      <c r="AE97" s="3">
        <v>194259</v>
      </c>
      <c r="AF97" s="3">
        <v>170051</v>
      </c>
      <c r="AG97" s="3">
        <v>208940</v>
      </c>
    </row>
    <row r="98" spans="2:37" s="3" customFormat="1" x14ac:dyDescent="0.25">
      <c r="B98" s="3" t="s">
        <v>84</v>
      </c>
      <c r="C98" s="3">
        <v>22291</v>
      </c>
      <c r="D98" s="3">
        <v>0</v>
      </c>
      <c r="E98" s="3">
        <v>13555</v>
      </c>
      <c r="F98" s="3">
        <v>0</v>
      </c>
      <c r="G98" s="3">
        <v>0</v>
      </c>
      <c r="H98" s="3">
        <v>676</v>
      </c>
      <c r="I98" s="3">
        <v>898</v>
      </c>
      <c r="J98" s="3">
        <v>0</v>
      </c>
      <c r="K98" s="3">
        <v>0</v>
      </c>
      <c r="L98" s="3">
        <v>0</v>
      </c>
      <c r="M98" s="3">
        <v>725</v>
      </c>
      <c r="N98" s="3">
        <v>0</v>
      </c>
      <c r="O98" s="3">
        <v>0</v>
      </c>
      <c r="P98" s="3">
        <v>0</v>
      </c>
      <c r="Q98" s="3">
        <v>0</v>
      </c>
      <c r="AE98" s="3">
        <v>35846</v>
      </c>
      <c r="AF98" s="3">
        <v>1574</v>
      </c>
      <c r="AG98" s="3">
        <v>725</v>
      </c>
    </row>
    <row r="99" spans="2:37" s="3" customFormat="1" x14ac:dyDescent="0.25">
      <c r="B99" s="3" t="s">
        <v>114</v>
      </c>
      <c r="C99" s="3">
        <v>-1197</v>
      </c>
      <c r="D99" s="3">
        <v>-1200</v>
      </c>
      <c r="E99" s="3">
        <v>-923</v>
      </c>
      <c r="F99" s="3">
        <v>-1213</v>
      </c>
      <c r="G99" s="3">
        <v>-1875</v>
      </c>
      <c r="H99" s="3">
        <v>-2187</v>
      </c>
      <c r="I99" s="3">
        <v>-2643</v>
      </c>
      <c r="J99" s="3">
        <v>-2567</v>
      </c>
      <c r="K99" s="3">
        <v>-3377</v>
      </c>
      <c r="L99" s="3">
        <v>-2814</v>
      </c>
      <c r="M99" s="3">
        <v>-2539</v>
      </c>
      <c r="N99" s="3">
        <v>-2365</v>
      </c>
      <c r="O99" s="3">
        <v>-3711</v>
      </c>
      <c r="P99" s="3">
        <v>-4250</v>
      </c>
      <c r="Q99" s="3">
        <v>-4092</v>
      </c>
      <c r="AE99" s="3">
        <v>-4533</v>
      </c>
      <c r="AF99" s="3">
        <v>-9272</v>
      </c>
      <c r="AG99" s="3">
        <v>-11095</v>
      </c>
    </row>
    <row r="100" spans="2:37" s="3" customFormat="1" x14ac:dyDescent="0.25">
      <c r="B100" s="3" t="s">
        <v>85</v>
      </c>
      <c r="C100" s="3">
        <v>-100</v>
      </c>
      <c r="D100" s="3">
        <v>-176</v>
      </c>
      <c r="E100" s="3">
        <v>-1038</v>
      </c>
      <c r="F100" s="3">
        <v>-1400</v>
      </c>
      <c r="G100" s="3">
        <v>-635</v>
      </c>
      <c r="H100" s="3">
        <v>-4677</v>
      </c>
      <c r="I100" s="3">
        <v>-3277</v>
      </c>
      <c r="J100" s="3">
        <v>-8631</v>
      </c>
      <c r="K100" s="3">
        <v>-10581</v>
      </c>
      <c r="L100" s="3">
        <v>-3212</v>
      </c>
      <c r="M100" s="3">
        <v>-3342</v>
      </c>
      <c r="N100" s="3">
        <v>-24520</v>
      </c>
      <c r="O100" s="3">
        <v>-55327</v>
      </c>
      <c r="P100" s="3">
        <v>-46065</v>
      </c>
      <c r="Q100" s="3">
        <v>-65265</v>
      </c>
      <c r="AE100" s="3">
        <v>-2714</v>
      </c>
      <c r="AF100" s="3">
        <v>-17220</v>
      </c>
      <c r="AG100" s="3">
        <v>-41655</v>
      </c>
    </row>
    <row r="101" spans="2:37" s="3" customFormat="1" x14ac:dyDescent="0.25">
      <c r="B101" s="3" t="s">
        <v>86</v>
      </c>
      <c r="C101" s="3">
        <v>0</v>
      </c>
      <c r="D101" s="3">
        <v>-459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-15399</v>
      </c>
      <c r="N101" s="3">
        <v>0</v>
      </c>
      <c r="O101" s="3">
        <v>-5100</v>
      </c>
      <c r="P101" s="3">
        <v>0</v>
      </c>
      <c r="Q101" s="3">
        <v>-116673</v>
      </c>
      <c r="AE101" s="3">
        <v>-459</v>
      </c>
      <c r="AF101" s="3">
        <v>0</v>
      </c>
      <c r="AG101" s="3">
        <v>-15399</v>
      </c>
    </row>
    <row r="102" spans="2:37" s="4" customFormat="1" x14ac:dyDescent="0.25">
      <c r="B102" s="4" t="s">
        <v>87</v>
      </c>
      <c r="C102" s="4">
        <f t="shared" ref="C102" si="229">SUM(C96:C101)</f>
        <v>18453</v>
      </c>
      <c r="D102" s="4">
        <f t="shared" ref="D102" si="230">SUM(D96:D101)</f>
        <v>12819</v>
      </c>
      <c r="E102" s="4">
        <f t="shared" ref="E102" si="231">SUM(E96:E101)</f>
        <v>-2576</v>
      </c>
      <c r="F102" s="4">
        <f t="shared" ref="F102" si="232">SUM(F96:F101)</f>
        <v>6003</v>
      </c>
      <c r="G102" s="4">
        <f t="shared" ref="G102" si="233">SUM(G96:G101)</f>
        <v>-4113</v>
      </c>
      <c r="H102" s="4">
        <f t="shared" ref="H102" si="234">SUM(H96:H101)</f>
        <v>2373</v>
      </c>
      <c r="I102" s="4">
        <f t="shared" ref="I102:Q102" si="235">SUM(I96:I101)</f>
        <v>-31061</v>
      </c>
      <c r="J102" s="4">
        <f t="shared" si="235"/>
        <v>20695</v>
      </c>
      <c r="K102" s="4">
        <f t="shared" si="235"/>
        <v>13042</v>
      </c>
      <c r="L102" s="4">
        <f t="shared" si="235"/>
        <v>-4470</v>
      </c>
      <c r="M102" s="4">
        <f t="shared" si="235"/>
        <v>-10414</v>
      </c>
      <c r="N102" s="4">
        <f t="shared" si="235"/>
        <v>-17206</v>
      </c>
      <c r="O102" s="4">
        <f t="shared" si="235"/>
        <v>-32796</v>
      </c>
      <c r="P102" s="4">
        <f t="shared" si="235"/>
        <v>-21088</v>
      </c>
      <c r="Q102" s="4">
        <f t="shared" si="235"/>
        <v>-887398</v>
      </c>
      <c r="V102" s="3"/>
      <c r="W102" s="3"/>
      <c r="X102" s="3"/>
      <c r="Y102" s="3"/>
      <c r="Z102" s="3"/>
      <c r="AA102" s="3"/>
      <c r="AB102" s="3"/>
      <c r="AC102" s="3"/>
      <c r="AD102" s="3"/>
      <c r="AE102" s="4">
        <f t="shared" ref="AE102" si="236">SUM(AE96:AE101)</f>
        <v>34699</v>
      </c>
      <c r="AF102" s="4">
        <f t="shared" ref="AF102" si="237">SUM(AF96:AF101)</f>
        <v>-12106</v>
      </c>
      <c r="AG102" s="4">
        <f t="shared" ref="AG102" si="238">SUM(AG96:AG101)</f>
        <v>-19048</v>
      </c>
      <c r="AH102" s="4">
        <f t="shared" ref="AH102" si="239">SUM(AH96:AH101)</f>
        <v>0</v>
      </c>
      <c r="AI102" s="4">
        <f t="shared" ref="AI102" si="240">SUM(AI96:AI101)</f>
        <v>0</v>
      </c>
      <c r="AJ102" s="4">
        <f t="shared" ref="AJ102" si="241">SUM(AJ96:AJ101)</f>
        <v>0</v>
      </c>
      <c r="AK102" s="4">
        <f t="shared" ref="AK102" si="242">SUM(AK96:AK101)</f>
        <v>0</v>
      </c>
    </row>
    <row r="103" spans="2:37" s="3" customFormat="1" x14ac:dyDescent="0.25">
      <c r="B103" s="3" t="s">
        <v>88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970000</v>
      </c>
      <c r="Q103" s="3">
        <v>0</v>
      </c>
      <c r="AE103" s="3">
        <v>0</v>
      </c>
      <c r="AF103" s="3">
        <v>0</v>
      </c>
      <c r="AG103" s="3">
        <v>0</v>
      </c>
    </row>
    <row r="104" spans="2:37" s="3" customFormat="1" x14ac:dyDescent="0.25">
      <c r="B104" s="3" t="s">
        <v>89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-47800</v>
      </c>
      <c r="Q104" s="3">
        <v>0</v>
      </c>
      <c r="AE104" s="3">
        <v>0</v>
      </c>
      <c r="AF104" s="3">
        <v>0</v>
      </c>
      <c r="AG104" s="3">
        <v>0</v>
      </c>
    </row>
    <row r="105" spans="2:37" s="3" customFormat="1" x14ac:dyDescent="0.25">
      <c r="B105" s="3" t="s">
        <v>90</v>
      </c>
      <c r="C105" s="3">
        <v>891</v>
      </c>
      <c r="D105" s="3">
        <v>579</v>
      </c>
      <c r="E105" s="3">
        <v>687</v>
      </c>
      <c r="F105" s="3">
        <v>89</v>
      </c>
      <c r="G105" s="3">
        <v>245</v>
      </c>
      <c r="H105" s="3">
        <v>315</v>
      </c>
      <c r="I105" s="3">
        <v>1131</v>
      </c>
      <c r="J105" s="3">
        <v>631</v>
      </c>
      <c r="K105" s="3">
        <v>5070</v>
      </c>
      <c r="L105" s="3">
        <v>11402</v>
      </c>
      <c r="M105" s="3">
        <v>2033</v>
      </c>
      <c r="N105" s="3">
        <v>8146</v>
      </c>
      <c r="O105" s="3">
        <v>3928</v>
      </c>
      <c r="P105" s="3">
        <v>2569</v>
      </c>
      <c r="Q105" s="3">
        <v>3299</v>
      </c>
      <c r="AE105" s="3">
        <v>2246</v>
      </c>
      <c r="AF105" s="3">
        <v>2322</v>
      </c>
      <c r="AG105" s="3">
        <v>26651</v>
      </c>
    </row>
    <row r="106" spans="2:37" s="3" customFormat="1" x14ac:dyDescent="0.25">
      <c r="B106" s="3" t="s">
        <v>91</v>
      </c>
      <c r="C106" s="3">
        <v>-407</v>
      </c>
      <c r="D106" s="3">
        <v>-776</v>
      </c>
      <c r="E106" s="3">
        <v>-1181</v>
      </c>
      <c r="F106" s="3">
        <v>-1537</v>
      </c>
      <c r="G106" s="3">
        <v>-3657</v>
      </c>
      <c r="H106" s="3">
        <v>-3754</v>
      </c>
      <c r="I106" s="3">
        <v>-2690</v>
      </c>
      <c r="J106" s="3">
        <v>-3995</v>
      </c>
      <c r="K106" s="3">
        <v>-7314</v>
      </c>
      <c r="L106" s="3">
        <v>-14967</v>
      </c>
      <c r="M106" s="3">
        <v>-10815</v>
      </c>
      <c r="N106" s="3">
        <v>-19405</v>
      </c>
      <c r="O106" s="3">
        <v>-25711</v>
      </c>
      <c r="P106" s="3">
        <v>-36764</v>
      </c>
      <c r="Q106" s="3">
        <v>-32480</v>
      </c>
      <c r="AE106" s="3">
        <v>-3901</v>
      </c>
      <c r="AF106" s="3">
        <v>-14096</v>
      </c>
      <c r="AG106" s="3">
        <v>-52501</v>
      </c>
    </row>
    <row r="107" spans="2:37" s="3" customFormat="1" x14ac:dyDescent="0.25">
      <c r="B107" s="3" t="s">
        <v>92</v>
      </c>
      <c r="C107" s="3">
        <v>0</v>
      </c>
      <c r="D107" s="3">
        <v>553</v>
      </c>
      <c r="E107" s="3">
        <v>0</v>
      </c>
      <c r="F107" s="3">
        <v>625</v>
      </c>
      <c r="G107" s="3">
        <v>0</v>
      </c>
      <c r="H107" s="3">
        <v>898</v>
      </c>
      <c r="I107" s="3">
        <v>0</v>
      </c>
      <c r="J107" s="3">
        <v>1400</v>
      </c>
      <c r="K107" s="3">
        <v>0</v>
      </c>
      <c r="L107" s="3">
        <v>1622</v>
      </c>
      <c r="M107" s="3">
        <v>0</v>
      </c>
      <c r="N107" s="3">
        <v>2279</v>
      </c>
      <c r="O107" s="3">
        <v>0</v>
      </c>
      <c r="P107" s="3">
        <v>2970</v>
      </c>
      <c r="Q107" s="3">
        <v>0</v>
      </c>
      <c r="AE107" s="3">
        <v>1178</v>
      </c>
      <c r="AF107" s="3">
        <v>2298</v>
      </c>
      <c r="AG107" s="3">
        <v>3901</v>
      </c>
    </row>
    <row r="108" spans="2:37" s="3" customFormat="1" x14ac:dyDescent="0.25">
      <c r="B108" s="3" t="s">
        <v>93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-1235</v>
      </c>
      <c r="P108" s="3">
        <v>-1806</v>
      </c>
      <c r="Q108" s="3">
        <v>-349</v>
      </c>
      <c r="AE108" s="3">
        <v>0</v>
      </c>
      <c r="AF108" s="3">
        <v>0</v>
      </c>
      <c r="AG108" s="3">
        <v>0</v>
      </c>
    </row>
    <row r="109" spans="2:37" s="3" customFormat="1" x14ac:dyDescent="0.25">
      <c r="B109" s="3" t="s">
        <v>94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-1999</v>
      </c>
      <c r="K109" s="3">
        <v>-28064</v>
      </c>
      <c r="L109" s="3">
        <v>-19932</v>
      </c>
      <c r="M109" s="3">
        <v>-30038</v>
      </c>
      <c r="N109" s="3">
        <v>-5005</v>
      </c>
      <c r="O109" s="3">
        <v>0</v>
      </c>
      <c r="P109" s="3">
        <v>0</v>
      </c>
      <c r="Q109" s="3">
        <v>-9479</v>
      </c>
      <c r="AE109" s="3">
        <v>0</v>
      </c>
      <c r="AF109" s="3">
        <v>-1999</v>
      </c>
      <c r="AG109" s="3">
        <v>-83039</v>
      </c>
    </row>
    <row r="110" spans="2:37" s="3" customFormat="1" x14ac:dyDescent="0.25">
      <c r="B110" s="3" t="s">
        <v>95</v>
      </c>
      <c r="C110" s="3">
        <v>-23014</v>
      </c>
      <c r="D110" s="3">
        <v>0</v>
      </c>
      <c r="E110" s="3">
        <v>0</v>
      </c>
      <c r="F110" s="3">
        <v>-9636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-3190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AE110" s="3">
        <v>-32650</v>
      </c>
      <c r="AF110" s="3">
        <v>0</v>
      </c>
      <c r="AG110" s="3">
        <v>-3190</v>
      </c>
    </row>
    <row r="111" spans="2:37" s="4" customFormat="1" x14ac:dyDescent="0.25">
      <c r="B111" s="4" t="s">
        <v>98</v>
      </c>
      <c r="C111" s="4">
        <f t="shared" ref="C111" si="243">SUM(C103:C110)</f>
        <v>-22530</v>
      </c>
      <c r="D111" s="4">
        <f t="shared" ref="D111" si="244">SUM(D103:D110)</f>
        <v>356</v>
      </c>
      <c r="E111" s="4">
        <f t="shared" ref="E111" si="245">SUM(E103:E110)</f>
        <v>-494</v>
      </c>
      <c r="F111" s="4">
        <f t="shared" ref="F111" si="246">SUM(F103:F110)</f>
        <v>-10459</v>
      </c>
      <c r="G111" s="4">
        <f t="shared" ref="G111" si="247">SUM(G103:G110)</f>
        <v>-3412</v>
      </c>
      <c r="H111" s="4">
        <f t="shared" ref="H111" si="248">SUM(H103:H110)</f>
        <v>-2541</v>
      </c>
      <c r="I111" s="4">
        <f t="shared" ref="I111:Q111" si="249">SUM(I103:I110)</f>
        <v>-1559</v>
      </c>
      <c r="J111" s="4">
        <f t="shared" si="249"/>
        <v>-3963</v>
      </c>
      <c r="K111" s="4">
        <f t="shared" si="249"/>
        <v>-30308</v>
      </c>
      <c r="L111" s="4">
        <f t="shared" si="249"/>
        <v>-25065</v>
      </c>
      <c r="M111" s="4">
        <f t="shared" si="249"/>
        <v>-38820</v>
      </c>
      <c r="N111" s="4">
        <f t="shared" si="249"/>
        <v>-13985</v>
      </c>
      <c r="O111" s="4">
        <f t="shared" si="249"/>
        <v>-23018</v>
      </c>
      <c r="P111" s="4">
        <f t="shared" si="249"/>
        <v>889169</v>
      </c>
      <c r="Q111" s="4">
        <f t="shared" si="249"/>
        <v>-39009</v>
      </c>
      <c r="V111" s="3"/>
      <c r="W111" s="3"/>
      <c r="X111" s="3"/>
      <c r="Y111" s="3"/>
      <c r="Z111" s="3"/>
      <c r="AA111" s="3"/>
      <c r="AB111" s="3"/>
      <c r="AC111" s="3"/>
      <c r="AD111" s="3"/>
      <c r="AE111" s="4">
        <f t="shared" ref="AE111" si="250">SUM(AE103:AE110)</f>
        <v>-33127</v>
      </c>
      <c r="AF111" s="4">
        <f t="shared" ref="AF111" si="251">SUM(AF103:AF110)</f>
        <v>-11475</v>
      </c>
      <c r="AG111" s="4">
        <f t="shared" ref="AG111" si="252">SUM(AG103:AG110)</f>
        <v>-108178</v>
      </c>
      <c r="AH111" s="4">
        <f t="shared" ref="AH111" si="253">SUM(AH103:AH110)</f>
        <v>0</v>
      </c>
      <c r="AI111" s="4">
        <f t="shared" ref="AI111" si="254">SUM(AI103:AI110)</f>
        <v>0</v>
      </c>
      <c r="AJ111" s="4">
        <f t="shared" ref="AJ111" si="255">SUM(AJ103:AJ110)</f>
        <v>0</v>
      </c>
      <c r="AK111" s="4">
        <f t="shared" ref="AK111" si="256">SUM(AK103:AK110)</f>
        <v>0</v>
      </c>
    </row>
    <row r="112" spans="2:37" s="3" customFormat="1" x14ac:dyDescent="0.25">
      <c r="B112" s="3" t="s">
        <v>96</v>
      </c>
      <c r="C112" s="3">
        <v>-23</v>
      </c>
      <c r="D112" s="3">
        <v>-29</v>
      </c>
      <c r="E112" s="3">
        <v>16</v>
      </c>
      <c r="F112" s="3">
        <v>-17</v>
      </c>
      <c r="G112" s="3">
        <v>15</v>
      </c>
      <c r="H112" s="3">
        <v>14</v>
      </c>
      <c r="I112" s="3">
        <v>8</v>
      </c>
      <c r="J112" s="3">
        <v>-48</v>
      </c>
      <c r="K112" s="3">
        <v>2</v>
      </c>
      <c r="M112" s="3">
        <v>190</v>
      </c>
      <c r="O112" s="3">
        <v>243</v>
      </c>
      <c r="Q112" s="3">
        <v>-1486</v>
      </c>
      <c r="AE112" s="3">
        <v>-53</v>
      </c>
      <c r="AF112" s="3">
        <v>-11</v>
      </c>
      <c r="AG112" s="3">
        <v>-270</v>
      </c>
    </row>
    <row r="113" spans="2:37" s="4" customFormat="1" x14ac:dyDescent="0.25">
      <c r="B113" s="4" t="s">
        <v>97</v>
      </c>
      <c r="C113" s="4">
        <f t="shared" ref="C113" si="257">C95+C102+C111+C112</f>
        <v>-23503</v>
      </c>
      <c r="D113" s="4">
        <f t="shared" ref="D113" si="258">D95+D102+D111+D112</f>
        <v>6752</v>
      </c>
      <c r="E113" s="4">
        <f t="shared" ref="E113" si="259">E95+E102+E111+E112</f>
        <v>2931</v>
      </c>
      <c r="F113" s="4">
        <f t="shared" ref="F113" si="260">F95+F102+F111+F112</f>
        <v>-11192</v>
      </c>
      <c r="G113" s="4">
        <f t="shared" ref="G113" si="261">G95+G102+G111+G112</f>
        <v>1973</v>
      </c>
      <c r="H113" s="4">
        <f t="shared" ref="H113" si="262">H95+H102+H111+H112</f>
        <v>16672</v>
      </c>
      <c r="I113" s="4">
        <f t="shared" ref="I113:Q113" si="263">I95+I102+I111+I112</f>
        <v>-7421</v>
      </c>
      <c r="J113" s="4">
        <f t="shared" si="263"/>
        <v>38667</v>
      </c>
      <c r="K113" s="4">
        <f t="shared" si="263"/>
        <v>8574</v>
      </c>
      <c r="L113" s="4">
        <f t="shared" si="263"/>
        <v>24059</v>
      </c>
      <c r="M113" s="4">
        <f t="shared" si="263"/>
        <v>36223</v>
      </c>
      <c r="N113" s="4">
        <f t="shared" si="263"/>
        <v>55194</v>
      </c>
      <c r="O113" s="4">
        <f t="shared" si="263"/>
        <v>53519</v>
      </c>
      <c r="P113" s="4">
        <f t="shared" si="263"/>
        <v>848964</v>
      </c>
      <c r="Q113" s="4">
        <f t="shared" si="263"/>
        <v>-779172</v>
      </c>
      <c r="V113" s="3"/>
      <c r="W113" s="3"/>
      <c r="X113" s="3"/>
      <c r="Y113" s="3"/>
      <c r="Z113" s="3"/>
      <c r="AA113" s="3"/>
      <c r="AB113" s="3"/>
      <c r="AC113" s="3"/>
      <c r="AD113" s="3"/>
      <c r="AE113" s="4">
        <f t="shared" ref="AE113" si="264">AE95+AE102+AE111+AE112</f>
        <v>-25012</v>
      </c>
      <c r="AF113" s="4">
        <f t="shared" ref="AF113" si="265">AF95+AF102+AF111+AF112</f>
        <v>49891</v>
      </c>
      <c r="AG113" s="4">
        <f t="shared" ref="AG113" si="266">AG95+AG102+AG111+AG112</f>
        <v>123588</v>
      </c>
      <c r="AH113" s="4">
        <f t="shared" ref="AH113" si="267">AH95+AH102+AH111+AH112</f>
        <v>0</v>
      </c>
      <c r="AI113" s="4">
        <f t="shared" ref="AI113" si="268">AI95+AI102+AI111+AI112</f>
        <v>0</v>
      </c>
      <c r="AJ113" s="4">
        <f t="shared" ref="AJ113" si="269">AJ95+AJ102+AJ111+AJ112</f>
        <v>0</v>
      </c>
      <c r="AK113" s="4">
        <f t="shared" ref="AK113" si="270">AK95+AK102+AK111+AK112</f>
        <v>0</v>
      </c>
    </row>
    <row r="116" spans="2:37" x14ac:dyDescent="0.25">
      <c r="B116" s="2" t="s">
        <v>99</v>
      </c>
      <c r="C116" s="3">
        <f t="shared" ref="C116:H116" si="271">C95+C100+C99</f>
        <v>-20700</v>
      </c>
      <c r="D116" s="3">
        <f t="shared" si="271"/>
        <v>-7770</v>
      </c>
      <c r="E116" s="3">
        <f t="shared" si="271"/>
        <v>4024</v>
      </c>
      <c r="F116" s="3">
        <f t="shared" si="271"/>
        <v>-9332</v>
      </c>
      <c r="G116" s="3">
        <f t="shared" si="271"/>
        <v>6973</v>
      </c>
      <c r="H116" s="3">
        <f t="shared" si="271"/>
        <v>9962</v>
      </c>
      <c r="I116" s="3">
        <f t="shared" ref="I116:Q116" si="272">I95+I100+I99</f>
        <v>19271</v>
      </c>
      <c r="J116" s="3">
        <f t="shared" si="272"/>
        <v>10785</v>
      </c>
      <c r="K116" s="3">
        <f t="shared" si="272"/>
        <v>11880</v>
      </c>
      <c r="L116" s="3">
        <f t="shared" si="272"/>
        <v>47568</v>
      </c>
      <c r="M116" s="3">
        <f t="shared" si="272"/>
        <v>79386</v>
      </c>
      <c r="N116" s="3">
        <f t="shared" si="272"/>
        <v>59500</v>
      </c>
      <c r="O116" s="3">
        <f t="shared" si="272"/>
        <v>50052</v>
      </c>
      <c r="P116" s="3">
        <f>P95+P100+P99</f>
        <v>-69432</v>
      </c>
      <c r="Q116" s="3">
        <f t="shared" si="272"/>
        <v>79364</v>
      </c>
      <c r="T116" s="3"/>
      <c r="U116" s="3"/>
      <c r="AF116" s="3">
        <f t="shared" ref="AF116:AG116" si="273">AF95+AF100+AF99</f>
        <v>46991</v>
      </c>
      <c r="AG116" s="3">
        <f t="shared" si="273"/>
        <v>198334</v>
      </c>
    </row>
    <row r="117" spans="2:37" x14ac:dyDescent="0.25">
      <c r="B117" s="2" t="s">
        <v>100</v>
      </c>
      <c r="C117" s="12">
        <f t="shared" ref="C117:H117" si="274">-(C100+C99)/C76</f>
        <v>-7.980556239232095E-2</v>
      </c>
      <c r="D117" s="12">
        <f t="shared" si="274"/>
        <v>-6.9922252146958686E-2</v>
      </c>
      <c r="E117" s="12">
        <f t="shared" si="274"/>
        <v>-0.10408704883227177</v>
      </c>
      <c r="F117" s="12">
        <f t="shared" si="274"/>
        <v>-0.2395709177592372</v>
      </c>
      <c r="G117" s="12">
        <f t="shared" si="274"/>
        <v>-0.24932949240091387</v>
      </c>
      <c r="H117" s="12">
        <f t="shared" si="274"/>
        <v>-0.95906105910297612</v>
      </c>
      <c r="I117" s="12">
        <f t="shared" ref="I117:O117" si="275">-(I100+I99)/I76</f>
        <v>-0.78234439011497292</v>
      </c>
      <c r="J117" s="12">
        <f t="shared" si="275"/>
        <v>8.9943775100401613</v>
      </c>
      <c r="K117" s="12">
        <f t="shared" si="275"/>
        <v>1.2543134435657801</v>
      </c>
      <c r="L117" s="12">
        <f t="shared" si="275"/>
        <v>0.45318492893133788</v>
      </c>
      <c r="M117" s="12">
        <f t="shared" si="275"/>
        <v>7.7803355029898921E-2</v>
      </c>
      <c r="N117" s="12">
        <f t="shared" si="275"/>
        <v>1.033045148895293</v>
      </c>
      <c r="O117" s="12">
        <f t="shared" si="275"/>
        <v>1.1930483985045974</v>
      </c>
      <c r="P117" s="12">
        <f>-(P100+P99)/P76</f>
        <v>1.1837430890483474</v>
      </c>
      <c r="Q117" s="12">
        <f>-(Q100+Q99)/Q76</f>
        <v>4.3969189806009892</v>
      </c>
      <c r="R117" s="12"/>
      <c r="S117" s="12"/>
      <c r="T117" s="12"/>
      <c r="U117" s="12"/>
      <c r="AF117" s="12">
        <f t="shared" ref="AF117:AG117" si="276">-(AF100+AF99)/AF76</f>
        <v>-1.1251167926611738</v>
      </c>
      <c r="AG117" s="12">
        <f t="shared" si="276"/>
        <v>0.41852457195448994</v>
      </c>
    </row>
    <row r="118" spans="2:37" s="14" customFormat="1" x14ac:dyDescent="0.25">
      <c r="B118" s="14" t="s">
        <v>101</v>
      </c>
      <c r="C118" s="14">
        <v>3.2</v>
      </c>
      <c r="D118" s="14">
        <v>6.67</v>
      </c>
      <c r="E118" s="14">
        <v>5.53</v>
      </c>
      <c r="F118" s="14">
        <v>11.27</v>
      </c>
      <c r="G118" s="14">
        <v>10.65</v>
      </c>
      <c r="H118" s="14">
        <v>7.44</v>
      </c>
      <c r="I118" s="14">
        <v>6.97</v>
      </c>
      <c r="J118" s="14">
        <v>13.43</v>
      </c>
      <c r="K118" s="14">
        <v>12.35</v>
      </c>
      <c r="L118" s="14">
        <v>16.88</v>
      </c>
      <c r="M118" s="14">
        <v>20.64</v>
      </c>
      <c r="N118" s="14">
        <v>39.86</v>
      </c>
      <c r="O118" s="14">
        <v>49.47</v>
      </c>
      <c r="P118" s="14">
        <v>55.52</v>
      </c>
      <c r="Q118" s="14">
        <v>19.38</v>
      </c>
      <c r="R118" s="14" t="s">
        <v>126</v>
      </c>
    </row>
    <row r="119" spans="2:37" s="13" customFormat="1" x14ac:dyDescent="0.25">
      <c r="B119" s="13" t="s">
        <v>115</v>
      </c>
      <c r="F119" s="13">
        <f t="shared" ref="F119:H119" si="277">SUM(C116:F116)/F18</f>
        <v>-0.16385928799758173</v>
      </c>
      <c r="G119" s="13">
        <f>SUM(D116:G116)/G18</f>
        <v>-2.9472777914030034E-2</v>
      </c>
      <c r="H119" s="13">
        <f t="shared" si="277"/>
        <v>5.5785636721889742E-2</v>
      </c>
      <c r="I119" s="13">
        <f>SUM(F116:I116)/I18</f>
        <v>0.12788940822195838</v>
      </c>
      <c r="J119" s="13">
        <f>SUM(G116:J116)/J18</f>
        <v>0.22209050205682196</v>
      </c>
      <c r="K119" s="13">
        <f>SUM(H116:K116)/K18</f>
        <v>0.24313652545508899</v>
      </c>
      <c r="L119" s="13">
        <f t="shared" ref="L119:P119" si="278">SUM(I116:L116)/L18</f>
        <v>0.41703857351001677</v>
      </c>
      <c r="M119" s="13">
        <f t="shared" si="278"/>
        <v>0.69070710622381348</v>
      </c>
      <c r="N119" s="13">
        <f t="shared" si="278"/>
        <v>0.90552105823613882</v>
      </c>
      <c r="O119" s="13">
        <f t="shared" si="278"/>
        <v>1.0653935628175495</v>
      </c>
      <c r="P119" s="13">
        <f t="shared" si="278"/>
        <v>0.53262112761819447</v>
      </c>
      <c r="Q119" s="13">
        <f>SUM(N116:Q116)/Q18</f>
        <v>0.52795716425884121</v>
      </c>
    </row>
    <row r="120" spans="2:37" s="12" customFormat="1" x14ac:dyDescent="0.25">
      <c r="B120" s="12" t="s">
        <v>74</v>
      </c>
      <c r="I120" s="12">
        <f>(SUM(F116:I116)/I18)/I118</f>
        <v>1.8348552112189151E-2</v>
      </c>
      <c r="J120" s="12">
        <f t="shared" ref="J120:K120" si="279">(SUM(G116:J116)/J18)/J118</f>
        <v>1.6536895164320324E-2</v>
      </c>
      <c r="K120" s="12">
        <f t="shared" si="279"/>
        <v>1.9687168053043644E-2</v>
      </c>
      <c r="L120" s="12">
        <f>(SUM(I116:L116)/L18)/L118</f>
        <v>2.4706076629740333E-2</v>
      </c>
      <c r="M120" s="12">
        <f>(SUM(J116:M116)/M18)/M118</f>
        <v>3.3464491580611121E-2</v>
      </c>
      <c r="N120" s="12">
        <f>(SUM(K116:N116)/N18)/N118</f>
        <v>2.2717537838337652E-2</v>
      </c>
      <c r="O120" s="12">
        <f>(SUM(L116:O116)/O18)/O118</f>
        <v>2.1536154493987256E-2</v>
      </c>
      <c r="P120" s="12">
        <f>(SUM(M116:P116)/P18)/P118</f>
        <v>9.593320021941543E-3</v>
      </c>
      <c r="Q120" s="12">
        <f>(SUM(N116:Q116)/Q18)/Q118</f>
        <v>2.7242371736782314E-2</v>
      </c>
    </row>
    <row r="123" spans="2:37" s="3" customFormat="1" x14ac:dyDescent="0.25">
      <c r="B123" s="3" t="s">
        <v>110</v>
      </c>
      <c r="C123" s="3">
        <f t="shared" ref="C123:H123" si="280">C17</f>
        <v>-16252</v>
      </c>
      <c r="D123" s="3">
        <f t="shared" si="280"/>
        <v>-19679</v>
      </c>
      <c r="E123" s="3">
        <f t="shared" si="280"/>
        <v>-18840</v>
      </c>
      <c r="F123" s="3">
        <f t="shared" si="280"/>
        <v>-10907</v>
      </c>
      <c r="G123" s="3">
        <f t="shared" si="280"/>
        <v>-10067</v>
      </c>
      <c r="H123" s="3">
        <f t="shared" si="280"/>
        <v>-7157</v>
      </c>
      <c r="I123" s="3">
        <f t="shared" ref="I123:Q123" si="281">I17</f>
        <v>-7567</v>
      </c>
      <c r="J123" s="3">
        <f t="shared" si="281"/>
        <v>1245</v>
      </c>
      <c r="K123" s="3">
        <f t="shared" si="281"/>
        <v>11128</v>
      </c>
      <c r="L123" s="3">
        <f t="shared" si="281"/>
        <v>13297</v>
      </c>
      <c r="M123" s="3">
        <f t="shared" si="281"/>
        <v>75588</v>
      </c>
      <c r="N123" s="3">
        <f t="shared" si="281"/>
        <v>26025</v>
      </c>
      <c r="O123" s="3">
        <f t="shared" si="281"/>
        <v>49485</v>
      </c>
      <c r="P123" s="3">
        <f t="shared" si="281"/>
        <v>42505</v>
      </c>
      <c r="Q123" s="3">
        <f>Q17</f>
        <v>15774</v>
      </c>
      <c r="AE123" s="3">
        <f>AE16</f>
        <v>31</v>
      </c>
      <c r="AF123" s="3">
        <f>AF16</f>
        <v>-1975</v>
      </c>
      <c r="AG123" s="3">
        <f>AG16</f>
        <v>54327</v>
      </c>
    </row>
    <row r="124" spans="2:37" s="3" customFormat="1" x14ac:dyDescent="0.25">
      <c r="B124" s="3" t="s">
        <v>69</v>
      </c>
      <c r="C124" s="3">
        <f t="shared" ref="C124:H124" si="282">C78</f>
        <v>8856</v>
      </c>
      <c r="D124" s="3">
        <f t="shared" si="282"/>
        <v>10632</v>
      </c>
      <c r="E124" s="3">
        <f t="shared" si="282"/>
        <v>10979</v>
      </c>
      <c r="F124" s="3">
        <f t="shared" si="282"/>
        <v>12350</v>
      </c>
      <c r="G124" s="3">
        <f t="shared" si="282"/>
        <v>14167</v>
      </c>
      <c r="H124" s="3">
        <f t="shared" si="282"/>
        <v>16845</v>
      </c>
      <c r="I124" s="3">
        <f t="shared" ref="I124:P124" si="283">I78</f>
        <v>17277</v>
      </c>
      <c r="J124" s="3">
        <f t="shared" si="283"/>
        <v>17791</v>
      </c>
      <c r="K124" s="3">
        <f t="shared" si="283"/>
        <v>19032</v>
      </c>
      <c r="L124" s="3">
        <f t="shared" si="283"/>
        <v>24042</v>
      </c>
      <c r="M124" s="3">
        <f t="shared" si="283"/>
        <v>24899</v>
      </c>
      <c r="N124" s="3">
        <f t="shared" si="283"/>
        <v>24349</v>
      </c>
      <c r="O124" s="3">
        <f t="shared" si="283"/>
        <v>24858</v>
      </c>
      <c r="P124" s="3">
        <f t="shared" si="283"/>
        <v>35726</v>
      </c>
      <c r="Q124" s="3">
        <f>Q78</f>
        <v>40172</v>
      </c>
      <c r="AE124" s="3">
        <f>AE77</f>
        <v>7474</v>
      </c>
      <c r="AF124" s="3">
        <f>AF77</f>
        <v>9515</v>
      </c>
      <c r="AG124" s="3">
        <f>AG77</f>
        <v>17088</v>
      </c>
    </row>
    <row r="125" spans="2:37" s="3" customFormat="1" x14ac:dyDescent="0.25">
      <c r="B125" s="3" t="s">
        <v>68</v>
      </c>
      <c r="C125" s="3">
        <f t="shared" ref="C125:H125" si="284">C77</f>
        <v>1741</v>
      </c>
      <c r="D125" s="3">
        <f t="shared" si="284"/>
        <v>1821</v>
      </c>
      <c r="E125" s="3">
        <f t="shared" si="284"/>
        <v>1902</v>
      </c>
      <c r="F125" s="3">
        <f t="shared" si="284"/>
        <v>2010</v>
      </c>
      <c r="G125" s="3">
        <f t="shared" si="284"/>
        <v>2117</v>
      </c>
      <c r="H125" s="3">
        <f t="shared" si="284"/>
        <v>2377</v>
      </c>
      <c r="I125" s="3">
        <f t="shared" ref="I125:P125" si="285">I77</f>
        <v>2363</v>
      </c>
      <c r="J125" s="3">
        <f t="shared" si="285"/>
        <v>2658</v>
      </c>
      <c r="K125" s="3">
        <f t="shared" si="285"/>
        <v>3001</v>
      </c>
      <c r="L125" s="3">
        <f t="shared" si="285"/>
        <v>3643</v>
      </c>
      <c r="M125" s="3">
        <f t="shared" si="285"/>
        <v>4383</v>
      </c>
      <c r="N125" s="3">
        <f t="shared" si="285"/>
        <v>6061</v>
      </c>
      <c r="O125" s="3">
        <f t="shared" si="285"/>
        <v>8276</v>
      </c>
      <c r="P125" s="3">
        <f t="shared" si="285"/>
        <v>10465</v>
      </c>
      <c r="Q125" s="3">
        <f>Q77</f>
        <v>17669</v>
      </c>
      <c r="AE125" s="3">
        <f>AE76</f>
        <v>-65678</v>
      </c>
      <c r="AF125" s="3">
        <f>AF76</f>
        <v>-23546</v>
      </c>
      <c r="AG125" s="3">
        <f>AG76</f>
        <v>126038</v>
      </c>
    </row>
    <row r="126" spans="2:37" s="3" customFormat="1" x14ac:dyDescent="0.25">
      <c r="B126" s="3" t="s">
        <v>27</v>
      </c>
      <c r="C126" s="3">
        <f t="shared" ref="C126:H126" si="286">-C16</f>
        <v>94</v>
      </c>
      <c r="D126" s="3">
        <f t="shared" si="286"/>
        <v>12</v>
      </c>
      <c r="E126" s="3">
        <f t="shared" si="286"/>
        <v>-16</v>
      </c>
      <c r="F126" s="3">
        <f t="shared" si="286"/>
        <v>-121</v>
      </c>
      <c r="G126" s="3">
        <f t="shared" si="286"/>
        <v>386</v>
      </c>
      <c r="H126" s="3">
        <f t="shared" si="286"/>
        <v>-13</v>
      </c>
      <c r="I126" s="3">
        <f t="shared" ref="I126:P126" si="287">-I16</f>
        <v>651</v>
      </c>
      <c r="J126" s="3">
        <f t="shared" si="287"/>
        <v>951</v>
      </c>
      <c r="K126" s="3">
        <f t="shared" si="287"/>
        <v>1275</v>
      </c>
      <c r="L126" s="3">
        <f t="shared" si="287"/>
        <v>127</v>
      </c>
      <c r="M126" s="3">
        <f t="shared" si="287"/>
        <v>-51995</v>
      </c>
      <c r="N126" s="3">
        <f t="shared" si="287"/>
        <v>-3734</v>
      </c>
      <c r="O126" s="3">
        <f t="shared" si="287"/>
        <v>11010</v>
      </c>
      <c r="P126" s="3">
        <f t="shared" si="287"/>
        <v>-9652</v>
      </c>
      <c r="Q126" s="3">
        <f>-Q16</f>
        <v>-3551</v>
      </c>
      <c r="AE126" s="3">
        <f>-AE15</f>
        <v>65709</v>
      </c>
      <c r="AF126" s="3">
        <f>-AF15</f>
        <v>21571</v>
      </c>
      <c r="AG126" s="3">
        <f>-AG15</f>
        <v>-71711</v>
      </c>
    </row>
    <row r="127" spans="2:37" s="3" customFormat="1" x14ac:dyDescent="0.25">
      <c r="B127" s="3" t="s">
        <v>111</v>
      </c>
      <c r="C127" s="3">
        <f t="shared" ref="C127:H127" si="288">-C14</f>
        <v>-761</v>
      </c>
      <c r="D127" s="3">
        <f t="shared" si="288"/>
        <v>-523</v>
      </c>
      <c r="E127" s="3">
        <f t="shared" si="288"/>
        <v>-1127</v>
      </c>
      <c r="F127" s="3">
        <f t="shared" si="288"/>
        <v>-577</v>
      </c>
      <c r="G127" s="3">
        <f t="shared" si="288"/>
        <v>-1582</v>
      </c>
      <c r="H127" s="3">
        <f t="shared" si="288"/>
        <v>-2066</v>
      </c>
      <c r="I127" s="3">
        <f t="shared" ref="I127:P127" si="289">-I14</f>
        <v>-1638</v>
      </c>
      <c r="J127" s="3">
        <f t="shared" si="289"/>
        <v>-2596</v>
      </c>
      <c r="K127" s="3">
        <f t="shared" si="289"/>
        <v>-2500</v>
      </c>
      <c r="L127" s="3">
        <f t="shared" si="289"/>
        <v>-2394</v>
      </c>
      <c r="M127" s="3">
        <f t="shared" si="289"/>
        <v>-1219</v>
      </c>
      <c r="N127" s="3">
        <f t="shared" si="289"/>
        <v>-3695</v>
      </c>
      <c r="O127" s="3">
        <f t="shared" si="289"/>
        <v>-2598</v>
      </c>
      <c r="P127" s="3">
        <f t="shared" si="289"/>
        <v>-6130</v>
      </c>
      <c r="Q127" s="3">
        <f>-Q14</f>
        <v>-416</v>
      </c>
      <c r="AE127" s="3">
        <f>-AE13</f>
        <v>68697</v>
      </c>
      <c r="AF127" s="3">
        <f>-AF13</f>
        <v>29453</v>
      </c>
      <c r="AG127" s="3">
        <f>-AG13</f>
        <v>-61903</v>
      </c>
    </row>
    <row r="128" spans="2:37" s="4" customFormat="1" x14ac:dyDescent="0.25">
      <c r="B128" s="4" t="s">
        <v>112</v>
      </c>
      <c r="C128" s="4">
        <f t="shared" ref="C128:H128" si="290">SUM(C123:C127)</f>
        <v>-6322</v>
      </c>
      <c r="D128" s="4">
        <f t="shared" si="290"/>
        <v>-7737</v>
      </c>
      <c r="E128" s="4">
        <f t="shared" si="290"/>
        <v>-7102</v>
      </c>
      <c r="F128" s="4">
        <f t="shared" si="290"/>
        <v>2755</v>
      </c>
      <c r="G128" s="4">
        <f t="shared" si="290"/>
        <v>5021</v>
      </c>
      <c r="H128" s="4">
        <f t="shared" si="290"/>
        <v>9986</v>
      </c>
      <c r="I128" s="4">
        <f>SUM(I123:I127)</f>
        <v>11086</v>
      </c>
      <c r="J128" s="4">
        <f>SUM(J123:J127)</f>
        <v>20049</v>
      </c>
      <c r="K128" s="4">
        <f>SUM(K123:K127)</f>
        <v>31936</v>
      </c>
      <c r="L128" s="4">
        <f>SUM(L123:L127)</f>
        <v>38715</v>
      </c>
      <c r="M128" s="4">
        <f>SUM(M123:M127)</f>
        <v>51656</v>
      </c>
      <c r="N128" s="4">
        <f>SUM(N123:N127)</f>
        <v>49006</v>
      </c>
      <c r="O128" s="4">
        <f>SUM(O123:O127)</f>
        <v>91031</v>
      </c>
      <c r="P128" s="4">
        <f>SUM(P123:P127)</f>
        <v>72914</v>
      </c>
      <c r="Q128" s="4">
        <f>SUM(Q123:Q127)</f>
        <v>69648</v>
      </c>
      <c r="AE128" s="4">
        <f t="shared" ref="AE128:AG128" si="291">SUM(AE123:AE127)</f>
        <v>76233</v>
      </c>
      <c r="AF128" s="4">
        <f t="shared" si="291"/>
        <v>35018</v>
      </c>
      <c r="AG128" s="4">
        <f t="shared" si="291"/>
        <v>63839</v>
      </c>
    </row>
    <row r="130" spans="2:33" s="12" customFormat="1" x14ac:dyDescent="0.25">
      <c r="B130" s="12" t="s">
        <v>113</v>
      </c>
      <c r="C130" s="12">
        <f t="shared" ref="C130:H130" si="292">C128/C5</f>
        <v>-6.2400063169946896E-2</v>
      </c>
      <c r="D130" s="12">
        <f t="shared" si="292"/>
        <v>-6.8129584459727194E-2</v>
      </c>
      <c r="E130" s="12">
        <f t="shared" si="292"/>
        <v>-4.9034770360959982E-2</v>
      </c>
      <c r="F130" s="12">
        <f t="shared" si="292"/>
        <v>1.647697708773168E-2</v>
      </c>
      <c r="G130" s="12">
        <f t="shared" si="292"/>
        <v>2.6319651936887352E-2</v>
      </c>
      <c r="H130" s="12">
        <f t="shared" si="292"/>
        <v>4.8029935742044713E-2</v>
      </c>
      <c r="I130" s="12">
        <f>I128/I5</f>
        <v>4.8901847824648542E-2</v>
      </c>
      <c r="J130" s="12">
        <f>J128/J5</f>
        <v>8.1295439524124255E-2</v>
      </c>
      <c r="K130" s="12">
        <f>K128/K5</f>
        <v>0.1148070790988277</v>
      </c>
      <c r="L130" s="12">
        <f>L128/L5</f>
        <v>0.12265244829683698</v>
      </c>
      <c r="M130" s="12">
        <f>M128/M5</f>
        <v>0.1286395919871699</v>
      </c>
      <c r="N130" s="12">
        <f>N128/N5</f>
        <v>0.1018541419423493</v>
      </c>
      <c r="O130" s="12">
        <f>O128/O5</f>
        <v>0.15534035255371068</v>
      </c>
      <c r="P130" s="12">
        <f>P128/P5</f>
        <v>0.13382816385938442</v>
      </c>
      <c r="Q130" s="12">
        <f>Q128/Q5</f>
        <v>0.11627844855219575</v>
      </c>
      <c r="AE130" s="12">
        <f>AE128/AE4</f>
        <v>3.1231512966528738</v>
      </c>
      <c r="AF130" s="12">
        <f>AF128/AF4</f>
        <v>1.1822816435396197</v>
      </c>
      <c r="AG130" s="12">
        <f>AG128/AG4</f>
        <v>1.6548461518521398</v>
      </c>
    </row>
    <row r="131" spans="2:33" s="3" customFormat="1" x14ac:dyDescent="0.25">
      <c r="B131" s="3" t="s">
        <v>6</v>
      </c>
      <c r="F131" s="3">
        <f>F118*F18-F43</f>
        <v>2143575.9894099999</v>
      </c>
      <c r="G131" s="3">
        <f t="shared" ref="G131:P131" si="293">G118*G18-G43</f>
        <v>2021651.1737000002</v>
      </c>
      <c r="H131" s="3">
        <f t="shared" si="293"/>
        <v>1357523.8180000002</v>
      </c>
      <c r="I131" s="3">
        <f t="shared" si="293"/>
        <v>1252141.7265699999</v>
      </c>
      <c r="J131" s="3">
        <f t="shared" si="293"/>
        <v>2620604.40845</v>
      </c>
      <c r="K131" s="3">
        <f t="shared" si="293"/>
        <v>2432541.3361999998</v>
      </c>
      <c r="L131" s="3">
        <f t="shared" si="293"/>
        <v>3395460.4645599998</v>
      </c>
      <c r="M131" s="3">
        <f t="shared" si="293"/>
        <v>4216906.8315200005</v>
      </c>
      <c r="N131" s="3">
        <f t="shared" si="293"/>
        <v>8430184.552099999</v>
      </c>
      <c r="O131" s="3">
        <f t="shared" si="293"/>
        <v>10659141.006689999</v>
      </c>
      <c r="P131" s="3">
        <f t="shared" si="293"/>
        <v>12282061.780000001</v>
      </c>
      <c r="Q131" s="3">
        <f>Q118*Q18-Q43</f>
        <v>4468004.7346999999</v>
      </c>
    </row>
    <row r="132" spans="2:33" s="11" customFormat="1" x14ac:dyDescent="0.25">
      <c r="B132" s="11" t="s">
        <v>63</v>
      </c>
      <c r="F132" s="11">
        <f t="shared" ref="F132:P132" si="294">F131/SUM(C5:F5)</f>
        <v>4.0681550558533051</v>
      </c>
      <c r="G132" s="11">
        <f t="shared" si="294"/>
        <v>3.2799205247804899</v>
      </c>
      <c r="H132" s="11">
        <f t="shared" si="294"/>
        <v>1.9100657191781307</v>
      </c>
      <c r="I132" s="11">
        <f t="shared" si="294"/>
        <v>1.5798221091644544</v>
      </c>
      <c r="J132" s="11">
        <f t="shared" si="294"/>
        <v>3.0052802849197247</v>
      </c>
      <c r="K132" s="11">
        <f t="shared" si="294"/>
        <v>2.5354792586207435</v>
      </c>
      <c r="L132" s="11">
        <f t="shared" si="294"/>
        <v>3.1818411924242151</v>
      </c>
      <c r="M132" s="11">
        <f t="shared" si="294"/>
        <v>3.3952715001199687</v>
      </c>
      <c r="N132" s="11">
        <f t="shared" si="294"/>
        <v>5.7095188749310868</v>
      </c>
      <c r="O132" s="11">
        <f t="shared" si="294"/>
        <v>5.9736728140059725</v>
      </c>
      <c r="P132" s="11">
        <f t="shared" si="294"/>
        <v>6.0997417381742984</v>
      </c>
      <c r="Q132" s="11">
        <f>Q131/SUM(N5:Q5)</f>
        <v>2.0208455948507389</v>
      </c>
    </row>
    <row r="133" spans="2:33" s="11" customFormat="1" x14ac:dyDescent="0.25">
      <c r="B133" s="11" t="s">
        <v>116</v>
      </c>
      <c r="F133" s="11">
        <f t="shared" ref="F133:P133" si="295">F131/SUM(C128:F128)</f>
        <v>-116.46071875529718</v>
      </c>
      <c r="G133" s="11">
        <f t="shared" si="295"/>
        <v>-286.23122946340084</v>
      </c>
      <c r="H133" s="11">
        <f t="shared" si="295"/>
        <v>127.34745009380865</v>
      </c>
      <c r="I133" s="11">
        <f t="shared" si="295"/>
        <v>43.404801947102051</v>
      </c>
      <c r="J133" s="11">
        <f t="shared" si="295"/>
        <v>56.794339396861858</v>
      </c>
      <c r="K133" s="11">
        <f t="shared" si="295"/>
        <v>33.296485431923017</v>
      </c>
      <c r="L133" s="11">
        <f t="shared" si="295"/>
        <v>33.358816188473853</v>
      </c>
      <c r="M133" s="11">
        <f t="shared" si="295"/>
        <v>29.622262718255644</v>
      </c>
      <c r="N133" s="11">
        <f t="shared" si="295"/>
        <v>49.209251791165869</v>
      </c>
      <c r="O133" s="11">
        <f t="shared" si="295"/>
        <v>46.262026521171137</v>
      </c>
      <c r="P133" s="11">
        <f t="shared" si="295"/>
        <v>46.416239101762244</v>
      </c>
      <c r="Q133" s="11">
        <f>Q131/SUM(N128:Q128)</f>
        <v>15.810405325921181</v>
      </c>
    </row>
    <row r="134" spans="2:33" s="11" customFormat="1" x14ac:dyDescent="0.25">
      <c r="B134" s="11" t="s">
        <v>125</v>
      </c>
      <c r="F134" s="11">
        <f t="shared" ref="F134:P134" si="296">F131/SUM(C116:F116)</f>
        <v>-63.460713760731835</v>
      </c>
      <c r="G134" s="11">
        <f t="shared" si="296"/>
        <v>-331.14679339885345</v>
      </c>
      <c r="H134" s="11">
        <f t="shared" si="296"/>
        <v>116.75615532811561</v>
      </c>
      <c r="I134" s="11">
        <f t="shared" si="296"/>
        <v>46.593053753441986</v>
      </c>
      <c r="J134" s="11">
        <f t="shared" si="296"/>
        <v>55.768219626098613</v>
      </c>
      <c r="K134" s="11">
        <f t="shared" si="296"/>
        <v>46.871581490616208</v>
      </c>
      <c r="L134" s="11">
        <f t="shared" si="296"/>
        <v>37.936410267250622</v>
      </c>
      <c r="M134" s="11">
        <f t="shared" si="296"/>
        <v>28.184300332979102</v>
      </c>
      <c r="N134" s="11">
        <f t="shared" si="296"/>
        <v>42.504989321548493</v>
      </c>
      <c r="O134" s="11">
        <f t="shared" si="296"/>
        <v>45.069220259486016</v>
      </c>
      <c r="P134" s="11">
        <f t="shared" si="296"/>
        <v>102.77359948454472</v>
      </c>
      <c r="Q134" s="11">
        <f>Q131/SUM(N116:Q116)</f>
        <v>37.394167710321049</v>
      </c>
    </row>
  </sheetData>
  <phoneticPr fontId="4" type="noConversion"/>
  <hyperlinks>
    <hyperlink ref="A1" location="Main!A1" display="Main" xr:uid="{F06C51D3-A0A8-4F30-B3FA-8A45B90A0E40}"/>
  </hyperlinks>
  <pageMargins left="0.7" right="0.7" top="0.75" bottom="0.75" header="0.3" footer="0.3"/>
  <ignoredErrors>
    <ignoredError sqref="AG3:AG16 AF5 AH5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A706-4608-447F-878F-DD5F1F850873}">
  <dimension ref="A1:BCI41"/>
  <sheetViews>
    <sheetView zoomScaleNormal="100"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M21" sqref="AM21"/>
    </sheetView>
  </sheetViews>
  <sheetFormatPr defaultColWidth="9" defaultRowHeight="13.2" x14ac:dyDescent="0.25"/>
  <cols>
    <col min="1" max="1" width="11.5546875" style="2" customWidth="1"/>
    <col min="2" max="2" width="9.6640625" style="2" customWidth="1"/>
    <col min="3" max="3" width="7.5546875" style="2" bestFit="1" customWidth="1"/>
    <col min="4" max="4" width="8.109375" style="2" customWidth="1"/>
    <col min="5" max="7" width="7.5546875" style="2" bestFit="1" customWidth="1"/>
    <col min="8" max="24" width="9.109375" style="2" bestFit="1" customWidth="1"/>
    <col min="25" max="42" width="9" style="2"/>
    <col min="43" max="43" width="10.77734375" style="2" bestFit="1" customWidth="1"/>
    <col min="44" max="46" width="9" style="2"/>
    <col min="47" max="47" width="10.109375" style="2" bestFit="1" customWidth="1"/>
    <col min="48" max="50" width="9" style="2"/>
    <col min="51" max="52" width="10.109375" style="2" bestFit="1" customWidth="1"/>
    <col min="53" max="55" width="9" style="2"/>
    <col min="56" max="57" width="10.109375" style="2" bestFit="1" customWidth="1"/>
    <col min="58" max="1438" width="9" style="2"/>
    <col min="1439" max="1439" width="10.109375" style="2" bestFit="1" customWidth="1"/>
    <col min="1440" max="16384" width="9" style="2"/>
  </cols>
  <sheetData>
    <row r="1" spans="1:56" x14ac:dyDescent="0.25">
      <c r="C1" s="2">
        <v>15</v>
      </c>
      <c r="D1" s="2">
        <v>16</v>
      </c>
      <c r="E1" s="2">
        <v>17</v>
      </c>
      <c r="F1" s="2">
        <v>18</v>
      </c>
      <c r="G1" s="2">
        <v>19</v>
      </c>
      <c r="H1" s="2">
        <v>20</v>
      </c>
      <c r="I1" s="2">
        <v>21</v>
      </c>
      <c r="J1" s="2">
        <v>22</v>
      </c>
      <c r="K1" s="2">
        <v>23</v>
      </c>
      <c r="L1" s="2">
        <v>24</v>
      </c>
      <c r="M1" s="2">
        <v>25</v>
      </c>
      <c r="N1" s="2">
        <v>26</v>
      </c>
      <c r="O1" s="2">
        <v>27</v>
      </c>
      <c r="P1" s="2">
        <v>28</v>
      </c>
      <c r="Q1" s="2">
        <v>29</v>
      </c>
      <c r="R1" s="2">
        <v>30</v>
      </c>
      <c r="S1" s="2">
        <v>31</v>
      </c>
      <c r="T1" s="2">
        <v>32</v>
      </c>
      <c r="U1" s="2">
        <v>33</v>
      </c>
      <c r="V1" s="2">
        <v>34</v>
      </c>
      <c r="W1" s="2">
        <v>35</v>
      </c>
      <c r="X1" s="2">
        <v>36</v>
      </c>
      <c r="Y1" s="2">
        <v>37</v>
      </c>
      <c r="Z1" s="2">
        <v>38</v>
      </c>
    </row>
    <row r="2" spans="1:56" x14ac:dyDescent="0.25">
      <c r="C2" s="2" t="s">
        <v>7</v>
      </c>
      <c r="D2" s="2" t="s">
        <v>127</v>
      </c>
      <c r="E2" s="2" t="s">
        <v>128</v>
      </c>
      <c r="F2" s="2" t="s">
        <v>129</v>
      </c>
      <c r="G2" s="2" t="s">
        <v>130</v>
      </c>
      <c r="H2" s="2" t="s">
        <v>131</v>
      </c>
      <c r="I2" s="2" t="s">
        <v>132</v>
      </c>
      <c r="J2" s="2" t="s">
        <v>133</v>
      </c>
      <c r="K2" s="2" t="s">
        <v>134</v>
      </c>
      <c r="L2" s="2" t="s">
        <v>135</v>
      </c>
      <c r="M2" s="2" t="s">
        <v>136</v>
      </c>
      <c r="N2" s="2" t="s">
        <v>137</v>
      </c>
      <c r="O2" s="2" t="s">
        <v>138</v>
      </c>
      <c r="P2" s="2" t="s">
        <v>139</v>
      </c>
      <c r="Q2" s="2" t="s">
        <v>140</v>
      </c>
      <c r="R2" s="2" t="s">
        <v>141</v>
      </c>
      <c r="S2" s="2" t="s">
        <v>142</v>
      </c>
      <c r="T2" s="2" t="s">
        <v>143</v>
      </c>
      <c r="U2" s="2" t="s">
        <v>144</v>
      </c>
      <c r="V2" s="2" t="s">
        <v>145</v>
      </c>
      <c r="W2" s="2" t="s">
        <v>146</v>
      </c>
      <c r="X2" s="2" t="s">
        <v>147</v>
      </c>
      <c r="AB2" s="2">
        <v>2022</v>
      </c>
      <c r="AC2" s="2">
        <v>2023</v>
      </c>
      <c r="AD2" s="2">
        <v>2024</v>
      </c>
      <c r="AE2" s="2">
        <v>2025</v>
      </c>
      <c r="AF2" s="2">
        <v>2026</v>
      </c>
      <c r="AG2" s="2">
        <v>2027</v>
      </c>
      <c r="AH2" s="2">
        <v>2028</v>
      </c>
      <c r="AI2" s="2">
        <v>2029</v>
      </c>
      <c r="AJ2" s="2">
        <v>2030</v>
      </c>
      <c r="AK2" s="2">
        <v>2031</v>
      </c>
      <c r="AL2" s="2">
        <v>2032</v>
      </c>
      <c r="AM2" s="2">
        <v>2033</v>
      </c>
      <c r="AN2" s="2">
        <v>2034</v>
      </c>
      <c r="AO2" s="2">
        <v>2035</v>
      </c>
      <c r="AP2" s="2">
        <v>2036</v>
      </c>
      <c r="AQ2" s="2">
        <v>2037</v>
      </c>
      <c r="AR2" s="2">
        <v>2038</v>
      </c>
      <c r="AS2" s="2">
        <v>2039</v>
      </c>
      <c r="AT2" s="2">
        <v>2040</v>
      </c>
      <c r="AU2" s="2">
        <v>2041</v>
      </c>
      <c r="AV2" s="2">
        <v>2042</v>
      </c>
      <c r="AW2" s="2">
        <v>2043</v>
      </c>
      <c r="AX2" s="2">
        <v>2044</v>
      </c>
      <c r="AY2" s="2">
        <v>2045</v>
      </c>
      <c r="AZ2" s="2">
        <v>2046</v>
      </c>
      <c r="BA2" s="2">
        <v>2047</v>
      </c>
      <c r="BB2" s="2">
        <v>2048</v>
      </c>
      <c r="BC2" s="2">
        <v>2049</v>
      </c>
      <c r="BD2" s="2">
        <v>2050</v>
      </c>
    </row>
    <row r="3" spans="1:56" s="3" customFormat="1" x14ac:dyDescent="0.25">
      <c r="B3" s="3" t="s">
        <v>102</v>
      </c>
      <c r="C3" s="3">
        <v>589095</v>
      </c>
      <c r="AB3" s="3">
        <v>502507</v>
      </c>
      <c r="AC3" s="3">
        <v>842381</v>
      </c>
      <c r="AD3" s="3">
        <v>1437937</v>
      </c>
    </row>
    <row r="4" spans="1:56" s="3" customFormat="1" x14ac:dyDescent="0.25">
      <c r="B4" s="3" t="s">
        <v>103</v>
      </c>
      <c r="C4" s="3">
        <v>9881</v>
      </c>
      <c r="AB4" s="3">
        <v>24409</v>
      </c>
      <c r="AC4" s="3">
        <v>29619</v>
      </c>
      <c r="AD4" s="3">
        <v>38577</v>
      </c>
    </row>
    <row r="5" spans="1:56" s="4" customFormat="1" x14ac:dyDescent="0.25">
      <c r="A5" s="3" t="s">
        <v>148</v>
      </c>
      <c r="B5" s="4" t="s">
        <v>16</v>
      </c>
      <c r="C5" s="4">
        <f>SUM(C3:C4)</f>
        <v>598976</v>
      </c>
      <c r="D5" s="3">
        <f>35000*D1 + 26510</f>
        <v>586510</v>
      </c>
      <c r="E5" s="3">
        <f>35000*E1 + 26510</f>
        <v>621510</v>
      </c>
      <c r="F5" s="3">
        <f>35000*F1 + 26510</f>
        <v>656510</v>
      </c>
      <c r="G5" s="3">
        <f>35000*G1 + 26510</f>
        <v>691510</v>
      </c>
      <c r="H5" s="3">
        <f>35000*H1 + 26510</f>
        <v>726510</v>
      </c>
      <c r="I5" s="3">
        <f>35000*I1 + 26510</f>
        <v>761510</v>
      </c>
      <c r="J5" s="3">
        <f>35000*J1 + 26510</f>
        <v>796510</v>
      </c>
      <c r="K5" s="3">
        <f>35000*K1 + 26510</f>
        <v>831510</v>
      </c>
      <c r="L5" s="3">
        <f>35000*L1 + 26510</f>
        <v>866510</v>
      </c>
      <c r="M5" s="3">
        <f>35000*M1 + 26510</f>
        <v>901510</v>
      </c>
      <c r="N5" s="3">
        <f>35000*N1 + 26510</f>
        <v>936510</v>
      </c>
      <c r="O5" s="3">
        <f>35000*O1 + 26510</f>
        <v>971510</v>
      </c>
      <c r="P5" s="3">
        <f>35000*P1 + 26510</f>
        <v>1006510</v>
      </c>
      <c r="Q5" s="3">
        <f>35000*Q1 + 26510</f>
        <v>1041510</v>
      </c>
      <c r="R5" s="3">
        <f>35000*R1 + 26510</f>
        <v>1076510</v>
      </c>
      <c r="S5" s="3">
        <f>35000*S1 + 26510</f>
        <v>1111510</v>
      </c>
      <c r="T5" s="3">
        <f>35000*T1 + 26510</f>
        <v>1146510</v>
      </c>
      <c r="U5" s="3">
        <f>35000*U1 + 26510</f>
        <v>1181510</v>
      </c>
      <c r="V5" s="3">
        <f>35000*V1 + 26510</f>
        <v>1216510</v>
      </c>
      <c r="W5" s="3">
        <f>35000*W1 + 26510</f>
        <v>1251510</v>
      </c>
      <c r="X5" s="3">
        <f>35000*X1 + 26510</f>
        <v>1286510</v>
      </c>
      <c r="Y5" s="3"/>
      <c r="Z5" s="3"/>
      <c r="AA5" s="3"/>
      <c r="AB5" s="4">
        <v>526916</v>
      </c>
      <c r="AC5" s="4">
        <v>872000</v>
      </c>
      <c r="AD5" s="4">
        <v>1476514</v>
      </c>
      <c r="AE5" s="4">
        <f>Model!O5+Model!P5+Model!Q5+Forecast!D5</f>
        <v>2316329</v>
      </c>
      <c r="AF5" s="4">
        <f>SUM(E5:H5)</f>
        <v>2696040</v>
      </c>
      <c r="AG5" s="4">
        <f>SUM(I5:L5)</f>
        <v>3256040</v>
      </c>
      <c r="AH5" s="4">
        <f>SUM(M5:P5)</f>
        <v>3816040</v>
      </c>
      <c r="AI5" s="4">
        <f>SUM(Q5:T5)</f>
        <v>4376040</v>
      </c>
      <c r="AJ5" s="4">
        <f>SUM(U5:X5)</f>
        <v>4936040</v>
      </c>
      <c r="AK5" s="4">
        <f>+AJ5*1.12</f>
        <v>5528364.8000000007</v>
      </c>
      <c r="AL5" s="4">
        <f t="shared" ref="AL5:AT5" si="0">+AK5*1.12</f>
        <v>6191768.5760000013</v>
      </c>
      <c r="AM5" s="4">
        <f t="shared" si="0"/>
        <v>6934780.8051200025</v>
      </c>
      <c r="AN5" s="4">
        <f t="shared" si="0"/>
        <v>7766954.5017344039</v>
      </c>
      <c r="AO5" s="4">
        <f t="shared" si="0"/>
        <v>8698989.0419425331</v>
      </c>
      <c r="AP5" s="4">
        <f t="shared" si="0"/>
        <v>9742867.7269756384</v>
      </c>
      <c r="AQ5" s="4">
        <f t="shared" si="0"/>
        <v>10912011.854212716</v>
      </c>
      <c r="AR5" s="4">
        <f t="shared" si="0"/>
        <v>12221453.276718244</v>
      </c>
      <c r="AS5" s="4">
        <f t="shared" si="0"/>
        <v>13688027.669924434</v>
      </c>
      <c r="AT5" s="4">
        <f t="shared" si="0"/>
        <v>15330590.990315368</v>
      </c>
      <c r="AU5" s="4">
        <f>AT5*1.1</f>
        <v>16863650.089346908</v>
      </c>
      <c r="AV5" s="4">
        <f t="shared" ref="AV5:AY5" si="1">AU5*1.1</f>
        <v>18550015.0982816</v>
      </c>
      <c r="AW5" s="4">
        <f t="shared" si="1"/>
        <v>20405016.608109761</v>
      </c>
      <c r="AX5" s="4">
        <f t="shared" si="1"/>
        <v>22445518.268920738</v>
      </c>
      <c r="AY5" s="4">
        <f t="shared" si="1"/>
        <v>24690070.095812812</v>
      </c>
      <c r="AZ5" s="4">
        <f>+AY5*1.07</f>
        <v>26418375.002519712</v>
      </c>
      <c r="BA5" s="4">
        <f t="shared" ref="BA5:BD5" si="2">+AZ5*1.07</f>
        <v>28267661.252696093</v>
      </c>
      <c r="BB5" s="4">
        <f t="shared" si="2"/>
        <v>30246397.540384822</v>
      </c>
      <c r="BC5" s="4">
        <f t="shared" si="2"/>
        <v>32363645.368211761</v>
      </c>
      <c r="BD5" s="4">
        <f t="shared" si="2"/>
        <v>34629100.543986589</v>
      </c>
    </row>
    <row r="6" spans="1:56" s="3" customFormat="1" x14ac:dyDescent="0.25">
      <c r="B6" s="3" t="s">
        <v>17</v>
      </c>
      <c r="C6" s="3">
        <v>156918</v>
      </c>
      <c r="D6" s="3">
        <f>D5-D7</f>
        <v>132844.51499999996</v>
      </c>
      <c r="E6" s="3">
        <f t="shared" ref="E6:X6" si="3">E5-E7</f>
        <v>141766.43099999998</v>
      </c>
      <c r="F6" s="3">
        <f t="shared" si="3"/>
        <v>150800.34700000001</v>
      </c>
      <c r="G6" s="3">
        <f t="shared" si="3"/>
        <v>159946.26299999992</v>
      </c>
      <c r="H6" s="3">
        <f t="shared" si="3"/>
        <v>169204.179</v>
      </c>
      <c r="I6" s="3">
        <f t="shared" si="3"/>
        <v>178574.09499999997</v>
      </c>
      <c r="J6" s="3">
        <f t="shared" si="3"/>
        <v>188056.01099999994</v>
      </c>
      <c r="K6" s="3">
        <f t="shared" si="3"/>
        <v>197649.92700000003</v>
      </c>
      <c r="L6" s="3">
        <f t="shared" si="3"/>
        <v>207355.84299999999</v>
      </c>
      <c r="M6" s="3">
        <f t="shared" si="3"/>
        <v>217173.75899999996</v>
      </c>
      <c r="N6" s="3">
        <f t="shared" si="3"/>
        <v>227103.67499999993</v>
      </c>
      <c r="O6" s="3">
        <f t="shared" si="3"/>
        <v>237145.59100000001</v>
      </c>
      <c r="P6" s="3">
        <f t="shared" si="3"/>
        <v>247299.50699999987</v>
      </c>
      <c r="Q6" s="3">
        <f t="shared" si="3"/>
        <v>257565.42299999995</v>
      </c>
      <c r="R6" s="3">
        <f t="shared" si="3"/>
        <v>267943.33900000004</v>
      </c>
      <c r="S6" s="3">
        <f t="shared" si="3"/>
        <v>278433.25499999989</v>
      </c>
      <c r="T6" s="3">
        <f t="shared" si="3"/>
        <v>289035.17099999997</v>
      </c>
      <c r="U6" s="3">
        <f t="shared" si="3"/>
        <v>299749.08699999994</v>
      </c>
      <c r="V6" s="3">
        <f t="shared" si="3"/>
        <v>310575.00299999991</v>
      </c>
      <c r="W6" s="3">
        <f t="shared" si="3"/>
        <v>321512.91899999999</v>
      </c>
      <c r="X6" s="3">
        <f t="shared" si="3"/>
        <v>332562.83499999996</v>
      </c>
      <c r="AB6" s="3">
        <v>118194</v>
      </c>
      <c r="AC6" s="3">
        <v>157051</v>
      </c>
      <c r="AD6" s="3">
        <v>303379</v>
      </c>
      <c r="AE6" s="3">
        <f>Model!O6+Model!P6+Model!Q6+Forecast!D6</f>
        <v>573720.5149999999</v>
      </c>
      <c r="AF6" s="3">
        <f t="shared" ref="AF6:AF17" si="4">SUM(E6:H6)</f>
        <v>621717.22</v>
      </c>
      <c r="AG6" s="3">
        <f t="shared" ref="AG6:AG17" si="5">SUM(I6:L6)</f>
        <v>771635.87599999993</v>
      </c>
      <c r="AH6" s="3">
        <f t="shared" ref="AH6:AH17" si="6">SUM(M6:P6)</f>
        <v>928722.53199999977</v>
      </c>
      <c r="AI6" s="3">
        <f t="shared" ref="AI6:AI17" si="7">SUM(Q6:T6)</f>
        <v>1092977.1879999998</v>
      </c>
      <c r="AJ6" s="3">
        <f t="shared" ref="AJ6:AJ17" si="8">SUM(U6:X6)</f>
        <v>1264399.8439999998</v>
      </c>
    </row>
    <row r="7" spans="1:56" s="4" customFormat="1" x14ac:dyDescent="0.25">
      <c r="A7" s="3"/>
      <c r="B7" s="4" t="s">
        <v>18</v>
      </c>
      <c r="C7" s="4">
        <f>C5-C6</f>
        <v>442058</v>
      </c>
      <c r="D7" s="3">
        <f>+D5*D30</f>
        <v>453665.48500000004</v>
      </c>
      <c r="E7" s="3">
        <f t="shared" ref="E7:X7" si="9">+E5*E30</f>
        <v>479743.56900000002</v>
      </c>
      <c r="F7" s="3">
        <f t="shared" si="9"/>
        <v>505709.65299999999</v>
      </c>
      <c r="G7" s="3">
        <f t="shared" si="9"/>
        <v>531563.73700000008</v>
      </c>
      <c r="H7" s="3">
        <f t="shared" si="9"/>
        <v>557305.821</v>
      </c>
      <c r="I7" s="3">
        <f t="shared" si="9"/>
        <v>582935.90500000003</v>
      </c>
      <c r="J7" s="3">
        <f t="shared" si="9"/>
        <v>608453.98900000006</v>
      </c>
      <c r="K7" s="3">
        <f t="shared" si="9"/>
        <v>633860.07299999997</v>
      </c>
      <c r="L7" s="3">
        <f t="shared" si="9"/>
        <v>659154.15700000001</v>
      </c>
      <c r="M7" s="3">
        <f t="shared" si="9"/>
        <v>684336.24100000004</v>
      </c>
      <c r="N7" s="3">
        <f t="shared" si="9"/>
        <v>709406.32500000007</v>
      </c>
      <c r="O7" s="3">
        <f t="shared" si="9"/>
        <v>734364.40899999999</v>
      </c>
      <c r="P7" s="3">
        <f t="shared" si="9"/>
        <v>759210.49300000013</v>
      </c>
      <c r="Q7" s="3">
        <f t="shared" si="9"/>
        <v>783944.57700000005</v>
      </c>
      <c r="R7" s="3">
        <f t="shared" si="9"/>
        <v>808566.66099999996</v>
      </c>
      <c r="S7" s="3">
        <f t="shared" si="9"/>
        <v>833076.74500000011</v>
      </c>
      <c r="T7" s="3">
        <f t="shared" si="9"/>
        <v>857474.82900000003</v>
      </c>
      <c r="U7" s="3">
        <f t="shared" si="9"/>
        <v>881760.91300000006</v>
      </c>
      <c r="V7" s="3">
        <f t="shared" si="9"/>
        <v>905934.99700000009</v>
      </c>
      <c r="W7" s="3">
        <f t="shared" si="9"/>
        <v>929997.08100000001</v>
      </c>
      <c r="X7" s="3">
        <f t="shared" si="9"/>
        <v>953947.16500000004</v>
      </c>
      <c r="Y7" s="3"/>
      <c r="Z7" s="3"/>
      <c r="AA7" s="3"/>
      <c r="AB7" s="4">
        <v>408722</v>
      </c>
      <c r="AC7" s="4">
        <v>714949</v>
      </c>
      <c r="AD7" s="4">
        <v>1173135</v>
      </c>
      <c r="AE7" s="4">
        <f>Model!O7+Model!P7+Model!Q7+Forecast!D7</f>
        <v>1742608.4850000001</v>
      </c>
      <c r="AF7" s="4">
        <f t="shared" si="4"/>
        <v>2074322.7800000003</v>
      </c>
      <c r="AG7" s="4">
        <f t="shared" si="5"/>
        <v>2484404.1240000003</v>
      </c>
      <c r="AH7" s="4">
        <f t="shared" si="6"/>
        <v>2887317.4680000003</v>
      </c>
      <c r="AI7" s="4">
        <f t="shared" si="7"/>
        <v>3283062.8119999999</v>
      </c>
      <c r="AJ7" s="4">
        <f t="shared" si="8"/>
        <v>3671640.1560000004</v>
      </c>
    </row>
    <row r="8" spans="1:56" s="3" customFormat="1" x14ac:dyDescent="0.25">
      <c r="B8" s="3" t="s">
        <v>19</v>
      </c>
      <c r="C8" s="3">
        <v>232150</v>
      </c>
      <c r="D8" s="3">
        <f>D$7*D37</f>
        <v>233546.99167799999</v>
      </c>
      <c r="E8" s="3">
        <f>E$7*E37</f>
        <v>241598.86134839998</v>
      </c>
      <c r="F8" s="3">
        <f>F$7*F37</f>
        <v>249011.43313719996</v>
      </c>
      <c r="G8" s="3">
        <f>G$7*G37</f>
        <v>255788.47024440003</v>
      </c>
      <c r="H8" s="3">
        <f>H$7*H37</f>
        <v>261933.73586999997</v>
      </c>
      <c r="I8" s="3">
        <f>I$7*I37</f>
        <v>267450.99321400002</v>
      </c>
      <c r="J8" s="3">
        <f>J$7*J37</f>
        <v>272344.00547639997</v>
      </c>
      <c r="K8" s="3">
        <f>K$7*K37</f>
        <v>276616.53585719998</v>
      </c>
      <c r="L8" s="3">
        <f>L$7*L37</f>
        <v>280272.3475564</v>
      </c>
      <c r="M8" s="3">
        <f>M$7*M37</f>
        <v>283315.20377399999</v>
      </c>
      <c r="N8" s="3">
        <f>N$7*N37</f>
        <v>285748.86770999996</v>
      </c>
      <c r="O8" s="3">
        <f>O$7*O37</f>
        <v>287577.10256439995</v>
      </c>
      <c r="P8" s="3">
        <f>P$7*P37</f>
        <v>288803.67153720005</v>
      </c>
      <c r="Q8" s="3">
        <f>Q$7*Q37</f>
        <v>289432.33782840002</v>
      </c>
      <c r="R8" s="3">
        <f>R$7*R37</f>
        <v>289466.86463799991</v>
      </c>
      <c r="S8" s="3">
        <f>S$7*S37</f>
        <v>288911.015166</v>
      </c>
      <c r="T8" s="3">
        <f>T$7*T37</f>
        <v>287768.55261239997</v>
      </c>
      <c r="U8" s="3">
        <f>U$7*U37</f>
        <v>286043.2401772</v>
      </c>
      <c r="V8" s="3">
        <f>V$7*V37</f>
        <v>283738.84106040001</v>
      </c>
      <c r="W8" s="3">
        <f>W$7*W37</f>
        <v>280859.11846199993</v>
      </c>
      <c r="X8" s="3">
        <f>X$7*X37</f>
        <v>277407.83558199997</v>
      </c>
      <c r="AB8" s="3">
        <v>272587</v>
      </c>
      <c r="AC8" s="3">
        <v>446435</v>
      </c>
      <c r="AD8" s="3">
        <v>678844</v>
      </c>
      <c r="AE8" s="3">
        <f>Model!O8+Model!P8+Model!Q8+Forecast!D8</f>
        <v>914793.99167799996</v>
      </c>
      <c r="AF8" s="3">
        <f t="shared" si="4"/>
        <v>1008332.5005999999</v>
      </c>
      <c r="AG8" s="3">
        <f t="shared" si="5"/>
        <v>1096683.8821040001</v>
      </c>
      <c r="AH8" s="3">
        <f t="shared" si="6"/>
        <v>1145444.8455856</v>
      </c>
      <c r="AI8" s="3">
        <f t="shared" si="7"/>
        <v>1155578.7702447998</v>
      </c>
      <c r="AJ8" s="3">
        <f t="shared" si="8"/>
        <v>1128049.0352816</v>
      </c>
    </row>
    <row r="9" spans="1:56" s="3" customFormat="1" x14ac:dyDescent="0.25">
      <c r="B9" s="3" t="s">
        <v>20</v>
      </c>
      <c r="C9" s="3">
        <v>76848</v>
      </c>
      <c r="D9" s="3">
        <f>D$7*D38</f>
        <v>66643.459746499997</v>
      </c>
      <c r="E9" s="3">
        <f>E$7*E38</f>
        <v>69035.099579099988</v>
      </c>
      <c r="F9" s="3">
        <f>F$7*F38</f>
        <v>71254.490107699996</v>
      </c>
      <c r="G9" s="3">
        <f>G$7*G38</f>
        <v>73302.639332300008</v>
      </c>
      <c r="H9" s="3">
        <f>H$7*H38</f>
        <v>75180.555252899998</v>
      </c>
      <c r="I9" s="3">
        <f>I$7*I38</f>
        <v>76889.245869499995</v>
      </c>
      <c r="J9" s="3">
        <f>J$7*J38</f>
        <v>78429.719182100001</v>
      </c>
      <c r="K9" s="3">
        <f>K$7*K38</f>
        <v>79802.98319069999</v>
      </c>
      <c r="L9" s="3">
        <f>L$7*L38</f>
        <v>81010.045895299991</v>
      </c>
      <c r="M9" s="3">
        <f>M$7*M38</f>
        <v>82051.915295900006</v>
      </c>
      <c r="N9" s="3">
        <f>N$7*N38</f>
        <v>82929.599392500008</v>
      </c>
      <c r="O9" s="3">
        <f>O$7*O38</f>
        <v>83644.106185099983</v>
      </c>
      <c r="P9" s="3">
        <f>P$7*P38</f>
        <v>84196.443673700007</v>
      </c>
      <c r="Q9" s="3">
        <f>Q$7*Q38</f>
        <v>84587.619858299993</v>
      </c>
      <c r="R9" s="3">
        <f>R$7*R38</f>
        <v>84818.642738899987</v>
      </c>
      <c r="S9" s="3">
        <f>S$7*S38</f>
        <v>84890.520315500005</v>
      </c>
      <c r="T9" s="3">
        <f>T$7*T38</f>
        <v>84804.260588099991</v>
      </c>
      <c r="U9" s="3">
        <f>U$7*U38</f>
        <v>84560.871556699989</v>
      </c>
      <c r="V9" s="3">
        <f>V$7*V38</f>
        <v>84161.361221299987</v>
      </c>
      <c r="W9" s="3">
        <f>W$7*W38</f>
        <v>83606.737581900001</v>
      </c>
      <c r="X9" s="3">
        <f>X$7*X38</f>
        <v>82898.008638499989</v>
      </c>
      <c r="AB9" s="3">
        <v>77403</v>
      </c>
      <c r="AC9" s="3">
        <v>119857</v>
      </c>
      <c r="AD9" s="3">
        <v>185802</v>
      </c>
      <c r="AE9" s="3">
        <f>Model!O9+Model!P9+Model!Q9+Forecast!D9</f>
        <v>273014.45974650001</v>
      </c>
      <c r="AF9" s="3">
        <f t="shared" si="4"/>
        <v>288772.78427199996</v>
      </c>
      <c r="AG9" s="3">
        <f t="shared" si="5"/>
        <v>316131.99413760001</v>
      </c>
      <c r="AH9" s="3">
        <f t="shared" si="6"/>
        <v>332822.06454719999</v>
      </c>
      <c r="AI9" s="3">
        <f t="shared" si="7"/>
        <v>339101.04350079998</v>
      </c>
      <c r="AJ9" s="3">
        <f t="shared" si="8"/>
        <v>335226.97899839998</v>
      </c>
    </row>
    <row r="10" spans="1:56" s="3" customFormat="1" x14ac:dyDescent="0.25">
      <c r="B10" s="3" t="s">
        <v>21</v>
      </c>
      <c r="C10" s="3">
        <v>40577</v>
      </c>
      <c r="D10" s="3">
        <f>D$7*D39</f>
        <v>41869.296819261421</v>
      </c>
      <c r="E10" s="3">
        <f>E$7*E39</f>
        <v>44515.944246994746</v>
      </c>
      <c r="F10" s="3">
        <f>F$7*F39</f>
        <v>47178.221153015693</v>
      </c>
      <c r="G10" s="3">
        <f>G$7*G39</f>
        <v>49855.959537324277</v>
      </c>
      <c r="H10" s="3">
        <f>H$7*H39</f>
        <v>52548.991399920473</v>
      </c>
      <c r="I10" s="3">
        <f>I$7*I39</f>
        <v>55257.14874080431</v>
      </c>
      <c r="J10" s="3">
        <f>J$7*J39</f>
        <v>57980.26355997577</v>
      </c>
      <c r="K10" s="3">
        <f>K$7*K39</f>
        <v>60718.167857434848</v>
      </c>
      <c r="L10" s="3">
        <f>L$7*L39</f>
        <v>63470.693633181567</v>
      </c>
      <c r="M10" s="3">
        <f>M$7*M39</f>
        <v>66237.672887215915</v>
      </c>
      <c r="N10" s="3">
        <f>N$7*N39</f>
        <v>69018.937619537886</v>
      </c>
      <c r="O10" s="3">
        <f>O$7*O39</f>
        <v>71814.319830147477</v>
      </c>
      <c r="P10" s="3">
        <f>P$7*P39</f>
        <v>74623.65151904471</v>
      </c>
      <c r="Q10" s="3">
        <f>Q$7*Q39</f>
        <v>77446.764686229551</v>
      </c>
      <c r="R10" s="3">
        <f>R$7*R39</f>
        <v>80283.491331702025</v>
      </c>
      <c r="S10" s="3">
        <f>S$7*S39</f>
        <v>83133.663455462156</v>
      </c>
      <c r="T10" s="3">
        <f>T$7*T39</f>
        <v>85997.11305750988</v>
      </c>
      <c r="U10" s="3">
        <f>U$7*U39</f>
        <v>88873.672137845235</v>
      </c>
      <c r="V10" s="3">
        <f>V$7*V39</f>
        <v>91763.172696468231</v>
      </c>
      <c r="W10" s="3">
        <f>W$7*W39</f>
        <v>94665.446733378834</v>
      </c>
      <c r="X10" s="3">
        <f>X$7*X39</f>
        <v>97580.326248577083</v>
      </c>
      <c r="AB10" s="3">
        <v>29237</v>
      </c>
      <c r="AC10" s="3">
        <v>48227</v>
      </c>
      <c r="AD10" s="3">
        <v>78819</v>
      </c>
      <c r="AE10" s="3">
        <f>Model!O10+Model!P10+Model!Q10+Forecast!D10</f>
        <v>150208.29681926142</v>
      </c>
      <c r="AF10" s="3">
        <f t="shared" si="4"/>
        <v>194099.11633725523</v>
      </c>
      <c r="AG10" s="3">
        <f t="shared" si="5"/>
        <v>237426.2737913965</v>
      </c>
      <c r="AH10" s="3">
        <f t="shared" si="6"/>
        <v>281694.58185594599</v>
      </c>
      <c r="AI10" s="3">
        <f t="shared" si="7"/>
        <v>326861.03253090358</v>
      </c>
      <c r="AJ10" s="3">
        <f t="shared" si="8"/>
        <v>372882.6178162694</v>
      </c>
    </row>
    <row r="11" spans="1:56" s="3" customFormat="1" x14ac:dyDescent="0.25">
      <c r="B11" s="3" t="s">
        <v>22</v>
      </c>
      <c r="C11" s="3">
        <v>80676</v>
      </c>
      <c r="D11" s="3">
        <f>D$7*D40</f>
        <v>86876.94037750001</v>
      </c>
      <c r="E11" s="3">
        <f>E$7*E40</f>
        <v>89951.919187499996</v>
      </c>
      <c r="F11" s="3">
        <f>F$7*F40</f>
        <v>92797.721325499995</v>
      </c>
      <c r="G11" s="3">
        <f>G$7*G40</f>
        <v>95415.690791500005</v>
      </c>
      <c r="H11" s="3">
        <f>H$7*H40</f>
        <v>97807.171585499993</v>
      </c>
      <c r="I11" s="3">
        <f>I$7*I40</f>
        <v>99973.507707500001</v>
      </c>
      <c r="J11" s="3">
        <f>J$7*J40</f>
        <v>101916.04315750001</v>
      </c>
      <c r="K11" s="3">
        <f>K$7*K40</f>
        <v>103636.12193550001</v>
      </c>
      <c r="L11" s="3">
        <f>L$7*L40</f>
        <v>105135.0880415</v>
      </c>
      <c r="M11" s="3">
        <f>M$7*M40</f>
        <v>106414.2854755</v>
      </c>
      <c r="N11" s="3">
        <f>N$7*N40</f>
        <v>107475.05823750001</v>
      </c>
      <c r="O11" s="3">
        <f>O$7*O40</f>
        <v>108318.75032750001</v>
      </c>
      <c r="P11" s="3">
        <f>P$7*P40</f>
        <v>108946.70574550003</v>
      </c>
      <c r="Q11" s="3">
        <f>Q$7*Q40</f>
        <v>109360.26849150001</v>
      </c>
      <c r="R11" s="3">
        <f>R$7*R40</f>
        <v>109560.78256550001</v>
      </c>
      <c r="S11" s="3">
        <f>S$7*S40</f>
        <v>109549.59196750002</v>
      </c>
      <c r="T11" s="3">
        <f>T$7*T40</f>
        <v>109328.04069750001</v>
      </c>
      <c r="U11" s="3">
        <f>U$7*U40</f>
        <v>108897.4727555</v>
      </c>
      <c r="V11" s="3">
        <f>V$7*V40</f>
        <v>108259.2321415</v>
      </c>
      <c r="W11" s="3">
        <f>W$7*W40</f>
        <v>107414.66285549999</v>
      </c>
      <c r="X11" s="3">
        <f>X$7*X40</f>
        <v>106365.10889749999</v>
      </c>
      <c r="AB11" s="3">
        <v>98192</v>
      </c>
      <c r="AC11" s="3">
        <v>129883</v>
      </c>
      <c r="AD11" s="3">
        <v>167767</v>
      </c>
      <c r="AE11" s="3">
        <f>Model!O11+Model!P11+Model!Q11+Forecast!D11</f>
        <v>283435.94037750002</v>
      </c>
      <c r="AF11" s="3">
        <f t="shared" si="4"/>
        <v>375972.50289</v>
      </c>
      <c r="AG11" s="3">
        <f t="shared" si="5"/>
        <v>410660.76084200002</v>
      </c>
      <c r="AH11" s="3">
        <f t="shared" si="6"/>
        <v>431154.79978600005</v>
      </c>
      <c r="AI11" s="3">
        <f t="shared" si="7"/>
        <v>437798.68372199999</v>
      </c>
      <c r="AJ11" s="3">
        <f t="shared" si="8"/>
        <v>430936.47664999997</v>
      </c>
    </row>
    <row r="12" spans="1:56" s="4" customFormat="1" x14ac:dyDescent="0.25">
      <c r="A12" s="3"/>
      <c r="B12" s="4" t="s">
        <v>23</v>
      </c>
      <c r="C12" s="4">
        <f>SUM(C8:C11)</f>
        <v>430251</v>
      </c>
      <c r="D12" s="3">
        <f>SUM(D8:D11)</f>
        <v>428936.68862126139</v>
      </c>
      <c r="E12" s="3">
        <f t="shared" ref="E12:X12" si="10">SUM(E8:E11)</f>
        <v>445101.82436199475</v>
      </c>
      <c r="F12" s="3">
        <f t="shared" si="10"/>
        <v>460241.86572341563</v>
      </c>
      <c r="G12" s="3">
        <f t="shared" si="10"/>
        <v>474362.75990552432</v>
      </c>
      <c r="H12" s="3">
        <f t="shared" si="10"/>
        <v>487470.45410832047</v>
      </c>
      <c r="I12" s="3">
        <f t="shared" si="10"/>
        <v>499570.8955318043</v>
      </c>
      <c r="J12" s="3">
        <f t="shared" si="10"/>
        <v>510670.0313759757</v>
      </c>
      <c r="K12" s="3">
        <f t="shared" si="10"/>
        <v>520773.80884083483</v>
      </c>
      <c r="L12" s="3">
        <f t="shared" si="10"/>
        <v>529888.17512638157</v>
      </c>
      <c r="M12" s="3">
        <f t="shared" si="10"/>
        <v>538019.07743261592</v>
      </c>
      <c r="N12" s="3">
        <f t="shared" si="10"/>
        <v>545172.46295953786</v>
      </c>
      <c r="O12" s="3">
        <f t="shared" si="10"/>
        <v>551354.27890714747</v>
      </c>
      <c r="P12" s="3">
        <f t="shared" si="10"/>
        <v>556570.47247544478</v>
      </c>
      <c r="Q12" s="3">
        <f t="shared" si="10"/>
        <v>560826.99086442962</v>
      </c>
      <c r="R12" s="3">
        <f t="shared" si="10"/>
        <v>564129.78127410193</v>
      </c>
      <c r="S12" s="3">
        <f t="shared" si="10"/>
        <v>566484.7909044621</v>
      </c>
      <c r="T12" s="3">
        <f t="shared" si="10"/>
        <v>567897.96695550985</v>
      </c>
      <c r="U12" s="3">
        <f t="shared" si="10"/>
        <v>568375.25662724522</v>
      </c>
      <c r="V12" s="3">
        <f t="shared" si="10"/>
        <v>567922.60711966828</v>
      </c>
      <c r="W12" s="3">
        <f t="shared" si="10"/>
        <v>566545.96563277871</v>
      </c>
      <c r="X12" s="3">
        <f t="shared" si="10"/>
        <v>564251.27936657704</v>
      </c>
      <c r="Y12" s="3"/>
      <c r="Z12" s="3"/>
      <c r="AA12" s="3"/>
      <c r="AB12" s="4">
        <v>477419</v>
      </c>
      <c r="AC12" s="4">
        <v>744402</v>
      </c>
      <c r="AD12" s="4">
        <v>1111232</v>
      </c>
      <c r="AE12" s="4">
        <f>Model!O12+Model!P12+Model!Q12+Forecast!D12</f>
        <v>1621452.6886212614</v>
      </c>
      <c r="AF12" s="4">
        <f t="shared" si="4"/>
        <v>1867176.9040992551</v>
      </c>
      <c r="AG12" s="4">
        <f t="shared" si="5"/>
        <v>2060902.9108749963</v>
      </c>
      <c r="AH12" s="4">
        <f t="shared" si="6"/>
        <v>2191116.291774746</v>
      </c>
      <c r="AI12" s="4">
        <f t="shared" si="7"/>
        <v>2259339.5299985036</v>
      </c>
      <c r="AJ12" s="4">
        <f t="shared" si="8"/>
        <v>2267095.1087462693</v>
      </c>
    </row>
    <row r="13" spans="1:56" s="3" customFormat="1" x14ac:dyDescent="0.25">
      <c r="B13" s="4" t="s">
        <v>24</v>
      </c>
      <c r="C13" s="4">
        <f>+C7-C12</f>
        <v>11807</v>
      </c>
      <c r="D13" s="3">
        <f>D7-D12</f>
        <v>24728.796378738654</v>
      </c>
      <c r="E13" s="3">
        <f t="shared" ref="E13:X13" si="11">E7-E12</f>
        <v>34641.744638005272</v>
      </c>
      <c r="F13" s="3">
        <f t="shared" si="11"/>
        <v>45467.787276584364</v>
      </c>
      <c r="G13" s="3">
        <f t="shared" si="11"/>
        <v>57200.977094475762</v>
      </c>
      <c r="H13" s="3">
        <f t="shared" si="11"/>
        <v>69835.366891679529</v>
      </c>
      <c r="I13" s="3">
        <f t="shared" si="11"/>
        <v>83365.009468195727</v>
      </c>
      <c r="J13" s="3">
        <f t="shared" si="11"/>
        <v>97783.957624024362</v>
      </c>
      <c r="K13" s="3">
        <f t="shared" si="11"/>
        <v>113086.26415916515</v>
      </c>
      <c r="L13" s="3">
        <f t="shared" si="11"/>
        <v>129265.98187361844</v>
      </c>
      <c r="M13" s="3">
        <f t="shared" si="11"/>
        <v>146317.16356738412</v>
      </c>
      <c r="N13" s="3">
        <f t="shared" si="11"/>
        <v>164233.86204046221</v>
      </c>
      <c r="O13" s="3">
        <f t="shared" si="11"/>
        <v>183010.13009285252</v>
      </c>
      <c r="P13" s="3">
        <f t="shared" si="11"/>
        <v>202640.02052455535</v>
      </c>
      <c r="Q13" s="3">
        <f t="shared" si="11"/>
        <v>223117.58613557043</v>
      </c>
      <c r="R13" s="3">
        <f t="shared" si="11"/>
        <v>244436.87972589803</v>
      </c>
      <c r="S13" s="3">
        <f t="shared" si="11"/>
        <v>266591.95409553801</v>
      </c>
      <c r="T13" s="3">
        <f t="shared" si="11"/>
        <v>289576.86204449018</v>
      </c>
      <c r="U13" s="3">
        <f t="shared" si="11"/>
        <v>313385.65637275483</v>
      </c>
      <c r="V13" s="3">
        <f t="shared" si="11"/>
        <v>338012.38988033182</v>
      </c>
      <c r="W13" s="3">
        <f t="shared" si="11"/>
        <v>363451.1153672213</v>
      </c>
      <c r="X13" s="3">
        <f t="shared" si="11"/>
        <v>389695.88563342299</v>
      </c>
      <c r="AB13" s="4">
        <v>-68697</v>
      </c>
      <c r="AC13" s="4">
        <v>-29453</v>
      </c>
      <c r="AD13" s="4">
        <v>61903</v>
      </c>
      <c r="AE13" s="4">
        <f>Model!O13+Model!P13+Model!Q13+Forecast!D13</f>
        <v>121155.79637873865</v>
      </c>
      <c r="AF13" s="3">
        <f t="shared" si="4"/>
        <v>207145.87590074493</v>
      </c>
      <c r="AG13" s="3">
        <f t="shared" si="5"/>
        <v>423501.21312500368</v>
      </c>
      <c r="AH13" s="3">
        <f t="shared" si="6"/>
        <v>696201.1762252542</v>
      </c>
      <c r="AI13" s="3">
        <f t="shared" si="7"/>
        <v>1023723.2820014966</v>
      </c>
      <c r="AJ13" s="3">
        <f t="shared" si="8"/>
        <v>1404545.0472537309</v>
      </c>
    </row>
    <row r="14" spans="1:56" s="3" customFormat="1" x14ac:dyDescent="0.25">
      <c r="B14" s="3" t="s">
        <v>25</v>
      </c>
      <c r="C14" s="3">
        <f>-7626+8042</f>
        <v>416</v>
      </c>
      <c r="D14" s="3">
        <f>AVERAGE(Model!$F$44:$Q$44)*0.03755/4-1000000*0.0064/4</f>
        <v>1586.1753895833335</v>
      </c>
      <c r="E14" s="3">
        <f>AVERAGE(Model!$F$44:$Q$44)*0.03755/4-1000000*0.0064/4</f>
        <v>1586.1753895833335</v>
      </c>
      <c r="F14" s="3">
        <f>AVERAGE(Model!$F$44:$Q$44)*0.03755/4-1000000*0.0064/4</f>
        <v>1586.1753895833335</v>
      </c>
      <c r="G14" s="3">
        <f>AVERAGE(Model!$F$44:$Q$44)*0.03755/4-1000000*0.0064/4</f>
        <v>1586.1753895833335</v>
      </c>
      <c r="H14" s="3">
        <f>AVERAGE(Model!$F$44:$Q$44)*0.03755/4-1000000*0.0064/4</f>
        <v>1586.1753895833335</v>
      </c>
      <c r="I14" s="3">
        <f>AVERAGE(Model!$F$44:$Q$44)*0.03755/4-1000000*0.0064/4</f>
        <v>1586.1753895833335</v>
      </c>
      <c r="J14" s="3">
        <f>AVERAGE(Model!$F$44:$Q$44)*0.03755/4-1000000*0.0064/4</f>
        <v>1586.1753895833335</v>
      </c>
      <c r="K14" s="3">
        <f>AVERAGE(Model!$F$44:$Q$44)*0.03755/4-1000000*0.0064/4</f>
        <v>1586.1753895833335</v>
      </c>
      <c r="L14" s="3">
        <f>AVERAGE(Model!$F$44:$Q$44)*0.03755/4-1000000*0.0064/4</f>
        <v>1586.1753895833335</v>
      </c>
      <c r="M14" s="3">
        <f>AVERAGE(Model!$F$44:$Q$44)*0.03755/4-1000000*0.0064/4</f>
        <v>1586.1753895833335</v>
      </c>
      <c r="N14" s="3">
        <f>AVERAGE(Model!$F$44:$Q$44)*0.03755/4-1000000*0.0064/4</f>
        <v>1586.1753895833335</v>
      </c>
      <c r="O14" s="3">
        <f>AVERAGE(Model!$F$44:$Q$44)*0.03755/4-1000000*0.0064/4</f>
        <v>1586.1753895833335</v>
      </c>
      <c r="P14" s="3">
        <f>AVERAGE(Model!$F$44:$Q$44)*0.03755/4-1000000*0.0064/4</f>
        <v>1586.1753895833335</v>
      </c>
      <c r="Q14" s="3">
        <f>AVERAGE(Model!$F$44:$Q$44)*0.03755/4-1000000*0.0064/4</f>
        <v>1586.1753895833335</v>
      </c>
      <c r="R14" s="3">
        <f>AVERAGE(Model!$F$44:$Q$44)*0.03755/4-1000000*0.0064/4</f>
        <v>1586.1753895833335</v>
      </c>
      <c r="S14" s="3">
        <f>AVERAGE(Model!$F$44:$Q$44)*0.03755/4-1000000*0.0064/4</f>
        <v>1586.1753895833335</v>
      </c>
      <c r="T14" s="3">
        <f>AVERAGE(Model!$F$44:$Q$44)*0.03755/4-1000000*0.0064/4</f>
        <v>1586.1753895833335</v>
      </c>
      <c r="U14" s="3">
        <f>AVERAGE(Model!$F$44:$Q$44)*0.03755/4-1000000*0.0064/4</f>
        <v>1586.1753895833335</v>
      </c>
      <c r="V14" s="3">
        <f>AVERAGE(Model!$F$44:$Q$44)*0.03755/4-1000000*0.0064/4</f>
        <v>1586.1753895833335</v>
      </c>
      <c r="W14" s="3">
        <f>AVERAGE(Model!$F$44:$Q$44)*0.03755/4-1000000*0.0064/4</f>
        <v>1586.1753895833335</v>
      </c>
      <c r="X14" s="3">
        <f>AVERAGE(Model!$F$44:$Q$44)*0.03755/4-1000000*0.0064/4</f>
        <v>1586.1753895833335</v>
      </c>
      <c r="AB14" s="3">
        <v>2988</v>
      </c>
      <c r="AC14" s="3">
        <v>7882</v>
      </c>
      <c r="AD14" s="3">
        <v>9808</v>
      </c>
      <c r="AE14" s="3">
        <f>Model!O14+Model!P14+Model!Q14+Forecast!D14</f>
        <v>10730.175389583334</v>
      </c>
      <c r="AF14" s="3">
        <f t="shared" si="4"/>
        <v>6344.7015583333341</v>
      </c>
      <c r="AG14" s="3">
        <f t="shared" si="5"/>
        <v>6344.7015583333341</v>
      </c>
      <c r="AH14" s="3">
        <f t="shared" si="6"/>
        <v>6344.7015583333341</v>
      </c>
      <c r="AI14" s="3">
        <f t="shared" si="7"/>
        <v>6344.7015583333341</v>
      </c>
      <c r="AJ14" s="3">
        <f t="shared" si="8"/>
        <v>6344.7015583333341</v>
      </c>
    </row>
    <row r="15" spans="1:56" s="4" customFormat="1" x14ac:dyDescent="0.25">
      <c r="A15" s="3"/>
      <c r="B15" s="4" t="s">
        <v>26</v>
      </c>
      <c r="C15" s="4">
        <f>C13+C14</f>
        <v>12223</v>
      </c>
      <c r="D15" s="3">
        <f>D13+D14</f>
        <v>26314.971768321986</v>
      </c>
      <c r="E15" s="3">
        <f t="shared" ref="E15:X15" si="12">E13+E14</f>
        <v>36227.920027588603</v>
      </c>
      <c r="F15" s="3">
        <f t="shared" si="12"/>
        <v>47053.962666167696</v>
      </c>
      <c r="G15" s="3">
        <f t="shared" si="12"/>
        <v>58787.152484059094</v>
      </c>
      <c r="H15" s="3">
        <f t="shared" si="12"/>
        <v>71421.542281262868</v>
      </c>
      <c r="I15" s="3">
        <f t="shared" si="12"/>
        <v>84951.184857779066</v>
      </c>
      <c r="J15" s="3">
        <f t="shared" si="12"/>
        <v>99370.133013607701</v>
      </c>
      <c r="K15" s="3">
        <f t="shared" si="12"/>
        <v>114672.43954874849</v>
      </c>
      <c r="L15" s="3">
        <f t="shared" si="12"/>
        <v>130852.15726320178</v>
      </c>
      <c r="M15" s="3">
        <f t="shared" si="12"/>
        <v>147903.33895696746</v>
      </c>
      <c r="N15" s="3">
        <f t="shared" si="12"/>
        <v>165820.03743004554</v>
      </c>
      <c r="O15" s="3">
        <f t="shared" si="12"/>
        <v>184596.30548243586</v>
      </c>
      <c r="P15" s="3">
        <f t="shared" si="12"/>
        <v>204226.19591413869</v>
      </c>
      <c r="Q15" s="3">
        <f t="shared" si="12"/>
        <v>224703.76152515376</v>
      </c>
      <c r="R15" s="3">
        <f t="shared" si="12"/>
        <v>246023.05511548137</v>
      </c>
      <c r="S15" s="3">
        <f t="shared" si="12"/>
        <v>268178.12948512135</v>
      </c>
      <c r="T15" s="3">
        <f t="shared" si="12"/>
        <v>291163.03743407351</v>
      </c>
      <c r="U15" s="3">
        <f t="shared" si="12"/>
        <v>314971.83176233817</v>
      </c>
      <c r="V15" s="3">
        <f t="shared" si="12"/>
        <v>339598.56526991515</v>
      </c>
      <c r="W15" s="3">
        <f t="shared" si="12"/>
        <v>365037.29075680464</v>
      </c>
      <c r="X15" s="3">
        <f t="shared" si="12"/>
        <v>391282.06102300633</v>
      </c>
      <c r="Y15" s="3"/>
      <c r="Z15" s="3"/>
      <c r="AA15" s="3"/>
      <c r="AB15" s="4">
        <v>-65709</v>
      </c>
      <c r="AC15" s="4">
        <v>-21571</v>
      </c>
      <c r="AD15" s="4">
        <v>71711</v>
      </c>
      <c r="AE15" s="4">
        <f>Model!O15+Model!P15+Model!Q15+Forecast!D15</f>
        <v>131885.97176832199</v>
      </c>
      <c r="AF15" s="4">
        <f t="shared" si="4"/>
        <v>213490.57745907825</v>
      </c>
      <c r="AG15" s="4">
        <f t="shared" si="5"/>
        <v>429845.91468333703</v>
      </c>
      <c r="AH15" s="4">
        <f t="shared" si="6"/>
        <v>702545.87778358755</v>
      </c>
      <c r="AI15" s="4">
        <f t="shared" si="7"/>
        <v>1030067.98355983</v>
      </c>
      <c r="AJ15" s="4">
        <f t="shared" si="8"/>
        <v>1410889.7488120643</v>
      </c>
    </row>
    <row r="16" spans="1:56" s="3" customFormat="1" x14ac:dyDescent="0.25">
      <c r="B16" s="3" t="s">
        <v>27</v>
      </c>
      <c r="C16" s="3">
        <v>3551</v>
      </c>
      <c r="D16" s="3">
        <f>-D15*0.2</f>
        <v>-5262.9943536643977</v>
      </c>
      <c r="E16" s="3">
        <f t="shared" ref="E16:X16" si="13">-E15*0.2</f>
        <v>-7245.5840055177214</v>
      </c>
      <c r="F16" s="3">
        <f t="shared" si="13"/>
        <v>-9410.7925332335399</v>
      </c>
      <c r="G16" s="3">
        <f t="shared" si="13"/>
        <v>-11757.430496811819</v>
      </c>
      <c r="H16" s="3">
        <f t="shared" si="13"/>
        <v>-14284.308456252575</v>
      </c>
      <c r="I16" s="3">
        <f t="shared" si="13"/>
        <v>-16990.236971555812</v>
      </c>
      <c r="J16" s="3">
        <f t="shared" si="13"/>
        <v>-19874.02660272154</v>
      </c>
      <c r="K16" s="3">
        <f t="shared" si="13"/>
        <v>-22934.4879097497</v>
      </c>
      <c r="L16" s="3">
        <f t="shared" si="13"/>
        <v>-26170.431452640358</v>
      </c>
      <c r="M16" s="3">
        <f t="shared" si="13"/>
        <v>-29580.667791393495</v>
      </c>
      <c r="N16" s="3">
        <f t="shared" si="13"/>
        <v>-33164.007486009112</v>
      </c>
      <c r="O16" s="3">
        <f t="shared" si="13"/>
        <v>-36919.261096487171</v>
      </c>
      <c r="P16" s="3">
        <f t="shared" si="13"/>
        <v>-40845.23918282774</v>
      </c>
      <c r="Q16" s="3">
        <f t="shared" si="13"/>
        <v>-44940.752305030757</v>
      </c>
      <c r="R16" s="3">
        <f t="shared" si="13"/>
        <v>-49204.61102309628</v>
      </c>
      <c r="S16" s="3">
        <f t="shared" si="13"/>
        <v>-53635.625897024271</v>
      </c>
      <c r="T16" s="3">
        <f t="shared" si="13"/>
        <v>-58232.607486814704</v>
      </c>
      <c r="U16" s="3">
        <f t="shared" si="13"/>
        <v>-62994.366352467638</v>
      </c>
      <c r="V16" s="3">
        <f t="shared" si="13"/>
        <v>-67919.71305398304</v>
      </c>
      <c r="W16" s="3">
        <f t="shared" si="13"/>
        <v>-73007.45815136093</v>
      </c>
      <c r="X16" s="3">
        <f t="shared" si="13"/>
        <v>-78256.412204601264</v>
      </c>
      <c r="AB16" s="3">
        <v>31</v>
      </c>
      <c r="AC16" s="3">
        <v>-1975</v>
      </c>
      <c r="AD16" s="3">
        <v>54327</v>
      </c>
      <c r="AE16" s="3">
        <f>Model!O16+Model!P16+Model!Q16+Forecast!D16</f>
        <v>-3069.9943536643977</v>
      </c>
      <c r="AF16" s="3">
        <f t="shared" si="4"/>
        <v>-42698.115491815654</v>
      </c>
      <c r="AG16" s="3">
        <f t="shared" si="5"/>
        <v>-85969.182936667421</v>
      </c>
      <c r="AH16" s="3">
        <f t="shared" si="6"/>
        <v>-140509.17555671753</v>
      </c>
      <c r="AI16" s="3">
        <f t="shared" si="7"/>
        <v>-206013.59671196601</v>
      </c>
      <c r="AJ16" s="3">
        <f t="shared" si="8"/>
        <v>-282177.94976241287</v>
      </c>
    </row>
    <row r="17" spans="1:1439" s="4" customFormat="1" x14ac:dyDescent="0.25">
      <c r="A17" s="3"/>
      <c r="B17" s="4" t="s">
        <v>28</v>
      </c>
      <c r="C17" s="4">
        <f>C15+C16</f>
        <v>15774</v>
      </c>
      <c r="D17" s="3">
        <f>D15+D16</f>
        <v>21051.977414657587</v>
      </c>
      <c r="E17" s="3">
        <f t="shared" ref="E17:X17" si="14">E15+E16</f>
        <v>28982.336022070882</v>
      </c>
      <c r="F17" s="3">
        <f t="shared" si="14"/>
        <v>37643.170132934159</v>
      </c>
      <c r="G17" s="3">
        <f t="shared" si="14"/>
        <v>47029.721987247278</v>
      </c>
      <c r="H17" s="3">
        <f t="shared" si="14"/>
        <v>57137.233825010291</v>
      </c>
      <c r="I17" s="3">
        <f t="shared" si="14"/>
        <v>67960.94788622325</v>
      </c>
      <c r="J17" s="3">
        <f t="shared" si="14"/>
        <v>79496.106410886161</v>
      </c>
      <c r="K17" s="3">
        <f t="shared" si="14"/>
        <v>91737.951638998784</v>
      </c>
      <c r="L17" s="3">
        <f t="shared" si="14"/>
        <v>104681.72581056142</v>
      </c>
      <c r="M17" s="3">
        <f t="shared" si="14"/>
        <v>118322.67116557396</v>
      </c>
      <c r="N17" s="3">
        <f t="shared" si="14"/>
        <v>132656.02994403645</v>
      </c>
      <c r="O17" s="3">
        <f t="shared" si="14"/>
        <v>147677.04438594868</v>
      </c>
      <c r="P17" s="3">
        <f t="shared" si="14"/>
        <v>163380.95673131096</v>
      </c>
      <c r="Q17" s="3">
        <f t="shared" si="14"/>
        <v>179763.009220123</v>
      </c>
      <c r="R17" s="3">
        <f t="shared" si="14"/>
        <v>196818.44409238509</v>
      </c>
      <c r="S17" s="3">
        <f t="shared" si="14"/>
        <v>214542.50358809708</v>
      </c>
      <c r="T17" s="3">
        <f t="shared" si="14"/>
        <v>232930.42994725882</v>
      </c>
      <c r="U17" s="3">
        <f t="shared" si="14"/>
        <v>251977.46540987055</v>
      </c>
      <c r="V17" s="3">
        <f t="shared" si="14"/>
        <v>271678.8522159321</v>
      </c>
      <c r="W17" s="3">
        <f t="shared" si="14"/>
        <v>292029.83260544372</v>
      </c>
      <c r="X17" s="3">
        <f t="shared" si="14"/>
        <v>313025.64881840505</v>
      </c>
      <c r="Y17" s="3"/>
      <c r="Z17" s="3"/>
      <c r="AA17" s="3"/>
      <c r="AB17" s="4">
        <v>-65678</v>
      </c>
      <c r="AC17" s="4">
        <v>-23546</v>
      </c>
      <c r="AD17" s="4">
        <v>126038</v>
      </c>
      <c r="AE17" s="4">
        <f>Model!O17+Model!P17+Model!Q17+Forecast!D17</f>
        <v>128815.97741465759</v>
      </c>
      <c r="AF17" s="4">
        <f t="shared" si="4"/>
        <v>170792.46196726261</v>
      </c>
      <c r="AG17" s="4">
        <f t="shared" si="5"/>
        <v>343876.73174666963</v>
      </c>
      <c r="AH17" s="4">
        <f t="shared" si="6"/>
        <v>562036.70222686999</v>
      </c>
      <c r="AI17" s="4">
        <f t="shared" si="7"/>
        <v>824054.38684786391</v>
      </c>
      <c r="AJ17" s="4">
        <f t="shared" si="8"/>
        <v>1128711.7990496515</v>
      </c>
      <c r="AK17" s="4">
        <f>+AK5*0.24</f>
        <v>1326807.5520000001</v>
      </c>
      <c r="AL17" s="4">
        <f t="shared" ref="AL17:AO17" si="15">+AL5*0.24</f>
        <v>1486024.4582400003</v>
      </c>
      <c r="AM17" s="4">
        <f t="shared" si="15"/>
        <v>1664347.3932288005</v>
      </c>
      <c r="AN17" s="4">
        <f t="shared" si="15"/>
        <v>1864069.0804162568</v>
      </c>
      <c r="AO17" s="4">
        <f t="shared" si="15"/>
        <v>2087757.3700662078</v>
      </c>
      <c r="AP17" s="4">
        <f>+AP5*0.25</f>
        <v>2435716.9317439096</v>
      </c>
      <c r="AQ17" s="4">
        <f t="shared" ref="AQ17:AT17" si="16">+AQ5*0.25</f>
        <v>2728002.9635531791</v>
      </c>
      <c r="AR17" s="4">
        <f t="shared" si="16"/>
        <v>3055363.319179561</v>
      </c>
      <c r="AS17" s="4">
        <f t="shared" si="16"/>
        <v>3422006.9174811086</v>
      </c>
      <c r="AT17" s="4">
        <f t="shared" si="16"/>
        <v>3832647.7475788421</v>
      </c>
      <c r="AU17" s="4">
        <f>+AU5*0.275</f>
        <v>4637503.7745703999</v>
      </c>
      <c r="AV17" s="4">
        <f t="shared" ref="AV17:AY17" si="17">+AV5*0.275</f>
        <v>5101254.1520274403</v>
      </c>
      <c r="AW17" s="4">
        <f t="shared" si="17"/>
        <v>5611379.5672301846</v>
      </c>
      <c r="AX17" s="4">
        <f t="shared" si="17"/>
        <v>6172517.5239532031</v>
      </c>
      <c r="AY17" s="4">
        <f>+AY5*0.275</f>
        <v>6789769.2763485238</v>
      </c>
      <c r="AZ17" s="4">
        <f>+AZ5*0.3</f>
        <v>7925512.5007559136</v>
      </c>
      <c r="BA17" s="4">
        <f t="shared" ref="BA17:BD17" si="18">+BA5*0.3</f>
        <v>8480298.3758088276</v>
      </c>
      <c r="BB17" s="4">
        <f t="shared" si="18"/>
        <v>9073919.2621154469</v>
      </c>
      <c r="BC17" s="4">
        <f t="shared" si="18"/>
        <v>9709093.610463528</v>
      </c>
      <c r="BD17" s="4">
        <f t="shared" si="18"/>
        <v>10388730.163195977</v>
      </c>
      <c r="BE17" s="4">
        <f>+BD17*0.98</f>
        <v>10180955.559932057</v>
      </c>
      <c r="BF17" s="4">
        <f t="shared" ref="BF17:DQ17" si="19">+BE17*0.98</f>
        <v>9977336.4487334155</v>
      </c>
      <c r="BG17" s="4">
        <f t="shared" si="19"/>
        <v>9777789.7197587471</v>
      </c>
      <c r="BH17" s="4">
        <f t="shared" si="19"/>
        <v>9582233.9253635723</v>
      </c>
      <c r="BI17" s="4">
        <f t="shared" si="19"/>
        <v>9390589.2468563002</v>
      </c>
      <c r="BJ17" s="4">
        <f t="shared" si="19"/>
        <v>9202777.4619191736</v>
      </c>
      <c r="BK17" s="4">
        <f t="shared" si="19"/>
        <v>9018721.9126807898</v>
      </c>
      <c r="BL17" s="4">
        <f t="shared" si="19"/>
        <v>8838347.4744271748</v>
      </c>
      <c r="BM17" s="4">
        <f t="shared" si="19"/>
        <v>8661580.5249386318</v>
      </c>
      <c r="BN17" s="4">
        <f t="shared" si="19"/>
        <v>8488348.9144398589</v>
      </c>
      <c r="BO17" s="4">
        <f t="shared" si="19"/>
        <v>8318581.9361510612</v>
      </c>
      <c r="BP17" s="4">
        <f t="shared" si="19"/>
        <v>8152210.2974280398</v>
      </c>
      <c r="BQ17" s="4">
        <f t="shared" si="19"/>
        <v>7989166.0914794793</v>
      </c>
      <c r="BR17" s="4">
        <f t="shared" si="19"/>
        <v>7829382.7696498893</v>
      </c>
      <c r="BS17" s="4">
        <f t="shared" si="19"/>
        <v>7672795.1142568914</v>
      </c>
      <c r="BT17" s="4">
        <f t="shared" si="19"/>
        <v>7519339.2119717533</v>
      </c>
      <c r="BU17" s="4">
        <f t="shared" si="19"/>
        <v>7368952.4277323177</v>
      </c>
      <c r="BV17" s="4">
        <f t="shared" si="19"/>
        <v>7221573.3791776709</v>
      </c>
      <c r="BW17" s="4">
        <f t="shared" si="19"/>
        <v>7077141.9115941171</v>
      </c>
      <c r="BX17" s="4">
        <f t="shared" si="19"/>
        <v>6935599.073362235</v>
      </c>
      <c r="BY17" s="4">
        <f t="shared" si="19"/>
        <v>6796887.0918949898</v>
      </c>
      <c r="BZ17" s="4">
        <f t="shared" si="19"/>
        <v>6660949.3500570897</v>
      </c>
      <c r="CA17" s="4">
        <f t="shared" si="19"/>
        <v>6527730.3630559482</v>
      </c>
      <c r="CB17" s="4">
        <f t="shared" si="19"/>
        <v>6397175.7557948288</v>
      </c>
      <c r="CC17" s="4">
        <f t="shared" si="19"/>
        <v>6269232.2406789325</v>
      </c>
      <c r="CD17" s="4">
        <f t="shared" si="19"/>
        <v>6143847.5958653539</v>
      </c>
      <c r="CE17" s="4">
        <f t="shared" si="19"/>
        <v>6020970.6439480465</v>
      </c>
      <c r="CF17" s="4">
        <f t="shared" si="19"/>
        <v>5900551.2310690852</v>
      </c>
      <c r="CG17" s="4">
        <f t="shared" si="19"/>
        <v>5782540.2064477038</v>
      </c>
      <c r="CH17" s="4">
        <f t="shared" si="19"/>
        <v>5666889.4023187496</v>
      </c>
      <c r="CI17" s="4">
        <f t="shared" si="19"/>
        <v>5553551.6142723747</v>
      </c>
      <c r="CJ17" s="4">
        <f t="shared" si="19"/>
        <v>5442480.5819869274</v>
      </c>
      <c r="CK17" s="4">
        <f t="shared" si="19"/>
        <v>5333630.9703471884</v>
      </c>
      <c r="CL17" s="4">
        <f t="shared" si="19"/>
        <v>5226958.3509402443</v>
      </c>
      <c r="CM17" s="4">
        <f t="shared" si="19"/>
        <v>5122419.1839214396</v>
      </c>
      <c r="CN17" s="4">
        <f t="shared" si="19"/>
        <v>5019970.8002430107</v>
      </c>
      <c r="CO17" s="4">
        <f t="shared" si="19"/>
        <v>4919571.3842381509</v>
      </c>
      <c r="CP17" s="4">
        <f t="shared" si="19"/>
        <v>4821179.9565533875</v>
      </c>
      <c r="CQ17" s="4">
        <f t="shared" si="19"/>
        <v>4724756.3574223192</v>
      </c>
      <c r="CR17" s="4">
        <f t="shared" si="19"/>
        <v>4630261.2302738726</v>
      </c>
      <c r="CS17" s="4">
        <f t="shared" si="19"/>
        <v>4537656.0056683952</v>
      </c>
      <c r="CT17" s="4">
        <f t="shared" si="19"/>
        <v>4446902.8855550271</v>
      </c>
      <c r="CU17" s="4">
        <f t="shared" si="19"/>
        <v>4357964.8278439268</v>
      </c>
      <c r="CV17" s="4">
        <f t="shared" si="19"/>
        <v>4270805.531287048</v>
      </c>
      <c r="CW17" s="4">
        <f t="shared" si="19"/>
        <v>4185389.4206613069</v>
      </c>
      <c r="CX17" s="4">
        <f t="shared" si="19"/>
        <v>4101681.6322480808</v>
      </c>
      <c r="CY17" s="4">
        <f t="shared" si="19"/>
        <v>4019647.9996031192</v>
      </c>
      <c r="CZ17" s="4">
        <f t="shared" si="19"/>
        <v>3939255.0396110569</v>
      </c>
      <c r="DA17" s="4">
        <f t="shared" si="19"/>
        <v>3860469.9388188357</v>
      </c>
      <c r="DB17" s="4">
        <f t="shared" si="19"/>
        <v>3783260.540042459</v>
      </c>
      <c r="DC17" s="4">
        <f t="shared" si="19"/>
        <v>3707595.3292416097</v>
      </c>
      <c r="DD17" s="4">
        <f t="shared" si="19"/>
        <v>3633443.4226567773</v>
      </c>
      <c r="DE17" s="4">
        <f t="shared" si="19"/>
        <v>3560774.5542036416</v>
      </c>
      <c r="DF17" s="4">
        <f t="shared" si="19"/>
        <v>3489559.0631195689</v>
      </c>
      <c r="DG17" s="4">
        <f t="shared" si="19"/>
        <v>3419767.8818571772</v>
      </c>
      <c r="DH17" s="4">
        <f t="shared" si="19"/>
        <v>3351372.5242200335</v>
      </c>
      <c r="DI17" s="4">
        <f t="shared" si="19"/>
        <v>3284345.0737356329</v>
      </c>
      <c r="DJ17" s="4">
        <f t="shared" si="19"/>
        <v>3218658.1722609201</v>
      </c>
      <c r="DK17" s="4">
        <f t="shared" si="19"/>
        <v>3154285.0088157016</v>
      </c>
      <c r="DL17" s="4">
        <f t="shared" si="19"/>
        <v>3091199.3086393876</v>
      </c>
      <c r="DM17" s="4">
        <f t="shared" si="19"/>
        <v>3029375.3224665998</v>
      </c>
      <c r="DN17" s="4">
        <f t="shared" si="19"/>
        <v>2968787.8160172678</v>
      </c>
      <c r="DO17" s="4">
        <f t="shared" si="19"/>
        <v>2909412.0596969225</v>
      </c>
      <c r="DP17" s="4">
        <f t="shared" si="19"/>
        <v>2851223.818502984</v>
      </c>
      <c r="DQ17" s="4">
        <f t="shared" si="19"/>
        <v>2794199.3421329241</v>
      </c>
      <c r="DR17" s="4">
        <f t="shared" ref="DR17:GC17" si="20">+DQ17*0.98</f>
        <v>2738315.3552902658</v>
      </c>
      <c r="DS17" s="4">
        <f t="shared" si="20"/>
        <v>2683549.0481844605</v>
      </c>
      <c r="DT17" s="4">
        <f t="shared" si="20"/>
        <v>2629878.0672207712</v>
      </c>
      <c r="DU17" s="4">
        <f t="shared" si="20"/>
        <v>2577280.5058763558</v>
      </c>
      <c r="DV17" s="4">
        <f t="shared" si="20"/>
        <v>2525734.8957588286</v>
      </c>
      <c r="DW17" s="4">
        <f t="shared" si="20"/>
        <v>2475220.1978436522</v>
      </c>
      <c r="DX17" s="4">
        <f t="shared" si="20"/>
        <v>2425715.7938867793</v>
      </c>
      <c r="DY17" s="4">
        <f t="shared" si="20"/>
        <v>2377201.4780090437</v>
      </c>
      <c r="DZ17" s="4">
        <f t="shared" si="20"/>
        <v>2329657.4484488629</v>
      </c>
      <c r="EA17" s="4">
        <f t="shared" si="20"/>
        <v>2283064.2994798855</v>
      </c>
      <c r="EB17" s="4">
        <f t="shared" si="20"/>
        <v>2237403.0134902876</v>
      </c>
      <c r="EC17" s="4">
        <f t="shared" si="20"/>
        <v>2192654.953220482</v>
      </c>
      <c r="ED17" s="4">
        <f t="shared" si="20"/>
        <v>2148801.8541560723</v>
      </c>
      <c r="EE17" s="4">
        <f t="shared" si="20"/>
        <v>2105825.8170729508</v>
      </c>
      <c r="EF17" s="4">
        <f t="shared" si="20"/>
        <v>2063709.3007314918</v>
      </c>
      <c r="EG17" s="4">
        <f t="shared" si="20"/>
        <v>2022435.1147168619</v>
      </c>
      <c r="EH17" s="4">
        <f t="shared" si="20"/>
        <v>1981986.4124225245</v>
      </c>
      <c r="EI17" s="4">
        <f t="shared" si="20"/>
        <v>1942346.6841740741</v>
      </c>
      <c r="EJ17" s="4">
        <f t="shared" si="20"/>
        <v>1903499.7504905926</v>
      </c>
      <c r="EK17" s="4">
        <f t="shared" si="20"/>
        <v>1865429.7554807807</v>
      </c>
      <c r="EL17" s="4">
        <f t="shared" si="20"/>
        <v>1828121.160371165</v>
      </c>
      <c r="EM17" s="4">
        <f t="shared" si="20"/>
        <v>1791558.7371637416</v>
      </c>
      <c r="EN17" s="4">
        <f t="shared" si="20"/>
        <v>1755727.5624204667</v>
      </c>
      <c r="EO17" s="4">
        <f t="shared" si="20"/>
        <v>1720613.0111720574</v>
      </c>
      <c r="EP17" s="4">
        <f t="shared" si="20"/>
        <v>1686200.7509486161</v>
      </c>
      <c r="EQ17" s="4">
        <f t="shared" si="20"/>
        <v>1652476.7359296437</v>
      </c>
      <c r="ER17" s="4">
        <f t="shared" si="20"/>
        <v>1619427.2012110509</v>
      </c>
      <c r="ES17" s="4">
        <f t="shared" si="20"/>
        <v>1587038.6571868297</v>
      </c>
      <c r="ET17" s="4">
        <f t="shared" si="20"/>
        <v>1555297.8840430931</v>
      </c>
      <c r="EU17" s="4">
        <f t="shared" si="20"/>
        <v>1524191.9263622311</v>
      </c>
      <c r="EV17" s="4">
        <f t="shared" si="20"/>
        <v>1493708.0878349864</v>
      </c>
      <c r="EW17" s="4">
        <f t="shared" si="20"/>
        <v>1463833.9260782867</v>
      </c>
      <c r="EX17" s="4">
        <f t="shared" si="20"/>
        <v>1434557.2475567209</v>
      </c>
      <c r="EY17" s="4">
        <f t="shared" si="20"/>
        <v>1405866.1026055864</v>
      </c>
      <c r="EZ17" s="4">
        <f t="shared" si="20"/>
        <v>1377748.7805534746</v>
      </c>
      <c r="FA17" s="4">
        <f t="shared" si="20"/>
        <v>1350193.8049424051</v>
      </c>
      <c r="FB17" s="4">
        <f t="shared" si="20"/>
        <v>1323189.9288435569</v>
      </c>
      <c r="FC17" s="4">
        <f t="shared" si="20"/>
        <v>1296726.1302666857</v>
      </c>
      <c r="FD17" s="4">
        <f t="shared" si="20"/>
        <v>1270791.607661352</v>
      </c>
      <c r="FE17" s="4">
        <f t="shared" si="20"/>
        <v>1245375.7755081251</v>
      </c>
      <c r="FF17" s="4">
        <f t="shared" si="20"/>
        <v>1220468.2599979625</v>
      </c>
      <c r="FG17" s="4">
        <f t="shared" si="20"/>
        <v>1196058.8947980031</v>
      </c>
      <c r="FH17" s="4">
        <f t="shared" si="20"/>
        <v>1172137.716902043</v>
      </c>
      <c r="FI17" s="4">
        <f t="shared" si="20"/>
        <v>1148694.962564002</v>
      </c>
      <c r="FJ17" s="4">
        <f t="shared" si="20"/>
        <v>1125721.0633127219</v>
      </c>
      <c r="FK17" s="4">
        <f t="shared" si="20"/>
        <v>1103206.6420464674</v>
      </c>
      <c r="FL17" s="4">
        <f t="shared" si="20"/>
        <v>1081142.5092055381</v>
      </c>
      <c r="FM17" s="4">
        <f t="shared" si="20"/>
        <v>1059519.6590214274</v>
      </c>
      <c r="FN17" s="4">
        <f t="shared" si="20"/>
        <v>1038329.2658409989</v>
      </c>
      <c r="FO17" s="4">
        <f t="shared" si="20"/>
        <v>1017562.6805241789</v>
      </c>
      <c r="FP17" s="4">
        <f t="shared" si="20"/>
        <v>997211.42691369529</v>
      </c>
      <c r="FQ17" s="4">
        <f t="shared" si="20"/>
        <v>977267.19837542134</v>
      </c>
      <c r="FR17" s="4">
        <f t="shared" si="20"/>
        <v>957721.85440791294</v>
      </c>
      <c r="FS17" s="4">
        <f t="shared" si="20"/>
        <v>938567.4173197546</v>
      </c>
      <c r="FT17" s="4">
        <f t="shared" si="20"/>
        <v>919796.06897335954</v>
      </c>
      <c r="FU17" s="4">
        <f t="shared" si="20"/>
        <v>901400.1475938923</v>
      </c>
      <c r="FV17" s="4">
        <f t="shared" si="20"/>
        <v>883372.14464201441</v>
      </c>
      <c r="FW17" s="4">
        <f t="shared" si="20"/>
        <v>865704.70174917416</v>
      </c>
      <c r="FX17" s="4">
        <f t="shared" si="20"/>
        <v>848390.60771419061</v>
      </c>
      <c r="FY17" s="4">
        <f t="shared" si="20"/>
        <v>831422.79555990675</v>
      </c>
      <c r="FZ17" s="4">
        <f t="shared" si="20"/>
        <v>814794.33964870858</v>
      </c>
      <c r="GA17" s="4">
        <f t="shared" si="20"/>
        <v>798498.45285573439</v>
      </c>
      <c r="GB17" s="4">
        <f t="shared" si="20"/>
        <v>782528.48379861971</v>
      </c>
      <c r="GC17" s="4">
        <f t="shared" si="20"/>
        <v>766877.91412264726</v>
      </c>
      <c r="GD17" s="4">
        <f t="shared" ref="GD17:IO17" si="21">+GC17*0.98</f>
        <v>751540.35584019427</v>
      </c>
      <c r="GE17" s="4">
        <f t="shared" si="21"/>
        <v>736509.54872339033</v>
      </c>
      <c r="GF17" s="4">
        <f t="shared" si="21"/>
        <v>721779.35774892254</v>
      </c>
      <c r="GG17" s="4">
        <f t="shared" si="21"/>
        <v>707343.77059394412</v>
      </c>
      <c r="GH17" s="4">
        <f t="shared" si="21"/>
        <v>693196.8951820652</v>
      </c>
      <c r="GI17" s="4">
        <f t="shared" si="21"/>
        <v>679332.95727842383</v>
      </c>
      <c r="GJ17" s="4">
        <f t="shared" si="21"/>
        <v>665746.29813285533</v>
      </c>
      <c r="GK17" s="4">
        <f t="shared" si="21"/>
        <v>652431.37217019824</v>
      </c>
      <c r="GL17" s="4">
        <f t="shared" si="21"/>
        <v>639382.74472679431</v>
      </c>
      <c r="GM17" s="4">
        <f t="shared" si="21"/>
        <v>626595.08983225841</v>
      </c>
      <c r="GN17" s="4">
        <f t="shared" si="21"/>
        <v>614063.18803561328</v>
      </c>
      <c r="GO17" s="4">
        <f t="shared" si="21"/>
        <v>601781.92427490104</v>
      </c>
      <c r="GP17" s="4">
        <f t="shared" si="21"/>
        <v>589746.28578940302</v>
      </c>
      <c r="GQ17" s="4">
        <f t="shared" si="21"/>
        <v>577951.36007361498</v>
      </c>
      <c r="GR17" s="4">
        <f t="shared" si="21"/>
        <v>566392.33287214267</v>
      </c>
      <c r="GS17" s="4">
        <f t="shared" si="21"/>
        <v>555064.48621469981</v>
      </c>
      <c r="GT17" s="4">
        <f t="shared" si="21"/>
        <v>543963.19649040583</v>
      </c>
      <c r="GU17" s="4">
        <f t="shared" si="21"/>
        <v>533083.93256059766</v>
      </c>
      <c r="GV17" s="4">
        <f t="shared" si="21"/>
        <v>522422.2539093857</v>
      </c>
      <c r="GW17" s="4">
        <f t="shared" si="21"/>
        <v>511973.80883119797</v>
      </c>
      <c r="GX17" s="4">
        <f t="shared" si="21"/>
        <v>501734.33265457401</v>
      </c>
      <c r="GY17" s="4">
        <f t="shared" si="21"/>
        <v>491699.6460014825</v>
      </c>
      <c r="GZ17" s="4">
        <f t="shared" si="21"/>
        <v>481865.65308145282</v>
      </c>
      <c r="HA17" s="4">
        <f t="shared" si="21"/>
        <v>472228.34001982375</v>
      </c>
      <c r="HB17" s="4">
        <f t="shared" si="21"/>
        <v>462783.77321942727</v>
      </c>
      <c r="HC17" s="4">
        <f t="shared" si="21"/>
        <v>453528.0977550387</v>
      </c>
      <c r="HD17" s="4">
        <f t="shared" si="21"/>
        <v>444457.5357999379</v>
      </c>
      <c r="HE17" s="4">
        <f t="shared" si="21"/>
        <v>435568.38508393912</v>
      </c>
      <c r="HF17" s="4">
        <f t="shared" si="21"/>
        <v>426857.01738226035</v>
      </c>
      <c r="HG17" s="4">
        <f t="shared" si="21"/>
        <v>418319.87703461514</v>
      </c>
      <c r="HH17" s="4">
        <f t="shared" si="21"/>
        <v>409953.47949392284</v>
      </c>
      <c r="HI17" s="4">
        <f t="shared" si="21"/>
        <v>401754.40990404435</v>
      </c>
      <c r="HJ17" s="4">
        <f t="shared" si="21"/>
        <v>393719.32170596346</v>
      </c>
      <c r="HK17" s="4">
        <f t="shared" si="21"/>
        <v>385844.93527184421</v>
      </c>
      <c r="HL17" s="4">
        <f t="shared" si="21"/>
        <v>378128.0365664073</v>
      </c>
      <c r="HM17" s="4">
        <f t="shared" si="21"/>
        <v>370565.47583507915</v>
      </c>
      <c r="HN17" s="4">
        <f t="shared" si="21"/>
        <v>363154.16631837754</v>
      </c>
      <c r="HO17" s="4">
        <f t="shared" si="21"/>
        <v>355891.08299200999</v>
      </c>
      <c r="HP17" s="4">
        <f t="shared" si="21"/>
        <v>348773.26133216982</v>
      </c>
      <c r="HQ17" s="4">
        <f t="shared" si="21"/>
        <v>341797.79610552639</v>
      </c>
      <c r="HR17" s="4">
        <f t="shared" si="21"/>
        <v>334961.84018341586</v>
      </c>
      <c r="HS17" s="4">
        <f t="shared" si="21"/>
        <v>328262.60337974754</v>
      </c>
      <c r="HT17" s="4">
        <f t="shared" si="21"/>
        <v>321697.35131215258</v>
      </c>
      <c r="HU17" s="4">
        <f t="shared" si="21"/>
        <v>315263.40428590949</v>
      </c>
      <c r="HV17" s="4">
        <f t="shared" si="21"/>
        <v>308958.13620019128</v>
      </c>
      <c r="HW17" s="4">
        <f t="shared" si="21"/>
        <v>302778.97347618744</v>
      </c>
      <c r="HX17" s="4">
        <f t="shared" si="21"/>
        <v>296723.3940066637</v>
      </c>
      <c r="HY17" s="4">
        <f t="shared" si="21"/>
        <v>290788.92612653039</v>
      </c>
      <c r="HZ17" s="4">
        <f t="shared" si="21"/>
        <v>284973.14760399977</v>
      </c>
      <c r="IA17" s="4">
        <f t="shared" si="21"/>
        <v>279273.68465191976</v>
      </c>
      <c r="IB17" s="4">
        <f t="shared" si="21"/>
        <v>273688.21095888136</v>
      </c>
      <c r="IC17" s="4">
        <f t="shared" si="21"/>
        <v>268214.44673970371</v>
      </c>
      <c r="ID17" s="4">
        <f t="shared" si="21"/>
        <v>262850.15780490963</v>
      </c>
      <c r="IE17" s="4">
        <f t="shared" si="21"/>
        <v>257593.15464881144</v>
      </c>
      <c r="IF17" s="4">
        <f t="shared" si="21"/>
        <v>252441.2915558352</v>
      </c>
      <c r="IG17" s="4">
        <f t="shared" si="21"/>
        <v>247392.4657247185</v>
      </c>
      <c r="IH17" s="4">
        <f t="shared" si="21"/>
        <v>242444.61641022412</v>
      </c>
      <c r="II17" s="4">
        <f t="shared" si="21"/>
        <v>237595.72408201962</v>
      </c>
      <c r="IJ17" s="4">
        <f t="shared" si="21"/>
        <v>232843.80960037923</v>
      </c>
      <c r="IK17" s="4">
        <f t="shared" si="21"/>
        <v>228186.93340837164</v>
      </c>
      <c r="IL17" s="4">
        <f t="shared" si="21"/>
        <v>223623.1947402042</v>
      </c>
      <c r="IM17" s="4">
        <f t="shared" si="21"/>
        <v>219150.7308454001</v>
      </c>
      <c r="IN17" s="4">
        <f t="shared" si="21"/>
        <v>214767.71622849209</v>
      </c>
      <c r="IO17" s="4">
        <f t="shared" si="21"/>
        <v>210472.36190392225</v>
      </c>
      <c r="IP17" s="4">
        <f t="shared" ref="IP17:LA17" si="22">+IO17*0.98</f>
        <v>206262.9146658438</v>
      </c>
      <c r="IQ17" s="4">
        <f t="shared" si="22"/>
        <v>202137.65637252692</v>
      </c>
      <c r="IR17" s="4">
        <f t="shared" si="22"/>
        <v>198094.90324507639</v>
      </c>
      <c r="IS17" s="4">
        <f t="shared" si="22"/>
        <v>194133.00518017486</v>
      </c>
      <c r="IT17" s="4">
        <f t="shared" si="22"/>
        <v>190250.34507657136</v>
      </c>
      <c r="IU17" s="4">
        <f t="shared" si="22"/>
        <v>186445.33817503994</v>
      </c>
      <c r="IV17" s="4">
        <f t="shared" si="22"/>
        <v>182716.43141153915</v>
      </c>
      <c r="IW17" s="4">
        <f t="shared" si="22"/>
        <v>179062.10278330836</v>
      </c>
      <c r="IX17" s="4">
        <f t="shared" si="22"/>
        <v>175480.8607276422</v>
      </c>
      <c r="IY17" s="4">
        <f t="shared" si="22"/>
        <v>171971.24351308934</v>
      </c>
      <c r="IZ17" s="4">
        <f t="shared" si="22"/>
        <v>168531.81864282757</v>
      </c>
      <c r="JA17" s="4">
        <f t="shared" si="22"/>
        <v>165161.182269971</v>
      </c>
      <c r="JB17" s="4">
        <f t="shared" si="22"/>
        <v>161857.95862457159</v>
      </c>
      <c r="JC17" s="4">
        <f t="shared" si="22"/>
        <v>158620.79945208016</v>
      </c>
      <c r="JD17" s="4">
        <f t="shared" si="22"/>
        <v>155448.38346303854</v>
      </c>
      <c r="JE17" s="4">
        <f t="shared" si="22"/>
        <v>152339.41579377776</v>
      </c>
      <c r="JF17" s="4">
        <f t="shared" si="22"/>
        <v>149292.62747790219</v>
      </c>
      <c r="JG17" s="4">
        <f t="shared" si="22"/>
        <v>146306.77492834415</v>
      </c>
      <c r="JH17" s="4">
        <f t="shared" si="22"/>
        <v>143380.63942977728</v>
      </c>
      <c r="JI17" s="4">
        <f t="shared" si="22"/>
        <v>140513.02664118173</v>
      </c>
      <c r="JJ17" s="4">
        <f t="shared" si="22"/>
        <v>137702.7661083581</v>
      </c>
      <c r="JK17" s="4">
        <f t="shared" si="22"/>
        <v>134948.71078619093</v>
      </c>
      <c r="JL17" s="4">
        <f t="shared" si="22"/>
        <v>132249.73657046712</v>
      </c>
      <c r="JM17" s="4">
        <f t="shared" si="22"/>
        <v>129604.74183905778</v>
      </c>
      <c r="JN17" s="4">
        <f t="shared" si="22"/>
        <v>127012.64700227663</v>
      </c>
      <c r="JO17" s="4">
        <f t="shared" si="22"/>
        <v>124472.39406223109</v>
      </c>
      <c r="JP17" s="4">
        <f t="shared" si="22"/>
        <v>121982.94618098647</v>
      </c>
      <c r="JQ17" s="4">
        <f t="shared" si="22"/>
        <v>119543.28725736674</v>
      </c>
      <c r="JR17" s="4">
        <f t="shared" si="22"/>
        <v>117152.4215122194</v>
      </c>
      <c r="JS17" s="4">
        <f t="shared" si="22"/>
        <v>114809.37308197501</v>
      </c>
      <c r="JT17" s="4">
        <f t="shared" si="22"/>
        <v>112513.1856203355</v>
      </c>
      <c r="JU17" s="4">
        <f t="shared" si="22"/>
        <v>110262.92190792879</v>
      </c>
      <c r="JV17" s="4">
        <f t="shared" si="22"/>
        <v>108057.66346977021</v>
      </c>
      <c r="JW17" s="4">
        <f t="shared" si="22"/>
        <v>105896.5102003748</v>
      </c>
      <c r="JX17" s="4">
        <f t="shared" si="22"/>
        <v>103778.57999636731</v>
      </c>
      <c r="JY17" s="4">
        <f t="shared" si="22"/>
        <v>101703.00839643995</v>
      </c>
      <c r="JZ17" s="4">
        <f t="shared" si="22"/>
        <v>99668.948228511159</v>
      </c>
      <c r="KA17" s="4">
        <f t="shared" si="22"/>
        <v>97675.569263940939</v>
      </c>
      <c r="KB17" s="4">
        <f t="shared" si="22"/>
        <v>95722.057878662119</v>
      </c>
      <c r="KC17" s="4">
        <f t="shared" si="22"/>
        <v>93807.616721088882</v>
      </c>
      <c r="KD17" s="4">
        <f t="shared" si="22"/>
        <v>91931.464386667096</v>
      </c>
      <c r="KE17" s="4">
        <f t="shared" si="22"/>
        <v>90092.835098933749</v>
      </c>
      <c r="KF17" s="4">
        <f t="shared" si="22"/>
        <v>88290.978396955077</v>
      </c>
      <c r="KG17" s="4">
        <f t="shared" si="22"/>
        <v>86525.158829015971</v>
      </c>
      <c r="KH17" s="4">
        <f t="shared" si="22"/>
        <v>84794.655652435657</v>
      </c>
      <c r="KI17" s="4">
        <f t="shared" si="22"/>
        <v>83098.762539386938</v>
      </c>
      <c r="KJ17" s="4">
        <f t="shared" si="22"/>
        <v>81436.787288599196</v>
      </c>
      <c r="KK17" s="4">
        <f t="shared" si="22"/>
        <v>79808.051542827205</v>
      </c>
      <c r="KL17" s="4">
        <f t="shared" si="22"/>
        <v>78211.890511970661</v>
      </c>
      <c r="KM17" s="4">
        <f t="shared" si="22"/>
        <v>76647.652701731247</v>
      </c>
      <c r="KN17" s="4">
        <f t="shared" si="22"/>
        <v>75114.699647696616</v>
      </c>
      <c r="KO17" s="4">
        <f t="shared" si="22"/>
        <v>73612.405654742688</v>
      </c>
      <c r="KP17" s="4">
        <f t="shared" si="22"/>
        <v>72140.15754164783</v>
      </c>
      <c r="KQ17" s="4">
        <f t="shared" si="22"/>
        <v>70697.354390814871</v>
      </c>
      <c r="KR17" s="4">
        <f t="shared" si="22"/>
        <v>69283.407302998574</v>
      </c>
      <c r="KS17" s="4">
        <f t="shared" si="22"/>
        <v>67897.739156938595</v>
      </c>
      <c r="KT17" s="4">
        <f t="shared" si="22"/>
        <v>66539.784373799819</v>
      </c>
      <c r="KU17" s="4">
        <f t="shared" si="22"/>
        <v>65208.988686323821</v>
      </c>
      <c r="KV17" s="4">
        <f t="shared" si="22"/>
        <v>63904.808912597342</v>
      </c>
      <c r="KW17" s="4">
        <f t="shared" si="22"/>
        <v>62626.712734345398</v>
      </c>
      <c r="KX17" s="4">
        <f t="shared" si="22"/>
        <v>61374.178479658491</v>
      </c>
      <c r="KY17" s="4">
        <f t="shared" si="22"/>
        <v>60146.694910065322</v>
      </c>
      <c r="KZ17" s="4">
        <f t="shared" si="22"/>
        <v>58943.761011864015</v>
      </c>
      <c r="LA17" s="4">
        <f t="shared" si="22"/>
        <v>57764.885791626737</v>
      </c>
      <c r="LB17" s="4">
        <f t="shared" ref="LB17:NM17" si="23">+LA17*0.98</f>
        <v>56609.5880757942</v>
      </c>
      <c r="LC17" s="4">
        <f t="shared" si="23"/>
        <v>55477.396314278318</v>
      </c>
      <c r="LD17" s="4">
        <f t="shared" si="23"/>
        <v>54367.848387992752</v>
      </c>
      <c r="LE17" s="4">
        <f t="shared" si="23"/>
        <v>53280.491420232895</v>
      </c>
      <c r="LF17" s="4">
        <f t="shared" si="23"/>
        <v>52214.881591828234</v>
      </c>
      <c r="LG17" s="4">
        <f t="shared" si="23"/>
        <v>51170.583959991665</v>
      </c>
      <c r="LH17" s="4">
        <f t="shared" si="23"/>
        <v>50147.172280791834</v>
      </c>
      <c r="LI17" s="4">
        <f t="shared" si="23"/>
        <v>49144.228835176</v>
      </c>
      <c r="LJ17" s="4">
        <f t="shared" si="23"/>
        <v>48161.344258472476</v>
      </c>
      <c r="LK17" s="4">
        <f t="shared" si="23"/>
        <v>47198.117373303023</v>
      </c>
      <c r="LL17" s="4">
        <f t="shared" si="23"/>
        <v>46254.155025836961</v>
      </c>
      <c r="LM17" s="4">
        <f t="shared" si="23"/>
        <v>45329.071925320219</v>
      </c>
      <c r="LN17" s="4">
        <f t="shared" si="23"/>
        <v>44422.490486813811</v>
      </c>
      <c r="LO17" s="4">
        <f t="shared" si="23"/>
        <v>43534.040677077537</v>
      </c>
      <c r="LP17" s="4">
        <f t="shared" si="23"/>
        <v>42663.359863535989</v>
      </c>
      <c r="LQ17" s="4">
        <f t="shared" si="23"/>
        <v>41810.092666265271</v>
      </c>
      <c r="LR17" s="4">
        <f t="shared" si="23"/>
        <v>40973.890812939964</v>
      </c>
      <c r="LS17" s="4">
        <f t="shared" si="23"/>
        <v>40154.412996681167</v>
      </c>
      <c r="LT17" s="4">
        <f t="shared" si="23"/>
        <v>39351.324736747541</v>
      </c>
      <c r="LU17" s="4">
        <f t="shared" si="23"/>
        <v>38564.298242012592</v>
      </c>
      <c r="LV17" s="4">
        <f t="shared" si="23"/>
        <v>37793.01227717234</v>
      </c>
      <c r="LW17" s="4">
        <f t="shared" si="23"/>
        <v>37037.152031628895</v>
      </c>
      <c r="LX17" s="4">
        <f t="shared" si="23"/>
        <v>36296.408990996315</v>
      </c>
      <c r="LY17" s="4">
        <f t="shared" si="23"/>
        <v>35570.480811176385</v>
      </c>
      <c r="LZ17" s="4">
        <f t="shared" si="23"/>
        <v>34859.071194952856</v>
      </c>
      <c r="MA17" s="4">
        <f t="shared" si="23"/>
        <v>34161.8897710538</v>
      </c>
      <c r="MB17" s="4">
        <f t="shared" si="23"/>
        <v>33478.651975632725</v>
      </c>
      <c r="MC17" s="4">
        <f t="shared" si="23"/>
        <v>32809.078936120073</v>
      </c>
      <c r="MD17" s="4">
        <f t="shared" si="23"/>
        <v>32152.897357397673</v>
      </c>
      <c r="ME17" s="4">
        <f t="shared" si="23"/>
        <v>31509.839410249719</v>
      </c>
      <c r="MF17" s="4">
        <f t="shared" si="23"/>
        <v>30879.642622044725</v>
      </c>
      <c r="MG17" s="4">
        <f t="shared" si="23"/>
        <v>30262.049769603829</v>
      </c>
      <c r="MH17" s="4">
        <f t="shared" si="23"/>
        <v>29656.808774211753</v>
      </c>
      <c r="MI17" s="4">
        <f t="shared" si="23"/>
        <v>29063.672598727517</v>
      </c>
      <c r="MJ17" s="4">
        <f t="shared" si="23"/>
        <v>28482.399146752967</v>
      </c>
      <c r="MK17" s="4">
        <f t="shared" si="23"/>
        <v>27912.751163817906</v>
      </c>
      <c r="ML17" s="4">
        <f t="shared" si="23"/>
        <v>27354.496140541549</v>
      </c>
      <c r="MM17" s="4">
        <f t="shared" si="23"/>
        <v>26807.406217730717</v>
      </c>
      <c r="MN17" s="4">
        <f t="shared" si="23"/>
        <v>26271.258093376102</v>
      </c>
      <c r="MO17" s="4">
        <f t="shared" si="23"/>
        <v>25745.832931508579</v>
      </c>
      <c r="MP17" s="4">
        <f t="shared" si="23"/>
        <v>25230.916272878407</v>
      </c>
      <c r="MQ17" s="4">
        <f t="shared" si="23"/>
        <v>24726.297947420837</v>
      </c>
      <c r="MR17" s="4">
        <f t="shared" si="23"/>
        <v>24231.771988472421</v>
      </c>
      <c r="MS17" s="4">
        <f t="shared" si="23"/>
        <v>23747.136548702973</v>
      </c>
      <c r="MT17" s="4">
        <f t="shared" si="23"/>
        <v>23272.193817728912</v>
      </c>
      <c r="MU17" s="4">
        <f t="shared" si="23"/>
        <v>22806.749941374332</v>
      </c>
      <c r="MV17" s="4">
        <f t="shared" si="23"/>
        <v>22350.614942546843</v>
      </c>
      <c r="MW17" s="4">
        <f t="shared" si="23"/>
        <v>21903.602643695907</v>
      </c>
      <c r="MX17" s="4">
        <f t="shared" si="23"/>
        <v>21465.530590821989</v>
      </c>
      <c r="MY17" s="4">
        <f t="shared" si="23"/>
        <v>21036.219979005549</v>
      </c>
      <c r="MZ17" s="4">
        <f t="shared" si="23"/>
        <v>20615.495579425438</v>
      </c>
      <c r="NA17" s="4">
        <f t="shared" si="23"/>
        <v>20203.185667836929</v>
      </c>
      <c r="NB17" s="4">
        <f t="shared" si="23"/>
        <v>19799.12195448019</v>
      </c>
      <c r="NC17" s="4">
        <f t="shared" si="23"/>
        <v>19403.139515390587</v>
      </c>
      <c r="ND17" s="4">
        <f t="shared" si="23"/>
        <v>19015.076725082774</v>
      </c>
      <c r="NE17" s="4">
        <f t="shared" si="23"/>
        <v>18634.775190581116</v>
      </c>
      <c r="NF17" s="4">
        <f t="shared" si="23"/>
        <v>18262.079686769495</v>
      </c>
      <c r="NG17" s="4">
        <f t="shared" si="23"/>
        <v>17896.838093034105</v>
      </c>
      <c r="NH17" s="4">
        <f t="shared" si="23"/>
        <v>17538.901331173423</v>
      </c>
      <c r="NI17" s="4">
        <f t="shared" si="23"/>
        <v>17188.123304549954</v>
      </c>
      <c r="NJ17" s="4">
        <f t="shared" si="23"/>
        <v>16844.360838458953</v>
      </c>
      <c r="NK17" s="4">
        <f t="shared" si="23"/>
        <v>16507.473621689773</v>
      </c>
      <c r="NL17" s="4">
        <f t="shared" si="23"/>
        <v>16177.324149255977</v>
      </c>
      <c r="NM17" s="4">
        <f t="shared" si="23"/>
        <v>15853.777666270858</v>
      </c>
      <c r="NN17" s="4">
        <f t="shared" ref="NN17:PY17" si="24">+NM17*0.98</f>
        <v>15536.702112945441</v>
      </c>
      <c r="NO17" s="4">
        <f t="shared" si="24"/>
        <v>15225.968070686531</v>
      </c>
      <c r="NP17" s="4">
        <f t="shared" si="24"/>
        <v>14921.4487092728</v>
      </c>
      <c r="NQ17" s="4">
        <f t="shared" si="24"/>
        <v>14623.019735087344</v>
      </c>
      <c r="NR17" s="4">
        <f t="shared" si="24"/>
        <v>14330.559340385596</v>
      </c>
      <c r="NS17" s="4">
        <f t="shared" si="24"/>
        <v>14043.948153577885</v>
      </c>
      <c r="NT17" s="4">
        <f t="shared" si="24"/>
        <v>13763.069190506327</v>
      </c>
      <c r="NU17" s="4">
        <f t="shared" si="24"/>
        <v>13487.807806696201</v>
      </c>
      <c r="NV17" s="4">
        <f t="shared" si="24"/>
        <v>13218.051650562276</v>
      </c>
      <c r="NW17" s="4">
        <f t="shared" si="24"/>
        <v>12953.69061755103</v>
      </c>
      <c r="NX17" s="4">
        <f t="shared" si="24"/>
        <v>12694.61680520001</v>
      </c>
      <c r="NY17" s="4">
        <f t="shared" si="24"/>
        <v>12440.724469096011</v>
      </c>
      <c r="NZ17" s="4">
        <f t="shared" si="24"/>
        <v>12191.90997971409</v>
      </c>
      <c r="OA17" s="4">
        <f t="shared" si="24"/>
        <v>11948.071780119808</v>
      </c>
      <c r="OB17" s="4">
        <f t="shared" si="24"/>
        <v>11709.110344517412</v>
      </c>
      <c r="OC17" s="4">
        <f t="shared" si="24"/>
        <v>11474.928137627063</v>
      </c>
      <c r="OD17" s="4">
        <f t="shared" si="24"/>
        <v>11245.429574874521</v>
      </c>
      <c r="OE17" s="4">
        <f t="shared" si="24"/>
        <v>11020.52098337703</v>
      </c>
      <c r="OF17" s="4">
        <f t="shared" si="24"/>
        <v>10800.110563709488</v>
      </c>
      <c r="OG17" s="4">
        <f t="shared" si="24"/>
        <v>10584.108352435298</v>
      </c>
      <c r="OH17" s="4">
        <f t="shared" si="24"/>
        <v>10372.426185386592</v>
      </c>
      <c r="OI17" s="4">
        <f t="shared" si="24"/>
        <v>10164.97766167886</v>
      </c>
      <c r="OJ17" s="4">
        <f t="shared" si="24"/>
        <v>9961.6781084452832</v>
      </c>
      <c r="OK17" s="4">
        <f t="shared" si="24"/>
        <v>9762.4445462763779</v>
      </c>
      <c r="OL17" s="4">
        <f t="shared" si="24"/>
        <v>9567.1956553508498</v>
      </c>
      <c r="OM17" s="4">
        <f t="shared" si="24"/>
        <v>9375.8517422438326</v>
      </c>
      <c r="ON17" s="4">
        <f t="shared" si="24"/>
        <v>9188.3347073989553</v>
      </c>
      <c r="OO17" s="4">
        <f t="shared" si="24"/>
        <v>9004.5680132509751</v>
      </c>
      <c r="OP17" s="4">
        <f t="shared" si="24"/>
        <v>8824.4766529859553</v>
      </c>
      <c r="OQ17" s="4">
        <f t="shared" si="24"/>
        <v>8647.9871199262361</v>
      </c>
      <c r="OR17" s="4">
        <f t="shared" si="24"/>
        <v>8475.027377527711</v>
      </c>
      <c r="OS17" s="4">
        <f t="shared" si="24"/>
        <v>8305.526829977156</v>
      </c>
      <c r="OT17" s="4">
        <f t="shared" si="24"/>
        <v>8139.4162933776124</v>
      </c>
      <c r="OU17" s="4">
        <f t="shared" si="24"/>
        <v>7976.6279675100604</v>
      </c>
      <c r="OV17" s="4">
        <f t="shared" si="24"/>
        <v>7817.0954081598593</v>
      </c>
      <c r="OW17" s="4">
        <f t="shared" si="24"/>
        <v>7660.753499996662</v>
      </c>
      <c r="OX17" s="4">
        <f t="shared" si="24"/>
        <v>7507.5384299967282</v>
      </c>
      <c r="OY17" s="4">
        <f t="shared" si="24"/>
        <v>7357.3876613967932</v>
      </c>
      <c r="OZ17" s="4">
        <f t="shared" si="24"/>
        <v>7210.2399081688573</v>
      </c>
      <c r="PA17" s="4">
        <f t="shared" si="24"/>
        <v>7066.0351100054804</v>
      </c>
      <c r="PB17" s="4">
        <f t="shared" si="24"/>
        <v>6924.7144078053707</v>
      </c>
      <c r="PC17" s="4">
        <f t="shared" si="24"/>
        <v>6786.2201196492633</v>
      </c>
      <c r="PD17" s="4">
        <f t="shared" si="24"/>
        <v>6650.4957172562781</v>
      </c>
      <c r="PE17" s="4">
        <f t="shared" si="24"/>
        <v>6517.4858029111529</v>
      </c>
      <c r="PF17" s="4">
        <f t="shared" si="24"/>
        <v>6387.13608685293</v>
      </c>
      <c r="PG17" s="4">
        <f t="shared" si="24"/>
        <v>6259.3933651158713</v>
      </c>
      <c r="PH17" s="4">
        <f t="shared" si="24"/>
        <v>6134.2054978135538</v>
      </c>
      <c r="PI17" s="4">
        <f t="shared" si="24"/>
        <v>6011.5213878572831</v>
      </c>
      <c r="PJ17" s="4">
        <f t="shared" si="24"/>
        <v>5891.2909601001375</v>
      </c>
      <c r="PK17" s="4">
        <f t="shared" si="24"/>
        <v>5773.4651408981345</v>
      </c>
      <c r="PL17" s="4">
        <f t="shared" si="24"/>
        <v>5657.9958380801718</v>
      </c>
      <c r="PM17" s="4">
        <f t="shared" si="24"/>
        <v>5544.8359213185686</v>
      </c>
      <c r="PN17" s="4">
        <f t="shared" si="24"/>
        <v>5433.9392028921975</v>
      </c>
      <c r="PO17" s="4">
        <f t="shared" si="24"/>
        <v>5325.260418834353</v>
      </c>
      <c r="PP17" s="4">
        <f t="shared" si="24"/>
        <v>5218.7552104576662</v>
      </c>
      <c r="PQ17" s="4">
        <f t="shared" si="24"/>
        <v>5114.3801062485127</v>
      </c>
      <c r="PR17" s="4">
        <f t="shared" si="24"/>
        <v>5012.0925041235423</v>
      </c>
      <c r="PS17" s="4">
        <f t="shared" si="24"/>
        <v>4911.8506540410717</v>
      </c>
      <c r="PT17" s="4">
        <f t="shared" si="24"/>
        <v>4813.6136409602505</v>
      </c>
      <c r="PU17" s="4">
        <f t="shared" si="24"/>
        <v>4717.3413681410457</v>
      </c>
      <c r="PV17" s="4">
        <f t="shared" si="24"/>
        <v>4622.9945407782243</v>
      </c>
      <c r="PW17" s="4">
        <f t="shared" si="24"/>
        <v>4530.5346499626594</v>
      </c>
      <c r="PX17" s="4">
        <f t="shared" si="24"/>
        <v>4439.9239569634065</v>
      </c>
      <c r="PY17" s="4">
        <f t="shared" si="24"/>
        <v>4351.1254778241382</v>
      </c>
      <c r="PZ17" s="4">
        <f t="shared" ref="PZ17:SK17" si="25">+PY17*0.98</f>
        <v>4264.1029682676553</v>
      </c>
      <c r="QA17" s="4">
        <f t="shared" si="25"/>
        <v>4178.8209089023021</v>
      </c>
      <c r="QB17" s="4">
        <f t="shared" si="25"/>
        <v>4095.2444907242561</v>
      </c>
      <c r="QC17" s="4">
        <f t="shared" si="25"/>
        <v>4013.339600909771</v>
      </c>
      <c r="QD17" s="4">
        <f t="shared" si="25"/>
        <v>3933.0728088915753</v>
      </c>
      <c r="QE17" s="4">
        <f t="shared" si="25"/>
        <v>3854.4113527137438</v>
      </c>
      <c r="QF17" s="4">
        <f t="shared" si="25"/>
        <v>3777.323125659469</v>
      </c>
      <c r="QG17" s="4">
        <f t="shared" si="25"/>
        <v>3701.7766631462796</v>
      </c>
      <c r="QH17" s="4">
        <f t="shared" si="25"/>
        <v>3627.741129883354</v>
      </c>
      <c r="QI17" s="4">
        <f t="shared" si="25"/>
        <v>3555.1863072856868</v>
      </c>
      <c r="QJ17" s="4">
        <f t="shared" si="25"/>
        <v>3484.0825811399732</v>
      </c>
      <c r="QK17" s="4">
        <f t="shared" si="25"/>
        <v>3414.4009295171736</v>
      </c>
      <c r="QL17" s="4">
        <f t="shared" si="25"/>
        <v>3346.11291092683</v>
      </c>
      <c r="QM17" s="4">
        <f t="shared" si="25"/>
        <v>3279.1906527082933</v>
      </c>
      <c r="QN17" s="4">
        <f t="shared" si="25"/>
        <v>3213.6068396541273</v>
      </c>
      <c r="QO17" s="4">
        <f t="shared" si="25"/>
        <v>3149.3347028610447</v>
      </c>
      <c r="QP17" s="4">
        <f t="shared" si="25"/>
        <v>3086.3480088038236</v>
      </c>
      <c r="QQ17" s="4">
        <f t="shared" si="25"/>
        <v>3024.6210486277473</v>
      </c>
      <c r="QR17" s="4">
        <f t="shared" si="25"/>
        <v>2964.1286276551923</v>
      </c>
      <c r="QS17" s="4">
        <f t="shared" si="25"/>
        <v>2904.8460551020885</v>
      </c>
      <c r="QT17" s="4">
        <f t="shared" si="25"/>
        <v>2846.7491340000465</v>
      </c>
      <c r="QU17" s="4">
        <f t="shared" si="25"/>
        <v>2789.8141513200458</v>
      </c>
      <c r="QV17" s="4">
        <f t="shared" si="25"/>
        <v>2734.0178682936448</v>
      </c>
      <c r="QW17" s="4">
        <f t="shared" si="25"/>
        <v>2679.3375109277717</v>
      </c>
      <c r="QX17" s="4">
        <f t="shared" si="25"/>
        <v>2625.7507607092161</v>
      </c>
      <c r="QY17" s="4">
        <f t="shared" si="25"/>
        <v>2573.2357454950316</v>
      </c>
      <c r="QZ17" s="4">
        <f t="shared" si="25"/>
        <v>2521.771030585131</v>
      </c>
      <c r="RA17" s="4">
        <f t="shared" si="25"/>
        <v>2471.3356099734283</v>
      </c>
      <c r="RB17" s="4">
        <f t="shared" si="25"/>
        <v>2421.9088977739598</v>
      </c>
      <c r="RC17" s="4">
        <f t="shared" si="25"/>
        <v>2373.4707198184806</v>
      </c>
      <c r="RD17" s="4">
        <f t="shared" si="25"/>
        <v>2326.0013054221108</v>
      </c>
      <c r="RE17" s="4">
        <f t="shared" si="25"/>
        <v>2279.4812793136684</v>
      </c>
      <c r="RF17" s="4">
        <f t="shared" si="25"/>
        <v>2233.8916537273949</v>
      </c>
      <c r="RG17" s="4">
        <f t="shared" si="25"/>
        <v>2189.2138206528471</v>
      </c>
      <c r="RH17" s="4">
        <f t="shared" si="25"/>
        <v>2145.4295442397902</v>
      </c>
      <c r="RI17" s="4">
        <f t="shared" si="25"/>
        <v>2102.5209533549942</v>
      </c>
      <c r="RJ17" s="4">
        <f t="shared" si="25"/>
        <v>2060.4705342878942</v>
      </c>
      <c r="RK17" s="4">
        <f t="shared" si="25"/>
        <v>2019.2611236021362</v>
      </c>
      <c r="RL17" s="4">
        <f t="shared" si="25"/>
        <v>1978.8759011300933</v>
      </c>
      <c r="RM17" s="4">
        <f t="shared" si="25"/>
        <v>1939.2983831074914</v>
      </c>
      <c r="RN17" s="4">
        <f t="shared" si="25"/>
        <v>1900.5124154453415</v>
      </c>
      <c r="RO17" s="4">
        <f t="shared" si="25"/>
        <v>1862.5021671364345</v>
      </c>
      <c r="RP17" s="4">
        <f t="shared" si="25"/>
        <v>1825.2521237937058</v>
      </c>
      <c r="RQ17" s="4">
        <f t="shared" si="25"/>
        <v>1788.7470813178315</v>
      </c>
      <c r="RR17" s="4">
        <f t="shared" si="25"/>
        <v>1752.9721396914749</v>
      </c>
      <c r="RS17" s="4">
        <f t="shared" si="25"/>
        <v>1717.9126968976454</v>
      </c>
      <c r="RT17" s="4">
        <f t="shared" si="25"/>
        <v>1683.5544429596926</v>
      </c>
      <c r="RU17" s="4">
        <f t="shared" si="25"/>
        <v>1649.8833541004988</v>
      </c>
      <c r="RV17" s="4">
        <f t="shared" si="25"/>
        <v>1616.8856870184889</v>
      </c>
      <c r="RW17" s="4">
        <f t="shared" si="25"/>
        <v>1584.5479732781191</v>
      </c>
      <c r="RX17" s="4">
        <f t="shared" si="25"/>
        <v>1552.8570138125567</v>
      </c>
      <c r="RY17" s="4">
        <f t="shared" si="25"/>
        <v>1521.7998735363055</v>
      </c>
      <c r="RZ17" s="4">
        <f t="shared" si="25"/>
        <v>1491.3638760655795</v>
      </c>
      <c r="SA17" s="4">
        <f t="shared" si="25"/>
        <v>1461.5365985442679</v>
      </c>
      <c r="SB17" s="4">
        <f t="shared" si="25"/>
        <v>1432.3058665733824</v>
      </c>
      <c r="SC17" s="4">
        <f t="shared" si="25"/>
        <v>1403.6597492419148</v>
      </c>
      <c r="SD17" s="4">
        <f t="shared" si="25"/>
        <v>1375.5865542570766</v>
      </c>
      <c r="SE17" s="4">
        <f t="shared" si="25"/>
        <v>1348.0748231719351</v>
      </c>
      <c r="SF17" s="4">
        <f t="shared" si="25"/>
        <v>1321.1133267084963</v>
      </c>
      <c r="SG17" s="4">
        <f t="shared" si="25"/>
        <v>1294.6910601743264</v>
      </c>
      <c r="SH17" s="4">
        <f t="shared" si="25"/>
        <v>1268.7972389708398</v>
      </c>
      <c r="SI17" s="4">
        <f t="shared" si="25"/>
        <v>1243.4212941914229</v>
      </c>
      <c r="SJ17" s="4">
        <f t="shared" si="25"/>
        <v>1218.5528683075945</v>
      </c>
      <c r="SK17" s="4">
        <f t="shared" si="25"/>
        <v>1194.1818109414426</v>
      </c>
      <c r="SL17" s="4">
        <f t="shared" ref="SL17:UW17" si="26">+SK17*0.98</f>
        <v>1170.2981747226138</v>
      </c>
      <c r="SM17" s="4">
        <f t="shared" si="26"/>
        <v>1146.8922112281614</v>
      </c>
      <c r="SN17" s="4">
        <f t="shared" si="26"/>
        <v>1123.9543670035982</v>
      </c>
      <c r="SO17" s="4">
        <f t="shared" si="26"/>
        <v>1101.4752796635262</v>
      </c>
      <c r="SP17" s="4">
        <f t="shared" si="26"/>
        <v>1079.4457740702555</v>
      </c>
      <c r="SQ17" s="4">
        <f t="shared" si="26"/>
        <v>1057.8568585888504</v>
      </c>
      <c r="SR17" s="4">
        <f t="shared" si="26"/>
        <v>1036.6997214170733</v>
      </c>
      <c r="SS17" s="4">
        <f t="shared" si="26"/>
        <v>1015.9657269887318</v>
      </c>
      <c r="ST17" s="4">
        <f t="shared" si="26"/>
        <v>995.64641244895722</v>
      </c>
      <c r="SU17" s="4">
        <f t="shared" si="26"/>
        <v>975.73348419997808</v>
      </c>
      <c r="SV17" s="4">
        <f t="shared" si="26"/>
        <v>956.21881451597847</v>
      </c>
      <c r="SW17" s="4">
        <f t="shared" si="26"/>
        <v>937.09443822565891</v>
      </c>
      <c r="SX17" s="4">
        <f t="shared" si="26"/>
        <v>918.35254946114571</v>
      </c>
      <c r="SY17" s="4">
        <f t="shared" si="26"/>
        <v>899.98549847192282</v>
      </c>
      <c r="SZ17" s="4">
        <f t="shared" si="26"/>
        <v>881.9857885024843</v>
      </c>
      <c r="TA17" s="4">
        <f t="shared" si="26"/>
        <v>864.34607273243455</v>
      </c>
      <c r="TB17" s="4">
        <f t="shared" si="26"/>
        <v>847.05915127778587</v>
      </c>
      <c r="TC17" s="4">
        <f t="shared" si="26"/>
        <v>830.11796825223018</v>
      </c>
      <c r="TD17" s="4">
        <f t="shared" si="26"/>
        <v>813.51560888718552</v>
      </c>
      <c r="TE17" s="4">
        <f t="shared" si="26"/>
        <v>797.24529670944185</v>
      </c>
      <c r="TF17" s="4">
        <f t="shared" si="26"/>
        <v>781.30039077525305</v>
      </c>
      <c r="TG17" s="4">
        <f t="shared" si="26"/>
        <v>765.67438295974796</v>
      </c>
      <c r="TH17" s="4">
        <f t="shared" si="26"/>
        <v>750.36089530055301</v>
      </c>
      <c r="TI17" s="4">
        <f t="shared" si="26"/>
        <v>735.35367739454193</v>
      </c>
      <c r="TJ17" s="4">
        <f t="shared" si="26"/>
        <v>720.64660384665103</v>
      </c>
      <c r="TK17" s="4">
        <f t="shared" si="26"/>
        <v>706.23367176971794</v>
      </c>
      <c r="TL17" s="4">
        <f t="shared" si="26"/>
        <v>692.10899833432359</v>
      </c>
      <c r="TM17" s="4">
        <f t="shared" si="26"/>
        <v>678.26681836763714</v>
      </c>
      <c r="TN17" s="4">
        <f t="shared" si="26"/>
        <v>664.70148200028439</v>
      </c>
      <c r="TO17" s="4">
        <f t="shared" si="26"/>
        <v>651.40745236027874</v>
      </c>
      <c r="TP17" s="4">
        <f t="shared" si="26"/>
        <v>638.37930331307314</v>
      </c>
      <c r="TQ17" s="4">
        <f t="shared" si="26"/>
        <v>625.61171724681162</v>
      </c>
      <c r="TR17" s="4">
        <f t="shared" si="26"/>
        <v>613.09948290187538</v>
      </c>
      <c r="TS17" s="4">
        <f t="shared" si="26"/>
        <v>600.83749324383791</v>
      </c>
      <c r="TT17" s="4">
        <f t="shared" si="26"/>
        <v>588.8207433789612</v>
      </c>
      <c r="TU17" s="4">
        <f t="shared" si="26"/>
        <v>577.04432851138199</v>
      </c>
      <c r="TV17" s="4">
        <f t="shared" si="26"/>
        <v>565.50344194115439</v>
      </c>
      <c r="TW17" s="4">
        <f t="shared" si="26"/>
        <v>554.19337310233129</v>
      </c>
      <c r="TX17" s="4">
        <f t="shared" si="26"/>
        <v>543.10950564028462</v>
      </c>
      <c r="TY17" s="4">
        <f t="shared" si="26"/>
        <v>532.24731552747892</v>
      </c>
      <c r="TZ17" s="4">
        <f t="shared" si="26"/>
        <v>521.60236921692933</v>
      </c>
      <c r="UA17" s="4">
        <f t="shared" si="26"/>
        <v>511.17032183259073</v>
      </c>
      <c r="UB17" s="4">
        <f t="shared" si="26"/>
        <v>500.9469153959389</v>
      </c>
      <c r="UC17" s="4">
        <f t="shared" si="26"/>
        <v>490.9279770880201</v>
      </c>
      <c r="UD17" s="4">
        <f t="shared" si="26"/>
        <v>481.10941754625969</v>
      </c>
      <c r="UE17" s="4">
        <f t="shared" si="26"/>
        <v>471.48722919533446</v>
      </c>
      <c r="UF17" s="4">
        <f t="shared" si="26"/>
        <v>462.05748461142775</v>
      </c>
      <c r="UG17" s="4">
        <f t="shared" si="26"/>
        <v>452.81633491919916</v>
      </c>
      <c r="UH17" s="4">
        <f t="shared" si="26"/>
        <v>443.76000822081517</v>
      </c>
      <c r="UI17" s="4">
        <f t="shared" si="26"/>
        <v>434.88480805639887</v>
      </c>
      <c r="UJ17" s="4">
        <f t="shared" si="26"/>
        <v>426.1871118952709</v>
      </c>
      <c r="UK17" s="4">
        <f t="shared" si="26"/>
        <v>417.66336965736548</v>
      </c>
      <c r="UL17" s="4">
        <f t="shared" si="26"/>
        <v>409.31010226421819</v>
      </c>
      <c r="UM17" s="4">
        <f t="shared" si="26"/>
        <v>401.12390021893384</v>
      </c>
      <c r="UN17" s="4">
        <f t="shared" si="26"/>
        <v>393.10142221455516</v>
      </c>
      <c r="UO17" s="4">
        <f t="shared" si="26"/>
        <v>385.23939377026403</v>
      </c>
      <c r="UP17" s="4">
        <f t="shared" si="26"/>
        <v>377.53460589485871</v>
      </c>
      <c r="UQ17" s="4">
        <f t="shared" si="26"/>
        <v>369.98391377696151</v>
      </c>
      <c r="UR17" s="4">
        <f t="shared" si="26"/>
        <v>362.58423550142226</v>
      </c>
      <c r="US17" s="4">
        <f t="shared" si="26"/>
        <v>355.33255079139383</v>
      </c>
      <c r="UT17" s="4">
        <f t="shared" si="26"/>
        <v>348.22589977556595</v>
      </c>
      <c r="UU17" s="4">
        <f t="shared" si="26"/>
        <v>341.26138178005465</v>
      </c>
      <c r="UV17" s="4">
        <f t="shared" si="26"/>
        <v>334.43615414445355</v>
      </c>
      <c r="UW17" s="4">
        <f t="shared" si="26"/>
        <v>327.7474310615645</v>
      </c>
      <c r="UX17" s="4">
        <f t="shared" ref="UX17:XI17" si="27">+UW17*0.98</f>
        <v>321.19248244033321</v>
      </c>
      <c r="UY17" s="4">
        <f t="shared" si="27"/>
        <v>314.76863279152656</v>
      </c>
      <c r="UZ17" s="4">
        <f t="shared" si="27"/>
        <v>308.47326013569602</v>
      </c>
      <c r="VA17" s="4">
        <f t="shared" si="27"/>
        <v>302.3037949329821</v>
      </c>
      <c r="VB17" s="4">
        <f t="shared" si="27"/>
        <v>296.25771903432246</v>
      </c>
      <c r="VC17" s="4">
        <f t="shared" si="27"/>
        <v>290.33256465363598</v>
      </c>
      <c r="VD17" s="4">
        <f t="shared" si="27"/>
        <v>284.52591336056327</v>
      </c>
      <c r="VE17" s="4">
        <f t="shared" si="27"/>
        <v>278.83539509335202</v>
      </c>
      <c r="VF17" s="4">
        <f t="shared" si="27"/>
        <v>273.25868719148497</v>
      </c>
      <c r="VG17" s="4">
        <f t="shared" si="27"/>
        <v>267.79351344765524</v>
      </c>
      <c r="VH17" s="4">
        <f t="shared" si="27"/>
        <v>262.43764317870216</v>
      </c>
      <c r="VI17" s="4">
        <f t="shared" si="27"/>
        <v>257.18889031512811</v>
      </c>
      <c r="VJ17" s="4">
        <f t="shared" si="27"/>
        <v>252.04511250882553</v>
      </c>
      <c r="VK17" s="4">
        <f t="shared" si="27"/>
        <v>247.00421025864901</v>
      </c>
      <c r="VL17" s="4">
        <f t="shared" si="27"/>
        <v>242.06412605347603</v>
      </c>
      <c r="VM17" s="4">
        <f t="shared" si="27"/>
        <v>237.2228435324065</v>
      </c>
      <c r="VN17" s="4">
        <f t="shared" si="27"/>
        <v>232.47838666175838</v>
      </c>
      <c r="VO17" s="4">
        <f t="shared" si="27"/>
        <v>227.82881892852322</v>
      </c>
      <c r="VP17" s="4">
        <f t="shared" si="27"/>
        <v>223.27224254995275</v>
      </c>
      <c r="VQ17" s="4">
        <f t="shared" si="27"/>
        <v>218.80679769895369</v>
      </c>
      <c r="VR17" s="4">
        <f t="shared" si="27"/>
        <v>214.4306617449746</v>
      </c>
      <c r="VS17" s="4">
        <f t="shared" si="27"/>
        <v>210.14204851007511</v>
      </c>
      <c r="VT17" s="4">
        <f t="shared" si="27"/>
        <v>205.93920753987362</v>
      </c>
      <c r="VU17" s="4">
        <f t="shared" si="27"/>
        <v>201.82042338907615</v>
      </c>
      <c r="VV17" s="4">
        <f t="shared" si="27"/>
        <v>197.78401492129464</v>
      </c>
      <c r="VW17" s="4">
        <f t="shared" si="27"/>
        <v>193.82833462286874</v>
      </c>
      <c r="VX17" s="4">
        <f t="shared" si="27"/>
        <v>189.95176793041136</v>
      </c>
      <c r="VY17" s="4">
        <f t="shared" si="27"/>
        <v>186.15273257180314</v>
      </c>
      <c r="VZ17" s="4">
        <f t="shared" si="27"/>
        <v>182.42967792036708</v>
      </c>
      <c r="WA17" s="4">
        <f t="shared" si="27"/>
        <v>178.78108436195973</v>
      </c>
      <c r="WB17" s="4">
        <f t="shared" si="27"/>
        <v>175.20546267472054</v>
      </c>
      <c r="WC17" s="4">
        <f t="shared" si="27"/>
        <v>171.70135342122612</v>
      </c>
      <c r="WD17" s="4">
        <f t="shared" si="27"/>
        <v>168.2673263528016</v>
      </c>
      <c r="WE17" s="4">
        <f t="shared" si="27"/>
        <v>164.90197982574557</v>
      </c>
      <c r="WF17" s="4">
        <f t="shared" si="27"/>
        <v>161.60394022923066</v>
      </c>
      <c r="WG17" s="4">
        <f t="shared" si="27"/>
        <v>158.37186142464606</v>
      </c>
      <c r="WH17" s="4">
        <f t="shared" si="27"/>
        <v>155.20442419615313</v>
      </c>
      <c r="WI17" s="4">
        <f t="shared" si="27"/>
        <v>152.10033571223005</v>
      </c>
      <c r="WJ17" s="4">
        <f t="shared" si="27"/>
        <v>149.05832899798546</v>
      </c>
      <c r="WK17" s="4">
        <f t="shared" si="27"/>
        <v>146.07716241802575</v>
      </c>
      <c r="WL17" s="4">
        <f t="shared" si="27"/>
        <v>143.15561916966524</v>
      </c>
      <c r="WM17" s="4">
        <f t="shared" si="27"/>
        <v>140.29250678627193</v>
      </c>
      <c r="WN17" s="4">
        <f t="shared" si="27"/>
        <v>137.48665665054648</v>
      </c>
      <c r="WO17" s="4">
        <f t="shared" si="27"/>
        <v>134.73692351753556</v>
      </c>
      <c r="WP17" s="4">
        <f t="shared" si="27"/>
        <v>132.04218504718486</v>
      </c>
      <c r="WQ17" s="4">
        <f t="shared" si="27"/>
        <v>129.40134134624117</v>
      </c>
      <c r="WR17" s="4">
        <f t="shared" si="27"/>
        <v>126.81331451931634</v>
      </c>
      <c r="WS17" s="4">
        <f t="shared" si="27"/>
        <v>124.27704822893001</v>
      </c>
      <c r="WT17" s="4">
        <f t="shared" si="27"/>
        <v>121.79150726435141</v>
      </c>
      <c r="WU17" s="4">
        <f t="shared" si="27"/>
        <v>119.35567711906438</v>
      </c>
      <c r="WV17" s="4">
        <f t="shared" si="27"/>
        <v>116.9685635766831</v>
      </c>
      <c r="WW17" s="4">
        <f t="shared" si="27"/>
        <v>114.62919230514943</v>
      </c>
      <c r="WX17" s="4">
        <f t="shared" si="27"/>
        <v>112.33660845904645</v>
      </c>
      <c r="WY17" s="4">
        <f t="shared" si="27"/>
        <v>110.08987628986551</v>
      </c>
      <c r="WZ17" s="4">
        <f t="shared" si="27"/>
        <v>107.8880787640682</v>
      </c>
      <c r="XA17" s="4">
        <f t="shared" si="27"/>
        <v>105.73031718878683</v>
      </c>
      <c r="XB17" s="4">
        <f t="shared" si="27"/>
        <v>103.61571084501109</v>
      </c>
      <c r="XC17" s="4">
        <f t="shared" si="27"/>
        <v>101.54339662811087</v>
      </c>
      <c r="XD17" s="4">
        <f t="shared" si="27"/>
        <v>99.512528695548653</v>
      </c>
      <c r="XE17" s="4">
        <f t="shared" si="27"/>
        <v>97.522278121637683</v>
      </c>
      <c r="XF17" s="4">
        <f t="shared" si="27"/>
        <v>95.571832559204921</v>
      </c>
      <c r="XG17" s="4">
        <f t="shared" si="27"/>
        <v>93.660395908020817</v>
      </c>
      <c r="XH17" s="4">
        <f t="shared" si="27"/>
        <v>91.787187989860399</v>
      </c>
      <c r="XI17" s="4">
        <f t="shared" si="27"/>
        <v>89.951444230063188</v>
      </c>
      <c r="XJ17" s="4">
        <f t="shared" ref="XJ17:ZU17" si="28">+XI17*0.98</f>
        <v>88.152415345461918</v>
      </c>
      <c r="XK17" s="4">
        <f t="shared" si="28"/>
        <v>86.389367038552678</v>
      </c>
      <c r="XL17" s="4">
        <f t="shared" si="28"/>
        <v>84.661579697781619</v>
      </c>
      <c r="XM17" s="4">
        <f t="shared" si="28"/>
        <v>82.968348103825988</v>
      </c>
      <c r="XN17" s="4">
        <f t="shared" si="28"/>
        <v>81.30898114174947</v>
      </c>
      <c r="XO17" s="4">
        <f t="shared" si="28"/>
        <v>79.682801518914474</v>
      </c>
      <c r="XP17" s="4">
        <f t="shared" si="28"/>
        <v>78.08914548853619</v>
      </c>
      <c r="XQ17" s="4">
        <f t="shared" si="28"/>
        <v>76.527362578765462</v>
      </c>
      <c r="XR17" s="4">
        <f t="shared" si="28"/>
        <v>74.996815327190149</v>
      </c>
      <c r="XS17" s="4">
        <f t="shared" si="28"/>
        <v>73.496879020646347</v>
      </c>
      <c r="XT17" s="4">
        <f t="shared" si="28"/>
        <v>72.026941440233415</v>
      </c>
      <c r="XU17" s="4">
        <f t="shared" si="28"/>
        <v>70.586402611428738</v>
      </c>
      <c r="XV17" s="4">
        <f t="shared" si="28"/>
        <v>69.174674559200156</v>
      </c>
      <c r="XW17" s="4">
        <f t="shared" si="28"/>
        <v>67.791181068016158</v>
      </c>
      <c r="XX17" s="4">
        <f t="shared" si="28"/>
        <v>66.435357446655829</v>
      </c>
      <c r="XY17" s="4">
        <f t="shared" si="28"/>
        <v>65.106650297722709</v>
      </c>
      <c r="XZ17" s="4">
        <f t="shared" si="28"/>
        <v>63.804517291768256</v>
      </c>
      <c r="YA17" s="4">
        <f t="shared" si="28"/>
        <v>62.528426945932893</v>
      </c>
      <c r="YB17" s="4">
        <f t="shared" si="28"/>
        <v>61.277858407014236</v>
      </c>
      <c r="YC17" s="4">
        <f t="shared" si="28"/>
        <v>60.052301238873952</v>
      </c>
      <c r="YD17" s="4">
        <f t="shared" si="28"/>
        <v>58.851255214096469</v>
      </c>
      <c r="YE17" s="4">
        <f t="shared" si="28"/>
        <v>57.674230109814538</v>
      </c>
      <c r="YF17" s="4">
        <f t="shared" si="28"/>
        <v>56.520745507618244</v>
      </c>
      <c r="YG17" s="4">
        <f t="shared" si="28"/>
        <v>55.390330597465876</v>
      </c>
      <c r="YH17" s="4">
        <f t="shared" si="28"/>
        <v>54.282523985516555</v>
      </c>
      <c r="YI17" s="4">
        <f t="shared" si="28"/>
        <v>53.196873505806224</v>
      </c>
      <c r="YJ17" s="4">
        <f t="shared" si="28"/>
        <v>52.132936035690101</v>
      </c>
      <c r="YK17" s="4">
        <f t="shared" si="28"/>
        <v>51.090277314976298</v>
      </c>
      <c r="YL17" s="4">
        <f t="shared" si="28"/>
        <v>50.068471768676773</v>
      </c>
      <c r="YM17" s="4">
        <f t="shared" si="28"/>
        <v>49.067102333303239</v>
      </c>
      <c r="YN17" s="4">
        <f t="shared" si="28"/>
        <v>48.085760286637175</v>
      </c>
      <c r="YO17" s="4">
        <f t="shared" si="28"/>
        <v>47.12404508090443</v>
      </c>
      <c r="YP17" s="4">
        <f t="shared" si="28"/>
        <v>46.18156417928634</v>
      </c>
      <c r="YQ17" s="4">
        <f t="shared" si="28"/>
        <v>45.257932895700613</v>
      </c>
      <c r="YR17" s="4">
        <f t="shared" si="28"/>
        <v>44.352774237786598</v>
      </c>
      <c r="YS17" s="4">
        <f t="shared" si="28"/>
        <v>43.465718753030863</v>
      </c>
      <c r="YT17" s="4">
        <f t="shared" si="28"/>
        <v>42.596404377970245</v>
      </c>
      <c r="YU17" s="4">
        <f t="shared" si="28"/>
        <v>41.744476290410837</v>
      </c>
      <c r="YV17" s="4">
        <f t="shared" si="28"/>
        <v>40.909586764602622</v>
      </c>
      <c r="YW17" s="4">
        <f t="shared" si="28"/>
        <v>40.091395029310569</v>
      </c>
      <c r="YX17" s="4">
        <f t="shared" si="28"/>
        <v>39.289567128724357</v>
      </c>
      <c r="YY17" s="4">
        <f t="shared" si="28"/>
        <v>38.503775786149866</v>
      </c>
      <c r="YZ17" s="4">
        <f t="shared" si="28"/>
        <v>37.733700270426866</v>
      </c>
      <c r="ZA17" s="4">
        <f t="shared" si="28"/>
        <v>36.979026265018327</v>
      </c>
      <c r="ZB17" s="4">
        <f t="shared" si="28"/>
        <v>36.239445739717958</v>
      </c>
      <c r="ZC17" s="4">
        <f t="shared" si="28"/>
        <v>35.514656824923598</v>
      </c>
      <c r="ZD17" s="4">
        <f t="shared" si="28"/>
        <v>34.804363688425127</v>
      </c>
      <c r="ZE17" s="4">
        <f t="shared" si="28"/>
        <v>34.108276414656622</v>
      </c>
      <c r="ZF17" s="4">
        <f t="shared" si="28"/>
        <v>33.426110886363489</v>
      </c>
      <c r="ZG17" s="4">
        <f t="shared" si="28"/>
        <v>32.757588668636217</v>
      </c>
      <c r="ZH17" s="4">
        <f t="shared" si="28"/>
        <v>32.102436895263494</v>
      </c>
      <c r="ZI17" s="4">
        <f t="shared" si="28"/>
        <v>31.460388157358224</v>
      </c>
      <c r="ZJ17" s="4">
        <f t="shared" si="28"/>
        <v>30.83118039421106</v>
      </c>
      <c r="ZK17" s="4">
        <f t="shared" si="28"/>
        <v>30.214556786326838</v>
      </c>
      <c r="ZL17" s="4">
        <f t="shared" si="28"/>
        <v>29.610265650600301</v>
      </c>
      <c r="ZM17" s="4">
        <f t="shared" si="28"/>
        <v>29.018060337588295</v>
      </c>
      <c r="ZN17" s="4">
        <f t="shared" si="28"/>
        <v>28.437699130836528</v>
      </c>
      <c r="ZO17" s="4">
        <f t="shared" si="28"/>
        <v>27.868945148219797</v>
      </c>
      <c r="ZP17" s="4">
        <f t="shared" si="28"/>
        <v>27.311566245255403</v>
      </c>
      <c r="ZQ17" s="4">
        <f t="shared" si="28"/>
        <v>26.765334920350295</v>
      </c>
      <c r="ZR17" s="4">
        <f t="shared" si="28"/>
        <v>26.230028221943289</v>
      </c>
      <c r="ZS17" s="4">
        <f t="shared" si="28"/>
        <v>25.705427657504423</v>
      </c>
      <c r="ZT17" s="4">
        <f t="shared" si="28"/>
        <v>25.191319104354335</v>
      </c>
      <c r="ZU17" s="4">
        <f t="shared" si="28"/>
        <v>24.687492722267248</v>
      </c>
      <c r="ZV17" s="4">
        <f t="shared" ref="ZV17:ACG17" si="29">+ZU17*0.98</f>
        <v>24.193742867821904</v>
      </c>
      <c r="ZW17" s="4">
        <f t="shared" si="29"/>
        <v>23.709868010465463</v>
      </c>
      <c r="ZX17" s="4">
        <f t="shared" si="29"/>
        <v>23.235670650256154</v>
      </c>
      <c r="ZY17" s="4">
        <f t="shared" si="29"/>
        <v>22.770957237251029</v>
      </c>
      <c r="ZZ17" s="4">
        <f t="shared" si="29"/>
        <v>22.315538092506007</v>
      </c>
      <c r="AAA17" s="4">
        <f t="shared" si="29"/>
        <v>21.869227330655885</v>
      </c>
      <c r="AAB17" s="4">
        <f t="shared" si="29"/>
        <v>21.431842784042768</v>
      </c>
      <c r="AAC17" s="4">
        <f t="shared" si="29"/>
        <v>21.003205928361911</v>
      </c>
      <c r="AAD17" s="4">
        <f t="shared" si="29"/>
        <v>20.583141809794672</v>
      </c>
      <c r="AAE17" s="4">
        <f t="shared" si="29"/>
        <v>20.171478973598777</v>
      </c>
      <c r="AAF17" s="4">
        <f t="shared" si="29"/>
        <v>19.768049394126802</v>
      </c>
      <c r="AAG17" s="4">
        <f t="shared" si="29"/>
        <v>19.372688406244265</v>
      </c>
      <c r="AAH17" s="4">
        <f t="shared" si="29"/>
        <v>18.98523463811938</v>
      </c>
      <c r="AAI17" s="4">
        <f t="shared" si="29"/>
        <v>18.605529945356992</v>
      </c>
      <c r="AAJ17" s="4">
        <f t="shared" si="29"/>
        <v>18.23341934644985</v>
      </c>
      <c r="AAK17" s="4">
        <f t="shared" si="29"/>
        <v>17.868750959520852</v>
      </c>
      <c r="AAL17" s="4">
        <f t="shared" si="29"/>
        <v>17.511375940330435</v>
      </c>
      <c r="AAM17" s="4">
        <f t="shared" si="29"/>
        <v>17.161148421523826</v>
      </c>
      <c r="AAN17" s="4">
        <f t="shared" si="29"/>
        <v>16.817925453093348</v>
      </c>
      <c r="AAO17" s="4">
        <f t="shared" si="29"/>
        <v>16.481566944031481</v>
      </c>
      <c r="AAP17" s="4">
        <f t="shared" si="29"/>
        <v>16.15193560515085</v>
      </c>
      <c r="AAQ17" s="4">
        <f t="shared" si="29"/>
        <v>15.828896893047833</v>
      </c>
      <c r="AAR17" s="4">
        <f t="shared" si="29"/>
        <v>15.512318955186876</v>
      </c>
      <c r="AAS17" s="4">
        <f t="shared" si="29"/>
        <v>15.202072576083138</v>
      </c>
      <c r="AAT17" s="4">
        <f t="shared" si="29"/>
        <v>14.898031124561475</v>
      </c>
      <c r="AAU17" s="4">
        <f t="shared" si="29"/>
        <v>14.600070502070245</v>
      </c>
      <c r="AAV17" s="4">
        <f t="shared" si="29"/>
        <v>14.308069092028841</v>
      </c>
      <c r="AAW17" s="4">
        <f t="shared" si="29"/>
        <v>14.021907710188264</v>
      </c>
      <c r="AAX17" s="4">
        <f t="shared" si="29"/>
        <v>13.741469555984498</v>
      </c>
      <c r="AAY17" s="4">
        <f t="shared" si="29"/>
        <v>13.466640164864808</v>
      </c>
      <c r="AAZ17" s="4">
        <f t="shared" si="29"/>
        <v>13.197307361567512</v>
      </c>
      <c r="ABA17" s="4">
        <f t="shared" si="29"/>
        <v>12.933361214336161</v>
      </c>
      <c r="ABB17" s="4">
        <f t="shared" si="29"/>
        <v>12.674693990049438</v>
      </c>
      <c r="ABC17" s="4">
        <f t="shared" si="29"/>
        <v>12.421200110248449</v>
      </c>
      <c r="ABD17" s="4">
        <f t="shared" si="29"/>
        <v>12.172776108043481</v>
      </c>
      <c r="ABE17" s="4">
        <f t="shared" si="29"/>
        <v>11.929320585882611</v>
      </c>
      <c r="ABF17" s="4">
        <f t="shared" si="29"/>
        <v>11.690734174164959</v>
      </c>
      <c r="ABG17" s="4">
        <f t="shared" si="29"/>
        <v>11.45691949068166</v>
      </c>
      <c r="ABH17" s="4">
        <f t="shared" si="29"/>
        <v>11.227781100868027</v>
      </c>
      <c r="ABI17" s="4">
        <f t="shared" si="29"/>
        <v>11.003225478850666</v>
      </c>
      <c r="ABJ17" s="4">
        <f t="shared" si="29"/>
        <v>10.783160969273652</v>
      </c>
      <c r="ABK17" s="4">
        <f t="shared" si="29"/>
        <v>10.567497749888179</v>
      </c>
      <c r="ABL17" s="4">
        <f t="shared" si="29"/>
        <v>10.356147794890415</v>
      </c>
      <c r="ABM17" s="4">
        <f t="shared" si="29"/>
        <v>10.149024838992606</v>
      </c>
      <c r="ABN17" s="4">
        <f t="shared" si="29"/>
        <v>9.9460443422127529</v>
      </c>
      <c r="ABO17" s="4">
        <f t="shared" si="29"/>
        <v>9.7471234553684969</v>
      </c>
      <c r="ABP17" s="4">
        <f t="shared" si="29"/>
        <v>9.552180986261126</v>
      </c>
      <c r="ABQ17" s="4">
        <f t="shared" si="29"/>
        <v>9.3611373665359032</v>
      </c>
      <c r="ABR17" s="4">
        <f t="shared" si="29"/>
        <v>9.1739146192051848</v>
      </c>
      <c r="ABS17" s="4">
        <f t="shared" si="29"/>
        <v>8.9904363268210812</v>
      </c>
      <c r="ABT17" s="4">
        <f t="shared" si="29"/>
        <v>8.8106276002846595</v>
      </c>
      <c r="ABU17" s="4">
        <f t="shared" si="29"/>
        <v>8.6344150482789654</v>
      </c>
      <c r="ABV17" s="4">
        <f t="shared" si="29"/>
        <v>8.4617267473133868</v>
      </c>
      <c r="ABW17" s="4">
        <f t="shared" si="29"/>
        <v>8.2924922123671188</v>
      </c>
      <c r="ABX17" s="4">
        <f t="shared" si="29"/>
        <v>8.1266423681197768</v>
      </c>
      <c r="ABY17" s="4">
        <f t="shared" si="29"/>
        <v>7.9641095207573809</v>
      </c>
      <c r="ABZ17" s="4">
        <f t="shared" si="29"/>
        <v>7.8048273303422331</v>
      </c>
      <c r="ACA17" s="4">
        <f t="shared" si="29"/>
        <v>7.6487307837353882</v>
      </c>
      <c r="ACB17" s="4">
        <f t="shared" si="29"/>
        <v>7.4957561680606801</v>
      </c>
      <c r="ACC17" s="4">
        <f t="shared" si="29"/>
        <v>7.3458410446994664</v>
      </c>
      <c r="ACD17" s="4">
        <f t="shared" si="29"/>
        <v>7.1989242238054771</v>
      </c>
      <c r="ACE17" s="4">
        <f t="shared" si="29"/>
        <v>7.0549457393293675</v>
      </c>
      <c r="ACF17" s="4">
        <f t="shared" si="29"/>
        <v>6.9138468245427802</v>
      </c>
      <c r="ACG17" s="4">
        <f t="shared" si="29"/>
        <v>6.7755698880519244</v>
      </c>
      <c r="ACH17" s="4">
        <f t="shared" ref="ACH17:AES17" si="30">+ACG17*0.98</f>
        <v>6.6400584902908859</v>
      </c>
      <c r="ACI17" s="4">
        <f t="shared" si="30"/>
        <v>6.5072573204850679</v>
      </c>
      <c r="ACJ17" s="4">
        <f t="shared" si="30"/>
        <v>6.377112174075366</v>
      </c>
      <c r="ACK17" s="4">
        <f t="shared" si="30"/>
        <v>6.249569930593859</v>
      </c>
      <c r="ACL17" s="4">
        <f t="shared" si="30"/>
        <v>6.1245785319819817</v>
      </c>
      <c r="ACM17" s="4">
        <f t="shared" si="30"/>
        <v>6.002086961342342</v>
      </c>
      <c r="ACN17" s="4">
        <f t="shared" si="30"/>
        <v>5.8820452221154946</v>
      </c>
      <c r="ACO17" s="4">
        <f t="shared" si="30"/>
        <v>5.7644043176731845</v>
      </c>
      <c r="ACP17" s="4">
        <f t="shared" si="30"/>
        <v>5.649116231319721</v>
      </c>
      <c r="ACQ17" s="4">
        <f t="shared" si="30"/>
        <v>5.5361339066933262</v>
      </c>
      <c r="ACR17" s="4">
        <f t="shared" si="30"/>
        <v>5.4254112285594598</v>
      </c>
      <c r="ACS17" s="4">
        <f t="shared" si="30"/>
        <v>5.3169030039882701</v>
      </c>
      <c r="ACT17" s="4">
        <f t="shared" si="30"/>
        <v>5.2105649439085049</v>
      </c>
      <c r="ACU17" s="4">
        <f t="shared" si="30"/>
        <v>5.1063536450303344</v>
      </c>
      <c r="ACV17" s="4">
        <f t="shared" si="30"/>
        <v>5.0042265721297277</v>
      </c>
      <c r="ACW17" s="4">
        <f t="shared" si="30"/>
        <v>4.904142040687133</v>
      </c>
      <c r="ACX17" s="4">
        <f t="shared" si="30"/>
        <v>4.8060591998733901</v>
      </c>
      <c r="ACY17" s="4">
        <f t="shared" si="30"/>
        <v>4.7099380158759221</v>
      </c>
      <c r="ACZ17" s="4">
        <f t="shared" si="30"/>
        <v>4.6157392555584034</v>
      </c>
      <c r="ADA17" s="4">
        <f t="shared" si="30"/>
        <v>4.5234244704472353</v>
      </c>
      <c r="ADB17" s="4">
        <f t="shared" si="30"/>
        <v>4.4329559810382904</v>
      </c>
      <c r="ADC17" s="4">
        <f t="shared" si="30"/>
        <v>4.3442968614175248</v>
      </c>
      <c r="ADD17" s="4">
        <f t="shared" si="30"/>
        <v>4.2574109241891742</v>
      </c>
      <c r="ADE17" s="4">
        <f t="shared" si="30"/>
        <v>4.1722627057053909</v>
      </c>
      <c r="ADF17" s="4">
        <f t="shared" si="30"/>
        <v>4.0888174515912832</v>
      </c>
      <c r="ADG17" s="4">
        <f t="shared" si="30"/>
        <v>4.007041102559457</v>
      </c>
      <c r="ADH17" s="4">
        <f t="shared" si="30"/>
        <v>3.926900280508268</v>
      </c>
      <c r="ADI17" s="4">
        <f t="shared" si="30"/>
        <v>3.8483622748981028</v>
      </c>
      <c r="ADJ17" s="4">
        <f t="shared" si="30"/>
        <v>3.7713950294001406</v>
      </c>
      <c r="ADK17" s="4">
        <f t="shared" si="30"/>
        <v>3.6959671288121378</v>
      </c>
      <c r="ADL17" s="4">
        <f t="shared" si="30"/>
        <v>3.6220477862358949</v>
      </c>
      <c r="ADM17" s="4">
        <f t="shared" si="30"/>
        <v>3.549606830511177</v>
      </c>
      <c r="ADN17" s="4">
        <f t="shared" si="30"/>
        <v>3.4786146939009535</v>
      </c>
      <c r="ADO17" s="4">
        <f t="shared" si="30"/>
        <v>3.4090424000229342</v>
      </c>
      <c r="ADP17" s="4">
        <f t="shared" si="30"/>
        <v>3.3408615520224756</v>
      </c>
      <c r="ADQ17" s="4">
        <f t="shared" si="30"/>
        <v>3.2740443209820258</v>
      </c>
      <c r="ADR17" s="4">
        <f t="shared" si="30"/>
        <v>3.208563434562385</v>
      </c>
      <c r="ADS17" s="4">
        <f t="shared" si="30"/>
        <v>3.1443921658711371</v>
      </c>
      <c r="ADT17" s="4">
        <f t="shared" si="30"/>
        <v>3.0815043225537142</v>
      </c>
      <c r="ADU17" s="4">
        <f t="shared" si="30"/>
        <v>3.0198742361026398</v>
      </c>
      <c r="ADV17" s="4">
        <f t="shared" si="30"/>
        <v>2.9594767513805871</v>
      </c>
      <c r="ADW17" s="4">
        <f t="shared" si="30"/>
        <v>2.9002872163529752</v>
      </c>
      <c r="ADX17" s="4">
        <f t="shared" si="30"/>
        <v>2.8422814720259155</v>
      </c>
      <c r="ADY17" s="4">
        <f t="shared" si="30"/>
        <v>2.7854358425853971</v>
      </c>
      <c r="ADZ17" s="4">
        <f t="shared" si="30"/>
        <v>2.7297271257336893</v>
      </c>
      <c r="AEA17" s="4">
        <f t="shared" si="30"/>
        <v>2.6751325832190154</v>
      </c>
      <c r="AEB17" s="4">
        <f t="shared" si="30"/>
        <v>2.6216299315546352</v>
      </c>
      <c r="AEC17" s="4">
        <f t="shared" si="30"/>
        <v>2.5691973329235425</v>
      </c>
      <c r="AED17" s="4">
        <f t="shared" si="30"/>
        <v>2.5178133862650718</v>
      </c>
      <c r="AEE17" s="4">
        <f t="shared" si="30"/>
        <v>2.4674571185397705</v>
      </c>
      <c r="AEF17" s="4">
        <f t="shared" si="30"/>
        <v>2.418107976168975</v>
      </c>
      <c r="AEG17" s="4">
        <f t="shared" si="30"/>
        <v>2.3697458166455956</v>
      </c>
      <c r="AEH17" s="4">
        <f t="shared" si="30"/>
        <v>2.3223509003126837</v>
      </c>
      <c r="AEI17" s="4">
        <f t="shared" si="30"/>
        <v>2.2759038823064301</v>
      </c>
      <c r="AEJ17" s="4">
        <f t="shared" si="30"/>
        <v>2.2303858046603016</v>
      </c>
      <c r="AEK17" s="4">
        <f t="shared" si="30"/>
        <v>2.1857780885670954</v>
      </c>
      <c r="AEL17" s="4">
        <f t="shared" si="30"/>
        <v>2.1420625267957534</v>
      </c>
      <c r="AEM17" s="4">
        <f t="shared" si="30"/>
        <v>2.0992212762598381</v>
      </c>
      <c r="AEN17" s="4">
        <f t="shared" si="30"/>
        <v>2.0572368507346415</v>
      </c>
      <c r="AEO17" s="4">
        <f t="shared" si="30"/>
        <v>2.0160921137199486</v>
      </c>
      <c r="AEP17" s="4">
        <f t="shared" si="30"/>
        <v>1.9757702714455496</v>
      </c>
      <c r="AEQ17" s="4">
        <f t="shared" si="30"/>
        <v>1.9362548660166385</v>
      </c>
      <c r="AER17" s="4">
        <f t="shared" si="30"/>
        <v>1.8975297686963057</v>
      </c>
      <c r="AES17" s="4">
        <f t="shared" si="30"/>
        <v>1.8595791733223797</v>
      </c>
      <c r="AET17" s="4">
        <f t="shared" ref="AET17:AHE17" si="31">+AES17*0.98</f>
        <v>1.8223875898559321</v>
      </c>
      <c r="AEU17" s="4">
        <f t="shared" si="31"/>
        <v>1.7859398380588134</v>
      </c>
      <c r="AEV17" s="4">
        <f t="shared" si="31"/>
        <v>1.7502210412976371</v>
      </c>
      <c r="AEW17" s="4">
        <f t="shared" si="31"/>
        <v>1.7152166204716843</v>
      </c>
      <c r="AEX17" s="4">
        <f t="shared" si="31"/>
        <v>1.6809122880622507</v>
      </c>
      <c r="AEY17" s="4">
        <f t="shared" si="31"/>
        <v>1.6472940423010056</v>
      </c>
      <c r="AEZ17" s="4">
        <f t="shared" si="31"/>
        <v>1.6143481614549855</v>
      </c>
      <c r="AFA17" s="4">
        <f t="shared" si="31"/>
        <v>1.5820611982258859</v>
      </c>
      <c r="AFB17" s="4">
        <f t="shared" si="31"/>
        <v>1.550419974261368</v>
      </c>
      <c r="AFC17" s="4">
        <f t="shared" si="31"/>
        <v>1.5194115747761405</v>
      </c>
      <c r="AFD17" s="4">
        <f t="shared" si="31"/>
        <v>1.4890233432806177</v>
      </c>
      <c r="AFE17" s="4">
        <f t="shared" si="31"/>
        <v>1.4592428764150054</v>
      </c>
      <c r="AFF17" s="4">
        <f t="shared" si="31"/>
        <v>1.4300580188867054</v>
      </c>
      <c r="AFG17" s="4">
        <f t="shared" si="31"/>
        <v>1.4014568585089713</v>
      </c>
      <c r="AFH17" s="4">
        <f t="shared" si="31"/>
        <v>1.3734277213387918</v>
      </c>
      <c r="AFI17" s="4">
        <f t="shared" si="31"/>
        <v>1.3459591669120159</v>
      </c>
      <c r="AFJ17" s="4">
        <f t="shared" si="31"/>
        <v>1.3190399835737756</v>
      </c>
      <c r="AFK17" s="4">
        <f t="shared" si="31"/>
        <v>1.2926591839023001</v>
      </c>
      <c r="AFL17" s="4">
        <f t="shared" si="31"/>
        <v>1.266806000224254</v>
      </c>
      <c r="AFM17" s="4">
        <f t="shared" si="31"/>
        <v>1.241469880219769</v>
      </c>
      <c r="AFN17" s="4">
        <f t="shared" si="31"/>
        <v>1.2166404826153736</v>
      </c>
      <c r="AFO17" s="4">
        <f t="shared" si="31"/>
        <v>1.1923076729630662</v>
      </c>
      <c r="AFP17" s="4">
        <f t="shared" si="31"/>
        <v>1.1684615195038048</v>
      </c>
      <c r="AFQ17" s="4">
        <f t="shared" si="31"/>
        <v>1.1450922891137287</v>
      </c>
      <c r="AFR17" s="4">
        <f t="shared" si="31"/>
        <v>1.1221904433314542</v>
      </c>
      <c r="AFS17" s="4">
        <f t="shared" si="31"/>
        <v>1.0997466344648252</v>
      </c>
      <c r="AFT17" s="4">
        <f t="shared" si="31"/>
        <v>1.0777517017755287</v>
      </c>
      <c r="AFU17" s="4">
        <f t="shared" si="31"/>
        <v>1.0561966677400181</v>
      </c>
      <c r="AFV17" s="4">
        <f t="shared" si="31"/>
        <v>1.0350727343852177</v>
      </c>
      <c r="AFW17" s="4">
        <f t="shared" si="31"/>
        <v>1.0143712796975133</v>
      </c>
      <c r="AFX17" s="4">
        <f t="shared" si="31"/>
        <v>0.99408385410356304</v>
      </c>
      <c r="AFY17" s="4">
        <f t="shared" si="31"/>
        <v>0.97420217702149181</v>
      </c>
      <c r="AFZ17" s="4">
        <f t="shared" si="31"/>
        <v>0.95471813348106194</v>
      </c>
      <c r="AGA17" s="4">
        <f t="shared" si="31"/>
        <v>0.93562377081144066</v>
      </c>
      <c r="AGB17" s="4">
        <f t="shared" si="31"/>
        <v>0.91691129539521188</v>
      </c>
      <c r="AGC17" s="4">
        <f t="shared" si="31"/>
        <v>0.89857306948730764</v>
      </c>
      <c r="AGD17" s="4">
        <f t="shared" si="31"/>
        <v>0.88060160809756149</v>
      </c>
      <c r="AGE17" s="4">
        <f t="shared" si="31"/>
        <v>0.86298957593561021</v>
      </c>
      <c r="AGF17" s="4">
        <f t="shared" si="31"/>
        <v>0.84572978441689795</v>
      </c>
      <c r="AGG17" s="4">
        <f t="shared" si="31"/>
        <v>0.82881518872855997</v>
      </c>
      <c r="AGH17" s="4">
        <f t="shared" si="31"/>
        <v>0.81223888495398877</v>
      </c>
      <c r="AGI17" s="4">
        <f t="shared" si="31"/>
        <v>0.79599410725490893</v>
      </c>
      <c r="AGJ17" s="4">
        <f t="shared" si="31"/>
        <v>0.78007422510981073</v>
      </c>
      <c r="AGK17" s="4">
        <f t="shared" si="31"/>
        <v>0.7644727406076145</v>
      </c>
      <c r="AGL17" s="4">
        <f t="shared" si="31"/>
        <v>0.74918328579546223</v>
      </c>
      <c r="AGM17" s="4">
        <f t="shared" si="31"/>
        <v>0.73419962007955297</v>
      </c>
      <c r="AGN17" s="4">
        <f t="shared" si="31"/>
        <v>0.71951562767796196</v>
      </c>
      <c r="AGO17" s="4">
        <f t="shared" si="31"/>
        <v>0.70512531512440269</v>
      </c>
      <c r="AGP17" s="4">
        <f t="shared" si="31"/>
        <v>0.69102280882191458</v>
      </c>
      <c r="AGQ17" s="4">
        <f t="shared" si="31"/>
        <v>0.67720235264547624</v>
      </c>
      <c r="AGR17" s="4">
        <f t="shared" si="31"/>
        <v>0.66365830559256667</v>
      </c>
      <c r="AGS17" s="4">
        <f t="shared" si="31"/>
        <v>0.6503851394807153</v>
      </c>
      <c r="AGT17" s="4">
        <f t="shared" si="31"/>
        <v>0.63737743669110103</v>
      </c>
      <c r="AGU17" s="4">
        <f t="shared" si="31"/>
        <v>0.62462988795727903</v>
      </c>
      <c r="AGV17" s="4">
        <f t="shared" si="31"/>
        <v>0.61213729019813345</v>
      </c>
      <c r="AGW17" s="4">
        <f t="shared" si="31"/>
        <v>0.59989454439417078</v>
      </c>
      <c r="AGX17" s="4">
        <f t="shared" si="31"/>
        <v>0.58789665350628739</v>
      </c>
      <c r="AGY17" s="4">
        <f t="shared" si="31"/>
        <v>0.57613872043616166</v>
      </c>
      <c r="AGZ17" s="4">
        <f t="shared" si="31"/>
        <v>0.56461594602743836</v>
      </c>
      <c r="AHA17" s="4">
        <f t="shared" si="31"/>
        <v>0.55332362710688954</v>
      </c>
      <c r="AHB17" s="4">
        <f t="shared" si="31"/>
        <v>0.54225715456475176</v>
      </c>
      <c r="AHC17" s="4">
        <f t="shared" si="31"/>
        <v>0.53141201147345674</v>
      </c>
      <c r="AHD17" s="4">
        <f t="shared" si="31"/>
        <v>0.52078377124398756</v>
      </c>
      <c r="AHE17" s="4">
        <f t="shared" si="31"/>
        <v>0.5103680958191078</v>
      </c>
      <c r="AHF17" s="4">
        <f t="shared" ref="AHF17:AJQ17" si="32">+AHE17*0.98</f>
        <v>0.50016073390272564</v>
      </c>
      <c r="AHG17" s="4">
        <f t="shared" si="32"/>
        <v>0.4901575192246711</v>
      </c>
      <c r="AHH17" s="4">
        <f t="shared" si="32"/>
        <v>0.48035436884017768</v>
      </c>
      <c r="AHI17" s="4">
        <f t="shared" si="32"/>
        <v>0.47074728146337413</v>
      </c>
      <c r="AHJ17" s="4">
        <f t="shared" si="32"/>
        <v>0.46133233583410665</v>
      </c>
      <c r="AHK17" s="4">
        <f t="shared" si="32"/>
        <v>0.45210568911742449</v>
      </c>
      <c r="AHL17" s="4">
        <f t="shared" si="32"/>
        <v>0.44306357533507601</v>
      </c>
      <c r="AHM17" s="4">
        <f t="shared" si="32"/>
        <v>0.43420230382837449</v>
      </c>
      <c r="AHN17" s="4">
        <f t="shared" si="32"/>
        <v>0.42551825775180702</v>
      </c>
      <c r="AHO17" s="4">
        <f t="shared" si="32"/>
        <v>0.41700789259677085</v>
      </c>
      <c r="AHP17" s="4">
        <f t="shared" si="32"/>
        <v>0.40866773474483542</v>
      </c>
      <c r="AHQ17" s="4">
        <f t="shared" si="32"/>
        <v>0.4004943800499387</v>
      </c>
      <c r="AHR17" s="4">
        <f t="shared" si="32"/>
        <v>0.3924844924489399</v>
      </c>
      <c r="AHS17" s="4">
        <f t="shared" si="32"/>
        <v>0.38463480259996108</v>
      </c>
      <c r="AHT17" s="4">
        <f t="shared" si="32"/>
        <v>0.37694210654796184</v>
      </c>
      <c r="AHU17" s="4">
        <f t="shared" si="32"/>
        <v>0.36940326441700261</v>
      </c>
      <c r="AHV17" s="4">
        <f t="shared" si="32"/>
        <v>0.36201519912866253</v>
      </c>
      <c r="AHW17" s="4">
        <f t="shared" si="32"/>
        <v>0.35477489514608929</v>
      </c>
      <c r="AHX17" s="4">
        <f t="shared" si="32"/>
        <v>0.34767939724316749</v>
      </c>
      <c r="AHY17" s="4">
        <f t="shared" si="32"/>
        <v>0.34072580929830415</v>
      </c>
      <c r="AHZ17" s="4">
        <f t="shared" si="32"/>
        <v>0.33391129311233808</v>
      </c>
      <c r="AIA17" s="4">
        <f t="shared" si="32"/>
        <v>0.32723306725009133</v>
      </c>
      <c r="AIB17" s="4">
        <f t="shared" si="32"/>
        <v>0.32068840590508951</v>
      </c>
      <c r="AIC17" s="4">
        <f t="shared" si="32"/>
        <v>0.31427463778698772</v>
      </c>
      <c r="AID17" s="4">
        <f t="shared" si="32"/>
        <v>0.30798914503124797</v>
      </c>
      <c r="AIE17" s="4">
        <f t="shared" si="32"/>
        <v>0.301829362130623</v>
      </c>
      <c r="AIF17" s="4">
        <f t="shared" si="32"/>
        <v>0.29579277488801053</v>
      </c>
      <c r="AIG17" s="4">
        <f t="shared" si="32"/>
        <v>0.28987691939025034</v>
      </c>
      <c r="AIH17" s="4">
        <f t="shared" si="32"/>
        <v>0.28407938100244534</v>
      </c>
      <c r="AII17" s="4">
        <f t="shared" si="32"/>
        <v>0.27839779338239645</v>
      </c>
      <c r="AIJ17" s="4">
        <f t="shared" si="32"/>
        <v>0.27282983751474854</v>
      </c>
      <c r="AIK17" s="4">
        <f t="shared" si="32"/>
        <v>0.26737324076445357</v>
      </c>
      <c r="AIL17" s="4">
        <f t="shared" si="32"/>
        <v>0.26202577594916449</v>
      </c>
      <c r="AIM17" s="4">
        <f t="shared" si="32"/>
        <v>0.25678526043018118</v>
      </c>
      <c r="AIN17" s="4">
        <f t="shared" si="32"/>
        <v>0.25164955522157756</v>
      </c>
      <c r="AIO17" s="4">
        <f t="shared" si="32"/>
        <v>0.246616564117146</v>
      </c>
      <c r="AIP17" s="4">
        <f t="shared" si="32"/>
        <v>0.24168423283480309</v>
      </c>
      <c r="AIQ17" s="4">
        <f t="shared" si="32"/>
        <v>0.23685054817810702</v>
      </c>
      <c r="AIR17" s="4">
        <f t="shared" si="32"/>
        <v>0.23211353721454489</v>
      </c>
      <c r="AIS17" s="4">
        <f t="shared" si="32"/>
        <v>0.22747126647025398</v>
      </c>
      <c r="AIT17" s="4">
        <f t="shared" si="32"/>
        <v>0.2229218411408489</v>
      </c>
      <c r="AIU17" s="4">
        <f t="shared" si="32"/>
        <v>0.21846340431803191</v>
      </c>
      <c r="AIV17" s="4">
        <f t="shared" si="32"/>
        <v>0.21409413623167126</v>
      </c>
      <c r="AIW17" s="4">
        <f t="shared" si="32"/>
        <v>0.20981225350703783</v>
      </c>
      <c r="AIX17" s="4">
        <f t="shared" si="32"/>
        <v>0.20561600843689706</v>
      </c>
      <c r="AIY17" s="4">
        <f t="shared" si="32"/>
        <v>0.20150368826815912</v>
      </c>
      <c r="AIZ17" s="4">
        <f t="shared" si="32"/>
        <v>0.19747361450279594</v>
      </c>
      <c r="AJA17" s="4">
        <f t="shared" si="32"/>
        <v>0.19352414221274</v>
      </c>
      <c r="AJB17" s="4">
        <f t="shared" si="32"/>
        <v>0.18965365936848519</v>
      </c>
      <c r="AJC17" s="4">
        <f t="shared" si="32"/>
        <v>0.18586058618111548</v>
      </c>
      <c r="AJD17" s="4">
        <f t="shared" si="32"/>
        <v>0.18214337445749318</v>
      </c>
      <c r="AJE17" s="4">
        <f t="shared" si="32"/>
        <v>0.17850050696834333</v>
      </c>
      <c r="AJF17" s="4">
        <f t="shared" si="32"/>
        <v>0.17493049682897646</v>
      </c>
      <c r="AJG17" s="4">
        <f t="shared" si="32"/>
        <v>0.17143188689239694</v>
      </c>
      <c r="AJH17" s="4">
        <f t="shared" si="32"/>
        <v>0.16800324915454901</v>
      </c>
      <c r="AJI17" s="4">
        <f t="shared" si="32"/>
        <v>0.16464318417145801</v>
      </c>
      <c r="AJJ17" s="4">
        <f t="shared" si="32"/>
        <v>0.16135032048802886</v>
      </c>
      <c r="AJK17" s="4">
        <f t="shared" si="32"/>
        <v>0.15812331407826827</v>
      </c>
      <c r="AJL17" s="4">
        <f t="shared" si="32"/>
        <v>0.15496084779670291</v>
      </c>
      <c r="AJM17" s="4">
        <f t="shared" si="32"/>
        <v>0.15186163084076884</v>
      </c>
      <c r="AJN17" s="4">
        <f t="shared" si="32"/>
        <v>0.14882439822395346</v>
      </c>
      <c r="AJO17" s="4">
        <f t="shared" si="32"/>
        <v>0.14584791025947438</v>
      </c>
      <c r="AJP17" s="4">
        <f t="shared" si="32"/>
        <v>0.14293095205428488</v>
      </c>
      <c r="AJQ17" s="4">
        <f t="shared" si="32"/>
        <v>0.14007233301319919</v>
      </c>
      <c r="AJR17" s="4">
        <f t="shared" ref="AJR17:AMC17" si="33">+AJQ17*0.98</f>
        <v>0.13727088635293519</v>
      </c>
      <c r="AJS17" s="4">
        <f t="shared" si="33"/>
        <v>0.13452546862587647</v>
      </c>
      <c r="AJT17" s="4">
        <f t="shared" si="33"/>
        <v>0.13183495925335895</v>
      </c>
      <c r="AJU17" s="4">
        <f t="shared" si="33"/>
        <v>0.12919826006829177</v>
      </c>
      <c r="AJV17" s="4">
        <f t="shared" si="33"/>
        <v>0.12661429486692594</v>
      </c>
      <c r="AJW17" s="4">
        <f t="shared" si="33"/>
        <v>0.12408200896958742</v>
      </c>
      <c r="AJX17" s="4">
        <f t="shared" si="33"/>
        <v>0.12160036879019567</v>
      </c>
      <c r="AJY17" s="4">
        <f t="shared" si="33"/>
        <v>0.11916836141439176</v>
      </c>
      <c r="AJZ17" s="4">
        <f t="shared" si="33"/>
        <v>0.11678499418610393</v>
      </c>
      <c r="AKA17" s="4">
        <f t="shared" si="33"/>
        <v>0.11444929430238185</v>
      </c>
      <c r="AKB17" s="4">
        <f t="shared" si="33"/>
        <v>0.1121603084163342</v>
      </c>
      <c r="AKC17" s="4">
        <f t="shared" si="33"/>
        <v>0.10991710224800752</v>
      </c>
      <c r="AKD17" s="4">
        <f t="shared" si="33"/>
        <v>0.10771876020304737</v>
      </c>
      <c r="AKE17" s="4">
        <f t="shared" si="33"/>
        <v>0.10556438499898642</v>
      </c>
      <c r="AKF17" s="4">
        <f t="shared" si="33"/>
        <v>0.10345309729900669</v>
      </c>
      <c r="AKG17" s="4">
        <f t="shared" si="33"/>
        <v>0.10138403535302655</v>
      </c>
      <c r="AKH17" s="4">
        <f t="shared" si="33"/>
        <v>9.9356354645966011E-2</v>
      </c>
      <c r="AKI17" s="4">
        <f t="shared" si="33"/>
        <v>9.7369227553046694E-2</v>
      </c>
      <c r="AKJ17" s="4">
        <f t="shared" si="33"/>
        <v>9.5421843001985765E-2</v>
      </c>
      <c r="AKK17" s="4">
        <f t="shared" si="33"/>
        <v>9.3513406141946046E-2</v>
      </c>
      <c r="AKL17" s="4">
        <f t="shared" si="33"/>
        <v>9.1643138019107118E-2</v>
      </c>
      <c r="AKM17" s="4">
        <f t="shared" si="33"/>
        <v>8.9810275258724967E-2</v>
      </c>
      <c r="AKN17" s="4">
        <f t="shared" si="33"/>
        <v>8.8014069753550472E-2</v>
      </c>
      <c r="AKO17" s="4">
        <f t="shared" si="33"/>
        <v>8.6253788358479466E-2</v>
      </c>
      <c r="AKP17" s="4">
        <f t="shared" si="33"/>
        <v>8.4528712591309882E-2</v>
      </c>
      <c r="AKQ17" s="4">
        <f t="shared" si="33"/>
        <v>8.2838138339483683E-2</v>
      </c>
      <c r="AKR17" s="4">
        <f t="shared" si="33"/>
        <v>8.1181375572694003E-2</v>
      </c>
      <c r="AKS17" s="4">
        <f t="shared" si="33"/>
        <v>7.9557748061240122E-2</v>
      </c>
      <c r="AKT17" s="4">
        <f t="shared" si="33"/>
        <v>7.7966593100015316E-2</v>
      </c>
      <c r="AKU17" s="4">
        <f t="shared" si="33"/>
        <v>7.6407261238015015E-2</v>
      </c>
      <c r="AKV17" s="4">
        <f t="shared" si="33"/>
        <v>7.4879116013254712E-2</v>
      </c>
      <c r="AKW17" s="4">
        <f t="shared" si="33"/>
        <v>7.3381533692989623E-2</v>
      </c>
      <c r="AKX17" s="4">
        <f t="shared" si="33"/>
        <v>7.1913903019129824E-2</v>
      </c>
      <c r="AKY17" s="4">
        <f t="shared" si="33"/>
        <v>7.0475624958747221E-2</v>
      </c>
      <c r="AKZ17" s="4">
        <f t="shared" si="33"/>
        <v>6.9066112459572282E-2</v>
      </c>
      <c r="ALA17" s="4">
        <f t="shared" si="33"/>
        <v>6.7684790210380832E-2</v>
      </c>
      <c r="ALB17" s="4">
        <f t="shared" si="33"/>
        <v>6.6331094406173213E-2</v>
      </c>
      <c r="ALC17" s="4">
        <f t="shared" si="33"/>
        <v>6.500447251804975E-2</v>
      </c>
      <c r="ALD17" s="4">
        <f t="shared" si="33"/>
        <v>6.3704383067688747E-2</v>
      </c>
      <c r="ALE17" s="4">
        <f t="shared" si="33"/>
        <v>6.2430295406334969E-2</v>
      </c>
      <c r="ALF17" s="4">
        <f t="shared" si="33"/>
        <v>6.1181689498208271E-2</v>
      </c>
      <c r="ALG17" s="4">
        <f t="shared" si="33"/>
        <v>5.9958055708244105E-2</v>
      </c>
      <c r="ALH17" s="4">
        <f t="shared" si="33"/>
        <v>5.8758894594079222E-2</v>
      </c>
      <c r="ALI17" s="4">
        <f t="shared" si="33"/>
        <v>5.7583716702197633E-2</v>
      </c>
      <c r="ALJ17" s="4">
        <f t="shared" si="33"/>
        <v>5.6432042368153683E-2</v>
      </c>
      <c r="ALK17" s="4">
        <f t="shared" si="33"/>
        <v>5.5303401520790607E-2</v>
      </c>
      <c r="ALL17" s="4">
        <f t="shared" si="33"/>
        <v>5.4197333490374797E-2</v>
      </c>
      <c r="ALM17" s="4">
        <f t="shared" si="33"/>
        <v>5.31133868205673E-2</v>
      </c>
      <c r="ALN17" s="4">
        <f t="shared" si="33"/>
        <v>5.2051119084155953E-2</v>
      </c>
      <c r="ALO17" s="4">
        <f t="shared" si="33"/>
        <v>5.1010096702472835E-2</v>
      </c>
      <c r="ALP17" s="4">
        <f t="shared" si="33"/>
        <v>4.998989476842338E-2</v>
      </c>
      <c r="ALQ17" s="4">
        <f t="shared" si="33"/>
        <v>4.899009687305491E-2</v>
      </c>
      <c r="ALR17" s="4">
        <f t="shared" si="33"/>
        <v>4.8010294935593813E-2</v>
      </c>
      <c r="ALS17" s="4">
        <f t="shared" si="33"/>
        <v>4.7050089036881938E-2</v>
      </c>
      <c r="ALT17" s="4">
        <f t="shared" si="33"/>
        <v>4.61090872561443E-2</v>
      </c>
      <c r="ALU17" s="4">
        <f t="shared" si="33"/>
        <v>4.5186905511021412E-2</v>
      </c>
      <c r="ALV17" s="4">
        <f t="shared" si="33"/>
        <v>4.4283167400800981E-2</v>
      </c>
      <c r="ALW17" s="4">
        <f t="shared" si="33"/>
        <v>4.339750405278496E-2</v>
      </c>
      <c r="ALX17" s="4">
        <f t="shared" si="33"/>
        <v>4.2529553971729257E-2</v>
      </c>
      <c r="ALY17" s="4">
        <f t="shared" si="33"/>
        <v>4.1678962892294669E-2</v>
      </c>
      <c r="ALZ17" s="4">
        <f t="shared" si="33"/>
        <v>4.0845383634448777E-2</v>
      </c>
      <c r="AMA17" s="4">
        <f t="shared" si="33"/>
        <v>4.0028475961759798E-2</v>
      </c>
      <c r="AMB17" s="4">
        <f t="shared" si="33"/>
        <v>3.92279064425246E-2</v>
      </c>
      <c r="AMC17" s="4">
        <f t="shared" si="33"/>
        <v>3.844334831367411E-2</v>
      </c>
      <c r="AMD17" s="4">
        <f t="shared" ref="AMD17:AOO17" si="34">+AMC17*0.98</f>
        <v>3.7674481347400625E-2</v>
      </c>
      <c r="AME17" s="4">
        <f t="shared" si="34"/>
        <v>3.6920991720452614E-2</v>
      </c>
      <c r="AMF17" s="4">
        <f t="shared" si="34"/>
        <v>3.6182571886043562E-2</v>
      </c>
      <c r="AMG17" s="4">
        <f t="shared" si="34"/>
        <v>3.5458920448322689E-2</v>
      </c>
      <c r="AMH17" s="4">
        <f t="shared" si="34"/>
        <v>3.4749742039356234E-2</v>
      </c>
      <c r="AMI17" s="4">
        <f t="shared" si="34"/>
        <v>3.4054747198569109E-2</v>
      </c>
      <c r="AMJ17" s="4">
        <f t="shared" si="34"/>
        <v>3.3373652254597728E-2</v>
      </c>
      <c r="AMK17" s="4">
        <f t="shared" si="34"/>
        <v>3.2706179209505776E-2</v>
      </c>
      <c r="AML17" s="4">
        <f t="shared" si="34"/>
        <v>3.2052055625315656E-2</v>
      </c>
      <c r="AMM17" s="4">
        <f t="shared" si="34"/>
        <v>3.1411014512809345E-2</v>
      </c>
      <c r="AMN17" s="4">
        <f t="shared" si="34"/>
        <v>3.0782794222553159E-2</v>
      </c>
      <c r="AMO17" s="4">
        <f t="shared" si="34"/>
        <v>3.0167138338102095E-2</v>
      </c>
      <c r="AMP17" s="4">
        <f t="shared" si="34"/>
        <v>2.9563795571340052E-2</v>
      </c>
      <c r="AMQ17" s="4">
        <f t="shared" si="34"/>
        <v>2.8972519659913251E-2</v>
      </c>
      <c r="AMR17" s="4">
        <f t="shared" si="34"/>
        <v>2.8393069266714987E-2</v>
      </c>
      <c r="AMS17" s="4">
        <f t="shared" si="34"/>
        <v>2.7825207881380688E-2</v>
      </c>
      <c r="AMT17" s="4">
        <f t="shared" si="34"/>
        <v>2.7268703723753073E-2</v>
      </c>
      <c r="AMU17" s="4">
        <f t="shared" si="34"/>
        <v>2.672332964927801E-2</v>
      </c>
      <c r="AMV17" s="4">
        <f t="shared" si="34"/>
        <v>2.618886305629245E-2</v>
      </c>
      <c r="AMW17" s="4">
        <f t="shared" si="34"/>
        <v>2.56650857951666E-2</v>
      </c>
      <c r="AMX17" s="4">
        <f t="shared" si="34"/>
        <v>2.5151784079263266E-2</v>
      </c>
      <c r="AMY17" s="4">
        <f t="shared" si="34"/>
        <v>2.4648748397678E-2</v>
      </c>
      <c r="AMZ17" s="4">
        <f t="shared" si="34"/>
        <v>2.4155773429724439E-2</v>
      </c>
      <c r="ANA17" s="4">
        <f t="shared" si="34"/>
        <v>2.367265796112995E-2</v>
      </c>
      <c r="ANB17" s="4">
        <f t="shared" si="34"/>
        <v>2.3199204801907351E-2</v>
      </c>
      <c r="ANC17" s="4">
        <f t="shared" si="34"/>
        <v>2.2735220705869204E-2</v>
      </c>
      <c r="AND17" s="4">
        <f t="shared" si="34"/>
        <v>2.2280516291751821E-2</v>
      </c>
      <c r="ANE17" s="4">
        <f t="shared" si="34"/>
        <v>2.1834905965916786E-2</v>
      </c>
      <c r="ANF17" s="4">
        <f t="shared" si="34"/>
        <v>2.139820784659845E-2</v>
      </c>
      <c r="ANG17" s="4">
        <f t="shared" si="34"/>
        <v>2.097024368966648E-2</v>
      </c>
      <c r="ANH17" s="4">
        <f t="shared" si="34"/>
        <v>2.0550838815873149E-2</v>
      </c>
      <c r="ANI17" s="4">
        <f t="shared" si="34"/>
        <v>2.0139822039555687E-2</v>
      </c>
      <c r="ANJ17" s="4">
        <f t="shared" si="34"/>
        <v>1.9737025598764571E-2</v>
      </c>
      <c r="ANK17" s="4">
        <f t="shared" si="34"/>
        <v>1.9342285086789278E-2</v>
      </c>
      <c r="ANL17" s="4">
        <f t="shared" si="34"/>
        <v>1.8955439385053494E-2</v>
      </c>
      <c r="ANM17" s="4">
        <f t="shared" si="34"/>
        <v>1.8576330597352423E-2</v>
      </c>
      <c r="ANN17" s="4">
        <f t="shared" si="34"/>
        <v>1.8204803985405374E-2</v>
      </c>
      <c r="ANO17" s="4">
        <f t="shared" si="34"/>
        <v>1.7840707905697265E-2</v>
      </c>
      <c r="ANP17" s="4">
        <f t="shared" si="34"/>
        <v>1.7483893747583319E-2</v>
      </c>
      <c r="ANQ17" s="4">
        <f t="shared" si="34"/>
        <v>1.7134215872631652E-2</v>
      </c>
      <c r="ANR17" s="4">
        <f t="shared" si="34"/>
        <v>1.6791531555179019E-2</v>
      </c>
      <c r="ANS17" s="4">
        <f t="shared" si="34"/>
        <v>1.6455700924075438E-2</v>
      </c>
      <c r="ANT17" s="4">
        <f t="shared" si="34"/>
        <v>1.6126586905593928E-2</v>
      </c>
      <c r="ANU17" s="4">
        <f t="shared" si="34"/>
        <v>1.580405516748205E-2</v>
      </c>
      <c r="ANV17" s="4">
        <f t="shared" si="34"/>
        <v>1.5487974064132409E-2</v>
      </c>
      <c r="ANW17" s="4">
        <f t="shared" si="34"/>
        <v>1.517821458284976E-2</v>
      </c>
      <c r="ANX17" s="4">
        <f t="shared" si="34"/>
        <v>1.4874650291192766E-2</v>
      </c>
      <c r="ANY17" s="4">
        <f t="shared" si="34"/>
        <v>1.4577157285368909E-2</v>
      </c>
      <c r="ANZ17" s="4">
        <f t="shared" si="34"/>
        <v>1.4285614139661531E-2</v>
      </c>
      <c r="AOA17" s="4">
        <f t="shared" si="34"/>
        <v>1.3999901856868301E-2</v>
      </c>
      <c r="AOB17" s="4">
        <f t="shared" si="34"/>
        <v>1.3719903819730934E-2</v>
      </c>
      <c r="AOC17" s="4">
        <f t="shared" si="34"/>
        <v>1.3445505743336316E-2</v>
      </c>
      <c r="AOD17" s="4">
        <f t="shared" si="34"/>
        <v>1.317659562846959E-2</v>
      </c>
      <c r="AOE17" s="4">
        <f t="shared" si="34"/>
        <v>1.2913063715900197E-2</v>
      </c>
      <c r="AOF17" s="4">
        <f t="shared" si="34"/>
        <v>1.2654802441582192E-2</v>
      </c>
      <c r="AOG17" s="4">
        <f t="shared" si="34"/>
        <v>1.2401706392750548E-2</v>
      </c>
      <c r="AOH17" s="4">
        <f t="shared" si="34"/>
        <v>1.2153672264895537E-2</v>
      </c>
      <c r="AOI17" s="4">
        <f t="shared" si="34"/>
        <v>1.1910598819597626E-2</v>
      </c>
      <c r="AOJ17" s="4">
        <f t="shared" si="34"/>
        <v>1.1672386843205674E-2</v>
      </c>
      <c r="AOK17" s="4">
        <f t="shared" si="34"/>
        <v>1.1438939106341559E-2</v>
      </c>
      <c r="AOL17" s="4">
        <f t="shared" si="34"/>
        <v>1.1210160324214728E-2</v>
      </c>
      <c r="AOM17" s="4">
        <f t="shared" si="34"/>
        <v>1.0985957117730434E-2</v>
      </c>
      <c r="AON17" s="4">
        <f t="shared" si="34"/>
        <v>1.0766237975375825E-2</v>
      </c>
      <c r="AOO17" s="4">
        <f t="shared" si="34"/>
        <v>1.0550913215868308E-2</v>
      </c>
      <c r="AOP17" s="4">
        <f t="shared" ref="AOP17:ARA17" si="35">+AOO17*0.98</f>
        <v>1.0339894951550941E-2</v>
      </c>
      <c r="AOQ17" s="4">
        <f t="shared" si="35"/>
        <v>1.0133097052519921E-2</v>
      </c>
      <c r="AOR17" s="4">
        <f t="shared" si="35"/>
        <v>9.9304351114695225E-3</v>
      </c>
      <c r="AOS17" s="4">
        <f t="shared" si="35"/>
        <v>9.7318264092401321E-3</v>
      </c>
      <c r="AOT17" s="4">
        <f t="shared" si="35"/>
        <v>9.5371898810553291E-3</v>
      </c>
      <c r="AOU17" s="4">
        <f t="shared" si="35"/>
        <v>9.3464460834342226E-3</v>
      </c>
      <c r="AOV17" s="4">
        <f t="shared" si="35"/>
        <v>9.1595171617655374E-3</v>
      </c>
      <c r="AOW17" s="4">
        <f t="shared" si="35"/>
        <v>8.976326818530226E-3</v>
      </c>
      <c r="AOX17" s="4">
        <f t="shared" si="35"/>
        <v>8.7968002821596208E-3</v>
      </c>
      <c r="AOY17" s="4">
        <f t="shared" si="35"/>
        <v>8.6208642765164285E-3</v>
      </c>
      <c r="AOZ17" s="4">
        <f t="shared" si="35"/>
        <v>8.4484469909861006E-3</v>
      </c>
      <c r="APA17" s="4">
        <f t="shared" si="35"/>
        <v>8.2794780511663783E-3</v>
      </c>
      <c r="APB17" s="4">
        <f t="shared" si="35"/>
        <v>8.1138884901430508E-3</v>
      </c>
      <c r="APC17" s="4">
        <f t="shared" si="35"/>
        <v>7.9516107203401899E-3</v>
      </c>
      <c r="APD17" s="4">
        <f t="shared" si="35"/>
        <v>7.792578505933386E-3</v>
      </c>
      <c r="APE17" s="4">
        <f t="shared" si="35"/>
        <v>7.6367269358147182E-3</v>
      </c>
      <c r="APF17" s="4">
        <f t="shared" si="35"/>
        <v>7.4839923970984237E-3</v>
      </c>
      <c r="APG17" s="4">
        <f t="shared" si="35"/>
        <v>7.3343125491564546E-3</v>
      </c>
      <c r="APH17" s="4">
        <f t="shared" si="35"/>
        <v>7.1876262981733254E-3</v>
      </c>
      <c r="API17" s="4">
        <f t="shared" si="35"/>
        <v>7.0438737722098585E-3</v>
      </c>
      <c r="APJ17" s="4">
        <f t="shared" si="35"/>
        <v>6.9029962967656613E-3</v>
      </c>
      <c r="APK17" s="4">
        <f t="shared" si="35"/>
        <v>6.7649363708303482E-3</v>
      </c>
      <c r="APL17" s="4">
        <f t="shared" si="35"/>
        <v>6.6296376434137414E-3</v>
      </c>
      <c r="APM17" s="4">
        <f t="shared" si="35"/>
        <v>6.4970448905454668E-3</v>
      </c>
      <c r="APN17" s="4">
        <f t="shared" si="35"/>
        <v>6.3671039927345576E-3</v>
      </c>
      <c r="APO17" s="4">
        <f t="shared" si="35"/>
        <v>6.2397619128798662E-3</v>
      </c>
      <c r="APP17" s="4">
        <f t="shared" si="35"/>
        <v>6.114966674622269E-3</v>
      </c>
      <c r="APQ17" s="4">
        <f t="shared" si="35"/>
        <v>5.9926673411298233E-3</v>
      </c>
      <c r="APR17" s="4">
        <f t="shared" si="35"/>
        <v>5.872813994307227E-3</v>
      </c>
      <c r="APS17" s="4">
        <f t="shared" si="35"/>
        <v>5.7553577144210822E-3</v>
      </c>
      <c r="APT17" s="4">
        <f t="shared" si="35"/>
        <v>5.6402505601326602E-3</v>
      </c>
      <c r="APU17" s="4">
        <f t="shared" si="35"/>
        <v>5.5274455489300071E-3</v>
      </c>
      <c r="APV17" s="4">
        <f t="shared" si="35"/>
        <v>5.416896637951407E-3</v>
      </c>
      <c r="APW17" s="4">
        <f t="shared" si="35"/>
        <v>5.308558705192379E-3</v>
      </c>
      <c r="APX17" s="4">
        <f t="shared" si="35"/>
        <v>5.2023875310885309E-3</v>
      </c>
      <c r="APY17" s="4">
        <f t="shared" si="35"/>
        <v>5.0983397804667601E-3</v>
      </c>
      <c r="APZ17" s="4">
        <f t="shared" si="35"/>
        <v>4.9963729848574246E-3</v>
      </c>
      <c r="AQA17" s="4">
        <f t="shared" si="35"/>
        <v>4.8964455251602756E-3</v>
      </c>
      <c r="AQB17" s="4">
        <f t="shared" si="35"/>
        <v>4.7985166146570701E-3</v>
      </c>
      <c r="AQC17" s="4">
        <f t="shared" si="35"/>
        <v>4.7025462823639284E-3</v>
      </c>
      <c r="AQD17" s="4">
        <f t="shared" si="35"/>
        <v>4.6084953567166499E-3</v>
      </c>
      <c r="AQE17" s="4">
        <f t="shared" si="35"/>
        <v>4.5163254495823165E-3</v>
      </c>
      <c r="AQF17" s="4">
        <f t="shared" si="35"/>
        <v>4.42599894059067E-3</v>
      </c>
      <c r="AQG17" s="4">
        <f t="shared" si="35"/>
        <v>4.3374789617788567E-3</v>
      </c>
      <c r="AQH17" s="4">
        <f t="shared" si="35"/>
        <v>4.2507293825432791E-3</v>
      </c>
      <c r="AQI17" s="4">
        <f t="shared" si="35"/>
        <v>4.1657147948924132E-3</v>
      </c>
      <c r="AQJ17" s="4">
        <f t="shared" si="35"/>
        <v>4.0824004989945652E-3</v>
      </c>
      <c r="AQK17" s="4">
        <f t="shared" si="35"/>
        <v>4.000752489014674E-3</v>
      </c>
      <c r="AQL17" s="4">
        <f t="shared" si="35"/>
        <v>3.9207374392343803E-3</v>
      </c>
      <c r="AQM17" s="4">
        <f t="shared" si="35"/>
        <v>3.8423226904496927E-3</v>
      </c>
      <c r="AQN17" s="4">
        <f t="shared" si="35"/>
        <v>3.7654762366406986E-3</v>
      </c>
      <c r="AQO17" s="4">
        <f t="shared" si="35"/>
        <v>3.6901667119078846E-3</v>
      </c>
      <c r="AQP17" s="4">
        <f t="shared" si="35"/>
        <v>3.6163633776697267E-3</v>
      </c>
      <c r="AQQ17" s="4">
        <f t="shared" si="35"/>
        <v>3.5440361101163323E-3</v>
      </c>
      <c r="AQR17" s="4">
        <f t="shared" si="35"/>
        <v>3.4731553879140055E-3</v>
      </c>
      <c r="AQS17" s="4">
        <f t="shared" si="35"/>
        <v>3.4036922801557253E-3</v>
      </c>
      <c r="AQT17" s="4">
        <f t="shared" si="35"/>
        <v>3.3356184345526107E-3</v>
      </c>
      <c r="AQU17" s="4">
        <f t="shared" si="35"/>
        <v>3.2689060658615586E-3</v>
      </c>
      <c r="AQV17" s="4">
        <f t="shared" si="35"/>
        <v>3.2035279445443276E-3</v>
      </c>
      <c r="AQW17" s="4">
        <f t="shared" si="35"/>
        <v>3.1394573856534411E-3</v>
      </c>
      <c r="AQX17" s="4">
        <f t="shared" si="35"/>
        <v>3.0766682379403721E-3</v>
      </c>
      <c r="AQY17" s="4">
        <f t="shared" si="35"/>
        <v>3.0151348731815644E-3</v>
      </c>
      <c r="AQZ17" s="4">
        <f t="shared" si="35"/>
        <v>2.9548321757179329E-3</v>
      </c>
      <c r="ARA17" s="4">
        <f t="shared" si="35"/>
        <v>2.8957355322035742E-3</v>
      </c>
      <c r="ARB17" s="4">
        <f t="shared" ref="ARB17:ATM17" si="36">+ARA17*0.98</f>
        <v>2.8378208215595027E-3</v>
      </c>
      <c r="ARC17" s="4">
        <f t="shared" si="36"/>
        <v>2.7810644051283126E-3</v>
      </c>
      <c r="ARD17" s="4">
        <f t="shared" si="36"/>
        <v>2.7254431170257464E-3</v>
      </c>
      <c r="ARE17" s="4">
        <f t="shared" si="36"/>
        <v>2.6709342546852315E-3</v>
      </c>
      <c r="ARF17" s="4">
        <f t="shared" si="36"/>
        <v>2.6175155695915267E-3</v>
      </c>
      <c r="ARG17" s="4">
        <f t="shared" si="36"/>
        <v>2.5651652581996959E-3</v>
      </c>
      <c r="ARH17" s="4">
        <f t="shared" si="36"/>
        <v>2.5138619530357021E-3</v>
      </c>
      <c r="ARI17" s="4">
        <f t="shared" si="36"/>
        <v>2.4635847139749881E-3</v>
      </c>
      <c r="ARJ17" s="4">
        <f t="shared" si="36"/>
        <v>2.4143130196954883E-3</v>
      </c>
      <c r="ARK17" s="4">
        <f t="shared" si="36"/>
        <v>2.3660267593015784E-3</v>
      </c>
      <c r="ARL17" s="4">
        <f t="shared" si="36"/>
        <v>2.3187062241155467E-3</v>
      </c>
      <c r="ARM17" s="4">
        <f t="shared" si="36"/>
        <v>2.2723320996332359E-3</v>
      </c>
      <c r="ARN17" s="4">
        <f t="shared" si="36"/>
        <v>2.2268854576405709E-3</v>
      </c>
      <c r="ARO17" s="4">
        <f t="shared" si="36"/>
        <v>2.1823477484877595E-3</v>
      </c>
      <c r="ARP17" s="4">
        <f t="shared" si="36"/>
        <v>2.1387007935180042E-3</v>
      </c>
      <c r="ARQ17" s="4">
        <f t="shared" si="36"/>
        <v>2.0959267776476443E-3</v>
      </c>
      <c r="ARR17" s="4">
        <f t="shared" si="36"/>
        <v>2.0540082420946915E-3</v>
      </c>
      <c r="ARS17" s="4">
        <f t="shared" si="36"/>
        <v>2.0129280772527977E-3</v>
      </c>
      <c r="ART17" s="4">
        <f t="shared" si="36"/>
        <v>1.9726695157077415E-3</v>
      </c>
      <c r="ARU17" s="4">
        <f t="shared" si="36"/>
        <v>1.9332161253935865E-3</v>
      </c>
      <c r="ARV17" s="4">
        <f t="shared" si="36"/>
        <v>1.8945518028857147E-3</v>
      </c>
      <c r="ARW17" s="4">
        <f t="shared" si="36"/>
        <v>1.8566607668280004E-3</v>
      </c>
      <c r="ARX17" s="4">
        <f t="shared" si="36"/>
        <v>1.8195275514914404E-3</v>
      </c>
      <c r="ARY17" s="4">
        <f t="shared" si="36"/>
        <v>1.7831370004616116E-3</v>
      </c>
      <c r="ARZ17" s="4">
        <f t="shared" si="36"/>
        <v>1.7474742604523794E-3</v>
      </c>
      <c r="ASA17" s="4">
        <f t="shared" si="36"/>
        <v>1.7125247752433318E-3</v>
      </c>
      <c r="ASB17" s="4">
        <f t="shared" si="36"/>
        <v>1.678274279738465E-3</v>
      </c>
      <c r="ASC17" s="4">
        <f t="shared" si="36"/>
        <v>1.6447087941436956E-3</v>
      </c>
      <c r="ASD17" s="4">
        <f t="shared" si="36"/>
        <v>1.6118146182608217E-3</v>
      </c>
      <c r="ASE17" s="4">
        <f t="shared" si="36"/>
        <v>1.5795783258956053E-3</v>
      </c>
      <c r="ASF17" s="4">
        <f t="shared" si="36"/>
        <v>1.5479867593776932E-3</v>
      </c>
      <c r="ASG17" s="4">
        <f t="shared" si="36"/>
        <v>1.5170270241901393E-3</v>
      </c>
      <c r="ASH17" s="4">
        <f t="shared" si="36"/>
        <v>1.4866864837063364E-3</v>
      </c>
      <c r="ASI17" s="4">
        <f t="shared" si="36"/>
        <v>1.4569527540322096E-3</v>
      </c>
      <c r="ASJ17" s="4">
        <f t="shared" si="36"/>
        <v>1.4278136989515655E-3</v>
      </c>
      <c r="ASK17" s="4">
        <f t="shared" si="36"/>
        <v>1.399257424972534E-3</v>
      </c>
      <c r="ASL17" s="4">
        <f t="shared" si="36"/>
        <v>1.3712722764730833E-3</v>
      </c>
      <c r="ASM17" s="4">
        <f t="shared" si="36"/>
        <v>1.3438468309436217E-3</v>
      </c>
      <c r="ASN17" s="4">
        <f t="shared" si="36"/>
        <v>1.3169698943247493E-3</v>
      </c>
      <c r="ASO17" s="4">
        <f t="shared" si="36"/>
        <v>1.2906304964382543E-3</v>
      </c>
      <c r="ASP17" s="4">
        <f t="shared" si="36"/>
        <v>1.2648178865094892E-3</v>
      </c>
      <c r="ASQ17" s="4">
        <f t="shared" si="36"/>
        <v>1.2395215287792994E-3</v>
      </c>
      <c r="ASR17" s="4">
        <f t="shared" si="36"/>
        <v>1.2147310982037133E-3</v>
      </c>
      <c r="ASS17" s="4">
        <f t="shared" si="36"/>
        <v>1.1904364762396391E-3</v>
      </c>
      <c r="AST17" s="4">
        <f t="shared" si="36"/>
        <v>1.1666277467148464E-3</v>
      </c>
      <c r="ASU17" s="4">
        <f t="shared" si="36"/>
        <v>1.1432951917805495E-3</v>
      </c>
      <c r="ASV17" s="4">
        <f t="shared" si="36"/>
        <v>1.1204292879449386E-3</v>
      </c>
      <c r="ASW17" s="4">
        <f t="shared" si="36"/>
        <v>1.0980207021860397E-3</v>
      </c>
      <c r="ASX17" s="4">
        <f t="shared" si="36"/>
        <v>1.0760602881423188E-3</v>
      </c>
      <c r="ASY17" s="4">
        <f t="shared" si="36"/>
        <v>1.0545390823794723E-3</v>
      </c>
      <c r="ASZ17" s="4">
        <f t="shared" si="36"/>
        <v>1.0334483007318829E-3</v>
      </c>
      <c r="ATA17" s="4">
        <f t="shared" si="36"/>
        <v>1.0127793347172453E-3</v>
      </c>
      <c r="ATB17" s="4">
        <f t="shared" si="36"/>
        <v>9.9252374802290049E-4</v>
      </c>
      <c r="ATC17" s="4">
        <f t="shared" si="36"/>
        <v>9.7267327306244252E-4</v>
      </c>
      <c r="ATD17" s="4">
        <f t="shared" si="36"/>
        <v>9.5321980760119365E-4</v>
      </c>
      <c r="ATE17" s="4">
        <f t="shared" si="36"/>
        <v>9.3415541144916975E-4</v>
      </c>
      <c r="ATF17" s="4">
        <f t="shared" si="36"/>
        <v>9.1547230322018634E-4</v>
      </c>
      <c r="ATG17" s="4">
        <f t="shared" si="36"/>
        <v>8.9716285715578262E-4</v>
      </c>
      <c r="ATH17" s="4">
        <f t="shared" si="36"/>
        <v>8.7921960001266692E-4</v>
      </c>
      <c r="ATI17" s="4">
        <f t="shared" si="36"/>
        <v>8.6163520801241353E-4</v>
      </c>
      <c r="ATJ17" s="4">
        <f t="shared" si="36"/>
        <v>8.4440250385216524E-4</v>
      </c>
      <c r="ATK17" s="4">
        <f t="shared" si="36"/>
        <v>8.2751445377512198E-4</v>
      </c>
      <c r="ATL17" s="4">
        <f t="shared" si="36"/>
        <v>8.1096416469961957E-4</v>
      </c>
      <c r="ATM17" s="4">
        <f t="shared" si="36"/>
        <v>7.947448814056272E-4</v>
      </c>
      <c r="ATN17" s="4">
        <f t="shared" ref="ATN17:AVY17" si="37">+ATM17*0.98</f>
        <v>7.7884998377751461E-4</v>
      </c>
      <c r="ATO17" s="4">
        <f t="shared" si="37"/>
        <v>7.6327298410196426E-4</v>
      </c>
      <c r="ATP17" s="4">
        <f t="shared" si="37"/>
        <v>7.4800752441992499E-4</v>
      </c>
      <c r="ATQ17" s="4">
        <f t="shared" si="37"/>
        <v>7.3304737393152649E-4</v>
      </c>
      <c r="ATR17" s="4">
        <f t="shared" si="37"/>
        <v>7.18386426452896E-4</v>
      </c>
      <c r="ATS17" s="4">
        <f t="shared" si="37"/>
        <v>7.0401869792383802E-4</v>
      </c>
      <c r="ATT17" s="4">
        <f t="shared" si="37"/>
        <v>6.8993832396536123E-4</v>
      </c>
      <c r="ATU17" s="4">
        <f t="shared" si="37"/>
        <v>6.7613955748605404E-4</v>
      </c>
      <c r="ATV17" s="4">
        <f t="shared" si="37"/>
        <v>6.6261676633633292E-4</v>
      </c>
      <c r="ATW17" s="4">
        <f t="shared" si="37"/>
        <v>6.493644310096063E-4</v>
      </c>
      <c r="ATX17" s="4">
        <f t="shared" si="37"/>
        <v>6.3637714238941421E-4</v>
      </c>
      <c r="ATY17" s="4">
        <f t="shared" si="37"/>
        <v>6.2364959954162586E-4</v>
      </c>
      <c r="ATZ17" s="4">
        <f t="shared" si="37"/>
        <v>6.1117660755079337E-4</v>
      </c>
      <c r="AUA17" s="4">
        <f t="shared" si="37"/>
        <v>5.9895307539977751E-4</v>
      </c>
      <c r="AUB17" s="4">
        <f t="shared" si="37"/>
        <v>5.8697401389178191E-4</v>
      </c>
      <c r="AUC17" s="4">
        <f t="shared" si="37"/>
        <v>5.7523453361394631E-4</v>
      </c>
      <c r="AUD17" s="4">
        <f t="shared" si="37"/>
        <v>5.6372984294166732E-4</v>
      </c>
      <c r="AUE17" s="4">
        <f t="shared" si="37"/>
        <v>5.52455246082834E-4</v>
      </c>
      <c r="AUF17" s="4">
        <f t="shared" si="37"/>
        <v>5.4140614116117728E-4</v>
      </c>
      <c r="AUG17" s="4">
        <f t="shared" si="37"/>
        <v>5.3057801833795374E-4</v>
      </c>
      <c r="AUH17" s="4">
        <f t="shared" si="37"/>
        <v>5.1996645797119467E-4</v>
      </c>
      <c r="AUI17" s="4">
        <f t="shared" si="37"/>
        <v>5.0956712881177076E-4</v>
      </c>
      <c r="AUJ17" s="4">
        <f t="shared" si="37"/>
        <v>4.9937578623553537E-4</v>
      </c>
      <c r="AUK17" s="4">
        <f t="shared" si="37"/>
        <v>4.8938827051082468E-4</v>
      </c>
      <c r="AUL17" s="4">
        <f t="shared" si="37"/>
        <v>4.7960050510060815E-4</v>
      </c>
      <c r="AUM17" s="4">
        <f t="shared" si="37"/>
        <v>4.7000849499859599E-4</v>
      </c>
      <c r="AUN17" s="4">
        <f t="shared" si="37"/>
        <v>4.6060832509862407E-4</v>
      </c>
      <c r="AUO17" s="4">
        <f t="shared" si="37"/>
        <v>4.5139615859665156E-4</v>
      </c>
      <c r="AUP17" s="4">
        <f t="shared" si="37"/>
        <v>4.4236823542471851E-4</v>
      </c>
      <c r="AUQ17" s="4">
        <f t="shared" si="37"/>
        <v>4.3352087071622412E-4</v>
      </c>
      <c r="AUR17" s="4">
        <f t="shared" si="37"/>
        <v>4.2485045330189965E-4</v>
      </c>
      <c r="AUS17" s="4">
        <f t="shared" si="37"/>
        <v>4.1635344423586164E-4</v>
      </c>
      <c r="AUT17" s="4">
        <f t="shared" si="37"/>
        <v>4.080263753511444E-4</v>
      </c>
      <c r="AUU17" s="4">
        <f t="shared" si="37"/>
        <v>3.9986584784412152E-4</v>
      </c>
      <c r="AUV17" s="4">
        <f t="shared" si="37"/>
        <v>3.9186853088723909E-4</v>
      </c>
      <c r="AUW17" s="4">
        <f t="shared" si="37"/>
        <v>3.840311602694943E-4</v>
      </c>
      <c r="AUX17" s="4">
        <f t="shared" si="37"/>
        <v>3.7635053706410441E-4</v>
      </c>
      <c r="AUY17" s="4">
        <f t="shared" si="37"/>
        <v>3.688235263228223E-4</v>
      </c>
      <c r="AUZ17" s="4">
        <f t="shared" si="37"/>
        <v>3.6144705579636583E-4</v>
      </c>
      <c r="AVA17" s="4">
        <f t="shared" si="37"/>
        <v>3.5421811468043849E-4</v>
      </c>
      <c r="AVB17" s="4">
        <f t="shared" si="37"/>
        <v>3.4713375238682972E-4</v>
      </c>
      <c r="AVC17" s="4">
        <f t="shared" si="37"/>
        <v>3.4019107733909313E-4</v>
      </c>
      <c r="AVD17" s="4">
        <f t="shared" si="37"/>
        <v>3.3338725579231125E-4</v>
      </c>
      <c r="AVE17" s="4">
        <f t="shared" si="37"/>
        <v>3.2671951067646504E-4</v>
      </c>
      <c r="AVF17" s="4">
        <f t="shared" si="37"/>
        <v>3.2018512046293575E-4</v>
      </c>
      <c r="AVG17" s="4">
        <f t="shared" si="37"/>
        <v>3.1378141805367703E-4</v>
      </c>
      <c r="AVH17" s="4">
        <f t="shared" si="37"/>
        <v>3.0750578969260348E-4</v>
      </c>
      <c r="AVI17" s="4">
        <f t="shared" si="37"/>
        <v>3.0135567389875142E-4</v>
      </c>
      <c r="AVJ17" s="4">
        <f t="shared" si="37"/>
        <v>2.9532856042077638E-4</v>
      </c>
      <c r="AVK17" s="4">
        <f t="shared" si="37"/>
        <v>2.8942198921236083E-4</v>
      </c>
      <c r="AVL17" s="4">
        <f t="shared" si="37"/>
        <v>2.8363354942811361E-4</v>
      </c>
      <c r="AVM17" s="4">
        <f t="shared" si="37"/>
        <v>2.7796087843955135E-4</v>
      </c>
      <c r="AVN17" s="4">
        <f t="shared" si="37"/>
        <v>2.7240166087076032E-4</v>
      </c>
      <c r="AVO17" s="4">
        <f t="shared" si="37"/>
        <v>2.669536276533451E-4</v>
      </c>
      <c r="AVP17" s="4">
        <f t="shared" si="37"/>
        <v>2.6161455510027821E-4</v>
      </c>
      <c r="AVQ17" s="4">
        <f t="shared" si="37"/>
        <v>2.5638226399827266E-4</v>
      </c>
      <c r="AVR17" s="4">
        <f t="shared" si="37"/>
        <v>2.5125461871830718E-4</v>
      </c>
      <c r="AVS17" s="4">
        <f t="shared" si="37"/>
        <v>2.4622952634394102E-4</v>
      </c>
      <c r="AVT17" s="4">
        <f t="shared" si="37"/>
        <v>2.4130493581706221E-4</v>
      </c>
      <c r="AVU17" s="4">
        <f t="shared" si="37"/>
        <v>2.3647883710072097E-4</v>
      </c>
      <c r="AVV17" s="4">
        <f t="shared" si="37"/>
        <v>2.3174926035870655E-4</v>
      </c>
      <c r="AVW17" s="4">
        <f t="shared" si="37"/>
        <v>2.2711427515153241E-4</v>
      </c>
      <c r="AVX17" s="4">
        <f t="shared" si="37"/>
        <v>2.2257198964850176E-4</v>
      </c>
      <c r="AVY17" s="4">
        <f t="shared" si="37"/>
        <v>2.1812054985553172E-4</v>
      </c>
      <c r="AVZ17" s="4">
        <f t="shared" ref="AVZ17:AYK17" si="38">+AVY17*0.98</f>
        <v>2.1375813885842108E-4</v>
      </c>
      <c r="AWA17" s="4">
        <f t="shared" si="38"/>
        <v>2.0948297608125265E-4</v>
      </c>
      <c r="AWB17" s="4">
        <f t="shared" si="38"/>
        <v>2.0529331655962758E-4</v>
      </c>
      <c r="AWC17" s="4">
        <f t="shared" si="38"/>
        <v>2.0118745022843502E-4</v>
      </c>
      <c r="AWD17" s="4">
        <f t="shared" si="38"/>
        <v>1.9716370122386631E-4</v>
      </c>
      <c r="AWE17" s="4">
        <f t="shared" si="38"/>
        <v>1.9322042719938898E-4</v>
      </c>
      <c r="AWF17" s="4">
        <f t="shared" si="38"/>
        <v>1.8935601865540121E-4</v>
      </c>
      <c r="AWG17" s="4">
        <f t="shared" si="38"/>
        <v>1.8556889828229319E-4</v>
      </c>
      <c r="AWH17" s="4">
        <f t="shared" si="38"/>
        <v>1.8185752031664733E-4</v>
      </c>
      <c r="AWI17" s="4">
        <f t="shared" si="38"/>
        <v>1.7822036991031439E-4</v>
      </c>
      <c r="AWJ17" s="4">
        <f t="shared" si="38"/>
        <v>1.7465596251210809E-4</v>
      </c>
      <c r="AWK17" s="4">
        <f t="shared" si="38"/>
        <v>1.7116284326186592E-4</v>
      </c>
      <c r="AWL17" s="4">
        <f t="shared" si="38"/>
        <v>1.677395863966286E-4</v>
      </c>
      <c r="AWM17" s="4">
        <f t="shared" si="38"/>
        <v>1.6438479466869603E-4</v>
      </c>
      <c r="AWN17" s="4">
        <f t="shared" si="38"/>
        <v>1.6109709877532212E-4</v>
      </c>
      <c r="AWO17" s="4">
        <f t="shared" si="38"/>
        <v>1.5787515679981567E-4</v>
      </c>
      <c r="AWP17" s="4">
        <f t="shared" si="38"/>
        <v>1.5471765366381935E-4</v>
      </c>
      <c r="AWQ17" s="4">
        <f t="shared" si="38"/>
        <v>1.5162330059054297E-4</v>
      </c>
      <c r="AWR17" s="4">
        <f t="shared" si="38"/>
        <v>1.4859083457873212E-4</v>
      </c>
      <c r="AWS17" s="4">
        <f t="shared" si="38"/>
        <v>1.4561901788715748E-4</v>
      </c>
      <c r="AWT17" s="4">
        <f t="shared" si="38"/>
        <v>1.4270663752941434E-4</v>
      </c>
      <c r="AWU17" s="4">
        <f t="shared" si="38"/>
        <v>1.3985250477882604E-4</v>
      </c>
      <c r="AWV17" s="4">
        <f t="shared" si="38"/>
        <v>1.3705545468324951E-4</v>
      </c>
      <c r="AWW17" s="4">
        <f t="shared" si="38"/>
        <v>1.3431434558958453E-4</v>
      </c>
      <c r="AWX17" s="4">
        <f t="shared" si="38"/>
        <v>1.3162805867779283E-4</v>
      </c>
      <c r="AWY17" s="4">
        <f t="shared" si="38"/>
        <v>1.2899549750423697E-4</v>
      </c>
      <c r="AWZ17" s="4">
        <f t="shared" si="38"/>
        <v>1.2641558755415222E-4</v>
      </c>
      <c r="AXA17" s="4">
        <f t="shared" si="38"/>
        <v>1.2388727580306917E-4</v>
      </c>
      <c r="AXB17" s="4">
        <f t="shared" si="38"/>
        <v>1.2140953028700779E-4</v>
      </c>
      <c r="AXC17" s="4">
        <f t="shared" si="38"/>
        <v>1.1898133968126763E-4</v>
      </c>
      <c r="AXD17" s="4">
        <f t="shared" si="38"/>
        <v>1.1660171288764227E-4</v>
      </c>
      <c r="AXE17" s="4">
        <f t="shared" si="38"/>
        <v>1.1426967862988943E-4</v>
      </c>
      <c r="AXF17" s="4">
        <f t="shared" si="38"/>
        <v>1.1198428505729163E-4</v>
      </c>
      <c r="AXG17" s="4">
        <f t="shared" si="38"/>
        <v>1.0974459935614579E-4</v>
      </c>
      <c r="AXH17" s="4">
        <f t="shared" si="38"/>
        <v>1.0754970736902288E-4</v>
      </c>
      <c r="AXI17" s="4">
        <f t="shared" si="38"/>
        <v>1.0539871322164241E-4</v>
      </c>
      <c r="AXJ17" s="4">
        <f t="shared" si="38"/>
        <v>1.0329073895720956E-4</v>
      </c>
      <c r="AXK17" s="4">
        <f t="shared" si="38"/>
        <v>1.0122492417806537E-4</v>
      </c>
      <c r="AXL17" s="4">
        <f t="shared" si="38"/>
        <v>9.920042569450406E-5</v>
      </c>
      <c r="AXM17" s="4">
        <f t="shared" si="38"/>
        <v>9.7216417180613973E-5</v>
      </c>
      <c r="AXN17" s="4">
        <f t="shared" si="38"/>
        <v>9.5272088837001698E-5</v>
      </c>
      <c r="AXO17" s="4">
        <f t="shared" si="38"/>
        <v>9.3366647060261668E-5</v>
      </c>
      <c r="AXP17" s="4">
        <f t="shared" si="38"/>
        <v>9.1499314119056435E-5</v>
      </c>
      <c r="AXQ17" s="4">
        <f t="shared" si="38"/>
        <v>8.9669327836675299E-5</v>
      </c>
      <c r="AXR17" s="4">
        <f t="shared" si="38"/>
        <v>8.7875941279941789E-5</v>
      </c>
      <c r="AXS17" s="4">
        <f t="shared" si="38"/>
        <v>8.6118422454342956E-5</v>
      </c>
      <c r="AXT17" s="4">
        <f t="shared" si="38"/>
        <v>8.4396054005256101E-5</v>
      </c>
      <c r="AXU17" s="4">
        <f t="shared" si="38"/>
        <v>8.2708132925150984E-5</v>
      </c>
      <c r="AXV17" s="4">
        <f t="shared" si="38"/>
        <v>8.1053970266647962E-5</v>
      </c>
      <c r="AXW17" s="4">
        <f t="shared" si="38"/>
        <v>7.9432890861314996E-5</v>
      </c>
      <c r="AXX17" s="4">
        <f t="shared" si="38"/>
        <v>7.7844233044088688E-5</v>
      </c>
      <c r="AXY17" s="4">
        <f t="shared" si="38"/>
        <v>7.6287348383206909E-5</v>
      </c>
      <c r="AXZ17" s="4">
        <f t="shared" si="38"/>
        <v>7.4761601415542772E-5</v>
      </c>
      <c r="AYA17" s="4">
        <f t="shared" si="38"/>
        <v>7.3266369387231916E-5</v>
      </c>
      <c r="AYB17" s="4">
        <f t="shared" si="38"/>
        <v>7.1801041999487275E-5</v>
      </c>
      <c r="AYC17" s="4">
        <f t="shared" si="38"/>
        <v>7.0365021159497529E-5</v>
      </c>
      <c r="AYD17" s="4">
        <f t="shared" si="38"/>
        <v>6.8957720736307574E-5</v>
      </c>
      <c r="AYE17" s="4">
        <f t="shared" si="38"/>
        <v>6.7578566321581423E-5</v>
      </c>
      <c r="AYF17" s="4">
        <f t="shared" si="38"/>
        <v>6.6226994995149789E-5</v>
      </c>
      <c r="AYG17" s="4">
        <f t="shared" si="38"/>
        <v>6.4902455095246789E-5</v>
      </c>
      <c r="AYH17" s="4">
        <f t="shared" si="38"/>
        <v>6.3604405993341847E-5</v>
      </c>
      <c r="AYI17" s="4">
        <f t="shared" si="38"/>
        <v>6.2332317873475004E-5</v>
      </c>
      <c r="AYJ17" s="4">
        <f t="shared" si="38"/>
        <v>6.108567151600551E-5</v>
      </c>
      <c r="AYK17" s="4">
        <f t="shared" si="38"/>
        <v>5.9863958085685399E-5</v>
      </c>
      <c r="AYL17" s="4">
        <f t="shared" ref="AYL17:BAW17" si="39">+AYK17*0.98</f>
        <v>5.8666678923971693E-5</v>
      </c>
      <c r="AYM17" s="4">
        <f t="shared" si="39"/>
        <v>5.7493345345492261E-5</v>
      </c>
      <c r="AYN17" s="4">
        <f t="shared" si="39"/>
        <v>5.6343478438582411E-5</v>
      </c>
      <c r="AYO17" s="4">
        <f t="shared" si="39"/>
        <v>5.5216608869810765E-5</v>
      </c>
      <c r="AYP17" s="4">
        <f t="shared" si="39"/>
        <v>5.4112276692414551E-5</v>
      </c>
      <c r="AYQ17" s="4">
        <f t="shared" si="39"/>
        <v>5.3030031158566259E-5</v>
      </c>
      <c r="AYR17" s="4">
        <f t="shared" si="39"/>
        <v>5.1969430535394929E-5</v>
      </c>
      <c r="AYS17" s="4">
        <f t="shared" si="39"/>
        <v>5.0930041924687031E-5</v>
      </c>
      <c r="AYT17" s="4">
        <f t="shared" si="39"/>
        <v>4.991144108619329E-5</v>
      </c>
      <c r="AYU17" s="4">
        <f t="shared" si="39"/>
        <v>4.8913212264469426E-5</v>
      </c>
      <c r="AYV17" s="4">
        <f t="shared" si="39"/>
        <v>4.7934948019180037E-5</v>
      </c>
      <c r="AYW17" s="4">
        <f t="shared" si="39"/>
        <v>4.6976249058796433E-5</v>
      </c>
      <c r="AYX17" s="4">
        <f t="shared" si="39"/>
        <v>4.6036724077620505E-5</v>
      </c>
      <c r="AYY17" s="4">
        <f t="shared" si="39"/>
        <v>4.5115989596068093E-5</v>
      </c>
      <c r="AYZ17" s="4">
        <f t="shared" si="39"/>
        <v>4.4213669804146729E-5</v>
      </c>
      <c r="AZA17" s="4">
        <f t="shared" si="39"/>
        <v>4.3329396408063795E-5</v>
      </c>
      <c r="AZB17" s="4">
        <f t="shared" si="39"/>
        <v>4.246280847990252E-5</v>
      </c>
      <c r="AZC17" s="4">
        <f t="shared" si="39"/>
        <v>4.1613552310304469E-5</v>
      </c>
      <c r="AZD17" s="4">
        <f t="shared" si="39"/>
        <v>4.0781281264098378E-5</v>
      </c>
      <c r="AZE17" s="4">
        <f t="shared" si="39"/>
        <v>3.9965655638816412E-5</v>
      </c>
      <c r="AZF17" s="4">
        <f t="shared" si="39"/>
        <v>3.9166342526040081E-5</v>
      </c>
      <c r="AZG17" s="4">
        <f t="shared" si="39"/>
        <v>3.8383015675519281E-5</v>
      </c>
      <c r="AZH17" s="4">
        <f t="shared" si="39"/>
        <v>3.7615355362008894E-5</v>
      </c>
      <c r="AZI17" s="4">
        <f t="shared" si="39"/>
        <v>3.6863048254768714E-5</v>
      </c>
      <c r="AZJ17" s="4">
        <f t="shared" si="39"/>
        <v>3.6125787289673338E-5</v>
      </c>
      <c r="AZK17" s="4">
        <f t="shared" si="39"/>
        <v>3.540327154387987E-5</v>
      </c>
      <c r="AZL17" s="4">
        <f t="shared" si="39"/>
        <v>3.4695206113002275E-5</v>
      </c>
      <c r="AZM17" s="4">
        <f t="shared" si="39"/>
        <v>3.4001301990742229E-5</v>
      </c>
      <c r="AZN17" s="4">
        <f t="shared" si="39"/>
        <v>3.3321275950927387E-5</v>
      </c>
      <c r="AZO17" s="4">
        <f t="shared" si="39"/>
        <v>3.2654850431908837E-5</v>
      </c>
      <c r="AZP17" s="4">
        <f t="shared" si="39"/>
        <v>3.2001753423270658E-5</v>
      </c>
      <c r="AZQ17" s="4">
        <f t="shared" si="39"/>
        <v>3.1361718354805247E-5</v>
      </c>
      <c r="AZR17" s="4">
        <f t="shared" si="39"/>
        <v>3.0734483987709143E-5</v>
      </c>
      <c r="AZS17" s="4">
        <f t="shared" si="39"/>
        <v>3.0119794307954962E-5</v>
      </c>
      <c r="AZT17" s="4">
        <f t="shared" si="39"/>
        <v>2.9517398421795863E-5</v>
      </c>
      <c r="AZU17" s="4">
        <f t="shared" si="39"/>
        <v>2.8927050453359944E-5</v>
      </c>
      <c r="AZV17" s="4">
        <f t="shared" si="39"/>
        <v>2.8348509444292744E-5</v>
      </c>
      <c r="AZW17" s="4">
        <f t="shared" si="39"/>
        <v>2.778153925540689E-5</v>
      </c>
      <c r="AZX17" s="4">
        <f t="shared" si="39"/>
        <v>2.7225908470298752E-5</v>
      </c>
      <c r="AZY17" s="4">
        <f t="shared" si="39"/>
        <v>2.6681390300892775E-5</v>
      </c>
      <c r="AZZ17" s="4">
        <f t="shared" si="39"/>
        <v>2.614776249487492E-5</v>
      </c>
      <c r="BAA17" s="4">
        <f t="shared" si="39"/>
        <v>2.562480724497742E-5</v>
      </c>
      <c r="BAB17" s="4">
        <f t="shared" si="39"/>
        <v>2.5112311100077871E-5</v>
      </c>
      <c r="BAC17" s="4">
        <f t="shared" si="39"/>
        <v>2.4610064878076313E-5</v>
      </c>
      <c r="BAD17" s="4">
        <f t="shared" si="39"/>
        <v>2.4117863580514786E-5</v>
      </c>
      <c r="BAE17" s="4">
        <f t="shared" si="39"/>
        <v>2.363550630890449E-5</v>
      </c>
      <c r="BAF17" s="4">
        <f t="shared" si="39"/>
        <v>2.31627961827264E-5</v>
      </c>
      <c r="BAG17" s="4">
        <f t="shared" si="39"/>
        <v>2.2699540259071872E-5</v>
      </c>
      <c r="BAH17" s="4">
        <f t="shared" si="39"/>
        <v>2.2245549453890435E-5</v>
      </c>
      <c r="BAI17" s="4">
        <f t="shared" si="39"/>
        <v>2.1800638464812626E-5</v>
      </c>
      <c r="BAJ17" s="4">
        <f t="shared" si="39"/>
        <v>2.1364625695516375E-5</v>
      </c>
      <c r="BAK17" s="4">
        <f t="shared" si="39"/>
        <v>2.0937333181606046E-5</v>
      </c>
      <c r="BAL17" s="4">
        <f t="shared" si="39"/>
        <v>2.0518586517973924E-5</v>
      </c>
      <c r="BAM17" s="4">
        <f t="shared" si="39"/>
        <v>2.0108214787614447E-5</v>
      </c>
      <c r="BAN17" s="4">
        <f t="shared" si="39"/>
        <v>1.9706050491862157E-5</v>
      </c>
      <c r="BAO17" s="4">
        <f t="shared" si="39"/>
        <v>1.9311929482024912E-5</v>
      </c>
      <c r="BAP17" s="4">
        <f t="shared" si="39"/>
        <v>1.8925690892384413E-5</v>
      </c>
      <c r="BAQ17" s="4">
        <f t="shared" si="39"/>
        <v>1.8547177074536726E-5</v>
      </c>
      <c r="BAR17" s="4">
        <f t="shared" si="39"/>
        <v>1.817623353304599E-5</v>
      </c>
      <c r="BAS17" s="4">
        <f t="shared" si="39"/>
        <v>1.7812708862385069E-5</v>
      </c>
      <c r="BAT17" s="4">
        <f t="shared" si="39"/>
        <v>1.7456454685137367E-5</v>
      </c>
      <c r="BAU17" s="4">
        <f t="shared" si="39"/>
        <v>1.7107325591434619E-5</v>
      </c>
      <c r="BAV17" s="4">
        <f t="shared" si="39"/>
        <v>1.6765179079605928E-5</v>
      </c>
      <c r="BAW17" s="4">
        <f t="shared" si="39"/>
        <v>1.6429875498013809E-5</v>
      </c>
      <c r="BAX17" s="4">
        <f t="shared" ref="BAX17:BCI17" si="40">+BAW17*0.98</f>
        <v>1.6101277988053533E-5</v>
      </c>
      <c r="BAY17" s="4">
        <f t="shared" si="40"/>
        <v>1.5779252428292461E-5</v>
      </c>
      <c r="BAZ17" s="4">
        <f t="shared" si="40"/>
        <v>1.546366737972661E-5</v>
      </c>
      <c r="BBA17" s="4">
        <f t="shared" si="40"/>
        <v>1.5154394032132078E-5</v>
      </c>
      <c r="BBB17" s="4">
        <f t="shared" si="40"/>
        <v>1.4851306151489436E-5</v>
      </c>
      <c r="BBC17" s="4">
        <f t="shared" si="40"/>
        <v>1.4554280028459647E-5</v>
      </c>
      <c r="BBD17" s="4">
        <f t="shared" si="40"/>
        <v>1.4263194427890455E-5</v>
      </c>
      <c r="BBE17" s="4">
        <f t="shared" si="40"/>
        <v>1.3977930539332645E-5</v>
      </c>
      <c r="BBF17" s="4">
        <f t="shared" si="40"/>
        <v>1.3698371928545992E-5</v>
      </c>
      <c r="BBG17" s="4">
        <f t="shared" si="40"/>
        <v>1.3424404489975072E-5</v>
      </c>
      <c r="BBH17" s="4">
        <f t="shared" si="40"/>
        <v>1.315591640017557E-5</v>
      </c>
      <c r="BBI17" s="4">
        <f t="shared" si="40"/>
        <v>1.2892798072172058E-5</v>
      </c>
      <c r="BBJ17" s="4">
        <f t="shared" si="40"/>
        <v>1.2634942110728617E-5</v>
      </c>
      <c r="BBK17" s="4">
        <f t="shared" si="40"/>
        <v>1.2382243268514044E-5</v>
      </c>
      <c r="BBL17" s="4">
        <f t="shared" si="40"/>
        <v>1.2134598403143763E-5</v>
      </c>
      <c r="BBM17" s="4">
        <f t="shared" si="40"/>
        <v>1.1891906435080888E-5</v>
      </c>
      <c r="BBN17" s="4">
        <f t="shared" si="40"/>
        <v>1.1654068306379269E-5</v>
      </c>
      <c r="BBO17" s="4">
        <f t="shared" si="40"/>
        <v>1.1420986940251684E-5</v>
      </c>
      <c r="BBP17" s="4">
        <f t="shared" si="40"/>
        <v>1.1192567201446651E-5</v>
      </c>
      <c r="BBQ17" s="4">
        <f t="shared" si="40"/>
        <v>1.0968715857417717E-5</v>
      </c>
      <c r="BBR17" s="4">
        <f t="shared" si="40"/>
        <v>1.0749341540269362E-5</v>
      </c>
      <c r="BBS17" s="4">
        <f t="shared" si="40"/>
        <v>1.0534354709463974E-5</v>
      </c>
      <c r="BBT17" s="4">
        <f t="shared" si="40"/>
        <v>1.0323667615274694E-5</v>
      </c>
      <c r="BBU17" s="4">
        <f t="shared" si="40"/>
        <v>1.0117194262969201E-5</v>
      </c>
      <c r="BBV17" s="4">
        <f t="shared" si="40"/>
        <v>9.9148503777098166E-6</v>
      </c>
      <c r="BBW17" s="4">
        <f t="shared" si="40"/>
        <v>9.7165533701556198E-6</v>
      </c>
      <c r="BBX17" s="4">
        <f t="shared" si="40"/>
        <v>9.5222223027525065E-6</v>
      </c>
      <c r="BBY17" s="4">
        <f t="shared" si="40"/>
        <v>9.3317778566974557E-6</v>
      </c>
      <c r="BBZ17" s="4">
        <f t="shared" si="40"/>
        <v>9.1451422995635066E-6</v>
      </c>
      <c r="BCA17" s="4">
        <f t="shared" si="40"/>
        <v>8.962239453572237E-6</v>
      </c>
      <c r="BCB17" s="4">
        <f t="shared" si="40"/>
        <v>8.7829946645007919E-6</v>
      </c>
      <c r="BCC17" s="4">
        <f t="shared" si="40"/>
        <v>8.6073347712107754E-6</v>
      </c>
      <c r="BCD17" s="4">
        <f t="shared" si="40"/>
        <v>8.4351880757865592E-6</v>
      </c>
      <c r="BCE17" s="4">
        <f t="shared" si="40"/>
        <v>8.2664843142708286E-6</v>
      </c>
      <c r="BCF17" s="4">
        <f t="shared" si="40"/>
        <v>8.1011546279854113E-6</v>
      </c>
      <c r="BCG17" s="4">
        <f t="shared" si="40"/>
        <v>7.9391315354257023E-6</v>
      </c>
      <c r="BCH17" s="4">
        <f t="shared" si="40"/>
        <v>7.780348904717189E-6</v>
      </c>
      <c r="BCI17" s="4">
        <f t="shared" si="40"/>
        <v>7.6247419266228452E-6</v>
      </c>
    </row>
    <row r="18" spans="1:1439" s="3" customFormat="1" x14ac:dyDescent="0.25">
      <c r="B18" s="3" t="s">
        <v>2</v>
      </c>
      <c r="C18" s="3">
        <v>226313.815</v>
      </c>
      <c r="AB18" s="3">
        <v>206140.283</v>
      </c>
      <c r="AC18" s="3">
        <v>211584.91500000001</v>
      </c>
      <c r="AD18" s="3">
        <v>219027.48499999999</v>
      </c>
      <c r="AE18" s="3">
        <f>+C18</f>
        <v>226313.815</v>
      </c>
      <c r="AF18" s="3">
        <f>(1+$AF$20)*AE18</f>
        <v>233469.43070005503</v>
      </c>
      <c r="AG18" s="3">
        <f t="shared" ref="AG18:AJ18" si="41">(1+$AF$20)*AF18</f>
        <v>240851.29346349361</v>
      </c>
      <c r="AH18" s="3">
        <f t="shared" si="41"/>
        <v>248466.55679545563</v>
      </c>
      <c r="AI18" s="3">
        <f t="shared" si="41"/>
        <v>256322.60038141251</v>
      </c>
      <c r="AJ18" s="3">
        <f t="shared" si="41"/>
        <v>264427.03723856225</v>
      </c>
    </row>
    <row r="19" spans="1:1439" s="13" customFormat="1" x14ac:dyDescent="0.25">
      <c r="B19" s="5" t="s">
        <v>29</v>
      </c>
      <c r="C19" s="5">
        <f>C17/C18</f>
        <v>6.9699677856608092E-2</v>
      </c>
      <c r="AB19" s="5">
        <v>-0.31860827512301415</v>
      </c>
      <c r="AC19" s="5">
        <v>-0.11128392588857292</v>
      </c>
      <c r="AD19" s="5">
        <v>0.57544376222920157</v>
      </c>
      <c r="AE19" s="5">
        <f>AE17/AE18</f>
        <v>0.56919184281639013</v>
      </c>
      <c r="AF19" s="5">
        <f t="shared" ref="AF19:AJ19" si="42">AF17/AF18</f>
        <v>0.73154100498358032</v>
      </c>
      <c r="AG19" s="5">
        <f t="shared" si="42"/>
        <v>1.4277553871588065</v>
      </c>
      <c r="AH19" s="5">
        <f t="shared" si="42"/>
        <v>2.2620215351136923</v>
      </c>
      <c r="AI19" s="5">
        <f t="shared" si="42"/>
        <v>3.2149111534513795</v>
      </c>
      <c r="AJ19" s="5">
        <f t="shared" si="42"/>
        <v>4.2685188732472312</v>
      </c>
    </row>
    <row r="20" spans="1:1439" x14ac:dyDescent="0.25">
      <c r="B20" s="5"/>
      <c r="C20" s="5"/>
      <c r="AB20" s="2" t="s">
        <v>149</v>
      </c>
      <c r="AC20" s="2">
        <f>AC18/AB18-1</f>
        <v>2.6412266058643219E-2</v>
      </c>
      <c r="AD20" s="2">
        <f t="shared" ref="AD20:AE20" si="43">AD18/AC18-1</f>
        <v>3.5175333742483383E-2</v>
      </c>
      <c r="AE20" s="2">
        <f t="shared" si="43"/>
        <v>3.3266738190414813E-2</v>
      </c>
      <c r="AF20" s="2">
        <f>AVERAGE(AC20:AE20)</f>
        <v>3.1618112663847141E-2</v>
      </c>
      <c r="AP20" s="16" t="s">
        <v>150</v>
      </c>
      <c r="AQ20" s="17">
        <v>-0.02</v>
      </c>
    </row>
    <row r="21" spans="1:1439" s="3" customFormat="1" x14ac:dyDescent="0.25">
      <c r="B21" s="4" t="s">
        <v>105</v>
      </c>
      <c r="C21" s="4">
        <v>2471</v>
      </c>
      <c r="D21" s="4">
        <f>(138.76*D1 + 486.41)*0.9945</f>
        <v>2691.683865</v>
      </c>
      <c r="E21" s="4">
        <f>(138.76*E1 + 486.41)*0.9945</f>
        <v>2829.6806850000003</v>
      </c>
      <c r="F21" s="4">
        <f>(138.76*F1 + 486.41)*0.9945</f>
        <v>2967.6775049999997</v>
      </c>
      <c r="G21" s="4">
        <f>(138.76*G1 + 486.41)*0.9945</f>
        <v>3105.6743249999995</v>
      </c>
      <c r="H21" s="4">
        <f>(138.76*H1 + 486.41)*0.9945</f>
        <v>3243.6711449999998</v>
      </c>
      <c r="I21" s="4">
        <f>(138.76*I1 + 486.41)*0.9945</f>
        <v>3381.6679650000001</v>
      </c>
      <c r="J21" s="4">
        <f>(138.76*J1 + 486.41)*0.9945</f>
        <v>3519.6647849999999</v>
      </c>
      <c r="K21" s="4">
        <f>(138.76*K1 + 486.41)*0.9945</f>
        <v>3657.6616049999998</v>
      </c>
      <c r="L21" s="4">
        <f>(138.76*L1 + 486.41)*0.9945</f>
        <v>3795.6584249999996</v>
      </c>
      <c r="M21" s="4">
        <f>(138.76*M1 + 486.41)*0.9945</f>
        <v>3933.6552449999999</v>
      </c>
      <c r="N21" s="4">
        <f>(138.76*N1 + 486.41)*0.9945</f>
        <v>4071.6520649999998</v>
      </c>
      <c r="O21" s="4">
        <f>(138.76*O1 + 486.41)*0.9945</f>
        <v>4209.6488849999996</v>
      </c>
      <c r="P21" s="4">
        <f>(138.76*P1 + 486.41)*0.9945</f>
        <v>4347.6457049999999</v>
      </c>
      <c r="Q21" s="4">
        <f>(138.76*Q1 + 486.41)*0.9945</f>
        <v>4485.6425250000002</v>
      </c>
      <c r="R21" s="4">
        <f>(138.76*R1 + 486.41)*0.9945</f>
        <v>4623.6393449999996</v>
      </c>
      <c r="S21" s="4">
        <f>(138.76*S1 + 486.41)*0.9945</f>
        <v>4761.6361649999999</v>
      </c>
      <c r="T21" s="4">
        <f>(138.76*T1 + 486.41)*0.9945</f>
        <v>4899.6329850000002</v>
      </c>
      <c r="U21" s="4">
        <f>(138.76*U1 + 486.41)*0.9945</f>
        <v>5037.6298050000005</v>
      </c>
      <c r="V21" s="4">
        <f>(138.76*V1 + 486.41)*0.9945</f>
        <v>5175.6266249999999</v>
      </c>
      <c r="W21" s="4">
        <f>(138.76*W1 + 486.41)*0.9945</f>
        <v>5313.6234449999993</v>
      </c>
      <c r="X21" s="4">
        <f>(138.76*X1 + 486.41)*0.9945</f>
        <v>5451.6202649999996</v>
      </c>
      <c r="AP21" s="2" t="s">
        <v>151</v>
      </c>
      <c r="AQ21" s="17">
        <v>0.2</v>
      </c>
    </row>
    <row r="22" spans="1:1439" x14ac:dyDescent="0.25">
      <c r="B22" s="6" t="s">
        <v>109</v>
      </c>
      <c r="C22" s="6"/>
      <c r="AP22" s="2" t="s">
        <v>152</v>
      </c>
      <c r="AQ22" s="18">
        <f>+NPV(AQ21,C17,AF17:BCI17)+Model!Q43</f>
        <v>5912315.0398787772</v>
      </c>
    </row>
    <row r="23" spans="1:1439" x14ac:dyDescent="0.25">
      <c r="B23" s="4" t="s">
        <v>117</v>
      </c>
      <c r="C23" s="4"/>
      <c r="AP23" s="2" t="s">
        <v>153</v>
      </c>
      <c r="AQ23" s="13">
        <f>AQ22/AE18</f>
        <v>26.124410654642436</v>
      </c>
    </row>
    <row r="24" spans="1:1439" x14ac:dyDescent="0.25">
      <c r="B24" s="8" t="s">
        <v>118</v>
      </c>
      <c r="C24" s="8"/>
      <c r="AP24" s="2" t="s">
        <v>154</v>
      </c>
      <c r="AQ24" s="13">
        <v>19.38</v>
      </c>
    </row>
    <row r="25" spans="1:1439" x14ac:dyDescent="0.25">
      <c r="B25" s="10"/>
      <c r="C25" s="10"/>
      <c r="AP25" s="16" t="s">
        <v>155</v>
      </c>
      <c r="AQ25" s="19">
        <f>AQ23/AQ24-1</f>
        <v>0.34800880570910397</v>
      </c>
    </row>
    <row r="26" spans="1:1439" x14ac:dyDescent="0.25">
      <c r="B26" s="2" t="s">
        <v>106</v>
      </c>
      <c r="C26" s="12"/>
    </row>
    <row r="27" spans="1:1439" x14ac:dyDescent="0.25">
      <c r="B27" s="2" t="s">
        <v>107</v>
      </c>
      <c r="C27" s="12"/>
    </row>
    <row r="28" spans="1:1439" x14ac:dyDescent="0.25">
      <c r="B28" s="2" t="s">
        <v>108</v>
      </c>
      <c r="C28" s="12"/>
    </row>
    <row r="30" spans="1:1439" s="12" customFormat="1" x14ac:dyDescent="0.25">
      <c r="B30" s="12" t="s">
        <v>30</v>
      </c>
      <c r="C30" s="12">
        <f>C7/C5</f>
        <v>0.73802289240303454</v>
      </c>
      <c r="D30" s="12">
        <f>-0.0016*D1 + 0.7991</f>
        <v>0.77350000000000008</v>
      </c>
      <c r="E30" s="12">
        <f>-0.0016*E1 + 0.7991</f>
        <v>0.77190000000000003</v>
      </c>
      <c r="F30" s="12">
        <f>-0.0016*F1 + 0.7991</f>
        <v>0.77029999999999998</v>
      </c>
      <c r="G30" s="12">
        <f>-0.0016*G1 + 0.7991</f>
        <v>0.76870000000000005</v>
      </c>
      <c r="H30" s="12">
        <f>-0.0016*H1 + 0.7991</f>
        <v>0.7671</v>
      </c>
      <c r="I30" s="12">
        <f>-0.0016*I1 + 0.7991</f>
        <v>0.76550000000000007</v>
      </c>
      <c r="J30" s="12">
        <f>-0.0016*J1 + 0.7991</f>
        <v>0.76390000000000002</v>
      </c>
      <c r="K30" s="12">
        <f>-0.0016*K1 + 0.7991</f>
        <v>0.76229999999999998</v>
      </c>
      <c r="L30" s="12">
        <f>-0.0016*L1 + 0.7991</f>
        <v>0.76070000000000004</v>
      </c>
      <c r="M30" s="12">
        <f>-0.0016*M1 + 0.7991</f>
        <v>0.7591</v>
      </c>
      <c r="N30" s="12">
        <f>-0.0016*N1 + 0.7991</f>
        <v>0.75750000000000006</v>
      </c>
      <c r="O30" s="12">
        <f>-0.0016*O1 + 0.7991</f>
        <v>0.75590000000000002</v>
      </c>
      <c r="P30" s="12">
        <f>-0.0016*P1 + 0.7991</f>
        <v>0.75430000000000008</v>
      </c>
      <c r="Q30" s="12">
        <f>-0.0016*Q1 + 0.7991</f>
        <v>0.75270000000000004</v>
      </c>
      <c r="R30" s="12">
        <f>-0.0016*R1 + 0.7991</f>
        <v>0.75109999999999999</v>
      </c>
      <c r="S30" s="12">
        <f>-0.0016*S1 + 0.7991</f>
        <v>0.74950000000000006</v>
      </c>
      <c r="T30" s="12">
        <f>-0.0016*T1 + 0.7991</f>
        <v>0.74790000000000001</v>
      </c>
      <c r="U30" s="12">
        <f>-0.0016*U1 + 0.7991</f>
        <v>0.74630000000000007</v>
      </c>
      <c r="V30" s="12">
        <f>-0.0016*V1 + 0.7991</f>
        <v>0.74470000000000003</v>
      </c>
      <c r="W30" s="12">
        <f>-0.0016*W1 + 0.7991</f>
        <v>0.74309999999999998</v>
      </c>
      <c r="X30" s="12">
        <f>-0.0016*X1 + 0.7991</f>
        <v>0.74150000000000005</v>
      </c>
      <c r="AB30" s="12">
        <f t="shared" ref="AB30:AJ30" si="44">AB7/AB5</f>
        <v>0.77568720630992416</v>
      </c>
      <c r="AC30" s="12">
        <f t="shared" si="44"/>
        <v>0.81989564220183486</v>
      </c>
      <c r="AD30" s="12">
        <f t="shared" si="44"/>
        <v>0.79453022456949274</v>
      </c>
      <c r="AE30" s="12">
        <f t="shared" si="44"/>
        <v>0.75231475537369696</v>
      </c>
      <c r="AF30" s="12">
        <f t="shared" si="44"/>
        <v>0.76939614397412515</v>
      </c>
      <c r="AG30" s="12">
        <f t="shared" si="44"/>
        <v>0.76301400597044267</v>
      </c>
      <c r="AH30" s="12">
        <f t="shared" si="44"/>
        <v>0.75662662550707027</v>
      </c>
      <c r="AI30" s="12">
        <f t="shared" si="44"/>
        <v>0.75023601521009864</v>
      </c>
      <c r="AJ30" s="12">
        <f t="shared" si="44"/>
        <v>0.74384327436568598</v>
      </c>
    </row>
    <row r="31" spans="1:1439" x14ac:dyDescent="0.25">
      <c r="B31" s="12" t="s">
        <v>31</v>
      </c>
      <c r="C31" s="12">
        <f>C13/C5</f>
        <v>1.9711975104177798E-2</v>
      </c>
      <c r="D31" s="12">
        <f t="shared" ref="D31:X31" si="45">D13/D5</f>
        <v>4.2162616798926966E-2</v>
      </c>
      <c r="E31" s="12">
        <f t="shared" si="45"/>
        <v>5.5738032594817896E-2</v>
      </c>
      <c r="F31" s="12">
        <f t="shared" si="45"/>
        <v>6.9256808390708996E-2</v>
      </c>
      <c r="G31" s="12">
        <f t="shared" si="45"/>
        <v>8.2718944186599988E-2</v>
      </c>
      <c r="H31" s="12">
        <f t="shared" si="45"/>
        <v>9.6124439982490983E-2</v>
      </c>
      <c r="I31" s="12">
        <f t="shared" si="45"/>
        <v>0.10947329577838207</v>
      </c>
      <c r="J31" s="12">
        <f t="shared" si="45"/>
        <v>0.12276551157427322</v>
      </c>
      <c r="K31" s="12">
        <f t="shared" si="45"/>
        <v>0.13600108737016409</v>
      </c>
      <c r="L31" s="12">
        <f t="shared" si="45"/>
        <v>0.14918002316605514</v>
      </c>
      <c r="M31" s="12">
        <f t="shared" si="45"/>
        <v>0.16230231896194622</v>
      </c>
      <c r="N31" s="12">
        <f t="shared" si="45"/>
        <v>0.1753679747578373</v>
      </c>
      <c r="O31" s="12">
        <f t="shared" si="45"/>
        <v>0.18837699055372822</v>
      </c>
      <c r="P31" s="12">
        <f t="shared" si="45"/>
        <v>0.20132936634961934</v>
      </c>
      <c r="Q31" s="12">
        <f t="shared" si="45"/>
        <v>0.2142251021455103</v>
      </c>
      <c r="R31" s="12">
        <f t="shared" si="45"/>
        <v>0.22706419794140142</v>
      </c>
      <c r="S31" s="12">
        <f t="shared" si="45"/>
        <v>0.23984665373729253</v>
      </c>
      <c r="T31" s="12">
        <f t="shared" si="45"/>
        <v>0.25257246953318346</v>
      </c>
      <c r="U31" s="12">
        <f t="shared" si="45"/>
        <v>0.26524164532907452</v>
      </c>
      <c r="V31" s="12">
        <f t="shared" si="45"/>
        <v>0.27785418112496552</v>
      </c>
      <c r="W31" s="12">
        <f t="shared" si="45"/>
        <v>0.29041007692085663</v>
      </c>
      <c r="X31" s="12">
        <f t="shared" si="45"/>
        <v>0.30290933271674764</v>
      </c>
      <c r="AB31" s="12">
        <f t="shared" ref="AB31:AJ31" si="46">AB13/AB5</f>
        <v>-0.13037561964335873</v>
      </c>
      <c r="AC31" s="12">
        <f t="shared" si="46"/>
        <v>-3.3776376146788988E-2</v>
      </c>
      <c r="AD31" s="12">
        <f t="shared" si="46"/>
        <v>4.19251019631375E-2</v>
      </c>
      <c r="AE31" s="12">
        <f t="shared" si="46"/>
        <v>5.2305089811826667E-2</v>
      </c>
      <c r="AF31" s="12">
        <f t="shared" si="46"/>
        <v>7.6833383740873618E-2</v>
      </c>
      <c r="AG31" s="12">
        <f t="shared" si="46"/>
        <v>0.13006634228234409</v>
      </c>
      <c r="AH31" s="12">
        <f t="shared" si="46"/>
        <v>0.18244074386674516</v>
      </c>
      <c r="AI31" s="12">
        <f t="shared" si="46"/>
        <v>0.23393828255717422</v>
      </c>
      <c r="AJ31" s="12">
        <f t="shared" si="46"/>
        <v>0.28454895974378874</v>
      </c>
    </row>
    <row r="32" spans="1:1439" x14ac:dyDescent="0.25">
      <c r="B32" s="12" t="s">
        <v>32</v>
      </c>
      <c r="C32" s="12">
        <f>C17/C5</f>
        <v>2.6334944972753498E-2</v>
      </c>
      <c r="D32" s="12">
        <f t="shared" ref="D32:X32" si="47">D17/D5</f>
        <v>3.5893637644128125E-2</v>
      </c>
      <c r="E32" s="12">
        <f t="shared" si="47"/>
        <v>4.663213145737137E-2</v>
      </c>
      <c r="F32" s="12">
        <f t="shared" si="47"/>
        <v>5.7338304264876634E-2</v>
      </c>
      <c r="G32" s="12">
        <f t="shared" si="47"/>
        <v>6.8010183493004112E-2</v>
      </c>
      <c r="H32" s="12">
        <f t="shared" si="47"/>
        <v>7.8646176687189845E-2</v>
      </c>
      <c r="I32" s="12">
        <f t="shared" si="47"/>
        <v>8.924498415808492E-2</v>
      </c>
      <c r="J32" s="12">
        <f t="shared" si="47"/>
        <v>9.9805534658555656E-2</v>
      </c>
      <c r="K32" s="12">
        <f t="shared" si="47"/>
        <v>0.11032693730562325</v>
      </c>
      <c r="L32" s="12">
        <f t="shared" si="47"/>
        <v>0.12080844515419489</v>
      </c>
      <c r="M32" s="12">
        <f t="shared" si="47"/>
        <v>0.13124942725601932</v>
      </c>
      <c r="N32" s="12">
        <f t="shared" si="47"/>
        <v>0.14164934698405404</v>
      </c>
      <c r="O32" s="12">
        <f t="shared" si="47"/>
        <v>0.15200774504220099</v>
      </c>
      <c r="P32" s="12">
        <f t="shared" si="47"/>
        <v>0.16232422601992127</v>
      </c>
      <c r="Q32" s="12">
        <f t="shared" si="47"/>
        <v>0.17259844765784582</v>
      </c>
      <c r="R32" s="12">
        <f t="shared" si="47"/>
        <v>0.18283011220739714</v>
      </c>
      <c r="S32" s="12">
        <f t="shared" si="47"/>
        <v>0.19301895942285457</v>
      </c>
      <c r="T32" s="12">
        <f t="shared" si="47"/>
        <v>0.20316476083702611</v>
      </c>
      <c r="U32" s="12">
        <f t="shared" si="47"/>
        <v>0.21326731505435464</v>
      </c>
      <c r="V32" s="12">
        <f t="shared" si="47"/>
        <v>0.22332644385655037</v>
      </c>
      <c r="W32" s="12">
        <f t="shared" si="47"/>
        <v>0.23334198896168926</v>
      </c>
      <c r="X32" s="12">
        <f t="shared" si="47"/>
        <v>0.24331380931232952</v>
      </c>
      <c r="AB32" s="12">
        <f t="shared" ref="AB32:AJ32" si="48">AB17/AB5</f>
        <v>-0.12464605364042845</v>
      </c>
      <c r="AC32" s="12">
        <f t="shared" si="48"/>
        <v>-2.7002293577981652E-2</v>
      </c>
      <c r="AD32" s="12">
        <f t="shared" si="48"/>
        <v>8.5361872627012003E-2</v>
      </c>
      <c r="AE32" s="12">
        <f t="shared" si="48"/>
        <v>5.5612124795164072E-2</v>
      </c>
      <c r="AF32" s="12">
        <f t="shared" si="48"/>
        <v>6.3349379819017004E-2</v>
      </c>
      <c r="AG32" s="12">
        <f t="shared" si="48"/>
        <v>0.10561194940684686</v>
      </c>
      <c r="AH32" s="12">
        <f t="shared" si="48"/>
        <v>0.14728270726377868</v>
      </c>
      <c r="AI32" s="12">
        <f t="shared" si="48"/>
        <v>0.18831052432058754</v>
      </c>
      <c r="AJ32" s="12">
        <f t="shared" si="48"/>
        <v>0.22866747413911789</v>
      </c>
    </row>
    <row r="33" spans="2:36" x14ac:dyDescent="0.25">
      <c r="B33" s="12"/>
      <c r="C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5" spans="2:36" x14ac:dyDescent="0.25">
      <c r="B35" s="12" t="s">
        <v>33</v>
      </c>
      <c r="C35" s="12"/>
      <c r="AB35" s="12"/>
      <c r="AC35" s="12">
        <f t="shared" ref="AC35:AJ35" si="49">AC5/AB5-1</f>
        <v>0.65491273751413881</v>
      </c>
      <c r="AD35" s="12">
        <f t="shared" si="49"/>
        <v>0.69324999999999992</v>
      </c>
      <c r="AE35" s="12">
        <f t="shared" si="49"/>
        <v>0.56878228042538037</v>
      </c>
      <c r="AF35" s="12">
        <f t="shared" si="49"/>
        <v>0.16392792215613583</v>
      </c>
      <c r="AG35" s="12">
        <f t="shared" si="49"/>
        <v>0.20771205174997398</v>
      </c>
      <c r="AH35" s="12">
        <f t="shared" si="49"/>
        <v>0.1719880591147529</v>
      </c>
      <c r="AI35" s="12">
        <f t="shared" si="49"/>
        <v>0.1467489858596871</v>
      </c>
      <c r="AJ35" s="12">
        <f>AJ5/AI5-1</f>
        <v>0.12796957980274404</v>
      </c>
    </row>
    <row r="37" spans="2:36" s="12" customFormat="1" x14ac:dyDescent="0.25">
      <c r="B37" s="12" t="s">
        <v>34</v>
      </c>
      <c r="C37" s="12">
        <f>C8/C$7</f>
        <v>0.52515733229576211</v>
      </c>
      <c r="D37" s="12">
        <f>-0.0112*D1+0.694</f>
        <v>0.51479999999999992</v>
      </c>
      <c r="E37" s="12">
        <f>-0.0112*E1+0.694</f>
        <v>0.50359999999999994</v>
      </c>
      <c r="F37" s="12">
        <f>-0.0112*F1+0.694</f>
        <v>0.49239999999999995</v>
      </c>
      <c r="G37" s="12">
        <f>-0.0112*G1+0.694</f>
        <v>0.48119999999999996</v>
      </c>
      <c r="H37" s="12">
        <f>-0.0112*H1+0.694</f>
        <v>0.47</v>
      </c>
      <c r="I37" s="12">
        <f>-0.0112*I1+0.694</f>
        <v>0.45879999999999999</v>
      </c>
      <c r="J37" s="12">
        <f>-0.0112*J1+0.694</f>
        <v>0.44759999999999994</v>
      </c>
      <c r="K37" s="12">
        <f>-0.0112*K1+0.694</f>
        <v>0.43639999999999995</v>
      </c>
      <c r="L37" s="12">
        <f>-0.0112*L1+0.694</f>
        <v>0.42519999999999997</v>
      </c>
      <c r="M37" s="12">
        <f>-0.0112*M1+0.694</f>
        <v>0.41399999999999998</v>
      </c>
      <c r="N37" s="12">
        <f>-0.0112*N1+0.694</f>
        <v>0.40279999999999994</v>
      </c>
      <c r="O37" s="12">
        <f>-0.0112*O1+0.694</f>
        <v>0.39159999999999995</v>
      </c>
      <c r="P37" s="12">
        <f>-0.0112*P1+0.694</f>
        <v>0.38039999999999996</v>
      </c>
      <c r="Q37" s="12">
        <f>-0.0112*Q1+0.694</f>
        <v>0.36919999999999997</v>
      </c>
      <c r="R37" s="12">
        <f>-0.0112*R1+0.694</f>
        <v>0.35799999999999993</v>
      </c>
      <c r="S37" s="12">
        <f>-0.0112*S1+0.694</f>
        <v>0.34679999999999994</v>
      </c>
      <c r="T37" s="12">
        <f>-0.0112*T1+0.694</f>
        <v>0.33559999999999995</v>
      </c>
      <c r="U37" s="12">
        <f>-0.0112*U1+0.694</f>
        <v>0.32439999999999997</v>
      </c>
      <c r="V37" s="12">
        <f>-0.0112*V1+0.694</f>
        <v>0.31319999999999998</v>
      </c>
      <c r="W37" s="12">
        <f>-0.0112*W1+0.694</f>
        <v>0.30199999999999994</v>
      </c>
      <c r="X37" s="12">
        <f>-0.0112*X1+0.694</f>
        <v>0.29079999999999995</v>
      </c>
      <c r="AB37" s="12">
        <f t="shared" ref="AB37:AJ37" si="50">AB8/AB$7</f>
        <v>0.66692519609905998</v>
      </c>
      <c r="AC37" s="12">
        <f t="shared" si="50"/>
        <v>0.62442915508658658</v>
      </c>
      <c r="AD37" s="12">
        <f t="shared" si="50"/>
        <v>0.5786580402085012</v>
      </c>
      <c r="AE37" s="12">
        <f t="shared" si="50"/>
        <v>0.52495669540941081</v>
      </c>
      <c r="AF37" s="12">
        <f t="shared" si="50"/>
        <v>0.4861020234276171</v>
      </c>
      <c r="AG37" s="12">
        <f t="shared" si="50"/>
        <v>0.44142733120982369</v>
      </c>
      <c r="AH37" s="12">
        <f t="shared" si="50"/>
        <v>0.39671593383149228</v>
      </c>
      <c r="AI37" s="12">
        <f t="shared" si="50"/>
        <v>0.35198192554251984</v>
      </c>
      <c r="AJ37" s="12">
        <f t="shared" si="50"/>
        <v>0.30723300414889565</v>
      </c>
    </row>
    <row r="38" spans="2:36" s="12" customFormat="1" x14ac:dyDescent="0.25">
      <c r="B38" s="12" t="s">
        <v>35</v>
      </c>
      <c r="C38" s="12">
        <f>C9/C$7</f>
        <v>0.1738414416207828</v>
      </c>
      <c r="D38" s="12">
        <f>-0.003*D1+0.1949</f>
        <v>0.14689999999999998</v>
      </c>
      <c r="E38" s="12">
        <f>-0.003*E1+0.1949</f>
        <v>0.14389999999999997</v>
      </c>
      <c r="F38" s="12">
        <f>-0.003*F1+0.1949</f>
        <v>0.1409</v>
      </c>
      <c r="G38" s="12">
        <f>-0.003*G1+0.1949</f>
        <v>0.13789999999999999</v>
      </c>
      <c r="H38" s="12">
        <f>-0.003*H1+0.1949</f>
        <v>0.13489999999999999</v>
      </c>
      <c r="I38" s="12">
        <f>-0.003*I1+0.1949</f>
        <v>0.13189999999999999</v>
      </c>
      <c r="J38" s="12">
        <f>-0.003*J1+0.1949</f>
        <v>0.12889999999999999</v>
      </c>
      <c r="K38" s="12">
        <f>-0.003*K1+0.1949</f>
        <v>0.12589999999999998</v>
      </c>
      <c r="L38" s="12">
        <f>-0.003*L1+0.1949</f>
        <v>0.12289999999999998</v>
      </c>
      <c r="M38" s="12">
        <f>-0.003*M1+0.1949</f>
        <v>0.11989999999999999</v>
      </c>
      <c r="N38" s="12">
        <f>-0.003*N1+0.1949</f>
        <v>0.11689999999999999</v>
      </c>
      <c r="O38" s="12">
        <f>-0.003*O1+0.1949</f>
        <v>0.11389999999999999</v>
      </c>
      <c r="P38" s="12">
        <f>-0.003*P1+0.1949</f>
        <v>0.11089999999999998</v>
      </c>
      <c r="Q38" s="12">
        <f>-0.003*Q1+0.1949</f>
        <v>0.10789999999999998</v>
      </c>
      <c r="R38" s="12">
        <f>-0.003*R1+0.1949</f>
        <v>0.10489999999999999</v>
      </c>
      <c r="S38" s="12">
        <f>-0.003*S1+0.1949</f>
        <v>0.10189999999999999</v>
      </c>
      <c r="T38" s="12">
        <f>-0.003*T1+0.1949</f>
        <v>9.8899999999999988E-2</v>
      </c>
      <c r="U38" s="12">
        <f>-0.003*U1+0.1949</f>
        <v>9.5899999999999985E-2</v>
      </c>
      <c r="V38" s="12">
        <f>-0.003*V1+0.1949</f>
        <v>9.2899999999999983E-2</v>
      </c>
      <c r="W38" s="12">
        <f>-0.003*W1+0.1949</f>
        <v>8.9899999999999994E-2</v>
      </c>
      <c r="X38" s="12">
        <f>-0.003*X1+0.1949</f>
        <v>8.6899999999999991E-2</v>
      </c>
      <c r="AB38" s="12">
        <f t="shared" ref="AB38:AJ38" si="51">AB9/AB$7</f>
        <v>0.18937811030480375</v>
      </c>
      <c r="AC38" s="12">
        <f t="shared" si="51"/>
        <v>0.16764412566490758</v>
      </c>
      <c r="AD38" s="12">
        <f t="shared" si="51"/>
        <v>0.15838074901865515</v>
      </c>
      <c r="AE38" s="12">
        <f t="shared" si="51"/>
        <v>0.15666999334420204</v>
      </c>
      <c r="AF38" s="12">
        <f t="shared" si="51"/>
        <v>0.13921304198954029</v>
      </c>
      <c r="AG38" s="12">
        <f t="shared" si="51"/>
        <v>0.12724660657405992</v>
      </c>
      <c r="AH38" s="12">
        <f t="shared" si="51"/>
        <v>0.11527033941914971</v>
      </c>
      <c r="AI38" s="12">
        <f t="shared" si="51"/>
        <v>0.10328801577031782</v>
      </c>
      <c r="AJ38" s="12">
        <f t="shared" si="51"/>
        <v>9.1301697539882751E-2</v>
      </c>
    </row>
    <row r="39" spans="2:36" s="12" customFormat="1" x14ac:dyDescent="0.25">
      <c r="B39" s="12" t="s">
        <v>36</v>
      </c>
      <c r="C39" s="12">
        <f>C10/C$7</f>
        <v>9.1791122431898076E-2</v>
      </c>
      <c r="D39" s="12">
        <f>+C39+0.0005</f>
        <v>9.2291122431898076E-2</v>
      </c>
      <c r="E39" s="12">
        <f t="shared" ref="E39:X39" si="52">+D39+0.0005</f>
        <v>9.2791122431898077E-2</v>
      </c>
      <c r="F39" s="12">
        <f t="shared" si="52"/>
        <v>9.3291122431898077E-2</v>
      </c>
      <c r="G39" s="12">
        <f t="shared" si="52"/>
        <v>9.3791122431898077E-2</v>
      </c>
      <c r="H39" s="12">
        <f t="shared" si="52"/>
        <v>9.4291122431898078E-2</v>
      </c>
      <c r="I39" s="12">
        <f t="shared" si="52"/>
        <v>9.4791122431898078E-2</v>
      </c>
      <c r="J39" s="12">
        <f t="shared" si="52"/>
        <v>9.5291122431898079E-2</v>
      </c>
      <c r="K39" s="12">
        <f t="shared" si="52"/>
        <v>9.5791122431898079E-2</v>
      </c>
      <c r="L39" s="12">
        <f t="shared" si="52"/>
        <v>9.629112243189808E-2</v>
      </c>
      <c r="M39" s="12">
        <f t="shared" si="52"/>
        <v>9.679112243189808E-2</v>
      </c>
      <c r="N39" s="12">
        <f t="shared" si="52"/>
        <v>9.7291122431898081E-2</v>
      </c>
      <c r="O39" s="12">
        <f t="shared" si="52"/>
        <v>9.7791122431898081E-2</v>
      </c>
      <c r="P39" s="12">
        <f t="shared" si="52"/>
        <v>9.8291122431898081E-2</v>
      </c>
      <c r="Q39" s="12">
        <f t="shared" si="52"/>
        <v>9.8791122431898082E-2</v>
      </c>
      <c r="R39" s="12">
        <f t="shared" si="52"/>
        <v>9.9291122431898082E-2</v>
      </c>
      <c r="S39" s="12">
        <f t="shared" si="52"/>
        <v>9.9791122431898083E-2</v>
      </c>
      <c r="T39" s="12">
        <f t="shared" si="52"/>
        <v>0.10029112243189808</v>
      </c>
      <c r="U39" s="12">
        <f t="shared" si="52"/>
        <v>0.10079112243189808</v>
      </c>
      <c r="V39" s="12">
        <f t="shared" si="52"/>
        <v>0.10129112243189808</v>
      </c>
      <c r="W39" s="12">
        <f t="shared" si="52"/>
        <v>0.10179112243189808</v>
      </c>
      <c r="X39" s="12">
        <f t="shared" si="52"/>
        <v>0.10229112243189808</v>
      </c>
      <c r="AB39" s="12">
        <f t="shared" ref="AB39:AJ39" si="53">AB10/AB$7</f>
        <v>7.1532728847480687E-2</v>
      </c>
      <c r="AC39" s="12">
        <f t="shared" si="53"/>
        <v>6.7455161137367839E-2</v>
      </c>
      <c r="AD39" s="12">
        <f t="shared" si="53"/>
        <v>6.7186640923678861E-2</v>
      </c>
      <c r="AE39" s="12">
        <f t="shared" si="53"/>
        <v>8.6197386339055618E-2</v>
      </c>
      <c r="AF39" s="12">
        <f t="shared" si="53"/>
        <v>9.3572282100308032E-2</v>
      </c>
      <c r="AG39" s="12">
        <f t="shared" si="53"/>
        <v>9.5566688002888076E-2</v>
      </c>
      <c r="AH39" s="12">
        <f t="shared" si="53"/>
        <v>9.7562732528706453E-2</v>
      </c>
      <c r="AI39" s="12">
        <f t="shared" si="53"/>
        <v>9.9559786470178449E-2</v>
      </c>
      <c r="AJ39" s="12">
        <f t="shared" si="53"/>
        <v>0.10155750617525094</v>
      </c>
    </row>
    <row r="40" spans="2:36" s="12" customFormat="1" x14ac:dyDescent="0.25">
      <c r="B40" s="12" t="s">
        <v>37</v>
      </c>
      <c r="C40" s="12">
        <f>C11/C$7</f>
        <v>0.1825009387908374</v>
      </c>
      <c r="D40" s="12">
        <f>-0.004*D1+0.2555</f>
        <v>0.1915</v>
      </c>
      <c r="E40" s="12">
        <f>-0.004*E1+0.2555</f>
        <v>0.1875</v>
      </c>
      <c r="F40" s="12">
        <f>-0.004*F1+0.2555</f>
        <v>0.1835</v>
      </c>
      <c r="G40" s="12">
        <f>-0.004*G1+0.2555</f>
        <v>0.17949999999999999</v>
      </c>
      <c r="H40" s="12">
        <f>-0.004*H1+0.2555</f>
        <v>0.17549999999999999</v>
      </c>
      <c r="I40" s="12">
        <f>-0.004*I1+0.2555</f>
        <v>0.17149999999999999</v>
      </c>
      <c r="J40" s="12">
        <f>-0.004*J1+0.2555</f>
        <v>0.16750000000000001</v>
      </c>
      <c r="K40" s="12">
        <f>-0.004*K1+0.2555</f>
        <v>0.16350000000000001</v>
      </c>
      <c r="L40" s="12">
        <f>-0.004*L1+0.2555</f>
        <v>0.1595</v>
      </c>
      <c r="M40" s="12">
        <f>-0.004*M1+0.2555</f>
        <v>0.1555</v>
      </c>
      <c r="N40" s="12">
        <f>-0.004*N1+0.2555</f>
        <v>0.1515</v>
      </c>
      <c r="O40" s="12">
        <f>-0.004*O1+0.2555</f>
        <v>0.14750000000000002</v>
      </c>
      <c r="P40" s="12">
        <f>-0.004*P1+0.2555</f>
        <v>0.14350000000000002</v>
      </c>
      <c r="Q40" s="12">
        <f>-0.004*Q1+0.2555</f>
        <v>0.13950000000000001</v>
      </c>
      <c r="R40" s="12">
        <f>-0.004*R1+0.2555</f>
        <v>0.13550000000000001</v>
      </c>
      <c r="S40" s="12">
        <f>-0.004*S1+0.2555</f>
        <v>0.13150000000000001</v>
      </c>
      <c r="T40" s="12">
        <f>-0.004*T1+0.2555</f>
        <v>0.1275</v>
      </c>
      <c r="U40" s="12">
        <f>-0.004*U1+0.2555</f>
        <v>0.1235</v>
      </c>
      <c r="V40" s="12">
        <f>-0.004*V1+0.2555</f>
        <v>0.1195</v>
      </c>
      <c r="W40" s="12">
        <f>-0.004*W1+0.2555</f>
        <v>0.11549999999999999</v>
      </c>
      <c r="X40" s="12">
        <f>-0.004*X1+0.2555</f>
        <v>0.11149999999999999</v>
      </c>
      <c r="AB40" s="12">
        <f t="shared" ref="AB40:AJ40" si="54">AB11/AB$7</f>
        <v>0.24024153336497669</v>
      </c>
      <c r="AC40" s="12">
        <f t="shared" si="54"/>
        <v>0.18166750355619771</v>
      </c>
      <c r="AD40" s="12">
        <f t="shared" si="54"/>
        <v>0.14300741176420445</v>
      </c>
      <c r="AE40" s="12">
        <f t="shared" si="54"/>
        <v>0.16265038464879275</v>
      </c>
      <c r="AF40" s="12">
        <f t="shared" si="54"/>
        <v>0.18125072265272041</v>
      </c>
      <c r="AG40" s="12">
        <f t="shared" si="54"/>
        <v>0.1652954754320799</v>
      </c>
      <c r="AH40" s="12">
        <f t="shared" si="54"/>
        <v>0.14932711922553299</v>
      </c>
      <c r="AI40" s="12">
        <f t="shared" si="54"/>
        <v>0.1333506876937571</v>
      </c>
      <c r="AJ40" s="12">
        <f t="shared" si="54"/>
        <v>0.11736893005317701</v>
      </c>
    </row>
    <row r="41" spans="2:36" x14ac:dyDescent="0.25"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</sheetData>
  <phoneticPr fontId="4" type="noConversion"/>
  <pageMargins left="0.7" right="0.7" top="0.75" bottom="0.75" header="0.3" footer="0.3"/>
  <ignoredErrors>
    <ignoredError sqref="C16:X16" formula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2026-02-07T15:38:53Z</dcterms:modified>
</cp:coreProperties>
</file>