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"/>
    </mc:Choice>
  </mc:AlternateContent>
  <xr:revisionPtr revIDLastSave="0" documentId="13_ncr:1_{69F60022-524D-4ED9-B0B9-AD2EB77422AD}" xr6:coauthVersionLast="47" xr6:coauthVersionMax="47" xr10:uidLastSave="{00000000-0000-0000-0000-000000000000}"/>
  <bookViews>
    <workbookView xWindow="22932" yWindow="-108" windowWidth="19416" windowHeight="10296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6" i="2" l="1"/>
  <c r="M136" i="2"/>
  <c r="L136" i="2"/>
  <c r="K136" i="2"/>
  <c r="J136" i="2"/>
  <c r="I136" i="2"/>
  <c r="H136" i="2"/>
  <c r="G136" i="2"/>
  <c r="F136" i="2"/>
  <c r="E136" i="2"/>
  <c r="D136" i="2"/>
  <c r="M148" i="2"/>
  <c r="L148" i="2"/>
  <c r="K148" i="2"/>
  <c r="J148" i="2"/>
  <c r="I148" i="2"/>
  <c r="H148" i="2"/>
  <c r="G148" i="2"/>
  <c r="F148" i="2"/>
  <c r="E148" i="2"/>
  <c r="D148" i="2"/>
  <c r="C148" i="2"/>
  <c r="T148" i="2"/>
  <c r="S148" i="2"/>
  <c r="R148" i="2"/>
  <c r="Q148" i="2"/>
  <c r="P148" i="2"/>
  <c r="O148" i="2"/>
  <c r="N148" i="2"/>
  <c r="AA148" i="2"/>
  <c r="Z148" i="2"/>
  <c r="Y148" i="2"/>
  <c r="AA33" i="2"/>
  <c r="Z33" i="2"/>
  <c r="AA32" i="2"/>
  <c r="Z32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3" i="2"/>
  <c r="G32" i="2"/>
  <c r="AA5" i="2"/>
  <c r="AA131" i="2" s="1"/>
  <c r="Z5" i="2"/>
  <c r="Z131" i="2" s="1"/>
  <c r="Y5" i="2"/>
  <c r="Y7" i="2" s="1"/>
  <c r="Y27" i="2" s="1"/>
  <c r="T5" i="2"/>
  <c r="T7" i="2" s="1"/>
  <c r="T27" i="2" s="1"/>
  <c r="S5" i="2"/>
  <c r="S7" i="2" s="1"/>
  <c r="S27" i="2" s="1"/>
  <c r="R5" i="2"/>
  <c r="R7" i="2" s="1"/>
  <c r="R27" i="2" s="1"/>
  <c r="Q5" i="2"/>
  <c r="Q7" i="2" s="1"/>
  <c r="Q27" i="2" s="1"/>
  <c r="P5" i="2"/>
  <c r="O5" i="2"/>
  <c r="N5" i="2"/>
  <c r="M5" i="2"/>
  <c r="M7" i="2" s="1"/>
  <c r="M27" i="2" s="1"/>
  <c r="L5" i="2"/>
  <c r="L7" i="2" s="1"/>
  <c r="K5" i="2"/>
  <c r="K131" i="2" s="1"/>
  <c r="J5" i="2"/>
  <c r="J131" i="2" s="1"/>
  <c r="I5" i="2"/>
  <c r="I131" i="2" s="1"/>
  <c r="H5" i="2"/>
  <c r="H131" i="2" s="1"/>
  <c r="G5" i="2"/>
  <c r="G131" i="2" s="1"/>
  <c r="F5" i="2"/>
  <c r="F131" i="2" s="1"/>
  <c r="E5" i="2"/>
  <c r="E131" i="2" s="1"/>
  <c r="D5" i="2"/>
  <c r="D131" i="2" s="1"/>
  <c r="C5" i="2"/>
  <c r="C131" i="2" s="1"/>
  <c r="AA105" i="2"/>
  <c r="Z105" i="2"/>
  <c r="Y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A97" i="2"/>
  <c r="Z97" i="2"/>
  <c r="Y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A89" i="2"/>
  <c r="Z89" i="2"/>
  <c r="Z123" i="2" s="1"/>
  <c r="Y89" i="2"/>
  <c r="T89" i="2"/>
  <c r="T123" i="2" s="1"/>
  <c r="S89" i="2"/>
  <c r="S123" i="2" s="1"/>
  <c r="R89" i="2"/>
  <c r="Q89" i="2"/>
  <c r="P89" i="2"/>
  <c r="P123" i="2" s="1"/>
  <c r="O89" i="2"/>
  <c r="O123" i="2" s="1"/>
  <c r="N89" i="2"/>
  <c r="M89" i="2"/>
  <c r="L89" i="2"/>
  <c r="L123" i="2" s="1"/>
  <c r="K89" i="2"/>
  <c r="J89" i="2"/>
  <c r="I89" i="2"/>
  <c r="I123" i="2" s="1"/>
  <c r="H89" i="2"/>
  <c r="H123" i="2" s="1"/>
  <c r="G89" i="2"/>
  <c r="G123" i="2" s="1"/>
  <c r="F89" i="2"/>
  <c r="E89" i="2"/>
  <c r="D89" i="2"/>
  <c r="D123" i="2" s="1"/>
  <c r="C89" i="2"/>
  <c r="C123" i="2" s="1"/>
  <c r="AA38" i="2"/>
  <c r="Z38" i="2"/>
  <c r="Y38" i="2"/>
  <c r="T38" i="2"/>
  <c r="S38" i="2"/>
  <c r="R38" i="2"/>
  <c r="Q38" i="2"/>
  <c r="P38" i="2"/>
  <c r="O38" i="2"/>
  <c r="M38" i="2"/>
  <c r="L38" i="2"/>
  <c r="K38" i="2"/>
  <c r="J38" i="2"/>
  <c r="I38" i="2"/>
  <c r="H38" i="2"/>
  <c r="G38" i="2"/>
  <c r="F38" i="2"/>
  <c r="E38" i="2"/>
  <c r="D38" i="2"/>
  <c r="C38" i="2"/>
  <c r="N38" i="2"/>
  <c r="J11" i="1"/>
  <c r="J10" i="1"/>
  <c r="J8" i="1"/>
  <c r="J9" i="1" s="1"/>
  <c r="AA68" i="2"/>
  <c r="Z68" i="2"/>
  <c r="Y68" i="2"/>
  <c r="AA67" i="2"/>
  <c r="Z67" i="2"/>
  <c r="Y67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8" i="2"/>
  <c r="C67" i="2"/>
  <c r="AA61" i="2"/>
  <c r="AA63" i="2" s="1"/>
  <c r="Z61" i="2"/>
  <c r="Z63" i="2" s="1"/>
  <c r="Y61" i="2"/>
  <c r="Y63" i="2" s="1"/>
  <c r="T61" i="2"/>
  <c r="T63" i="2" s="1"/>
  <c r="S61" i="2"/>
  <c r="S63" i="2" s="1"/>
  <c r="R61" i="2"/>
  <c r="R63" i="2" s="1"/>
  <c r="Q61" i="2"/>
  <c r="Q63" i="2" s="1"/>
  <c r="P61" i="2"/>
  <c r="P63" i="2" s="1"/>
  <c r="O61" i="2"/>
  <c r="O63" i="2" s="1"/>
  <c r="N61" i="2"/>
  <c r="N63" i="2" s="1"/>
  <c r="M61" i="2"/>
  <c r="M63" i="2" s="1"/>
  <c r="L61" i="2"/>
  <c r="L63" i="2" s="1"/>
  <c r="K61" i="2"/>
  <c r="K63" i="2" s="1"/>
  <c r="J61" i="2"/>
  <c r="J63" i="2" s="1"/>
  <c r="I61" i="2"/>
  <c r="I63" i="2" s="1"/>
  <c r="H61" i="2"/>
  <c r="H63" i="2" s="1"/>
  <c r="G61" i="2"/>
  <c r="G63" i="2" s="1"/>
  <c r="F61" i="2"/>
  <c r="F63" i="2" s="1"/>
  <c r="E61" i="2"/>
  <c r="E63" i="2" s="1"/>
  <c r="D61" i="2"/>
  <c r="D63" i="2" s="1"/>
  <c r="C61" i="2"/>
  <c r="C63" i="2" s="1"/>
  <c r="AA55" i="2"/>
  <c r="Z55" i="2"/>
  <c r="Y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A47" i="2"/>
  <c r="AA70" i="2" s="1"/>
  <c r="Z47" i="2"/>
  <c r="Z70" i="2" s="1"/>
  <c r="Y47" i="2"/>
  <c r="Y70" i="2" s="1"/>
  <c r="T47" i="2"/>
  <c r="T70" i="2" s="1"/>
  <c r="S47" i="2"/>
  <c r="S70" i="2" s="1"/>
  <c r="R47" i="2"/>
  <c r="R70" i="2" s="1"/>
  <c r="Q47" i="2"/>
  <c r="Q70" i="2" s="1"/>
  <c r="P47" i="2"/>
  <c r="P70" i="2" s="1"/>
  <c r="O47" i="2"/>
  <c r="O70" i="2" s="1"/>
  <c r="N47" i="2"/>
  <c r="N70" i="2" s="1"/>
  <c r="M47" i="2"/>
  <c r="M70" i="2" s="1"/>
  <c r="L47" i="2"/>
  <c r="L70" i="2" s="1"/>
  <c r="K47" i="2"/>
  <c r="K70" i="2" s="1"/>
  <c r="J47" i="2"/>
  <c r="J70" i="2" s="1"/>
  <c r="I47" i="2"/>
  <c r="I70" i="2" s="1"/>
  <c r="H47" i="2"/>
  <c r="H70" i="2" s="1"/>
  <c r="G47" i="2"/>
  <c r="G70" i="2" s="1"/>
  <c r="F47" i="2"/>
  <c r="F70" i="2" s="1"/>
  <c r="E47" i="2"/>
  <c r="E70" i="2" s="1"/>
  <c r="D47" i="2"/>
  <c r="D70" i="2" s="1"/>
  <c r="C47" i="2"/>
  <c r="C70" i="2" s="1"/>
  <c r="AA11" i="2"/>
  <c r="Z11" i="2"/>
  <c r="Y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Y131" i="2" l="1"/>
  <c r="Z7" i="2"/>
  <c r="Z27" i="2" s="1"/>
  <c r="R131" i="2"/>
  <c r="Z34" i="2"/>
  <c r="AA7" i="2"/>
  <c r="AA27" i="2" s="1"/>
  <c r="S131" i="2"/>
  <c r="N34" i="2"/>
  <c r="R34" i="2"/>
  <c r="S34" i="2"/>
  <c r="I7" i="2"/>
  <c r="I27" i="2" s="1"/>
  <c r="L34" i="2"/>
  <c r="M34" i="2"/>
  <c r="G108" i="2"/>
  <c r="P34" i="2"/>
  <c r="O34" i="2"/>
  <c r="Q34" i="2"/>
  <c r="C7" i="2"/>
  <c r="C27" i="2" s="1"/>
  <c r="E108" i="2"/>
  <c r="H108" i="2"/>
  <c r="F108" i="2"/>
  <c r="I108" i="2"/>
  <c r="M131" i="2"/>
  <c r="N131" i="2"/>
  <c r="O7" i="2"/>
  <c r="O27" i="2" s="1"/>
  <c r="O131" i="2"/>
  <c r="Y108" i="2"/>
  <c r="Y111" i="2" s="1"/>
  <c r="Z110" i="2" s="1"/>
  <c r="P131" i="2"/>
  <c r="J34" i="2"/>
  <c r="Q108" i="2"/>
  <c r="L131" i="2"/>
  <c r="R108" i="2"/>
  <c r="N7" i="2"/>
  <c r="N12" i="2" s="1"/>
  <c r="S108" i="2"/>
  <c r="H126" i="2"/>
  <c r="Y123" i="2"/>
  <c r="Z126" i="2" s="1"/>
  <c r="Q131" i="2"/>
  <c r="K34" i="2"/>
  <c r="AA34" i="2"/>
  <c r="T131" i="2"/>
  <c r="P7" i="2"/>
  <c r="P27" i="2" s="1"/>
  <c r="T34" i="2"/>
  <c r="F7" i="2"/>
  <c r="F27" i="2" s="1"/>
  <c r="E7" i="2"/>
  <c r="E27" i="2" s="1"/>
  <c r="G7" i="2"/>
  <c r="G27" i="2" s="1"/>
  <c r="H7" i="2"/>
  <c r="H27" i="2" s="1"/>
  <c r="J7" i="2"/>
  <c r="J27" i="2" s="1"/>
  <c r="H34" i="2"/>
  <c r="K7" i="2"/>
  <c r="K12" i="2" s="1"/>
  <c r="K15" i="2" s="1"/>
  <c r="K17" i="2" s="1"/>
  <c r="K30" i="2" s="1"/>
  <c r="I34" i="2"/>
  <c r="D7" i="2"/>
  <c r="D12" i="2" s="1"/>
  <c r="G34" i="2"/>
  <c r="J108" i="2"/>
  <c r="T108" i="2"/>
  <c r="K108" i="2"/>
  <c r="AA108" i="2"/>
  <c r="L126" i="2"/>
  <c r="M108" i="2"/>
  <c r="E123" i="2"/>
  <c r="I126" i="2" s="1"/>
  <c r="N108" i="2"/>
  <c r="F123" i="2"/>
  <c r="O108" i="2"/>
  <c r="D108" i="2"/>
  <c r="T126" i="2"/>
  <c r="G126" i="2"/>
  <c r="P126" i="2"/>
  <c r="K123" i="2"/>
  <c r="O126" i="2" s="1"/>
  <c r="Z108" i="2"/>
  <c r="L108" i="2"/>
  <c r="N123" i="2"/>
  <c r="M123" i="2"/>
  <c r="M126" i="2" s="1"/>
  <c r="J123" i="2"/>
  <c r="Q123" i="2"/>
  <c r="P108" i="2"/>
  <c r="R123" i="2"/>
  <c r="C108" i="2"/>
  <c r="C111" i="2" s="1"/>
  <c r="D110" i="2" s="1"/>
  <c r="S126" i="2"/>
  <c r="AA123" i="2"/>
  <c r="F64" i="2"/>
  <c r="R64" i="2"/>
  <c r="J13" i="1"/>
  <c r="L64" i="2"/>
  <c r="M64" i="2"/>
  <c r="P64" i="2"/>
  <c r="Q64" i="2"/>
  <c r="C69" i="2"/>
  <c r="O69" i="2"/>
  <c r="D69" i="2"/>
  <c r="S64" i="2"/>
  <c r="T64" i="2"/>
  <c r="Y64" i="2"/>
  <c r="E64" i="2"/>
  <c r="Y69" i="2"/>
  <c r="T69" i="2"/>
  <c r="Q69" i="2"/>
  <c r="R69" i="2"/>
  <c r="S69" i="2"/>
  <c r="P69" i="2"/>
  <c r="E69" i="2"/>
  <c r="O64" i="2"/>
  <c r="N64" i="2"/>
  <c r="C64" i="2"/>
  <c r="D64" i="2"/>
  <c r="G64" i="2"/>
  <c r="G69" i="2"/>
  <c r="H64" i="2"/>
  <c r="H69" i="2"/>
  <c r="F69" i="2"/>
  <c r="I64" i="2"/>
  <c r="I69" i="2"/>
  <c r="J64" i="2"/>
  <c r="J69" i="2"/>
  <c r="K64" i="2"/>
  <c r="K69" i="2"/>
  <c r="L69" i="2"/>
  <c r="Z64" i="2"/>
  <c r="Z69" i="2"/>
  <c r="M69" i="2"/>
  <c r="AA64" i="2"/>
  <c r="AA69" i="2"/>
  <c r="N69" i="2"/>
  <c r="T12" i="2"/>
  <c r="T15" i="2" s="1"/>
  <c r="Q12" i="2"/>
  <c r="Q15" i="2" s="1"/>
  <c r="L12" i="2"/>
  <c r="L15" i="2" s="1"/>
  <c r="L17" i="2" s="1"/>
  <c r="R12" i="2"/>
  <c r="R15" i="2" s="1"/>
  <c r="S12" i="2"/>
  <c r="S15" i="2" s="1"/>
  <c r="L27" i="2"/>
  <c r="M12" i="2"/>
  <c r="Y12" i="2"/>
  <c r="Z12" i="2" l="1"/>
  <c r="Z15" i="2" s="1"/>
  <c r="N27" i="2"/>
  <c r="G12" i="2"/>
  <c r="G28" i="2" s="1"/>
  <c r="I12" i="2"/>
  <c r="I28" i="2" s="1"/>
  <c r="AA12" i="2"/>
  <c r="AA15" i="2" s="1"/>
  <c r="Z111" i="2"/>
  <c r="AA110" i="2" s="1"/>
  <c r="AA111" i="2" s="1"/>
  <c r="Q126" i="2"/>
  <c r="F12" i="2"/>
  <c r="F28" i="2" s="1"/>
  <c r="O12" i="2"/>
  <c r="O28" i="2" s="1"/>
  <c r="K27" i="2"/>
  <c r="E12" i="2"/>
  <c r="E28" i="2" s="1"/>
  <c r="C12" i="2"/>
  <c r="C15" i="2" s="1"/>
  <c r="H12" i="2"/>
  <c r="H28" i="2" s="1"/>
  <c r="P12" i="2"/>
  <c r="P15" i="2" s="1"/>
  <c r="P17" i="2" s="1"/>
  <c r="P30" i="2" s="1"/>
  <c r="D27" i="2"/>
  <c r="J12" i="2"/>
  <c r="J15" i="2" s="1"/>
  <c r="J17" i="2" s="1"/>
  <c r="N126" i="2"/>
  <c r="D111" i="2"/>
  <c r="E110" i="2" s="1"/>
  <c r="E111" i="2" s="1"/>
  <c r="F110" i="2" s="1"/>
  <c r="F111" i="2" s="1"/>
  <c r="G110" i="2" s="1"/>
  <c r="G111" i="2" s="1"/>
  <c r="H110" i="2" s="1"/>
  <c r="H111" i="2" s="1"/>
  <c r="I110" i="2" s="1"/>
  <c r="I111" i="2" s="1"/>
  <c r="J110" i="2" s="1"/>
  <c r="J111" i="2" s="1"/>
  <c r="K110" i="2" s="1"/>
  <c r="K111" i="2" s="1"/>
  <c r="L110" i="2" s="1"/>
  <c r="L111" i="2" s="1"/>
  <c r="M110" i="2" s="1"/>
  <c r="M111" i="2" s="1"/>
  <c r="N110" i="2" s="1"/>
  <c r="N111" i="2" s="1"/>
  <c r="O110" i="2" s="1"/>
  <c r="O111" i="2" s="1"/>
  <c r="P110" i="2" s="1"/>
  <c r="P111" i="2" s="1"/>
  <c r="Q110" i="2" s="1"/>
  <c r="Q111" i="2" s="1"/>
  <c r="R110" i="2" s="1"/>
  <c r="R111" i="2" s="1"/>
  <c r="S110" i="2" s="1"/>
  <c r="S111" i="2" s="1"/>
  <c r="T110" i="2" s="1"/>
  <c r="T111" i="2" s="1"/>
  <c r="R126" i="2"/>
  <c r="K126" i="2"/>
  <c r="J14" i="1"/>
  <c r="J15" i="1"/>
  <c r="J16" i="1"/>
  <c r="J126" i="2"/>
  <c r="AA126" i="2"/>
  <c r="T28" i="2"/>
  <c r="K29" i="2"/>
  <c r="R28" i="2"/>
  <c r="K20" i="2"/>
  <c r="L28" i="2"/>
  <c r="L29" i="2"/>
  <c r="S28" i="2"/>
  <c r="Q28" i="2"/>
  <c r="K28" i="2"/>
  <c r="D15" i="2"/>
  <c r="D28" i="2"/>
  <c r="Q17" i="2"/>
  <c r="Q29" i="2"/>
  <c r="N15" i="2"/>
  <c r="N28" i="2"/>
  <c r="Y28" i="2"/>
  <c r="Y15" i="2"/>
  <c r="M15" i="2"/>
  <c r="M28" i="2"/>
  <c r="R17" i="2"/>
  <c r="R29" i="2"/>
  <c r="T17" i="2"/>
  <c r="T29" i="2"/>
  <c r="L30" i="2"/>
  <c r="L20" i="2"/>
  <c r="L74" i="2" s="1"/>
  <c r="S17" i="2"/>
  <c r="S29" i="2"/>
  <c r="AA28" i="2" l="1"/>
  <c r="Z28" i="2"/>
  <c r="G15" i="2"/>
  <c r="G29" i="2" s="1"/>
  <c r="H15" i="2"/>
  <c r="H17" i="2" s="1"/>
  <c r="H20" i="2" s="1"/>
  <c r="H74" i="2" s="1"/>
  <c r="E15" i="2"/>
  <c r="E29" i="2" s="1"/>
  <c r="F15" i="2"/>
  <c r="F29" i="2" s="1"/>
  <c r="I15" i="2"/>
  <c r="I17" i="2" s="1"/>
  <c r="I20" i="2" s="1"/>
  <c r="I74" i="2" s="1"/>
  <c r="P28" i="2"/>
  <c r="P29" i="2"/>
  <c r="C28" i="2"/>
  <c r="P20" i="2"/>
  <c r="P74" i="2" s="1"/>
  <c r="P125" i="2" s="1"/>
  <c r="O15" i="2"/>
  <c r="O17" i="2" s="1"/>
  <c r="J29" i="2"/>
  <c r="J28" i="2"/>
  <c r="L125" i="2"/>
  <c r="L124" i="2"/>
  <c r="K24" i="2"/>
  <c r="K74" i="2"/>
  <c r="K23" i="2"/>
  <c r="T20" i="2"/>
  <c r="T74" i="2" s="1"/>
  <c r="T30" i="2"/>
  <c r="M29" i="2"/>
  <c r="M17" i="2"/>
  <c r="AA17" i="2"/>
  <c r="AA29" i="2"/>
  <c r="L24" i="2"/>
  <c r="L23" i="2"/>
  <c r="Y17" i="2"/>
  <c r="Y29" i="2"/>
  <c r="J30" i="2"/>
  <c r="J20" i="2"/>
  <c r="J74" i="2" s="1"/>
  <c r="C29" i="2"/>
  <c r="C17" i="2"/>
  <c r="N29" i="2"/>
  <c r="N17" i="2"/>
  <c r="Z17" i="2"/>
  <c r="Z29" i="2"/>
  <c r="Q20" i="2"/>
  <c r="Q74" i="2" s="1"/>
  <c r="Q30" i="2"/>
  <c r="S20" i="2"/>
  <c r="S74" i="2" s="1"/>
  <c r="S30" i="2"/>
  <c r="R20" i="2"/>
  <c r="R74" i="2" s="1"/>
  <c r="R30" i="2"/>
  <c r="D29" i="2"/>
  <c r="D17" i="2"/>
  <c r="I30" i="2" l="1"/>
  <c r="I29" i="2"/>
  <c r="G17" i="2"/>
  <c r="G20" i="2" s="1"/>
  <c r="G74" i="2" s="1"/>
  <c r="F17" i="2"/>
  <c r="E17" i="2"/>
  <c r="E30" i="2" s="1"/>
  <c r="H30" i="2"/>
  <c r="H29" i="2"/>
  <c r="O29" i="2"/>
  <c r="P124" i="2"/>
  <c r="P23" i="2"/>
  <c r="P24" i="2"/>
  <c r="T125" i="2"/>
  <c r="T124" i="2"/>
  <c r="I125" i="2"/>
  <c r="I124" i="2"/>
  <c r="J125" i="2"/>
  <c r="J124" i="2"/>
  <c r="R125" i="2"/>
  <c r="R124" i="2"/>
  <c r="G125" i="2"/>
  <c r="G124" i="2"/>
  <c r="K125" i="2"/>
  <c r="K124" i="2"/>
  <c r="S125" i="2"/>
  <c r="S124" i="2"/>
  <c r="Q125" i="2"/>
  <c r="Q124" i="2"/>
  <c r="H125" i="2"/>
  <c r="H124" i="2"/>
  <c r="G30" i="2"/>
  <c r="R24" i="2"/>
  <c r="R23" i="2"/>
  <c r="O30" i="2"/>
  <c r="O20" i="2"/>
  <c r="O74" i="2" s="1"/>
  <c r="S24" i="2"/>
  <c r="S23" i="2"/>
  <c r="Z30" i="2"/>
  <c r="Z20" i="2"/>
  <c r="Z74" i="2" s="1"/>
  <c r="Y20" i="2"/>
  <c r="Y74" i="2" s="1"/>
  <c r="Y30" i="2"/>
  <c r="F20" i="2"/>
  <c r="F74" i="2" s="1"/>
  <c r="F30" i="2"/>
  <c r="G23" i="2"/>
  <c r="G24" i="2"/>
  <c r="N30" i="2"/>
  <c r="N20" i="2"/>
  <c r="N74" i="2" s="1"/>
  <c r="Q24" i="2"/>
  <c r="Q23" i="2"/>
  <c r="AA30" i="2"/>
  <c r="AA20" i="2"/>
  <c r="AA74" i="2" s="1"/>
  <c r="C30" i="2"/>
  <c r="C20" i="2"/>
  <c r="C74" i="2" s="1"/>
  <c r="M30" i="2"/>
  <c r="M20" i="2"/>
  <c r="M74" i="2" s="1"/>
  <c r="H23" i="2"/>
  <c r="H24" i="2"/>
  <c r="D20" i="2"/>
  <c r="D74" i="2" s="1"/>
  <c r="D30" i="2"/>
  <c r="I23" i="2"/>
  <c r="I24" i="2"/>
  <c r="T23" i="2"/>
  <c r="T24" i="2"/>
  <c r="J23" i="2"/>
  <c r="J24" i="2"/>
  <c r="E20" i="2" l="1"/>
  <c r="E74" i="2" s="1"/>
  <c r="O125" i="2"/>
  <c r="O124" i="2"/>
  <c r="N125" i="2"/>
  <c r="N124" i="2"/>
  <c r="D125" i="2"/>
  <c r="D124" i="2"/>
  <c r="M125" i="2"/>
  <c r="M124" i="2"/>
  <c r="F125" i="2"/>
  <c r="F124" i="2"/>
  <c r="C125" i="2"/>
  <c r="C124" i="2"/>
  <c r="E125" i="2"/>
  <c r="E124" i="2"/>
  <c r="Y125" i="2"/>
  <c r="Y124" i="2"/>
  <c r="AA125" i="2"/>
  <c r="AA124" i="2"/>
  <c r="Z125" i="2"/>
  <c r="Z124" i="2"/>
  <c r="M24" i="2"/>
  <c r="M23" i="2"/>
  <c r="F24" i="2"/>
  <c r="F23" i="2"/>
  <c r="C24" i="2"/>
  <c r="C23" i="2"/>
  <c r="E24" i="2"/>
  <c r="E23" i="2"/>
  <c r="Y24" i="2"/>
  <c r="Y23" i="2"/>
  <c r="AA24" i="2"/>
  <c r="AA23" i="2"/>
  <c r="Z24" i="2"/>
  <c r="Z23" i="2"/>
  <c r="N24" i="2"/>
  <c r="N23" i="2"/>
  <c r="O24" i="2"/>
  <c r="O23" i="2"/>
  <c r="D23" i="2"/>
  <c r="D24" i="2"/>
</calcChain>
</file>

<file path=xl/sharedStrings.xml><?xml version="1.0" encoding="utf-8"?>
<sst xmlns="http://schemas.openxmlformats.org/spreadsheetml/2006/main" count="146" uniqueCount="141">
  <si>
    <t>Price</t>
  </si>
  <si>
    <t>S/O</t>
  </si>
  <si>
    <t>MC</t>
  </si>
  <si>
    <t>C</t>
  </si>
  <si>
    <t>D</t>
  </si>
  <si>
    <t>EV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</si>
  <si>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</si>
  <si>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</si>
  <si>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</si>
  <si>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</si>
  <si>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</si>
  <si>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</si>
  <si>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</si>
  <si>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</si>
  <si>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</si>
  <si>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</si>
  <si>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</si>
  <si>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</si>
  <si>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</si>
  <si>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</si>
  <si>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</si>
  <si>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</si>
  <si>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</si>
  <si>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</si>
  <si>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Basic</t>
  </si>
  <si>
    <t>Diluted</t>
  </si>
  <si>
    <t>EPS Basic</t>
  </si>
  <si>
    <t>EPS Diluted</t>
  </si>
  <si>
    <t>COGS</t>
  </si>
  <si>
    <t>Gross Profit</t>
  </si>
  <si>
    <t>R&amp;D</t>
  </si>
  <si>
    <t>S&amp;M</t>
  </si>
  <si>
    <t>G&amp;A</t>
  </si>
  <si>
    <t>OpEx</t>
  </si>
  <si>
    <t>OpInc</t>
  </si>
  <si>
    <t>IntExp</t>
  </si>
  <si>
    <t>IntInc &amp; Other</t>
  </si>
  <si>
    <t>Pretax Income</t>
  </si>
  <si>
    <t>Taxes</t>
  </si>
  <si>
    <t>Net Income</t>
  </si>
  <si>
    <t>Noncontrolling</t>
  </si>
  <si>
    <t>Adj.</t>
  </si>
  <si>
    <t>Net Income attributable to Unity</t>
  </si>
  <si>
    <t>Gross Margin</t>
  </si>
  <si>
    <t>Op Margin</t>
  </si>
  <si>
    <t>Net Margin</t>
  </si>
  <si>
    <t>Revenue YoY</t>
  </si>
  <si>
    <t>Tax Margin</t>
  </si>
  <si>
    <t>Short-term investments</t>
  </si>
  <si>
    <t>Accounts receivable, net</t>
  </si>
  <si>
    <t>Prepaid expenses and other</t>
  </si>
  <si>
    <t>Goodwill</t>
  </si>
  <si>
    <t>Other assets</t>
  </si>
  <si>
    <t>Total Assets</t>
  </si>
  <si>
    <t>Accounts payable</t>
  </si>
  <si>
    <t>Accrued expenses and other</t>
  </si>
  <si>
    <t>Publisher payables</t>
  </si>
  <si>
    <t>Deferred revenue</t>
  </si>
  <si>
    <t>Long-term debt</t>
  </si>
  <si>
    <t>Long-term deferred revenue</t>
  </si>
  <si>
    <t>Total liabilities</t>
  </si>
  <si>
    <t>Redeemable noncontrolling interests</t>
  </si>
  <si>
    <t>Common stock</t>
  </si>
  <si>
    <t>Additional paid-in capital</t>
  </si>
  <si>
    <t>Accumulated other comprehensive loss</t>
  </si>
  <si>
    <t>Accumulated deficit</t>
  </si>
  <si>
    <t>Total Unity Software Inc. stockholders' equity</t>
  </si>
  <si>
    <t>Noncontrolling interest</t>
  </si>
  <si>
    <t>Total stockholders’ equity</t>
  </si>
  <si>
    <t>Total liabilities and stockholders’ equity</t>
  </si>
  <si>
    <t>Cash</t>
  </si>
  <si>
    <t>A/R</t>
  </si>
  <si>
    <t>Prepaids &amp; Other</t>
  </si>
  <si>
    <t>PP&amp;A</t>
  </si>
  <si>
    <t>Intangible assets</t>
  </si>
  <si>
    <t>A/P</t>
  </si>
  <si>
    <t>Accrued expenses &amp; other</t>
  </si>
  <si>
    <t>ONCL</t>
  </si>
  <si>
    <t>Current Ratio</t>
  </si>
  <si>
    <t>Quick Ratio</t>
  </si>
  <si>
    <t>Debt-To-Equity</t>
  </si>
  <si>
    <t>Hard Asset Ratio</t>
  </si>
  <si>
    <t>Net Cash</t>
  </si>
  <si>
    <t>Stock-based compensation expense</t>
  </si>
  <si>
    <t>Gain on repayment of convertible note</t>
  </si>
  <si>
    <t>Impairment of property and equipment</t>
  </si>
  <si>
    <t>Other</t>
  </si>
  <si>
    <t>Other long-term liabilities</t>
  </si>
  <si>
    <t>Purchases of short-term investments</t>
  </si>
  <si>
    <t>Proceeds from sales of short-term investments</t>
  </si>
  <si>
    <t>Proceeds from principal repayments and maturities of short-term investments</t>
  </si>
  <si>
    <t>Purchases of intangible assets</t>
  </si>
  <si>
    <t>Business acquisitions, net of cash acquired</t>
  </si>
  <si>
    <t>Proceeds from issuance of convertible notes</t>
  </si>
  <si>
    <t>Purchase of capped calls</t>
  </si>
  <si>
    <t>Payment of debt issuance costs</t>
  </si>
  <si>
    <t>Capital contribution from noncontrolling interest holders</t>
  </si>
  <si>
    <t>Repurchase and retirement of common stock</t>
  </si>
  <si>
    <t>Proceeds from issuance of common stock from employee equity plans</t>
  </si>
  <si>
    <t>Repayments of convertible note</t>
  </si>
  <si>
    <t>Supplemental Disclosure of Cash Information:</t>
  </si>
  <si>
    <t>Cash paid for interest</t>
  </si>
  <si>
    <t>Cash paid for income taxes, net of refunds</t>
  </si>
  <si>
    <t>Cash paid for operating leases</t>
  </si>
  <si>
    <t>Supplemental disclosures of non‑cash investing and financing activities:</t>
  </si>
  <si>
    <t>Fair value of common stock issued as consideration for business and asset acquisitions</t>
  </si>
  <si>
    <t>Assets acquired under operating lease</t>
  </si>
  <si>
    <t>Model NI</t>
  </si>
  <si>
    <t>GAAP NI</t>
  </si>
  <si>
    <t>D&amp;A</t>
  </si>
  <si>
    <t>CFFO</t>
  </si>
  <si>
    <t>CapEx</t>
  </si>
  <si>
    <t>CFFI</t>
  </si>
  <si>
    <t>CFFF</t>
  </si>
  <si>
    <t>FX adj.</t>
  </si>
  <si>
    <t>CF</t>
  </si>
  <si>
    <t>Cash BOP</t>
  </si>
  <si>
    <t>Cash EOP</t>
  </si>
  <si>
    <t>Adj. EBITDA</t>
  </si>
  <si>
    <t>FCF</t>
  </si>
  <si>
    <t>FCF Margin</t>
  </si>
  <si>
    <t>CapEx Margin</t>
  </si>
  <si>
    <t>FCF YoY</t>
  </si>
  <si>
    <t>Adj. EBITDA Margin</t>
  </si>
  <si>
    <t>EV/Last 4Q Sales</t>
  </si>
  <si>
    <t>EV/Last 4Q Adj. EBITDA</t>
  </si>
  <si>
    <t>EV/Last 4Q FCF</t>
  </si>
  <si>
    <t>Create Solutions</t>
  </si>
  <si>
    <t>Grow Solutions</t>
  </si>
  <si>
    <t>Total Revenue</t>
  </si>
  <si>
    <t>Create YoY</t>
  </si>
  <si>
    <t>Grow YoY</t>
  </si>
  <si>
    <t>Revenue by Geography</t>
  </si>
  <si>
    <t>United States</t>
  </si>
  <si>
    <t>China</t>
  </si>
  <si>
    <t>EMEA</t>
  </si>
  <si>
    <t>APAC</t>
  </si>
  <si>
    <t>Other Americas</t>
  </si>
  <si>
    <t>Dollar-based net expansion rate</t>
  </si>
  <si>
    <t>&gt;$100K Customers</t>
  </si>
  <si>
    <t>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</si>
</sst>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&quot;$&quot;#,##0,_);&quot;$&quot;\(#,##0,\);&quot;$&quot;&quot;—&quot;_);_(@_)"/>
    <numFmt numFmtId="165" formatCode="#,##0,;\(#,##0,\);&quot;—&quot;;_(@_)"/>
    <numFmt numFmtId="168" formatCode="&quot;$&quot;#,##0,_);&quot;$&quot;\(#,##0,\);&quot;$&quot;#,##0,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0" fontId="2" fillId="0" borderId="0" xfId="0" applyFont="1" applyBorder="1"/>
    <xf numFmtId="164" fontId="1" fillId="0" borderId="0" xfId="0" applyNumberFormat="1" applyFont="1" applyBorder="1"/>
    <xf numFmtId="7" fontId="1" fillId="0" borderId="0" xfId="0" applyNumberFormat="1" applyFont="1" applyBorder="1"/>
    <xf numFmtId="10" fontId="1" fillId="0" borderId="0" xfId="0" applyNumberFormat="1" applyFont="1" applyBorder="1"/>
    <xf numFmtId="4" fontId="1" fillId="0" borderId="0" xfId="0" applyNumberFormat="1" applyFont="1" applyBorder="1"/>
    <xf numFmtId="9" fontId="1" fillId="0" borderId="0" xfId="0" applyNumberFormat="1" applyFont="1" applyBorder="1"/>
    <xf numFmtId="164" fontId="4" fillId="0" borderId="0" xfId="0" applyNumberFormat="1" applyFont="1" applyBorder="1" applyAlignment="1">
      <alignment wrapText="1"/>
    </xf>
    <xf numFmtId="165" fontId="4" fillId="0" borderId="0" xfId="0" applyNumberFormat="1" applyFont="1" applyBorder="1" applyAlignment="1">
      <alignment wrapText="1"/>
    </xf>
    <xf numFmtId="165" fontId="5" fillId="0" borderId="0" xfId="0" applyNumberFormat="1" applyFont="1" applyBorder="1" applyAlignment="1">
      <alignment wrapText="1"/>
    </xf>
    <xf numFmtId="164" fontId="5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5" fillId="0" borderId="0" xfId="0" applyFont="1" applyBorder="1" applyAlignment="1"/>
    <xf numFmtId="0" fontId="4" fillId="0" borderId="0" xfId="0" applyFont="1" applyBorder="1" applyAlignment="1">
      <alignment horizontal="left" wrapText="1" indent="2"/>
    </xf>
    <xf numFmtId="9" fontId="4" fillId="0" borderId="0" xfId="0" applyNumberFormat="1" applyFont="1" applyBorder="1" applyAlignment="1">
      <alignment wrapText="1"/>
    </xf>
    <xf numFmtId="4" fontId="1" fillId="0" borderId="0" xfId="0" applyNumberFormat="1" applyFont="1"/>
    <xf numFmtId="168" fontId="4" fillId="0" borderId="0" xfId="0" applyNumberFormat="1" applyFont="1" applyBorder="1" applyAlignment="1">
      <alignment wrapText="1"/>
    </xf>
    <xf numFmtId="168" fontId="1" fillId="0" borderId="0" xfId="0" applyNumberFormat="1" applyFont="1" applyBorder="1"/>
    <xf numFmtId="168" fontId="5" fillId="0" borderId="0" xfId="0" applyNumberFormat="1" applyFont="1" applyBorder="1" applyAlignment="1">
      <alignment wrapText="1"/>
    </xf>
    <xf numFmtId="3" fontId="1" fillId="0" borderId="0" xfId="0" applyNumberFormat="1" applyFont="1" applyBorder="1"/>
    <xf numFmtId="3" fontId="4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7:J16"/>
  <sheetViews>
    <sheetView tabSelected="1" workbookViewId="0">
      <selection activeCell="C16" sqref="C16"/>
    </sheetView>
  </sheetViews>
  <sheetFormatPr defaultRowHeight="13.2" x14ac:dyDescent="0.25"/>
  <cols>
    <col min="1" max="9" width="8.88671875" style="1"/>
    <col min="10" max="10" width="11.33203125" style="1" bestFit="1" customWidth="1"/>
    <col min="11" max="16384" width="8.88671875" style="1"/>
  </cols>
  <sheetData>
    <row r="7" spans="8:10" x14ac:dyDescent="0.25">
      <c r="I7" s="1" t="s">
        <v>0</v>
      </c>
      <c r="J7" s="1">
        <v>33.74</v>
      </c>
    </row>
    <row r="8" spans="8:10" x14ac:dyDescent="0.25">
      <c r="I8" s="1" t="s">
        <v>1</v>
      </c>
      <c r="J8" s="2">
        <f>+Model!N21/1000000</f>
        <v>417.56599999999997</v>
      </c>
    </row>
    <row r="9" spans="8:10" x14ac:dyDescent="0.25">
      <c r="I9" s="1" t="s">
        <v>2</v>
      </c>
      <c r="J9" s="2">
        <f>J7*J8</f>
        <v>14088.67684</v>
      </c>
    </row>
    <row r="10" spans="8:10" x14ac:dyDescent="0.25">
      <c r="I10" s="1" t="s">
        <v>3</v>
      </c>
      <c r="J10" s="2">
        <f>(Model!N39+Model!N40)/1000000</f>
        <v>1691.0450000000001</v>
      </c>
    </row>
    <row r="11" spans="8:10" x14ac:dyDescent="0.25">
      <c r="I11" s="1" t="s">
        <v>4</v>
      </c>
      <c r="J11" s="2">
        <f>Model!N52/1000000</f>
        <v>2233.2550000000001</v>
      </c>
    </row>
    <row r="12" spans="8:10" x14ac:dyDescent="0.25">
      <c r="J12" s="2"/>
    </row>
    <row r="13" spans="8:10" x14ac:dyDescent="0.25">
      <c r="I13" s="1" t="s">
        <v>5</v>
      </c>
      <c r="J13" s="2">
        <f>+J9+J11-J10</f>
        <v>14630.886840000001</v>
      </c>
    </row>
    <row r="14" spans="8:10" x14ac:dyDescent="0.25">
      <c r="H14" s="1" t="s">
        <v>124</v>
      </c>
      <c r="J14" s="23">
        <f>J13/((Model!N5+Model!M5+Model!L5+Model!K5)/1000000)</f>
        <v>8.221631661759087</v>
      </c>
    </row>
    <row r="15" spans="8:10" x14ac:dyDescent="0.25">
      <c r="H15" s="1" t="s">
        <v>125</v>
      </c>
      <c r="J15" s="23">
        <f>J13/((Model!G130+Model!F130+Model!E130+Model!D130)/1000000)</f>
        <v>51.717521527041363</v>
      </c>
    </row>
    <row r="16" spans="8:10" x14ac:dyDescent="0.25">
      <c r="H16" s="1" t="s">
        <v>126</v>
      </c>
      <c r="J16" s="23">
        <f>J13/((Model!N123+Model!M123+Model!L123+Model!K123)/1000000)</f>
        <v>41.2236361945818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7241-54CD-46DE-92A6-BF021AD92F0D}">
  <dimension ref="B2:AA169"/>
  <sheetViews>
    <sheetView zoomScale="103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U8" sqref="U8"/>
    </sheetView>
  </sheetViews>
  <sheetFormatPr defaultRowHeight="13.2" x14ac:dyDescent="0.25"/>
  <cols>
    <col min="1" max="1" width="8.88671875" style="3"/>
    <col min="2" max="2" width="13.5546875" style="3" bestFit="1" customWidth="1"/>
    <col min="3" max="20" width="12.109375" style="3" bestFit="1" customWidth="1"/>
    <col min="21" max="21" width="9.5546875" style="3" customWidth="1"/>
    <col min="22" max="24" width="8.88671875" style="3"/>
    <col min="25" max="26" width="12.109375" style="3" bestFit="1" customWidth="1"/>
    <col min="27" max="27" width="9.88671875" style="3" customWidth="1"/>
    <col min="28" max="16384" width="8.88671875" style="3"/>
  </cols>
  <sheetData>
    <row r="2" spans="2:27" x14ac:dyDescent="0.25"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Y2" s="3">
        <v>2023</v>
      </c>
      <c r="Z2" s="3">
        <v>2024</v>
      </c>
      <c r="AA2" s="3">
        <v>2025</v>
      </c>
    </row>
    <row r="3" spans="2:27" x14ac:dyDescent="0.25">
      <c r="B3" s="16" t="s">
        <v>127</v>
      </c>
      <c r="C3" s="11">
        <v>189178000</v>
      </c>
      <c r="D3" s="11">
        <v>197762000</v>
      </c>
      <c r="E3" s="11">
        <v>187369000</v>
      </c>
      <c r="F3" s="11">
        <v>193110000</v>
      </c>
      <c r="G3" s="11">
        <v>188900000</v>
      </c>
      <c r="H3" s="11">
        <v>289795000</v>
      </c>
      <c r="I3" s="11">
        <v>163670000</v>
      </c>
      <c r="J3" s="11">
        <v>150777000</v>
      </c>
      <c r="K3" s="11">
        <v>147369000</v>
      </c>
      <c r="L3" s="11">
        <v>152150000</v>
      </c>
      <c r="M3" s="11">
        <v>150378000</v>
      </c>
      <c r="N3" s="11">
        <v>153782000</v>
      </c>
      <c r="Y3" s="11">
        <v>859174000</v>
      </c>
      <c r="Z3" s="11">
        <v>613966000</v>
      </c>
    </row>
    <row r="4" spans="2:27" x14ac:dyDescent="0.25">
      <c r="B4" s="16" t="s">
        <v>128</v>
      </c>
      <c r="C4" s="11">
        <v>133703000</v>
      </c>
      <c r="D4" s="11">
        <v>253212000</v>
      </c>
      <c r="E4" s="11">
        <v>312992000</v>
      </c>
      <c r="F4" s="11">
        <v>340368000</v>
      </c>
      <c r="G4" s="11">
        <v>355310000</v>
      </c>
      <c r="H4" s="11">
        <v>319473000</v>
      </c>
      <c r="I4" s="11">
        <v>296710000</v>
      </c>
      <c r="J4" s="11">
        <v>298482000</v>
      </c>
      <c r="K4" s="11">
        <v>299148000</v>
      </c>
      <c r="L4" s="11">
        <v>304949000</v>
      </c>
      <c r="M4" s="11">
        <v>284622000</v>
      </c>
      <c r="N4" s="11">
        <v>287162000</v>
      </c>
      <c r="Y4" s="11">
        <v>1328143000</v>
      </c>
      <c r="Z4" s="11">
        <v>1199289000</v>
      </c>
    </row>
    <row r="5" spans="2:27" s="4" customFormat="1" x14ac:dyDescent="0.25">
      <c r="B5" s="4" t="s">
        <v>129</v>
      </c>
      <c r="C5" s="13">
        <f>SUM(C3:C4)</f>
        <v>322881000</v>
      </c>
      <c r="D5" s="13">
        <f t="shared" ref="D5:T5" si="0">SUM(D3:D4)</f>
        <v>450974000</v>
      </c>
      <c r="E5" s="13">
        <f t="shared" si="0"/>
        <v>500361000</v>
      </c>
      <c r="F5" s="13">
        <f t="shared" si="0"/>
        <v>533478000</v>
      </c>
      <c r="G5" s="13">
        <f t="shared" si="0"/>
        <v>544210000</v>
      </c>
      <c r="H5" s="13">
        <f t="shared" si="0"/>
        <v>609268000</v>
      </c>
      <c r="I5" s="13">
        <f t="shared" si="0"/>
        <v>460380000</v>
      </c>
      <c r="J5" s="13">
        <f t="shared" si="0"/>
        <v>449259000</v>
      </c>
      <c r="K5" s="13">
        <f t="shared" si="0"/>
        <v>446517000</v>
      </c>
      <c r="L5" s="13">
        <f t="shared" si="0"/>
        <v>457099000</v>
      </c>
      <c r="M5" s="13">
        <f t="shared" si="0"/>
        <v>435000000</v>
      </c>
      <c r="N5" s="13">
        <f t="shared" si="0"/>
        <v>440944000</v>
      </c>
      <c r="O5" s="13">
        <f t="shared" si="0"/>
        <v>0</v>
      </c>
      <c r="P5" s="13">
        <f t="shared" si="0"/>
        <v>0</v>
      </c>
      <c r="Q5" s="13">
        <f t="shared" si="0"/>
        <v>0</v>
      </c>
      <c r="R5" s="13">
        <f t="shared" si="0"/>
        <v>0</v>
      </c>
      <c r="S5" s="13">
        <f t="shared" si="0"/>
        <v>0</v>
      </c>
      <c r="T5" s="13">
        <f t="shared" si="0"/>
        <v>0</v>
      </c>
      <c r="Y5" s="13">
        <f t="shared" ref="Y5:AA5" si="1">SUM(Y3:Y4)</f>
        <v>2187317000</v>
      </c>
      <c r="Z5" s="13">
        <f t="shared" si="1"/>
        <v>1813255000</v>
      </c>
      <c r="AA5" s="13">
        <f t="shared" si="1"/>
        <v>0</v>
      </c>
    </row>
    <row r="6" spans="2:27" x14ac:dyDescent="0.25">
      <c r="B6" s="3" t="s">
        <v>28</v>
      </c>
      <c r="C6" s="11">
        <v>111903000</v>
      </c>
      <c r="D6" s="11">
        <v>139928000</v>
      </c>
      <c r="E6" s="11">
        <v>161964000</v>
      </c>
      <c r="F6" s="11">
        <v>158827000</v>
      </c>
      <c r="G6" s="11">
        <v>151349000</v>
      </c>
      <c r="H6" s="11">
        <v>261582000</v>
      </c>
      <c r="I6" s="11">
        <v>144387000</v>
      </c>
      <c r="J6" s="11">
        <v>108875000</v>
      </c>
      <c r="K6" s="11">
        <v>112054000</v>
      </c>
      <c r="L6" s="11">
        <v>115537000</v>
      </c>
      <c r="M6" s="11">
        <v>113957000</v>
      </c>
      <c r="N6" s="11">
        <v>114211000</v>
      </c>
      <c r="Y6" s="11">
        <v>733722000</v>
      </c>
      <c r="Z6" s="11">
        <v>480853000</v>
      </c>
    </row>
    <row r="7" spans="2:27" s="4" customFormat="1" x14ac:dyDescent="0.25">
      <c r="B7" s="4" t="s">
        <v>29</v>
      </c>
      <c r="C7" s="12">
        <f>C5-C6</f>
        <v>210978000</v>
      </c>
      <c r="D7" s="12">
        <f t="shared" ref="D7:T7" si="2">D5-D6</f>
        <v>311046000</v>
      </c>
      <c r="E7" s="12">
        <f t="shared" si="2"/>
        <v>338397000</v>
      </c>
      <c r="F7" s="12">
        <f t="shared" si="2"/>
        <v>374651000</v>
      </c>
      <c r="G7" s="12">
        <f t="shared" si="2"/>
        <v>392861000</v>
      </c>
      <c r="H7" s="12">
        <f t="shared" si="2"/>
        <v>347686000</v>
      </c>
      <c r="I7" s="12">
        <f t="shared" si="2"/>
        <v>315993000</v>
      </c>
      <c r="J7" s="12">
        <f t="shared" si="2"/>
        <v>340384000</v>
      </c>
      <c r="K7" s="12">
        <f t="shared" si="2"/>
        <v>334463000</v>
      </c>
      <c r="L7" s="12">
        <f t="shared" si="2"/>
        <v>341562000</v>
      </c>
      <c r="M7" s="12">
        <f t="shared" si="2"/>
        <v>321043000</v>
      </c>
      <c r="N7" s="12">
        <f t="shared" si="2"/>
        <v>326733000</v>
      </c>
      <c r="O7" s="12">
        <f t="shared" si="2"/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S7" s="12">
        <f t="shared" si="2"/>
        <v>0</v>
      </c>
      <c r="T7" s="12">
        <f t="shared" si="2"/>
        <v>0</v>
      </c>
      <c r="Y7" s="12">
        <f t="shared" ref="Y7:AA7" si="3">Y5-Y6</f>
        <v>1453595000</v>
      </c>
      <c r="Z7" s="12">
        <f t="shared" si="3"/>
        <v>1332402000</v>
      </c>
      <c r="AA7" s="12">
        <f t="shared" si="3"/>
        <v>0</v>
      </c>
    </row>
    <row r="8" spans="2:27" x14ac:dyDescent="0.25">
      <c r="B8" s="3" t="s">
        <v>30</v>
      </c>
      <c r="C8" s="11">
        <v>248380000</v>
      </c>
      <c r="D8" s="11">
        <v>274111000</v>
      </c>
      <c r="E8" s="11">
        <v>280480000</v>
      </c>
      <c r="F8" s="11">
        <v>267955000</v>
      </c>
      <c r="G8" s="11">
        <v>240003000</v>
      </c>
      <c r="H8" s="11">
        <v>265150000</v>
      </c>
      <c r="I8" s="11">
        <v>282728000</v>
      </c>
      <c r="J8" s="11">
        <v>208935000</v>
      </c>
      <c r="K8" s="11">
        <v>215197000</v>
      </c>
      <c r="L8" s="11">
        <v>217970000</v>
      </c>
      <c r="M8" s="11">
        <v>220625000</v>
      </c>
      <c r="N8" s="11">
        <v>214807000</v>
      </c>
      <c r="Y8" s="11">
        <v>1053588000</v>
      </c>
      <c r="Z8" s="11">
        <v>924830000</v>
      </c>
    </row>
    <row r="9" spans="2:27" x14ac:dyDescent="0.25">
      <c r="B9" s="3" t="s">
        <v>31</v>
      </c>
      <c r="C9" s="11">
        <v>109639000</v>
      </c>
      <c r="D9" s="11">
        <v>183470000</v>
      </c>
      <c r="E9" s="11">
        <v>216127000</v>
      </c>
      <c r="F9" s="11">
        <v>209131000</v>
      </c>
      <c r="G9" s="11">
        <v>194000000</v>
      </c>
      <c r="H9" s="11">
        <v>215367000</v>
      </c>
      <c r="I9" s="11">
        <v>230625000</v>
      </c>
      <c r="J9" s="11">
        <v>169854000</v>
      </c>
      <c r="K9" s="11">
        <v>176423000</v>
      </c>
      <c r="L9" s="11">
        <v>175747000</v>
      </c>
      <c r="M9" s="11">
        <v>162013000</v>
      </c>
      <c r="N9" s="11">
        <v>161513000</v>
      </c>
      <c r="Y9" s="11">
        <v>834625000</v>
      </c>
      <c r="Z9" s="11">
        <v>752649000</v>
      </c>
    </row>
    <row r="10" spans="2:27" x14ac:dyDescent="0.25">
      <c r="B10" s="3" t="s">
        <v>32</v>
      </c>
      <c r="C10" s="11">
        <v>92585000</v>
      </c>
      <c r="D10" s="11">
        <v>127225000</v>
      </c>
      <c r="E10" s="11">
        <v>96774000</v>
      </c>
      <c r="F10" s="11">
        <v>89017000</v>
      </c>
      <c r="G10" s="11">
        <v>86256000</v>
      </c>
      <c r="H10" s="11">
        <v>126129000</v>
      </c>
      <c r="I10" s="11">
        <v>177569000</v>
      </c>
      <c r="J10" s="11">
        <v>91015000</v>
      </c>
      <c r="K10" s="11">
        <v>69989000</v>
      </c>
      <c r="L10" s="11">
        <v>71499000</v>
      </c>
      <c r="M10" s="11">
        <v>66340000</v>
      </c>
      <c r="N10" s="11">
        <v>69165000</v>
      </c>
      <c r="Y10" s="11">
        <v>398176000</v>
      </c>
      <c r="Z10" s="11">
        <v>410072000</v>
      </c>
    </row>
    <row r="11" spans="2:27" s="4" customFormat="1" x14ac:dyDescent="0.25">
      <c r="B11" s="4" t="s">
        <v>33</v>
      </c>
      <c r="C11" s="12">
        <f>SUM(C8:C10)</f>
        <v>450604000</v>
      </c>
      <c r="D11" s="12">
        <f t="shared" ref="D11:T11" si="4">SUM(D8:D10)</f>
        <v>584806000</v>
      </c>
      <c r="E11" s="12">
        <f t="shared" si="4"/>
        <v>593381000</v>
      </c>
      <c r="F11" s="12">
        <f t="shared" si="4"/>
        <v>566103000</v>
      </c>
      <c r="G11" s="12">
        <f t="shared" si="4"/>
        <v>520259000</v>
      </c>
      <c r="H11" s="12">
        <f t="shared" si="4"/>
        <v>606646000</v>
      </c>
      <c r="I11" s="12">
        <f t="shared" si="4"/>
        <v>690922000</v>
      </c>
      <c r="J11" s="12">
        <f t="shared" si="4"/>
        <v>469804000</v>
      </c>
      <c r="K11" s="12">
        <f t="shared" si="4"/>
        <v>461609000</v>
      </c>
      <c r="L11" s="12">
        <f t="shared" si="4"/>
        <v>465216000</v>
      </c>
      <c r="M11" s="12">
        <f t="shared" si="4"/>
        <v>448978000</v>
      </c>
      <c r="N11" s="12">
        <f t="shared" si="4"/>
        <v>445485000</v>
      </c>
      <c r="O11" s="12">
        <f t="shared" si="4"/>
        <v>0</v>
      </c>
      <c r="P11" s="12">
        <f t="shared" si="4"/>
        <v>0</v>
      </c>
      <c r="Q11" s="12">
        <f t="shared" si="4"/>
        <v>0</v>
      </c>
      <c r="R11" s="12">
        <f t="shared" si="4"/>
        <v>0</v>
      </c>
      <c r="S11" s="12">
        <f t="shared" si="4"/>
        <v>0</v>
      </c>
      <c r="T11" s="12">
        <f t="shared" si="4"/>
        <v>0</v>
      </c>
      <c r="Y11" s="12">
        <f t="shared" ref="Y11" si="5">SUM(Y8:Y10)</f>
        <v>2286389000</v>
      </c>
      <c r="Z11" s="12">
        <f t="shared" ref="Z11" si="6">SUM(Z8:Z10)</f>
        <v>2087551000</v>
      </c>
      <c r="AA11" s="12">
        <f t="shared" ref="AA11" si="7">SUM(AA8:AA10)</f>
        <v>0</v>
      </c>
    </row>
    <row r="12" spans="2:27" s="4" customFormat="1" x14ac:dyDescent="0.25">
      <c r="B12" s="4" t="s">
        <v>34</v>
      </c>
      <c r="C12" s="12">
        <f>C7-C11</f>
        <v>-239626000</v>
      </c>
      <c r="D12" s="12">
        <f t="shared" ref="D12:T12" si="8">D7-D11</f>
        <v>-273760000</v>
      </c>
      <c r="E12" s="12">
        <f t="shared" si="8"/>
        <v>-254984000</v>
      </c>
      <c r="F12" s="12">
        <f t="shared" si="8"/>
        <v>-191452000</v>
      </c>
      <c r="G12" s="12">
        <f t="shared" si="8"/>
        <v>-127398000</v>
      </c>
      <c r="H12" s="12">
        <f t="shared" si="8"/>
        <v>-258960000</v>
      </c>
      <c r="I12" s="12">
        <f t="shared" si="8"/>
        <v>-374929000</v>
      </c>
      <c r="J12" s="12">
        <f t="shared" si="8"/>
        <v>-129420000</v>
      </c>
      <c r="K12" s="12">
        <f t="shared" si="8"/>
        <v>-127146000</v>
      </c>
      <c r="L12" s="12">
        <f t="shared" si="8"/>
        <v>-123654000</v>
      </c>
      <c r="M12" s="12">
        <f t="shared" si="8"/>
        <v>-127935000</v>
      </c>
      <c r="N12" s="12">
        <f t="shared" si="8"/>
        <v>-118752000</v>
      </c>
      <c r="O12" s="12">
        <f t="shared" si="8"/>
        <v>0</v>
      </c>
      <c r="P12" s="12">
        <f t="shared" si="8"/>
        <v>0</v>
      </c>
      <c r="Q12" s="12">
        <f t="shared" si="8"/>
        <v>0</v>
      </c>
      <c r="R12" s="12">
        <f t="shared" si="8"/>
        <v>0</v>
      </c>
      <c r="S12" s="12">
        <f t="shared" si="8"/>
        <v>0</v>
      </c>
      <c r="T12" s="12">
        <f t="shared" si="8"/>
        <v>0</v>
      </c>
      <c r="Y12" s="12">
        <f t="shared" ref="Y12:AA12" si="9">Y7-Y11</f>
        <v>-832794000</v>
      </c>
      <c r="Z12" s="12">
        <f t="shared" si="9"/>
        <v>-755149000</v>
      </c>
      <c r="AA12" s="12">
        <f t="shared" si="9"/>
        <v>0</v>
      </c>
    </row>
    <row r="13" spans="2:27" x14ac:dyDescent="0.25">
      <c r="B13" s="3" t="s">
        <v>35</v>
      </c>
      <c r="C13" s="11">
        <v>-1135000</v>
      </c>
      <c r="D13" s="11">
        <v>-4035000</v>
      </c>
      <c r="E13" s="11">
        <v>-6129000</v>
      </c>
      <c r="F13" s="11">
        <v>-6142000</v>
      </c>
      <c r="G13" s="11">
        <v>-6154000</v>
      </c>
      <c r="H13" s="11">
        <v>-6155000</v>
      </c>
      <c r="I13" s="11">
        <v>-6035000</v>
      </c>
      <c r="J13" s="11">
        <v>-5829000</v>
      </c>
      <c r="K13" s="11">
        <v>-5839000</v>
      </c>
      <c r="L13" s="11">
        <v>-5839000</v>
      </c>
      <c r="M13" s="11">
        <v>-5891000</v>
      </c>
      <c r="N13" s="11">
        <v>-6030000</v>
      </c>
      <c r="Y13" s="11">
        <v>-24580000</v>
      </c>
      <c r="Z13" s="11">
        <v>-23542000</v>
      </c>
    </row>
    <row r="14" spans="2:27" x14ac:dyDescent="0.25">
      <c r="B14" s="3" t="s">
        <v>36</v>
      </c>
      <c r="C14" s="11">
        <v>2208000</v>
      </c>
      <c r="D14" s="11">
        <v>7101000</v>
      </c>
      <c r="E14" s="11">
        <v>13615000</v>
      </c>
      <c r="F14" s="11">
        <v>9061000</v>
      </c>
      <c r="G14" s="11">
        <v>16013000</v>
      </c>
      <c r="H14" s="11">
        <v>20840000</v>
      </c>
      <c r="I14" s="11">
        <v>76643000</v>
      </c>
      <c r="J14" s="11">
        <v>10457000</v>
      </c>
      <c r="K14" s="11">
        <v>15350000</v>
      </c>
      <c r="L14" s="11">
        <v>9108000</v>
      </c>
      <c r="M14" s="11">
        <v>58111000</v>
      </c>
      <c r="N14" s="11">
        <v>19837000</v>
      </c>
      <c r="Y14" s="11">
        <v>59529000</v>
      </c>
      <c r="Z14" s="11">
        <v>111558000</v>
      </c>
    </row>
    <row r="15" spans="2:27" s="4" customFormat="1" x14ac:dyDescent="0.25">
      <c r="B15" s="4" t="s">
        <v>37</v>
      </c>
      <c r="C15" s="12">
        <f>C12+C13+C14</f>
        <v>-238553000</v>
      </c>
      <c r="D15" s="12">
        <f t="shared" ref="D15:T15" si="10">D12+D13+D14</f>
        <v>-270694000</v>
      </c>
      <c r="E15" s="12">
        <f t="shared" si="10"/>
        <v>-247498000</v>
      </c>
      <c r="F15" s="12">
        <f t="shared" si="10"/>
        <v>-188533000</v>
      </c>
      <c r="G15" s="12">
        <f t="shared" si="10"/>
        <v>-117539000</v>
      </c>
      <c r="H15" s="12">
        <f t="shared" si="10"/>
        <v>-244275000</v>
      </c>
      <c r="I15" s="12">
        <f t="shared" si="10"/>
        <v>-304321000</v>
      </c>
      <c r="J15" s="12">
        <f t="shared" si="10"/>
        <v>-124792000</v>
      </c>
      <c r="K15" s="12">
        <f t="shared" si="10"/>
        <v>-117635000</v>
      </c>
      <c r="L15" s="12">
        <f t="shared" si="10"/>
        <v>-120385000</v>
      </c>
      <c r="M15" s="12">
        <f t="shared" si="10"/>
        <v>-75715000</v>
      </c>
      <c r="N15" s="12">
        <f t="shared" si="10"/>
        <v>-104945000</v>
      </c>
      <c r="O15" s="12">
        <f t="shared" si="10"/>
        <v>0</v>
      </c>
      <c r="P15" s="12">
        <f t="shared" si="10"/>
        <v>0</v>
      </c>
      <c r="Q15" s="12">
        <f t="shared" si="10"/>
        <v>0</v>
      </c>
      <c r="R15" s="12">
        <f t="shared" si="10"/>
        <v>0</v>
      </c>
      <c r="S15" s="12">
        <f t="shared" si="10"/>
        <v>0</v>
      </c>
      <c r="T15" s="12">
        <f t="shared" si="10"/>
        <v>0</v>
      </c>
      <c r="Y15" s="12">
        <f t="shared" ref="Y15:AA15" si="11">Y12+Y13+Y14</f>
        <v>-797845000</v>
      </c>
      <c r="Z15" s="12">
        <f t="shared" si="11"/>
        <v>-667133000</v>
      </c>
      <c r="AA15" s="12">
        <f t="shared" si="11"/>
        <v>0</v>
      </c>
    </row>
    <row r="16" spans="2:27" x14ac:dyDescent="0.25">
      <c r="B16" s="3" t="s">
        <v>38</v>
      </c>
      <c r="C16" s="11">
        <v>11468000</v>
      </c>
      <c r="D16" s="11">
        <v>17060000</v>
      </c>
      <c r="E16" s="11">
        <v>6205000</v>
      </c>
      <c r="F16" s="11">
        <v>4791000</v>
      </c>
      <c r="G16" s="11">
        <v>7771000</v>
      </c>
      <c r="H16" s="11">
        <v>9710000</v>
      </c>
      <c r="I16" s="11">
        <v>-12843000</v>
      </c>
      <c r="J16" s="11">
        <v>946000</v>
      </c>
      <c r="K16" s="11">
        <v>6913000</v>
      </c>
      <c r="L16" s="11">
        <v>2138000</v>
      </c>
      <c r="M16" s="11">
        <v>2192000</v>
      </c>
      <c r="N16" s="11">
        <v>2420000</v>
      </c>
      <c r="Y16" s="11">
        <v>28477000</v>
      </c>
      <c r="Z16" s="11">
        <v>-2846000</v>
      </c>
    </row>
    <row r="17" spans="2:27" s="4" customFormat="1" x14ac:dyDescent="0.25">
      <c r="B17" s="4" t="s">
        <v>39</v>
      </c>
      <c r="C17" s="13">
        <f>C15-C16</f>
        <v>-250021000</v>
      </c>
      <c r="D17" s="13">
        <f>D15-D16</f>
        <v>-287754000</v>
      </c>
      <c r="E17" s="13">
        <f t="shared" ref="E17" si="12">E15-E16</f>
        <v>-253703000</v>
      </c>
      <c r="F17" s="13">
        <f t="shared" ref="F17" si="13">F15-F16</f>
        <v>-193324000</v>
      </c>
      <c r="G17" s="13">
        <f t="shared" ref="G17" si="14">G15-G16</f>
        <v>-125310000</v>
      </c>
      <c r="H17" s="13">
        <f t="shared" ref="H17" si="15">H15-H16</f>
        <v>-253985000</v>
      </c>
      <c r="I17" s="13">
        <f t="shared" ref="I17" si="16">I15-I16</f>
        <v>-291478000</v>
      </c>
      <c r="J17" s="13">
        <f t="shared" ref="J17" si="17">J15-J16</f>
        <v>-125738000</v>
      </c>
      <c r="K17" s="13">
        <f t="shared" ref="K17" si="18">K15-K16</f>
        <v>-124548000</v>
      </c>
      <c r="L17" s="13">
        <f t="shared" ref="L17" si="19">L15-L16</f>
        <v>-122523000</v>
      </c>
      <c r="M17" s="13">
        <f t="shared" ref="M17" si="20">M15-M16</f>
        <v>-77907000</v>
      </c>
      <c r="N17" s="13">
        <f t="shared" ref="N17" si="21">N15-N16</f>
        <v>-107365000</v>
      </c>
      <c r="O17" s="13">
        <f t="shared" ref="O17" si="22">O15-O16</f>
        <v>0</v>
      </c>
      <c r="P17" s="13">
        <f t="shared" ref="P17" si="23">P15-P16</f>
        <v>0</v>
      </c>
      <c r="Q17" s="13">
        <f t="shared" ref="Q17" si="24">Q15-Q16</f>
        <v>0</v>
      </c>
      <c r="R17" s="13">
        <f t="shared" ref="R17" si="25">R15-R16</f>
        <v>0</v>
      </c>
      <c r="S17" s="13">
        <f t="shared" ref="S17" si="26">S15-S16</f>
        <v>0</v>
      </c>
      <c r="T17" s="13">
        <f t="shared" ref="T17" si="27">T15-T16</f>
        <v>0</v>
      </c>
      <c r="Y17" s="13">
        <f t="shared" ref="Y17" si="28">Y15-Y16</f>
        <v>-826322000</v>
      </c>
      <c r="Z17" s="13">
        <f t="shared" ref="Z17" si="29">Z15-Z16</f>
        <v>-664287000</v>
      </c>
      <c r="AA17" s="13">
        <f t="shared" ref="AA17" si="30">AA15-AA16</f>
        <v>0</v>
      </c>
    </row>
    <row r="18" spans="2:27" x14ac:dyDescent="0.25">
      <c r="B18" s="3" t="s">
        <v>40</v>
      </c>
      <c r="C18" s="11">
        <v>0</v>
      </c>
      <c r="D18" s="11">
        <v>-1296000</v>
      </c>
      <c r="E18" s="11">
        <v>-672000</v>
      </c>
      <c r="F18" s="11">
        <v>-1164000</v>
      </c>
      <c r="G18" s="11">
        <v>-1239000</v>
      </c>
      <c r="H18" s="11">
        <v>-1236000</v>
      </c>
      <c r="I18" s="11">
        <v>-404000</v>
      </c>
      <c r="J18" s="11">
        <v>-164000</v>
      </c>
      <c r="K18" s="11">
        <v>191000</v>
      </c>
      <c r="L18" s="11">
        <v>204000</v>
      </c>
      <c r="M18" s="11">
        <v>-265000</v>
      </c>
      <c r="N18" s="11">
        <v>1433000</v>
      </c>
      <c r="Y18" s="11">
        <v>-4311000</v>
      </c>
      <c r="Z18" s="11">
        <v>-173000</v>
      </c>
    </row>
    <row r="19" spans="2:27" x14ac:dyDescent="0.25">
      <c r="B19" s="3" t="s">
        <v>41</v>
      </c>
      <c r="C19" s="11">
        <v>0</v>
      </c>
      <c r="D19" s="11">
        <v>2870000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Y19" s="11">
        <v>0</v>
      </c>
      <c r="Z19" s="11">
        <v>0</v>
      </c>
    </row>
    <row r="20" spans="2:27" s="4" customFormat="1" x14ac:dyDescent="0.25">
      <c r="B20" s="4" t="s">
        <v>42</v>
      </c>
      <c r="C20" s="13">
        <f>+C17-C18-C19</f>
        <v>-250021000</v>
      </c>
      <c r="D20" s="13">
        <f>+D17-D18-D19</f>
        <v>-289328000</v>
      </c>
      <c r="E20" s="13">
        <f t="shared" ref="E20:N20" si="31">+E17-E18-E19</f>
        <v>-253031000</v>
      </c>
      <c r="F20" s="13">
        <f t="shared" si="31"/>
        <v>-192160000</v>
      </c>
      <c r="G20" s="13">
        <f t="shared" si="31"/>
        <v>-124071000</v>
      </c>
      <c r="H20" s="13">
        <f t="shared" si="31"/>
        <v>-252749000</v>
      </c>
      <c r="I20" s="13">
        <f t="shared" si="31"/>
        <v>-291074000</v>
      </c>
      <c r="J20" s="13">
        <f t="shared" si="31"/>
        <v>-125574000</v>
      </c>
      <c r="K20" s="13">
        <f t="shared" si="31"/>
        <v>-124739000</v>
      </c>
      <c r="L20" s="13">
        <f t="shared" si="31"/>
        <v>-122727000</v>
      </c>
      <c r="M20" s="13">
        <f t="shared" si="31"/>
        <v>-77642000</v>
      </c>
      <c r="N20" s="13">
        <f t="shared" si="31"/>
        <v>-108798000</v>
      </c>
      <c r="O20" s="13">
        <f t="shared" ref="O20" si="32">+O17-O18-O19</f>
        <v>0</v>
      </c>
      <c r="P20" s="13">
        <f t="shared" ref="P20" si="33">+P17-P18-P19</f>
        <v>0</v>
      </c>
      <c r="Q20" s="13">
        <f t="shared" ref="Q20" si="34">+Q17-Q18-Q19</f>
        <v>0</v>
      </c>
      <c r="R20" s="13">
        <f t="shared" ref="R20" si="35">+R17-R18-R19</f>
        <v>0</v>
      </c>
      <c r="S20" s="13">
        <f t="shared" ref="S20" si="36">+S17-S18-S19</f>
        <v>0</v>
      </c>
      <c r="T20" s="13">
        <f t="shared" ref="T20" si="37">+T17-T18-T19</f>
        <v>0</v>
      </c>
      <c r="Y20" s="13">
        <f t="shared" ref="Y20:AA20" si="38">+Y17-Y18-Y19</f>
        <v>-822011000</v>
      </c>
      <c r="Z20" s="13">
        <f t="shared" si="38"/>
        <v>-664114000</v>
      </c>
      <c r="AA20" s="13">
        <f t="shared" si="38"/>
        <v>0</v>
      </c>
    </row>
    <row r="21" spans="2:27" x14ac:dyDescent="0.25">
      <c r="B21" s="3" t="s">
        <v>24</v>
      </c>
      <c r="C21" s="11">
        <v>299062000</v>
      </c>
      <c r="D21" s="11">
        <v>351264000</v>
      </c>
      <c r="E21" s="11">
        <v>375909000</v>
      </c>
      <c r="F21" s="11">
        <v>380355000</v>
      </c>
      <c r="G21" s="11">
        <v>383674000</v>
      </c>
      <c r="H21" s="11">
        <v>381788000</v>
      </c>
      <c r="I21" s="11">
        <v>387151000</v>
      </c>
      <c r="J21" s="11">
        <v>392537000</v>
      </c>
      <c r="K21" s="11">
        <v>398810000</v>
      </c>
      <c r="L21" s="11">
        <v>405172000</v>
      </c>
      <c r="M21" s="11">
        <v>411852000</v>
      </c>
      <c r="N21" s="11">
        <v>417566000</v>
      </c>
      <c r="Y21" s="11">
        <v>380457000</v>
      </c>
      <c r="Z21" s="11">
        <v>395951000</v>
      </c>
    </row>
    <row r="22" spans="2:27" x14ac:dyDescent="0.25">
      <c r="B22" s="3" t="s">
        <v>25</v>
      </c>
      <c r="C22" s="11">
        <v>299062000</v>
      </c>
      <c r="D22" s="11">
        <v>351264000</v>
      </c>
      <c r="E22" s="11">
        <v>375909000</v>
      </c>
      <c r="F22" s="11">
        <v>380355000</v>
      </c>
      <c r="G22" s="11">
        <v>383674000</v>
      </c>
      <c r="H22" s="11">
        <v>381788000</v>
      </c>
      <c r="I22" s="11">
        <v>387151000</v>
      </c>
      <c r="J22" s="11">
        <v>392537000</v>
      </c>
      <c r="K22" s="11">
        <v>398810000</v>
      </c>
      <c r="L22" s="11">
        <v>405172000</v>
      </c>
      <c r="M22" s="11">
        <v>411852000</v>
      </c>
      <c r="N22" s="11">
        <v>417566000</v>
      </c>
      <c r="Y22" s="11">
        <v>380457000</v>
      </c>
      <c r="Z22" s="11">
        <v>395951000</v>
      </c>
    </row>
    <row r="23" spans="2:27" x14ac:dyDescent="0.25">
      <c r="B23" s="3" t="s">
        <v>26</v>
      </c>
      <c r="C23" s="6">
        <f>C20/C21</f>
        <v>-0.83601728069764802</v>
      </c>
      <c r="D23" s="6">
        <f t="shared" ref="D23:N23" si="39">D20/D21</f>
        <v>-0.82367677871914002</v>
      </c>
      <c r="E23" s="6">
        <f t="shared" si="39"/>
        <v>-0.67311769603813687</v>
      </c>
      <c r="F23" s="6">
        <f t="shared" si="39"/>
        <v>-0.50521223593747944</v>
      </c>
      <c r="G23" s="6">
        <f t="shared" si="39"/>
        <v>-0.32337609533093198</v>
      </c>
      <c r="H23" s="6">
        <f t="shared" si="39"/>
        <v>-0.66201399729692922</v>
      </c>
      <c r="I23" s="6">
        <f t="shared" si="39"/>
        <v>-0.75183584699510009</v>
      </c>
      <c r="J23" s="6">
        <f t="shared" si="39"/>
        <v>-0.31990360144394031</v>
      </c>
      <c r="K23" s="6">
        <f t="shared" si="39"/>
        <v>-0.31277801459341542</v>
      </c>
      <c r="L23" s="6">
        <f t="shared" si="39"/>
        <v>-0.30290099019675593</v>
      </c>
      <c r="M23" s="6">
        <f t="shared" si="39"/>
        <v>-0.18851917679166302</v>
      </c>
      <c r="N23" s="6">
        <f t="shared" si="39"/>
        <v>-0.26055282278729591</v>
      </c>
      <c r="O23" s="6" t="e">
        <f t="shared" ref="O23:T23" si="40">O20/O21</f>
        <v>#DIV/0!</v>
      </c>
      <c r="P23" s="6" t="e">
        <f t="shared" si="40"/>
        <v>#DIV/0!</v>
      </c>
      <c r="Q23" s="6" t="e">
        <f t="shared" si="40"/>
        <v>#DIV/0!</v>
      </c>
      <c r="R23" s="6" t="e">
        <f t="shared" si="40"/>
        <v>#DIV/0!</v>
      </c>
      <c r="S23" s="6" t="e">
        <f t="shared" si="40"/>
        <v>#DIV/0!</v>
      </c>
      <c r="T23" s="6" t="e">
        <f t="shared" si="40"/>
        <v>#DIV/0!</v>
      </c>
      <c r="Y23" s="6">
        <f t="shared" ref="Y23:AA23" si="41">Y20/Y21</f>
        <v>-2.1605884502059367</v>
      </c>
      <c r="Z23" s="6">
        <f t="shared" si="41"/>
        <v>-1.6772630956860823</v>
      </c>
      <c r="AA23" s="6" t="e">
        <f t="shared" si="41"/>
        <v>#DIV/0!</v>
      </c>
    </row>
    <row r="24" spans="2:27" x14ac:dyDescent="0.25">
      <c r="B24" s="3" t="s">
        <v>27</v>
      </c>
      <c r="C24" s="6">
        <f>C20/C22</f>
        <v>-0.83601728069764802</v>
      </c>
      <c r="D24" s="6">
        <f t="shared" ref="D24:N24" si="42">D20/D22</f>
        <v>-0.82367677871914002</v>
      </c>
      <c r="E24" s="6">
        <f t="shared" si="42"/>
        <v>-0.67311769603813687</v>
      </c>
      <c r="F24" s="6">
        <f t="shared" si="42"/>
        <v>-0.50521223593747944</v>
      </c>
      <c r="G24" s="6">
        <f t="shared" si="42"/>
        <v>-0.32337609533093198</v>
      </c>
      <c r="H24" s="6">
        <f t="shared" si="42"/>
        <v>-0.66201399729692922</v>
      </c>
      <c r="I24" s="6">
        <f t="shared" si="42"/>
        <v>-0.75183584699510009</v>
      </c>
      <c r="J24" s="6">
        <f t="shared" si="42"/>
        <v>-0.31990360144394031</v>
      </c>
      <c r="K24" s="6">
        <f t="shared" si="42"/>
        <v>-0.31277801459341542</v>
      </c>
      <c r="L24" s="6">
        <f t="shared" si="42"/>
        <v>-0.30290099019675593</v>
      </c>
      <c r="M24" s="6">
        <f t="shared" si="42"/>
        <v>-0.18851917679166302</v>
      </c>
      <c r="N24" s="6">
        <f t="shared" si="42"/>
        <v>-0.26055282278729591</v>
      </c>
      <c r="O24" s="6" t="e">
        <f t="shared" ref="O24:T24" si="43">O20/O22</f>
        <v>#DIV/0!</v>
      </c>
      <c r="P24" s="6" t="e">
        <f t="shared" si="43"/>
        <v>#DIV/0!</v>
      </c>
      <c r="Q24" s="6" t="e">
        <f t="shared" si="43"/>
        <v>#DIV/0!</v>
      </c>
      <c r="R24" s="6" t="e">
        <f t="shared" si="43"/>
        <v>#DIV/0!</v>
      </c>
      <c r="S24" s="6" t="e">
        <f t="shared" si="43"/>
        <v>#DIV/0!</v>
      </c>
      <c r="T24" s="6" t="e">
        <f t="shared" si="43"/>
        <v>#DIV/0!</v>
      </c>
      <c r="Y24" s="6">
        <f t="shared" ref="Y24:AA24" si="44">Y20/Y22</f>
        <v>-2.1605884502059367</v>
      </c>
      <c r="Z24" s="6">
        <f t="shared" si="44"/>
        <v>-1.6772630956860823</v>
      </c>
      <c r="AA24" s="6" t="e">
        <f t="shared" si="44"/>
        <v>#DIV/0!</v>
      </c>
    </row>
    <row r="27" spans="2:27" s="7" customFormat="1" x14ac:dyDescent="0.25">
      <c r="B27" s="7" t="s">
        <v>43</v>
      </c>
      <c r="C27" s="7">
        <f>C7/C5</f>
        <v>0.65342339747461142</v>
      </c>
      <c r="D27" s="7">
        <f t="shared" ref="D27:T27" si="45">D7/D5</f>
        <v>0.68972047169016393</v>
      </c>
      <c r="E27" s="7">
        <f t="shared" si="45"/>
        <v>0.67630570727934436</v>
      </c>
      <c r="F27" s="7">
        <f t="shared" si="45"/>
        <v>0.70228013151432678</v>
      </c>
      <c r="G27" s="7">
        <f t="shared" si="45"/>
        <v>0.7218922842285147</v>
      </c>
      <c r="H27" s="7">
        <f t="shared" si="45"/>
        <v>0.57066184339239878</v>
      </c>
      <c r="I27" s="7">
        <f t="shared" si="45"/>
        <v>0.68637429949172424</v>
      </c>
      <c r="J27" s="7">
        <f t="shared" si="45"/>
        <v>0.7576564965866015</v>
      </c>
      <c r="K27" s="7">
        <f t="shared" si="45"/>
        <v>0.74904874842391223</v>
      </c>
      <c r="L27" s="7">
        <f t="shared" si="45"/>
        <v>0.74723856319965698</v>
      </c>
      <c r="M27" s="7">
        <f t="shared" si="45"/>
        <v>0.73802988505747125</v>
      </c>
      <c r="N27" s="7">
        <f t="shared" si="45"/>
        <v>0.74098524982764247</v>
      </c>
      <c r="O27" s="7" t="e">
        <f t="shared" si="45"/>
        <v>#DIV/0!</v>
      </c>
      <c r="P27" s="7" t="e">
        <f t="shared" si="45"/>
        <v>#DIV/0!</v>
      </c>
      <c r="Q27" s="7" t="e">
        <f t="shared" si="45"/>
        <v>#DIV/0!</v>
      </c>
      <c r="R27" s="7" t="e">
        <f t="shared" si="45"/>
        <v>#DIV/0!</v>
      </c>
      <c r="S27" s="7" t="e">
        <f t="shared" si="45"/>
        <v>#DIV/0!</v>
      </c>
      <c r="T27" s="7" t="e">
        <f t="shared" si="45"/>
        <v>#DIV/0!</v>
      </c>
      <c r="Y27" s="7">
        <f t="shared" ref="Y27:AA27" si="46">Y7/Y5</f>
        <v>0.66455616629871206</v>
      </c>
      <c r="Z27" s="7">
        <f t="shared" si="46"/>
        <v>0.73481225751480073</v>
      </c>
      <c r="AA27" s="7" t="e">
        <f t="shared" si="46"/>
        <v>#DIV/0!</v>
      </c>
    </row>
    <row r="28" spans="2:27" s="7" customFormat="1" x14ac:dyDescent="0.25">
      <c r="B28" s="7" t="s">
        <v>44</v>
      </c>
      <c r="C28" s="7">
        <f>C12/C5</f>
        <v>-0.74214958452185176</v>
      </c>
      <c r="D28" s="7">
        <f t="shared" ref="D28:T28" si="47">D12/D5</f>
        <v>-0.60704164763378821</v>
      </c>
      <c r="E28" s="7">
        <f t="shared" si="47"/>
        <v>-0.50960006875036223</v>
      </c>
      <c r="F28" s="7">
        <f t="shared" si="47"/>
        <v>-0.35887515511417528</v>
      </c>
      <c r="G28" s="7">
        <f t="shared" si="47"/>
        <v>-0.23409713162198417</v>
      </c>
      <c r="H28" s="7">
        <f t="shared" si="47"/>
        <v>-0.42503463172200084</v>
      </c>
      <c r="I28" s="7">
        <f t="shared" si="47"/>
        <v>-0.81439028628524257</v>
      </c>
      <c r="J28" s="7">
        <f t="shared" si="47"/>
        <v>-0.28807436245016793</v>
      </c>
      <c r="K28" s="7">
        <f t="shared" si="47"/>
        <v>-0.28475063659390348</v>
      </c>
      <c r="L28" s="7">
        <f t="shared" si="47"/>
        <v>-0.27051907792403834</v>
      </c>
      <c r="M28" s="7">
        <f t="shared" si="47"/>
        <v>-0.29410344827586204</v>
      </c>
      <c r="N28" s="7">
        <f t="shared" si="47"/>
        <v>-0.26931311005479153</v>
      </c>
      <c r="O28" s="7" t="e">
        <f t="shared" si="47"/>
        <v>#DIV/0!</v>
      </c>
      <c r="P28" s="7" t="e">
        <f t="shared" si="47"/>
        <v>#DIV/0!</v>
      </c>
      <c r="Q28" s="7" t="e">
        <f t="shared" si="47"/>
        <v>#DIV/0!</v>
      </c>
      <c r="R28" s="7" t="e">
        <f t="shared" si="47"/>
        <v>#DIV/0!</v>
      </c>
      <c r="S28" s="7" t="e">
        <f t="shared" si="47"/>
        <v>#DIV/0!</v>
      </c>
      <c r="T28" s="7" t="e">
        <f t="shared" si="47"/>
        <v>#DIV/0!</v>
      </c>
      <c r="Y28" s="7">
        <f t="shared" ref="Y28:AA28" si="48">Y12/Y5</f>
        <v>-0.38073767999791525</v>
      </c>
      <c r="Z28" s="7">
        <f t="shared" si="48"/>
        <v>-0.41646045371445273</v>
      </c>
      <c r="AA28" s="7" t="e">
        <f t="shared" si="48"/>
        <v>#DIV/0!</v>
      </c>
    </row>
    <row r="29" spans="2:27" s="7" customFormat="1" x14ac:dyDescent="0.25">
      <c r="B29" s="7" t="s">
        <v>47</v>
      </c>
      <c r="C29" s="7">
        <f>C16/C15</f>
        <v>-4.8073174514678081E-2</v>
      </c>
      <c r="D29" s="7">
        <f t="shared" ref="D29:T29" si="49">D16/D15</f>
        <v>-6.3023192239207368E-2</v>
      </c>
      <c r="E29" s="7">
        <f t="shared" si="49"/>
        <v>-2.5070909663916476E-2</v>
      </c>
      <c r="F29" s="7">
        <f t="shared" si="49"/>
        <v>-2.5411996838749715E-2</v>
      </c>
      <c r="G29" s="7">
        <f t="shared" si="49"/>
        <v>-6.6114225916504316E-2</v>
      </c>
      <c r="H29" s="7">
        <f t="shared" si="49"/>
        <v>-3.9750281445092621E-2</v>
      </c>
      <c r="I29" s="7">
        <f t="shared" si="49"/>
        <v>4.2202148389365174E-2</v>
      </c>
      <c r="J29" s="7">
        <f t="shared" si="49"/>
        <v>-7.5806141419321755E-3</v>
      </c>
      <c r="K29" s="7">
        <f t="shared" si="49"/>
        <v>-5.8766523568665789E-2</v>
      </c>
      <c r="L29" s="7">
        <f t="shared" si="49"/>
        <v>-1.7759687668729492E-2</v>
      </c>
      <c r="M29" s="7">
        <f t="shared" si="49"/>
        <v>-2.8950670276695505E-2</v>
      </c>
      <c r="N29" s="7">
        <f t="shared" si="49"/>
        <v>-2.3059697937014626E-2</v>
      </c>
      <c r="O29" s="7" t="e">
        <f t="shared" si="49"/>
        <v>#DIV/0!</v>
      </c>
      <c r="P29" s="7" t="e">
        <f t="shared" si="49"/>
        <v>#DIV/0!</v>
      </c>
      <c r="Q29" s="7" t="e">
        <f t="shared" si="49"/>
        <v>#DIV/0!</v>
      </c>
      <c r="R29" s="7" t="e">
        <f t="shared" si="49"/>
        <v>#DIV/0!</v>
      </c>
      <c r="S29" s="7" t="e">
        <f t="shared" si="49"/>
        <v>#DIV/0!</v>
      </c>
      <c r="T29" s="7" t="e">
        <f t="shared" si="49"/>
        <v>#DIV/0!</v>
      </c>
      <c r="Y29" s="7">
        <f t="shared" ref="Y29:AA29" si="50">Y16/Y15</f>
        <v>-3.5692396392783057E-2</v>
      </c>
      <c r="Z29" s="7">
        <f t="shared" si="50"/>
        <v>4.2660159218626571E-3</v>
      </c>
      <c r="AA29" s="7" t="e">
        <f t="shared" si="50"/>
        <v>#DIV/0!</v>
      </c>
    </row>
    <row r="30" spans="2:27" s="7" customFormat="1" x14ac:dyDescent="0.25">
      <c r="B30" s="7" t="s">
        <v>45</v>
      </c>
      <c r="C30" s="7">
        <f>C17/C5</f>
        <v>-0.7743441082008542</v>
      </c>
      <c r="D30" s="7">
        <f t="shared" ref="D30:T30" si="51">D17/D5</f>
        <v>-0.63807226137205253</v>
      </c>
      <c r="E30" s="7">
        <f t="shared" si="51"/>
        <v>-0.50703991717979624</v>
      </c>
      <c r="F30" s="7">
        <f t="shared" si="51"/>
        <v>-0.36238420328485899</v>
      </c>
      <c r="G30" s="7">
        <f t="shared" si="51"/>
        <v>-0.23026037742783118</v>
      </c>
      <c r="H30" s="7">
        <f t="shared" si="51"/>
        <v>-0.41686909537346456</v>
      </c>
      <c r="I30" s="7">
        <f t="shared" si="51"/>
        <v>-0.63312480993961506</v>
      </c>
      <c r="J30" s="7">
        <f t="shared" si="51"/>
        <v>-0.27987864461257317</v>
      </c>
      <c r="K30" s="7">
        <f t="shared" si="51"/>
        <v>-0.27893226909613744</v>
      </c>
      <c r="L30" s="7">
        <f t="shared" si="51"/>
        <v>-0.26804477804589377</v>
      </c>
      <c r="M30" s="7">
        <f t="shared" si="51"/>
        <v>-0.17909655172413794</v>
      </c>
      <c r="N30" s="7">
        <f t="shared" si="51"/>
        <v>-0.24348896912079537</v>
      </c>
      <c r="O30" s="7" t="e">
        <f t="shared" si="51"/>
        <v>#DIV/0!</v>
      </c>
      <c r="P30" s="7" t="e">
        <f t="shared" si="51"/>
        <v>#DIV/0!</v>
      </c>
      <c r="Q30" s="7" t="e">
        <f t="shared" si="51"/>
        <v>#DIV/0!</v>
      </c>
      <c r="R30" s="7" t="e">
        <f t="shared" si="51"/>
        <v>#DIV/0!</v>
      </c>
      <c r="S30" s="7" t="e">
        <f t="shared" si="51"/>
        <v>#DIV/0!</v>
      </c>
      <c r="T30" s="7" t="e">
        <f t="shared" si="51"/>
        <v>#DIV/0!</v>
      </c>
      <c r="Y30" s="7">
        <f t="shared" ref="Y30:AA30" si="52">Y17/Y5</f>
        <v>-0.37777880389536589</v>
      </c>
      <c r="Z30" s="7">
        <f t="shared" si="52"/>
        <v>-0.36635056845286518</v>
      </c>
      <c r="AA30" s="7" t="e">
        <f t="shared" si="52"/>
        <v>#DIV/0!</v>
      </c>
    </row>
    <row r="31" spans="2:27" s="7" customFormat="1" x14ac:dyDescent="0.25"/>
    <row r="32" spans="2:27" s="7" customFormat="1" x14ac:dyDescent="0.25">
      <c r="B32" s="7" t="s">
        <v>130</v>
      </c>
      <c r="G32" s="7">
        <f t="shared" ref="G32:M34" si="53">G3/D3-1</f>
        <v>-4.4811440013753923E-2</v>
      </c>
      <c r="H32" s="7">
        <f t="shared" ref="H32:H33" si="54">H3/E3-1</f>
        <v>0.54665392887830966</v>
      </c>
      <c r="I32" s="7">
        <f t="shared" ref="I32:I33" si="55">I3/F3-1</f>
        <v>-0.15245197037957636</v>
      </c>
      <c r="J32" s="7">
        <f t="shared" ref="J32:J33" si="56">J3/G3-1</f>
        <v>-0.20181577554261509</v>
      </c>
      <c r="K32" s="7">
        <f t="shared" ref="K32:K33" si="57">K3/H3-1</f>
        <v>-0.49147155748028781</v>
      </c>
      <c r="L32" s="7">
        <f t="shared" ref="L32:L33" si="58">L3/I3-1</f>
        <v>-7.0385531862894868E-2</v>
      </c>
      <c r="M32" s="7">
        <f t="shared" ref="M32:M33" si="59">M3/J3-1</f>
        <v>-2.6462922063710259E-3</v>
      </c>
      <c r="N32" s="7">
        <f t="shared" ref="N32:N33" si="60">N3/K3-1</f>
        <v>4.3516614756156313E-2</v>
      </c>
      <c r="O32" s="7">
        <f t="shared" ref="O32:O33" si="61">O3/L3-1</f>
        <v>-1</v>
      </c>
      <c r="P32" s="7">
        <f t="shared" ref="P32:P33" si="62">P3/M3-1</f>
        <v>-1</v>
      </c>
      <c r="Q32" s="7">
        <f t="shared" ref="Q32:Q33" si="63">Q3/N3-1</f>
        <v>-1</v>
      </c>
      <c r="R32" s="7" t="e">
        <f t="shared" ref="R32:R33" si="64">R3/O3-1</f>
        <v>#DIV/0!</v>
      </c>
      <c r="S32" s="7" t="e">
        <f t="shared" ref="S32:S33" si="65">S3/P3-1</f>
        <v>#DIV/0!</v>
      </c>
      <c r="T32" s="7" t="e">
        <f t="shared" ref="T32:T33" si="66">T3/Q3-1</f>
        <v>#DIV/0!</v>
      </c>
      <c r="Z32" s="7">
        <f t="shared" ref="Z32:Z33" si="67">Z3/Y3-1</f>
        <v>-0.28539969784932973</v>
      </c>
      <c r="AA32" s="7">
        <f t="shared" ref="AA32:AA34" si="68">AA3/Z3-1</f>
        <v>-1</v>
      </c>
    </row>
    <row r="33" spans="2:27" s="7" customFormat="1" x14ac:dyDescent="0.25">
      <c r="B33" s="7" t="s">
        <v>131</v>
      </c>
      <c r="G33" s="7">
        <f t="shared" si="53"/>
        <v>0.40321153815774924</v>
      </c>
      <c r="H33" s="7">
        <f t="shared" si="54"/>
        <v>2.0706599529700442E-2</v>
      </c>
      <c r="I33" s="7">
        <f t="shared" si="55"/>
        <v>-0.12826705213181022</v>
      </c>
      <c r="J33" s="7">
        <f t="shared" si="56"/>
        <v>-0.15993920801553574</v>
      </c>
      <c r="K33" s="7">
        <f t="shared" si="57"/>
        <v>-6.3620399845996323E-2</v>
      </c>
      <c r="L33" s="7">
        <f t="shared" si="58"/>
        <v>2.7767854133665892E-2</v>
      </c>
      <c r="M33" s="7">
        <f t="shared" si="59"/>
        <v>-4.6434960902164923E-2</v>
      </c>
      <c r="N33" s="7">
        <f t="shared" si="60"/>
        <v>-4.0067123965395024E-2</v>
      </c>
      <c r="O33" s="7">
        <f t="shared" si="61"/>
        <v>-1</v>
      </c>
      <c r="P33" s="7">
        <f t="shared" si="62"/>
        <v>-1</v>
      </c>
      <c r="Q33" s="7">
        <f t="shared" si="63"/>
        <v>-1</v>
      </c>
      <c r="R33" s="7" t="e">
        <f t="shared" si="64"/>
        <v>#DIV/0!</v>
      </c>
      <c r="S33" s="7" t="e">
        <f t="shared" si="65"/>
        <v>#DIV/0!</v>
      </c>
      <c r="T33" s="7" t="e">
        <f t="shared" si="66"/>
        <v>#DIV/0!</v>
      </c>
      <c r="Z33" s="7">
        <f t="shared" si="67"/>
        <v>-9.7018167471424333E-2</v>
      </c>
      <c r="AA33" s="7">
        <f t="shared" si="68"/>
        <v>-1</v>
      </c>
    </row>
    <row r="34" spans="2:27" s="7" customFormat="1" x14ac:dyDescent="0.25">
      <c r="B34" s="7" t="s">
        <v>46</v>
      </c>
      <c r="G34" s="7">
        <f t="shared" si="53"/>
        <v>0.2067436260183515</v>
      </c>
      <c r="H34" s="7">
        <f t="shared" si="53"/>
        <v>0.2176568517530344</v>
      </c>
      <c r="I34" s="7">
        <f t="shared" si="53"/>
        <v>-0.13702158289563959</v>
      </c>
      <c r="J34" s="7">
        <f t="shared" si="53"/>
        <v>-0.17447492695834332</v>
      </c>
      <c r="K34" s="7">
        <f t="shared" si="53"/>
        <v>-0.267125468595101</v>
      </c>
      <c r="L34" s="7">
        <f t="shared" si="53"/>
        <v>-7.1267214040575677E-3</v>
      </c>
      <c r="M34" s="7">
        <f t="shared" si="53"/>
        <v>-3.1738930104906027E-2</v>
      </c>
      <c r="N34" s="7">
        <f>N5/K5-1</f>
        <v>-1.2481047754060892E-2</v>
      </c>
      <c r="O34" s="7">
        <f t="shared" ref="O34:T34" si="69">O5/L5-1</f>
        <v>-1</v>
      </c>
      <c r="P34" s="7">
        <f t="shared" si="69"/>
        <v>-1</v>
      </c>
      <c r="Q34" s="7">
        <f t="shared" si="69"/>
        <v>-1</v>
      </c>
      <c r="R34" s="7" t="e">
        <f t="shared" si="69"/>
        <v>#DIV/0!</v>
      </c>
      <c r="S34" s="7" t="e">
        <f t="shared" si="69"/>
        <v>#DIV/0!</v>
      </c>
      <c r="T34" s="7" t="e">
        <f t="shared" si="69"/>
        <v>#DIV/0!</v>
      </c>
      <c r="Z34" s="7">
        <f>Z5/Y5-1</f>
        <v>-0.17101407797772339</v>
      </c>
      <c r="AA34" s="7">
        <f t="shared" si="68"/>
        <v>-1</v>
      </c>
    </row>
    <row r="38" spans="2:27" x14ac:dyDescent="0.25">
      <c r="B38" s="3" t="s">
        <v>82</v>
      </c>
      <c r="C38" s="5">
        <f t="shared" ref="C38:M38" si="70">C39+C40-C52</f>
        <v>-20300000</v>
      </c>
      <c r="D38" s="5">
        <f t="shared" si="70"/>
        <v>-1120376000</v>
      </c>
      <c r="E38" s="5">
        <f t="shared" si="70"/>
        <v>-1114354000</v>
      </c>
      <c r="F38" s="5">
        <f t="shared" si="70"/>
        <v>-1068516000</v>
      </c>
      <c r="G38" s="5">
        <f t="shared" si="70"/>
        <v>-1203432000</v>
      </c>
      <c r="H38" s="5">
        <f t="shared" si="70"/>
        <v>-1121425000</v>
      </c>
      <c r="I38" s="5">
        <f t="shared" si="70"/>
        <v>-1056453000</v>
      </c>
      <c r="J38" s="5">
        <f t="shared" si="70"/>
        <v>-969288000</v>
      </c>
      <c r="K38" s="5">
        <f t="shared" si="70"/>
        <v>-832807000</v>
      </c>
      <c r="L38" s="5">
        <f t="shared" si="70"/>
        <v>-721250000</v>
      </c>
      <c r="M38" s="5">
        <f t="shared" si="70"/>
        <v>-690973000</v>
      </c>
      <c r="N38" s="5">
        <f>N39+N40-N52</f>
        <v>-542210000</v>
      </c>
      <c r="O38" s="5">
        <f t="shared" ref="O38:T38" si="71">O39+O40-O52</f>
        <v>0</v>
      </c>
      <c r="P38" s="5">
        <f t="shared" si="71"/>
        <v>0</v>
      </c>
      <c r="Q38" s="5">
        <f t="shared" si="71"/>
        <v>0</v>
      </c>
      <c r="R38" s="5">
        <f t="shared" si="71"/>
        <v>0</v>
      </c>
      <c r="S38" s="5">
        <f t="shared" si="71"/>
        <v>0</v>
      </c>
      <c r="T38" s="5">
        <f t="shared" si="71"/>
        <v>0</v>
      </c>
      <c r="Y38" s="5">
        <f t="shared" ref="Y38:AA38" si="72">Y39+Y40-Y52</f>
        <v>-1121425000</v>
      </c>
      <c r="Z38" s="5">
        <f t="shared" si="72"/>
        <v>-721250000</v>
      </c>
      <c r="AA38" s="5">
        <f t="shared" si="72"/>
        <v>0</v>
      </c>
    </row>
    <row r="39" spans="2:27" x14ac:dyDescent="0.25">
      <c r="B39" s="3" t="s">
        <v>70</v>
      </c>
      <c r="C39" s="10">
        <v>1239337000</v>
      </c>
      <c r="D39" s="10">
        <v>1485084000</v>
      </c>
      <c r="E39" s="10">
        <v>1593946000</v>
      </c>
      <c r="F39" s="10">
        <v>1640926000</v>
      </c>
      <c r="G39" s="10">
        <v>1507164000</v>
      </c>
      <c r="H39" s="10">
        <v>1590325000</v>
      </c>
      <c r="I39" s="10">
        <v>1179962000</v>
      </c>
      <c r="J39" s="10">
        <v>1267957000</v>
      </c>
      <c r="K39" s="10">
        <v>1405276000</v>
      </c>
      <c r="L39" s="10">
        <v>1517672000</v>
      </c>
      <c r="M39" s="10">
        <v>1541170000</v>
      </c>
      <c r="N39" s="10">
        <v>1691045000</v>
      </c>
      <c r="Y39" s="10">
        <v>1590325000</v>
      </c>
      <c r="Z39" s="10">
        <v>1517672000</v>
      </c>
    </row>
    <row r="40" spans="2:27" x14ac:dyDescent="0.25">
      <c r="B40" s="3" t="s">
        <v>48</v>
      </c>
      <c r="C40" s="11">
        <v>446766000</v>
      </c>
      <c r="D40" s="11">
        <v>101711000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Y40" s="11">
        <v>0</v>
      </c>
      <c r="Z40" s="11">
        <v>0</v>
      </c>
    </row>
    <row r="41" spans="2:27" x14ac:dyDescent="0.25">
      <c r="B41" s="3" t="s">
        <v>71</v>
      </c>
      <c r="C41" s="11">
        <v>316337000</v>
      </c>
      <c r="D41" s="11">
        <v>633775000</v>
      </c>
      <c r="E41" s="11">
        <v>612763000</v>
      </c>
      <c r="F41" s="11">
        <v>632032000</v>
      </c>
      <c r="G41" s="11">
        <v>604743000</v>
      </c>
      <c r="H41" s="11">
        <v>611723000</v>
      </c>
      <c r="I41" s="11">
        <v>621184000</v>
      </c>
      <c r="J41" s="11">
        <v>573220000</v>
      </c>
      <c r="K41" s="11">
        <v>576436000</v>
      </c>
      <c r="L41" s="11">
        <v>573884000</v>
      </c>
      <c r="M41" s="11">
        <v>552958000</v>
      </c>
      <c r="N41" s="11">
        <v>596560000</v>
      </c>
      <c r="Y41" s="11">
        <v>611723000</v>
      </c>
      <c r="Z41" s="11">
        <v>573884000</v>
      </c>
    </row>
    <row r="42" spans="2:27" x14ac:dyDescent="0.25">
      <c r="B42" s="3" t="s">
        <v>72</v>
      </c>
      <c r="C42" s="11">
        <v>81960000</v>
      </c>
      <c r="D42" s="11">
        <v>144070000</v>
      </c>
      <c r="E42" s="11">
        <v>136653000</v>
      </c>
      <c r="F42" s="11">
        <v>121406000</v>
      </c>
      <c r="G42" s="11">
        <v>120758000</v>
      </c>
      <c r="H42" s="11">
        <v>122843000</v>
      </c>
      <c r="I42" s="11">
        <v>140092000</v>
      </c>
      <c r="J42" s="11">
        <v>142889000</v>
      </c>
      <c r="K42" s="11">
        <v>134656000</v>
      </c>
      <c r="L42" s="11">
        <v>133795000</v>
      </c>
      <c r="M42" s="11">
        <v>144514000</v>
      </c>
      <c r="N42" s="11">
        <v>120171000</v>
      </c>
      <c r="Y42" s="11">
        <v>122843000</v>
      </c>
      <c r="Z42" s="11">
        <v>133795000</v>
      </c>
    </row>
    <row r="43" spans="2:27" x14ac:dyDescent="0.25">
      <c r="B43" s="3" t="s">
        <v>73</v>
      </c>
      <c r="C43" s="11">
        <v>112458000</v>
      </c>
      <c r="D43" s="11">
        <v>121863000</v>
      </c>
      <c r="E43" s="11">
        <v>129050000</v>
      </c>
      <c r="F43" s="11">
        <v>135387000</v>
      </c>
      <c r="G43" s="11">
        <v>140807000</v>
      </c>
      <c r="H43" s="11">
        <v>140887000</v>
      </c>
      <c r="I43" s="11">
        <v>122783000</v>
      </c>
      <c r="J43" s="11">
        <v>112080000</v>
      </c>
      <c r="K43" s="11">
        <v>108085000</v>
      </c>
      <c r="L43" s="11">
        <v>98819000</v>
      </c>
      <c r="M43" s="11">
        <v>89972000</v>
      </c>
      <c r="N43" s="11">
        <v>82426000</v>
      </c>
      <c r="Y43" s="11">
        <v>140887000</v>
      </c>
      <c r="Z43" s="11">
        <v>98819000</v>
      </c>
    </row>
    <row r="44" spans="2:27" x14ac:dyDescent="0.25">
      <c r="B44" s="3" t="s">
        <v>51</v>
      </c>
      <c r="C44" s="11">
        <v>1657863000</v>
      </c>
      <c r="D44" s="11">
        <v>3200955000</v>
      </c>
      <c r="E44" s="11">
        <v>3200955000</v>
      </c>
      <c r="F44" s="11">
        <v>3200955000</v>
      </c>
      <c r="G44" s="11">
        <v>3202116000</v>
      </c>
      <c r="H44" s="11">
        <v>3166304000</v>
      </c>
      <c r="I44" s="11">
        <v>3166304000</v>
      </c>
      <c r="J44" s="11">
        <v>3166304000</v>
      </c>
      <c r="K44" s="11">
        <v>3166304000</v>
      </c>
      <c r="L44" s="11">
        <v>3166304000</v>
      </c>
      <c r="M44" s="11">
        <v>3166304000</v>
      </c>
      <c r="N44" s="11">
        <v>3166304000</v>
      </c>
      <c r="Y44" s="11">
        <v>3166304000</v>
      </c>
      <c r="Z44" s="11">
        <v>3166304000</v>
      </c>
    </row>
    <row r="45" spans="2:27" x14ac:dyDescent="0.25">
      <c r="B45" s="3" t="s">
        <v>74</v>
      </c>
      <c r="C45" s="11">
        <v>724926000</v>
      </c>
      <c r="D45" s="11">
        <v>1922234000</v>
      </c>
      <c r="E45" s="11">
        <v>1824313000</v>
      </c>
      <c r="F45" s="11">
        <v>1725438000</v>
      </c>
      <c r="G45" s="11">
        <v>1626392000</v>
      </c>
      <c r="H45" s="11">
        <v>1406745000</v>
      </c>
      <c r="I45" s="11">
        <v>1318787000</v>
      </c>
      <c r="J45" s="11">
        <v>1230716000</v>
      </c>
      <c r="K45" s="11">
        <v>1154699000</v>
      </c>
      <c r="L45" s="11">
        <v>1066235000</v>
      </c>
      <c r="M45" s="11">
        <v>980584000</v>
      </c>
      <c r="N45" s="11">
        <v>894367000</v>
      </c>
      <c r="Y45" s="11">
        <v>1406745000</v>
      </c>
      <c r="Z45" s="11">
        <v>1066235000</v>
      </c>
    </row>
    <row r="46" spans="2:27" x14ac:dyDescent="0.25">
      <c r="B46" s="3" t="s">
        <v>52</v>
      </c>
      <c r="C46" s="11">
        <v>147514000</v>
      </c>
      <c r="D46" s="11">
        <v>224293000</v>
      </c>
      <c r="E46" s="11">
        <v>237053000</v>
      </c>
      <c r="F46" s="11">
        <v>230702000</v>
      </c>
      <c r="G46" s="11">
        <v>223703000</v>
      </c>
      <c r="H46" s="11">
        <v>204614000</v>
      </c>
      <c r="I46" s="11">
        <v>204151000</v>
      </c>
      <c r="J46" s="11">
        <v>190568000</v>
      </c>
      <c r="K46" s="11">
        <v>180399000</v>
      </c>
      <c r="L46" s="11">
        <v>180698000</v>
      </c>
      <c r="M46" s="11">
        <v>170453000</v>
      </c>
      <c r="N46" s="11">
        <v>165551000</v>
      </c>
      <c r="Y46" s="11">
        <v>204614000</v>
      </c>
      <c r="Z46" s="11">
        <v>180698000</v>
      </c>
    </row>
    <row r="47" spans="2:27" s="4" customFormat="1" x14ac:dyDescent="0.25">
      <c r="B47" s="4" t="s">
        <v>53</v>
      </c>
      <c r="C47" s="13">
        <f>SUM(C39:C46)</f>
        <v>4727161000</v>
      </c>
      <c r="D47" s="13">
        <f t="shared" ref="D47:T47" si="73">SUM(D39:D46)</f>
        <v>7833985000</v>
      </c>
      <c r="E47" s="13">
        <f t="shared" si="73"/>
        <v>7734733000</v>
      </c>
      <c r="F47" s="13">
        <f t="shared" si="73"/>
        <v>7686846000</v>
      </c>
      <c r="G47" s="13">
        <f t="shared" si="73"/>
        <v>7425683000</v>
      </c>
      <c r="H47" s="13">
        <f t="shared" si="73"/>
        <v>7243441000</v>
      </c>
      <c r="I47" s="13">
        <f t="shared" si="73"/>
        <v>6753263000</v>
      </c>
      <c r="J47" s="13">
        <f t="shared" si="73"/>
        <v>6683734000</v>
      </c>
      <c r="K47" s="13">
        <f t="shared" si="73"/>
        <v>6725855000</v>
      </c>
      <c r="L47" s="13">
        <f t="shared" si="73"/>
        <v>6737407000</v>
      </c>
      <c r="M47" s="13">
        <f t="shared" si="73"/>
        <v>6645955000</v>
      </c>
      <c r="N47" s="13">
        <f t="shared" si="73"/>
        <v>6716424000</v>
      </c>
      <c r="O47" s="13">
        <f t="shared" si="73"/>
        <v>0</v>
      </c>
      <c r="P47" s="13">
        <f t="shared" si="73"/>
        <v>0</v>
      </c>
      <c r="Q47" s="13">
        <f t="shared" si="73"/>
        <v>0</v>
      </c>
      <c r="R47" s="13">
        <f t="shared" si="73"/>
        <v>0</v>
      </c>
      <c r="S47" s="13">
        <f t="shared" si="73"/>
        <v>0</v>
      </c>
      <c r="T47" s="13">
        <f t="shared" si="73"/>
        <v>0</v>
      </c>
      <c r="Y47" s="13">
        <f t="shared" ref="Y47:AA47" si="74">SUM(Y39:Y46)</f>
        <v>7243441000</v>
      </c>
      <c r="Z47" s="13">
        <f t="shared" si="74"/>
        <v>6737407000</v>
      </c>
      <c r="AA47" s="13">
        <f t="shared" si="74"/>
        <v>0</v>
      </c>
    </row>
    <row r="48" spans="2:27" x14ac:dyDescent="0.25">
      <c r="B48" s="3" t="s">
        <v>75</v>
      </c>
      <c r="C48" s="11">
        <v>14182000</v>
      </c>
      <c r="D48" s="11">
        <v>20221000</v>
      </c>
      <c r="E48" s="11">
        <v>28222000</v>
      </c>
      <c r="F48" s="11">
        <v>18580000</v>
      </c>
      <c r="G48" s="11">
        <v>22166000</v>
      </c>
      <c r="H48" s="11">
        <v>14517000</v>
      </c>
      <c r="I48" s="11">
        <v>18862000</v>
      </c>
      <c r="J48" s="11">
        <v>12693000</v>
      </c>
      <c r="K48" s="11">
        <v>15195000</v>
      </c>
      <c r="L48" s="11">
        <v>13948000</v>
      </c>
      <c r="M48" s="11">
        <v>16538000</v>
      </c>
      <c r="N48" s="11">
        <v>12248000</v>
      </c>
      <c r="Y48" s="11">
        <v>14517000</v>
      </c>
      <c r="Z48" s="11">
        <v>13948000</v>
      </c>
    </row>
    <row r="49" spans="2:27" x14ac:dyDescent="0.25">
      <c r="B49" s="3" t="s">
        <v>76</v>
      </c>
      <c r="C49" s="11">
        <v>221931000</v>
      </c>
      <c r="D49" s="11">
        <v>326339000</v>
      </c>
      <c r="E49" s="11">
        <v>321234000</v>
      </c>
      <c r="F49" s="11">
        <v>295524000</v>
      </c>
      <c r="G49" s="11">
        <v>305137000</v>
      </c>
      <c r="H49" s="11">
        <v>307704000</v>
      </c>
      <c r="I49" s="11">
        <v>302207000</v>
      </c>
      <c r="J49" s="11">
        <v>264469000</v>
      </c>
      <c r="K49" s="11">
        <v>289340000</v>
      </c>
      <c r="L49" s="11">
        <v>294951000</v>
      </c>
      <c r="M49" s="11">
        <v>273444000</v>
      </c>
      <c r="N49" s="11">
        <v>278850000</v>
      </c>
      <c r="Y49" s="11">
        <v>307704000</v>
      </c>
      <c r="Z49" s="11">
        <v>294951000</v>
      </c>
    </row>
    <row r="50" spans="2:27" x14ac:dyDescent="0.25">
      <c r="B50" s="3" t="s">
        <v>56</v>
      </c>
      <c r="C50" s="11">
        <v>172646000</v>
      </c>
      <c r="D50" s="11">
        <v>445622000</v>
      </c>
      <c r="E50" s="11">
        <v>417866000</v>
      </c>
      <c r="F50" s="11">
        <v>445950000</v>
      </c>
      <c r="G50" s="11">
        <v>408259000</v>
      </c>
      <c r="H50" s="11">
        <v>385113000</v>
      </c>
      <c r="I50" s="11">
        <v>410671000</v>
      </c>
      <c r="J50" s="11">
        <v>388253000</v>
      </c>
      <c r="K50" s="11">
        <v>382552000</v>
      </c>
      <c r="L50" s="11">
        <v>394284000</v>
      </c>
      <c r="M50" s="11">
        <v>339129000</v>
      </c>
      <c r="N50" s="11">
        <v>372719000</v>
      </c>
      <c r="Y50" s="11">
        <v>385113000</v>
      </c>
      <c r="Z50" s="11">
        <v>394284000</v>
      </c>
    </row>
    <row r="51" spans="2:27" x14ac:dyDescent="0.25">
      <c r="B51" s="3" t="s">
        <v>57</v>
      </c>
      <c r="C51" s="11">
        <v>202984000</v>
      </c>
      <c r="D51" s="11">
        <v>218102000</v>
      </c>
      <c r="E51" s="11">
        <v>212925000</v>
      </c>
      <c r="F51" s="11">
        <v>215012000</v>
      </c>
      <c r="G51" s="11">
        <v>214788000</v>
      </c>
      <c r="H51" s="11">
        <v>186769000</v>
      </c>
      <c r="I51" s="11">
        <v>170435000</v>
      </c>
      <c r="J51" s="11">
        <v>176127000</v>
      </c>
      <c r="K51" s="11">
        <v>189810000</v>
      </c>
      <c r="L51" s="11">
        <v>186304000</v>
      </c>
      <c r="M51" s="11">
        <v>188490000</v>
      </c>
      <c r="N51" s="11">
        <v>219448000</v>
      </c>
      <c r="Y51" s="11">
        <v>186769000</v>
      </c>
      <c r="Z51" s="11">
        <v>186304000</v>
      </c>
    </row>
    <row r="52" spans="2:27" x14ac:dyDescent="0.25">
      <c r="B52" s="3" t="s">
        <v>58</v>
      </c>
      <c r="C52" s="11">
        <v>1706403000</v>
      </c>
      <c r="D52" s="11">
        <v>2707171000</v>
      </c>
      <c r="E52" s="11">
        <v>2708300000</v>
      </c>
      <c r="F52" s="11">
        <v>2709442000</v>
      </c>
      <c r="G52" s="11">
        <v>2710596000</v>
      </c>
      <c r="H52" s="11">
        <v>2711750000</v>
      </c>
      <c r="I52" s="11">
        <v>2236415000</v>
      </c>
      <c r="J52" s="11">
        <v>2237245000</v>
      </c>
      <c r="K52" s="11">
        <v>2238083000</v>
      </c>
      <c r="L52" s="11">
        <v>2238922000</v>
      </c>
      <c r="M52" s="11">
        <v>2232143000</v>
      </c>
      <c r="N52" s="11">
        <v>2233255000</v>
      </c>
      <c r="Y52" s="11">
        <v>2711750000</v>
      </c>
      <c r="Z52" s="11">
        <v>2238922000</v>
      </c>
    </row>
    <row r="53" spans="2:27" x14ac:dyDescent="0.25">
      <c r="B53" s="3" t="s">
        <v>59</v>
      </c>
      <c r="C53" s="11">
        <v>118170000</v>
      </c>
      <c r="D53" s="11">
        <v>103442000</v>
      </c>
      <c r="E53" s="11">
        <v>90407000</v>
      </c>
      <c r="F53" s="11">
        <v>78859000</v>
      </c>
      <c r="G53" s="11">
        <v>65323000</v>
      </c>
      <c r="H53" s="11">
        <v>6015000</v>
      </c>
      <c r="I53" s="11">
        <v>9080000</v>
      </c>
      <c r="J53" s="11">
        <v>10173000</v>
      </c>
      <c r="K53" s="11">
        <v>17257000</v>
      </c>
      <c r="L53" s="11">
        <v>16846000</v>
      </c>
      <c r="M53" s="11">
        <v>14710000</v>
      </c>
      <c r="N53" s="11">
        <v>15480000</v>
      </c>
      <c r="Y53" s="11">
        <v>6015000</v>
      </c>
      <c r="Z53" s="11">
        <v>16846000</v>
      </c>
    </row>
    <row r="54" spans="2:27" x14ac:dyDescent="0.25">
      <c r="B54" s="3" t="s">
        <v>77</v>
      </c>
      <c r="C54" s="11">
        <v>88159000</v>
      </c>
      <c r="D54" s="11">
        <v>258959000</v>
      </c>
      <c r="E54" s="11">
        <v>264107000</v>
      </c>
      <c r="F54" s="11">
        <v>255604000</v>
      </c>
      <c r="G54" s="11">
        <v>234044000</v>
      </c>
      <c r="H54" s="11">
        <v>217195000</v>
      </c>
      <c r="I54" s="11">
        <v>190869000</v>
      </c>
      <c r="J54" s="11">
        <v>178198000</v>
      </c>
      <c r="K54" s="11">
        <v>167058000</v>
      </c>
      <c r="L54" s="11">
        <v>165004000</v>
      </c>
      <c r="M54" s="11">
        <v>154863000</v>
      </c>
      <c r="N54" s="11">
        <v>150349000</v>
      </c>
      <c r="Y54" s="11">
        <v>217195000</v>
      </c>
      <c r="Z54" s="11">
        <v>165004000</v>
      </c>
    </row>
    <row r="55" spans="2:27" s="4" customFormat="1" x14ac:dyDescent="0.25">
      <c r="B55" s="4" t="s">
        <v>60</v>
      </c>
      <c r="C55" s="12">
        <f>SUM(C48:C54)</f>
        <v>2524475000</v>
      </c>
      <c r="D55" s="12">
        <f t="shared" ref="D55:T55" si="75">SUM(D48:D54)</f>
        <v>4079856000</v>
      </c>
      <c r="E55" s="12">
        <f t="shared" si="75"/>
        <v>4043061000</v>
      </c>
      <c r="F55" s="12">
        <f t="shared" si="75"/>
        <v>4018971000</v>
      </c>
      <c r="G55" s="12">
        <f t="shared" si="75"/>
        <v>3960313000</v>
      </c>
      <c r="H55" s="12">
        <f t="shared" si="75"/>
        <v>3829063000</v>
      </c>
      <c r="I55" s="12">
        <f t="shared" si="75"/>
        <v>3338539000</v>
      </c>
      <c r="J55" s="12">
        <f t="shared" si="75"/>
        <v>3267158000</v>
      </c>
      <c r="K55" s="12">
        <f t="shared" si="75"/>
        <v>3299295000</v>
      </c>
      <c r="L55" s="12">
        <f t="shared" si="75"/>
        <v>3310259000</v>
      </c>
      <c r="M55" s="12">
        <f t="shared" si="75"/>
        <v>3219317000</v>
      </c>
      <c r="N55" s="12">
        <f t="shared" si="75"/>
        <v>3282349000</v>
      </c>
      <c r="O55" s="12">
        <f t="shared" si="75"/>
        <v>0</v>
      </c>
      <c r="P55" s="12">
        <f t="shared" si="75"/>
        <v>0</v>
      </c>
      <c r="Q55" s="12">
        <f t="shared" si="75"/>
        <v>0</v>
      </c>
      <c r="R55" s="12">
        <f t="shared" si="75"/>
        <v>0</v>
      </c>
      <c r="S55" s="12">
        <f t="shared" si="75"/>
        <v>0</v>
      </c>
      <c r="T55" s="12">
        <f t="shared" si="75"/>
        <v>0</v>
      </c>
      <c r="Y55" s="12">
        <f t="shared" ref="Y55:AA55" si="76">SUM(Y48:Y54)</f>
        <v>3829063000</v>
      </c>
      <c r="Z55" s="12">
        <f t="shared" si="76"/>
        <v>3310259000</v>
      </c>
      <c r="AA55" s="12">
        <f t="shared" si="76"/>
        <v>0</v>
      </c>
    </row>
    <row r="56" spans="2:27" x14ac:dyDescent="0.25">
      <c r="B56" s="3" t="s">
        <v>61</v>
      </c>
      <c r="C56" s="11">
        <v>0</v>
      </c>
      <c r="D56" s="11">
        <v>219563000</v>
      </c>
      <c r="E56" s="11">
        <v>225376000</v>
      </c>
      <c r="F56" s="11">
        <v>215749000</v>
      </c>
      <c r="G56" s="11">
        <v>216945000</v>
      </c>
      <c r="H56" s="11">
        <v>225797000</v>
      </c>
      <c r="I56" s="11">
        <v>224736000</v>
      </c>
      <c r="J56" s="11">
        <v>226056000</v>
      </c>
      <c r="K56" s="11">
        <v>236914000</v>
      </c>
      <c r="L56" s="11">
        <v>230627000</v>
      </c>
      <c r="M56" s="11">
        <v>234740000</v>
      </c>
      <c r="N56" s="11">
        <v>240697000</v>
      </c>
      <c r="Y56" s="11">
        <v>225797000</v>
      </c>
      <c r="Z56" s="11">
        <v>230627000</v>
      </c>
    </row>
    <row r="57" spans="2:27" x14ac:dyDescent="0.25">
      <c r="B57" s="3" t="s">
        <v>62</v>
      </c>
      <c r="C57" s="11">
        <v>2000</v>
      </c>
      <c r="D57" s="11">
        <v>2000</v>
      </c>
      <c r="E57" s="11">
        <v>2000</v>
      </c>
      <c r="F57" s="11">
        <v>2000</v>
      </c>
      <c r="G57" s="11">
        <v>2000</v>
      </c>
      <c r="H57" s="11">
        <v>2000</v>
      </c>
      <c r="I57" s="11">
        <v>2000</v>
      </c>
      <c r="J57" s="11">
        <v>2000</v>
      </c>
      <c r="K57" s="11">
        <v>2000</v>
      </c>
      <c r="L57" s="11">
        <v>2000</v>
      </c>
      <c r="M57" s="11">
        <v>2000</v>
      </c>
      <c r="N57" s="11">
        <v>2000</v>
      </c>
      <c r="Y57" s="11">
        <v>2000</v>
      </c>
      <c r="Z57" s="11">
        <v>2000</v>
      </c>
    </row>
    <row r="58" spans="2:27" x14ac:dyDescent="0.25">
      <c r="B58" s="3" t="s">
        <v>63</v>
      </c>
      <c r="C58" s="11">
        <v>4179621000</v>
      </c>
      <c r="D58" s="11">
        <v>5779776000</v>
      </c>
      <c r="E58" s="11">
        <v>5962358000</v>
      </c>
      <c r="F58" s="11">
        <v>6149631000</v>
      </c>
      <c r="G58" s="11">
        <v>6071209000</v>
      </c>
      <c r="H58" s="11">
        <v>6259479000</v>
      </c>
      <c r="I58" s="11">
        <v>6554787000</v>
      </c>
      <c r="J58" s="11">
        <v>6682060000</v>
      </c>
      <c r="K58" s="11">
        <v>6799899000</v>
      </c>
      <c r="L58" s="11">
        <v>6936038000</v>
      </c>
      <c r="M58" s="11">
        <v>7008134000</v>
      </c>
      <c r="N58" s="11">
        <v>7116124000</v>
      </c>
      <c r="Y58" s="11">
        <v>6259479000</v>
      </c>
      <c r="Z58" s="11">
        <v>6936038000</v>
      </c>
    </row>
    <row r="59" spans="2:27" x14ac:dyDescent="0.25">
      <c r="B59" s="3" t="s">
        <v>64</v>
      </c>
      <c r="C59" s="11">
        <v>-13576000</v>
      </c>
      <c r="D59" s="11">
        <v>-1691000</v>
      </c>
      <c r="E59" s="11">
        <v>490000</v>
      </c>
      <c r="F59" s="11">
        <v>-8543000</v>
      </c>
      <c r="G59" s="11">
        <v>-9646000</v>
      </c>
      <c r="H59" s="11">
        <v>-5009000</v>
      </c>
      <c r="I59" s="11">
        <v>-7760000</v>
      </c>
      <c r="J59" s="11">
        <v>-8898000</v>
      </c>
      <c r="K59" s="11">
        <v>-2987000</v>
      </c>
      <c r="L59" s="11">
        <v>-9425000</v>
      </c>
      <c r="M59" s="11">
        <v>-8501000</v>
      </c>
      <c r="N59" s="11">
        <v>-6349000</v>
      </c>
      <c r="Y59" s="11">
        <v>-5009000</v>
      </c>
      <c r="Z59" s="11">
        <v>-9425000</v>
      </c>
    </row>
    <row r="60" spans="2:27" x14ac:dyDescent="0.25">
      <c r="B60" s="3" t="s">
        <v>65</v>
      </c>
      <c r="C60" s="11">
        <v>-1963361000</v>
      </c>
      <c r="D60" s="11">
        <v>-2249819000</v>
      </c>
      <c r="E60" s="11">
        <v>-2502850000</v>
      </c>
      <c r="F60" s="11">
        <v>-2695010000</v>
      </c>
      <c r="G60" s="11">
        <v>-2819081000</v>
      </c>
      <c r="H60" s="11">
        <v>-3071830000</v>
      </c>
      <c r="I60" s="11">
        <v>-3362904000</v>
      </c>
      <c r="J60" s="11">
        <v>-3488478000</v>
      </c>
      <c r="K60" s="11">
        <v>-3613217000</v>
      </c>
      <c r="L60" s="11">
        <v>-3735944000</v>
      </c>
      <c r="M60" s="11">
        <v>-3813586000</v>
      </c>
      <c r="N60" s="11">
        <v>-3922384000</v>
      </c>
      <c r="Y60" s="11">
        <v>-3071830000</v>
      </c>
      <c r="Z60" s="11">
        <v>-3735944000</v>
      </c>
    </row>
    <row r="61" spans="2:27" s="4" customFormat="1" x14ac:dyDescent="0.25">
      <c r="B61" s="4" t="s">
        <v>66</v>
      </c>
      <c r="C61" s="12">
        <f>SUM(C56:C60)</f>
        <v>2202686000</v>
      </c>
      <c r="D61" s="12">
        <f t="shared" ref="D61:N61" si="77">SUM(D56:D60)</f>
        <v>3747831000</v>
      </c>
      <c r="E61" s="12">
        <f t="shared" si="77"/>
        <v>3685376000</v>
      </c>
      <c r="F61" s="12">
        <f t="shared" si="77"/>
        <v>3661829000</v>
      </c>
      <c r="G61" s="12">
        <f t="shared" si="77"/>
        <v>3459429000</v>
      </c>
      <c r="H61" s="12">
        <f t="shared" si="77"/>
        <v>3408439000</v>
      </c>
      <c r="I61" s="12">
        <f t="shared" si="77"/>
        <v>3408861000</v>
      </c>
      <c r="J61" s="12">
        <f t="shared" si="77"/>
        <v>3410742000</v>
      </c>
      <c r="K61" s="12">
        <f t="shared" si="77"/>
        <v>3420611000</v>
      </c>
      <c r="L61" s="12">
        <f t="shared" si="77"/>
        <v>3421298000</v>
      </c>
      <c r="M61" s="12">
        <f t="shared" si="77"/>
        <v>3420789000</v>
      </c>
      <c r="N61" s="12">
        <f t="shared" si="77"/>
        <v>3428090000</v>
      </c>
      <c r="O61" s="12">
        <f t="shared" ref="O61" si="78">SUM(O56:O60)</f>
        <v>0</v>
      </c>
      <c r="P61" s="12">
        <f t="shared" ref="P61" si="79">SUM(P56:P60)</f>
        <v>0</v>
      </c>
      <c r="Q61" s="12">
        <f t="shared" ref="Q61" si="80">SUM(Q56:Q60)</f>
        <v>0</v>
      </c>
      <c r="R61" s="12">
        <f t="shared" ref="R61" si="81">SUM(R56:R60)</f>
        <v>0</v>
      </c>
      <c r="S61" s="12">
        <f t="shared" ref="S61" si="82">SUM(S56:S60)</f>
        <v>0</v>
      </c>
      <c r="T61" s="12">
        <f t="shared" ref="T61" si="83">SUM(T56:T60)</f>
        <v>0</v>
      </c>
      <c r="Y61" s="12">
        <f t="shared" ref="Y61" si="84">SUM(Y56:Y60)</f>
        <v>3408439000</v>
      </c>
      <c r="Z61" s="12">
        <f t="shared" ref="Z61" si="85">SUM(Z56:Z60)</f>
        <v>3421298000</v>
      </c>
      <c r="AA61" s="12">
        <f t="shared" ref="AA61" si="86">SUM(AA56:AA60)</f>
        <v>0</v>
      </c>
    </row>
    <row r="62" spans="2:27" x14ac:dyDescent="0.25">
      <c r="B62" s="3" t="s">
        <v>67</v>
      </c>
      <c r="C62" s="11">
        <v>0</v>
      </c>
      <c r="D62" s="11">
        <v>6298000</v>
      </c>
      <c r="E62" s="11">
        <v>6296000</v>
      </c>
      <c r="F62" s="11">
        <v>6046000</v>
      </c>
      <c r="G62" s="11">
        <v>5941000</v>
      </c>
      <c r="H62" s="11">
        <v>5939000</v>
      </c>
      <c r="I62" s="11">
        <v>5863000</v>
      </c>
      <c r="J62" s="11">
        <v>5834000</v>
      </c>
      <c r="K62" s="11">
        <v>5949000</v>
      </c>
      <c r="L62" s="11">
        <v>5850000</v>
      </c>
      <c r="M62" s="11">
        <v>5849000</v>
      </c>
      <c r="N62" s="11">
        <v>5985000</v>
      </c>
      <c r="Y62" s="11">
        <v>5939000</v>
      </c>
      <c r="Z62" s="11">
        <v>5850000</v>
      </c>
    </row>
    <row r="63" spans="2:27" s="4" customFormat="1" x14ac:dyDescent="0.25">
      <c r="B63" s="4" t="s">
        <v>68</v>
      </c>
      <c r="C63" s="12">
        <f>SUM(C61:C62)</f>
        <v>2202686000</v>
      </c>
      <c r="D63" s="12">
        <f t="shared" ref="D63:N63" si="87">SUM(D61:D62)</f>
        <v>3754129000</v>
      </c>
      <c r="E63" s="12">
        <f t="shared" si="87"/>
        <v>3691672000</v>
      </c>
      <c r="F63" s="12">
        <f t="shared" si="87"/>
        <v>3667875000</v>
      </c>
      <c r="G63" s="12">
        <f t="shared" si="87"/>
        <v>3465370000</v>
      </c>
      <c r="H63" s="12">
        <f t="shared" si="87"/>
        <v>3414378000</v>
      </c>
      <c r="I63" s="12">
        <f t="shared" si="87"/>
        <v>3414724000</v>
      </c>
      <c r="J63" s="12">
        <f t="shared" si="87"/>
        <v>3416576000</v>
      </c>
      <c r="K63" s="12">
        <f t="shared" si="87"/>
        <v>3426560000</v>
      </c>
      <c r="L63" s="12">
        <f t="shared" si="87"/>
        <v>3427148000</v>
      </c>
      <c r="M63" s="12">
        <f t="shared" si="87"/>
        <v>3426638000</v>
      </c>
      <c r="N63" s="12">
        <f t="shared" si="87"/>
        <v>3434075000</v>
      </c>
      <c r="O63" s="12">
        <f t="shared" ref="O63" si="88">SUM(O61:O62)</f>
        <v>0</v>
      </c>
      <c r="P63" s="12">
        <f t="shared" ref="P63" si="89">SUM(P61:P62)</f>
        <v>0</v>
      </c>
      <c r="Q63" s="12">
        <f t="shared" ref="Q63" si="90">SUM(Q61:Q62)</f>
        <v>0</v>
      </c>
      <c r="R63" s="12">
        <f t="shared" ref="R63" si="91">SUM(R61:R62)</f>
        <v>0</v>
      </c>
      <c r="S63" s="12">
        <f t="shared" ref="S63" si="92">SUM(S61:S62)</f>
        <v>0</v>
      </c>
      <c r="T63" s="12">
        <f t="shared" ref="T63" si="93">SUM(T61:T62)</f>
        <v>0</v>
      </c>
      <c r="Y63" s="12">
        <f t="shared" ref="Y63" si="94">SUM(Y61:Y62)</f>
        <v>3414378000</v>
      </c>
      <c r="Z63" s="12">
        <f t="shared" ref="Z63" si="95">SUM(Z61:Z62)</f>
        <v>3427148000</v>
      </c>
      <c r="AA63" s="12">
        <f t="shared" ref="AA63" si="96">SUM(AA61:AA62)</f>
        <v>0</v>
      </c>
    </row>
    <row r="64" spans="2:27" x14ac:dyDescent="0.25">
      <c r="B64" s="3" t="s">
        <v>69</v>
      </c>
      <c r="C64" s="13">
        <f>SUM(C63+C55)</f>
        <v>4727161000</v>
      </c>
      <c r="D64" s="13">
        <f t="shared" ref="D64:N64" si="97">SUM(D63+D55)</f>
        <v>7833985000</v>
      </c>
      <c r="E64" s="13">
        <f t="shared" si="97"/>
        <v>7734733000</v>
      </c>
      <c r="F64" s="13">
        <f t="shared" si="97"/>
        <v>7686846000</v>
      </c>
      <c r="G64" s="13">
        <f t="shared" si="97"/>
        <v>7425683000</v>
      </c>
      <c r="H64" s="13">
        <f t="shared" si="97"/>
        <v>7243441000</v>
      </c>
      <c r="I64" s="13">
        <f t="shared" si="97"/>
        <v>6753263000</v>
      </c>
      <c r="J64" s="13">
        <f t="shared" si="97"/>
        <v>6683734000</v>
      </c>
      <c r="K64" s="13">
        <f t="shared" si="97"/>
        <v>6725855000</v>
      </c>
      <c r="L64" s="13">
        <f t="shared" si="97"/>
        <v>6737407000</v>
      </c>
      <c r="M64" s="13">
        <f t="shared" si="97"/>
        <v>6645955000</v>
      </c>
      <c r="N64" s="13">
        <f t="shared" si="97"/>
        <v>6716424000</v>
      </c>
      <c r="O64" s="13">
        <f t="shared" ref="O64" si="98">SUM(O63+O55)</f>
        <v>0</v>
      </c>
      <c r="P64" s="13">
        <f t="shared" ref="P64" si="99">SUM(P63+P55)</f>
        <v>0</v>
      </c>
      <c r="Q64" s="13">
        <f t="shared" ref="Q64" si="100">SUM(Q63+Q55)</f>
        <v>0</v>
      </c>
      <c r="R64" s="13">
        <f t="shared" ref="R64" si="101">SUM(R63+R55)</f>
        <v>0</v>
      </c>
      <c r="S64" s="13">
        <f t="shared" ref="S64" si="102">SUM(S63+S55)</f>
        <v>0</v>
      </c>
      <c r="T64" s="13">
        <f t="shared" ref="T64" si="103">SUM(T63+T55)</f>
        <v>0</v>
      </c>
      <c r="Y64" s="13">
        <f t="shared" ref="Y64" si="104">SUM(Y63+Y55)</f>
        <v>7243441000</v>
      </c>
      <c r="Z64" s="13">
        <f t="shared" ref="Z64" si="105">SUM(Z63+Z55)</f>
        <v>6737407000</v>
      </c>
      <c r="AA64" s="13">
        <f t="shared" ref="AA64" si="106">SUM(AA63+AA55)</f>
        <v>0</v>
      </c>
    </row>
    <row r="67" spans="2:27" x14ac:dyDescent="0.25">
      <c r="B67" s="3" t="s">
        <v>78</v>
      </c>
      <c r="C67" s="8">
        <f>(C39+C40+C41+C42)/(C48+C49+C50+C51)</f>
        <v>3.4073132017857173</v>
      </c>
      <c r="D67" s="8">
        <f t="shared" ref="D67:T67" si="107">(D39+D40+D41+D42)/(D48+D49+D50+D51)</f>
        <v>2.3405695824144499</v>
      </c>
      <c r="E67" s="8">
        <f t="shared" si="107"/>
        <v>2.390583189747074</v>
      </c>
      <c r="F67" s="8">
        <f t="shared" si="107"/>
        <v>2.4555917240473977</v>
      </c>
      <c r="G67" s="8">
        <f t="shared" si="107"/>
        <v>2.349308149629084</v>
      </c>
      <c r="H67" s="8">
        <f t="shared" si="107"/>
        <v>2.6002496356683737</v>
      </c>
      <c r="I67" s="8">
        <f t="shared" si="107"/>
        <v>2.1517310942998864</v>
      </c>
      <c r="J67" s="8">
        <f t="shared" si="107"/>
        <v>2.357655351723384</v>
      </c>
      <c r="K67" s="8">
        <f t="shared" si="107"/>
        <v>2.4134738743546849</v>
      </c>
      <c r="L67" s="8">
        <f t="shared" si="107"/>
        <v>2.5018364517974967</v>
      </c>
      <c r="M67" s="8">
        <f t="shared" si="107"/>
        <v>2.7380617195918302</v>
      </c>
      <c r="N67" s="8">
        <f t="shared" si="107"/>
        <v>2.7259950298041926</v>
      </c>
      <c r="O67" s="8" t="e">
        <f t="shared" si="107"/>
        <v>#DIV/0!</v>
      </c>
      <c r="P67" s="8" t="e">
        <f t="shared" si="107"/>
        <v>#DIV/0!</v>
      </c>
      <c r="Q67" s="8" t="e">
        <f t="shared" si="107"/>
        <v>#DIV/0!</v>
      </c>
      <c r="R67" s="8" t="e">
        <f t="shared" si="107"/>
        <v>#DIV/0!</v>
      </c>
      <c r="S67" s="8" t="e">
        <f t="shared" si="107"/>
        <v>#DIV/0!</v>
      </c>
      <c r="T67" s="8" t="e">
        <f t="shared" si="107"/>
        <v>#DIV/0!</v>
      </c>
      <c r="Y67" s="8">
        <f t="shared" ref="Y67:AA67" si="108">(Y39+Y40+Y41+Y42)/(Y48+Y49+Y50+Y51)</f>
        <v>2.6002496356683737</v>
      </c>
      <c r="Z67" s="8">
        <f t="shared" si="108"/>
        <v>2.5018364517974967</v>
      </c>
      <c r="AA67" s="8" t="e">
        <f t="shared" si="108"/>
        <v>#DIV/0!</v>
      </c>
    </row>
    <row r="68" spans="2:27" x14ac:dyDescent="0.25">
      <c r="B68" s="3" t="s">
        <v>79</v>
      </c>
      <c r="C68" s="8">
        <f>+(C39+C40)/(C48+C49+C50+C51)</f>
        <v>2.7562276969250159</v>
      </c>
      <c r="D68" s="8">
        <f t="shared" ref="D68:T68" si="109">+(D39+D40)/(D48+D49+D50+D51)</f>
        <v>1.5706425124024532</v>
      </c>
      <c r="E68" s="8">
        <f t="shared" si="109"/>
        <v>1.6260656752838825</v>
      </c>
      <c r="F68" s="8">
        <f t="shared" si="109"/>
        <v>1.6828871071291585</v>
      </c>
      <c r="G68" s="8">
        <f t="shared" si="109"/>
        <v>1.5859041405797865</v>
      </c>
      <c r="H68" s="8">
        <f t="shared" si="109"/>
        <v>1.7786820981475289</v>
      </c>
      <c r="I68" s="8">
        <f t="shared" si="109"/>
        <v>1.3079081109540831</v>
      </c>
      <c r="J68" s="8">
        <f t="shared" si="109"/>
        <v>1.5067067359680206</v>
      </c>
      <c r="K68" s="8">
        <f t="shared" si="109"/>
        <v>1.6025553742343741</v>
      </c>
      <c r="L68" s="8">
        <f t="shared" si="109"/>
        <v>1.7062329185249476</v>
      </c>
      <c r="M68" s="8">
        <f t="shared" si="109"/>
        <v>1.8849903559315608</v>
      </c>
      <c r="N68" s="8">
        <f t="shared" si="109"/>
        <v>1.9145386718595212</v>
      </c>
      <c r="O68" s="8" t="e">
        <f t="shared" si="109"/>
        <v>#DIV/0!</v>
      </c>
      <c r="P68" s="8" t="e">
        <f t="shared" si="109"/>
        <v>#DIV/0!</v>
      </c>
      <c r="Q68" s="8" t="e">
        <f t="shared" si="109"/>
        <v>#DIV/0!</v>
      </c>
      <c r="R68" s="8" t="e">
        <f t="shared" si="109"/>
        <v>#DIV/0!</v>
      </c>
      <c r="S68" s="8" t="e">
        <f t="shared" si="109"/>
        <v>#DIV/0!</v>
      </c>
      <c r="T68" s="8" t="e">
        <f t="shared" si="109"/>
        <v>#DIV/0!</v>
      </c>
      <c r="Y68" s="8">
        <f t="shared" ref="Y68:AA68" si="110">+(Y39+Y40)/(Y48+Y49+Y50+Y51)</f>
        <v>1.7786820981475289</v>
      </c>
      <c r="Z68" s="8">
        <f t="shared" si="110"/>
        <v>1.7062329185249476</v>
      </c>
      <c r="AA68" s="8" t="e">
        <f t="shared" si="110"/>
        <v>#DIV/0!</v>
      </c>
    </row>
    <row r="69" spans="2:27" x14ac:dyDescent="0.25">
      <c r="B69" s="3" t="s">
        <v>80</v>
      </c>
      <c r="C69" s="8">
        <f>C55/C63</f>
        <v>1.1460893654383784</v>
      </c>
      <c r="D69" s="8">
        <f t="shared" ref="D69:T69" si="111">D55/D63</f>
        <v>1.0867649992847874</v>
      </c>
      <c r="E69" s="8">
        <f t="shared" si="111"/>
        <v>1.0951842417202828</v>
      </c>
      <c r="F69" s="8">
        <f t="shared" si="111"/>
        <v>1.0957219098251711</v>
      </c>
      <c r="G69" s="8">
        <f t="shared" si="111"/>
        <v>1.1428254414391537</v>
      </c>
      <c r="H69" s="8">
        <f t="shared" si="111"/>
        <v>1.1214525749638733</v>
      </c>
      <c r="I69" s="8">
        <f t="shared" si="111"/>
        <v>0.97768926566246639</v>
      </c>
      <c r="J69" s="8">
        <f t="shared" si="111"/>
        <v>0.95626674190768768</v>
      </c>
      <c r="K69" s="8">
        <f t="shared" si="111"/>
        <v>0.96285925242809112</v>
      </c>
      <c r="L69" s="8">
        <f t="shared" si="111"/>
        <v>0.96589321499976077</v>
      </c>
      <c r="M69" s="8">
        <f t="shared" si="111"/>
        <v>0.93949725649455817</v>
      </c>
      <c r="N69" s="8">
        <f t="shared" si="111"/>
        <v>0.95581750544178568</v>
      </c>
      <c r="O69" s="8" t="e">
        <f t="shared" si="111"/>
        <v>#DIV/0!</v>
      </c>
      <c r="P69" s="8" t="e">
        <f t="shared" si="111"/>
        <v>#DIV/0!</v>
      </c>
      <c r="Q69" s="8" t="e">
        <f t="shared" si="111"/>
        <v>#DIV/0!</v>
      </c>
      <c r="R69" s="8" t="e">
        <f t="shared" si="111"/>
        <v>#DIV/0!</v>
      </c>
      <c r="S69" s="8" t="e">
        <f t="shared" si="111"/>
        <v>#DIV/0!</v>
      </c>
      <c r="T69" s="8" t="e">
        <f t="shared" si="111"/>
        <v>#DIV/0!</v>
      </c>
      <c r="Y69" s="8">
        <f t="shared" ref="Y69:AA69" si="112">Y55/Y63</f>
        <v>1.1214525749638733</v>
      </c>
      <c r="Z69" s="8">
        <f t="shared" si="112"/>
        <v>0.96589321499976077</v>
      </c>
      <c r="AA69" s="8" t="e">
        <f t="shared" si="112"/>
        <v>#DIV/0!</v>
      </c>
    </row>
    <row r="70" spans="2:27" x14ac:dyDescent="0.25">
      <c r="B70" s="3" t="s">
        <v>81</v>
      </c>
      <c r="C70" s="8">
        <f>(C43+C44+C45+C46)/C47</f>
        <v>0.55905880929378116</v>
      </c>
      <c r="D70" s="8">
        <f t="shared" ref="D70:T70" si="113">(D43+D44+D45+D46)/D47</f>
        <v>0.69815617466717128</v>
      </c>
      <c r="E70" s="8">
        <f t="shared" si="113"/>
        <v>0.69703388597899885</v>
      </c>
      <c r="F70" s="8">
        <f t="shared" si="113"/>
        <v>0.68851151694726287</v>
      </c>
      <c r="G70" s="8">
        <f t="shared" si="113"/>
        <v>0.69933203450780212</v>
      </c>
      <c r="H70" s="8">
        <f t="shared" si="113"/>
        <v>0.67903500560023888</v>
      </c>
      <c r="I70" s="8">
        <f t="shared" si="113"/>
        <v>0.71254814154283641</v>
      </c>
      <c r="J70" s="8">
        <f t="shared" si="113"/>
        <v>0.70315006551726922</v>
      </c>
      <c r="K70" s="8">
        <f t="shared" si="113"/>
        <v>0.68533844395991295</v>
      </c>
      <c r="L70" s="8">
        <f t="shared" si="113"/>
        <v>0.66970215692773194</v>
      </c>
      <c r="M70" s="8">
        <f t="shared" si="113"/>
        <v>0.66315721367358038</v>
      </c>
      <c r="N70" s="8">
        <f t="shared" si="113"/>
        <v>0.64150923169829654</v>
      </c>
      <c r="O70" s="8" t="e">
        <f t="shared" si="113"/>
        <v>#DIV/0!</v>
      </c>
      <c r="P70" s="8" t="e">
        <f t="shared" si="113"/>
        <v>#DIV/0!</v>
      </c>
      <c r="Q70" s="8" t="e">
        <f t="shared" si="113"/>
        <v>#DIV/0!</v>
      </c>
      <c r="R70" s="8" t="e">
        <f t="shared" si="113"/>
        <v>#DIV/0!</v>
      </c>
      <c r="S70" s="8" t="e">
        <f t="shared" si="113"/>
        <v>#DIV/0!</v>
      </c>
      <c r="T70" s="8" t="e">
        <f t="shared" si="113"/>
        <v>#DIV/0!</v>
      </c>
      <c r="Y70" s="8">
        <f t="shared" ref="Y70:AA70" si="114">(Y43+Y44+Y45+Y46)/Y47</f>
        <v>0.67903500560023888</v>
      </c>
      <c r="Z70" s="8">
        <f t="shared" si="114"/>
        <v>0.66970215692773194</v>
      </c>
      <c r="AA70" s="8" t="e">
        <f t="shared" si="114"/>
        <v>#DIV/0!</v>
      </c>
    </row>
    <row r="74" spans="2:27" x14ac:dyDescent="0.25">
      <c r="B74" s="3" t="s">
        <v>107</v>
      </c>
      <c r="C74" s="5">
        <f>C20</f>
        <v>-250021000</v>
      </c>
      <c r="D74" s="5">
        <f t="shared" ref="D74:T74" si="115">D20</f>
        <v>-289328000</v>
      </c>
      <c r="E74" s="5">
        <f t="shared" si="115"/>
        <v>-253031000</v>
      </c>
      <c r="F74" s="5">
        <f t="shared" si="115"/>
        <v>-192160000</v>
      </c>
      <c r="G74" s="5">
        <f t="shared" si="115"/>
        <v>-124071000</v>
      </c>
      <c r="H74" s="5">
        <f t="shared" si="115"/>
        <v>-252749000</v>
      </c>
      <c r="I74" s="5">
        <f t="shared" si="115"/>
        <v>-291074000</v>
      </c>
      <c r="J74" s="5">
        <f t="shared" si="115"/>
        <v>-125574000</v>
      </c>
      <c r="K74" s="5">
        <f t="shared" si="115"/>
        <v>-124739000</v>
      </c>
      <c r="L74" s="5">
        <f t="shared" si="115"/>
        <v>-122727000</v>
      </c>
      <c r="M74" s="5">
        <f t="shared" si="115"/>
        <v>-77642000</v>
      </c>
      <c r="N74" s="5">
        <f t="shared" si="115"/>
        <v>-108798000</v>
      </c>
      <c r="O74" s="5">
        <f t="shared" si="115"/>
        <v>0</v>
      </c>
      <c r="P74" s="5">
        <f t="shared" si="115"/>
        <v>0</v>
      </c>
      <c r="Q74" s="5">
        <f t="shared" si="115"/>
        <v>0</v>
      </c>
      <c r="R74" s="5">
        <f t="shared" si="115"/>
        <v>0</v>
      </c>
      <c r="S74" s="5">
        <f t="shared" si="115"/>
        <v>0</v>
      </c>
      <c r="T74" s="5">
        <f t="shared" si="115"/>
        <v>0</v>
      </c>
      <c r="Y74" s="5">
        <f t="shared" ref="Y74:AA74" si="116">Y20</f>
        <v>-822011000</v>
      </c>
      <c r="Z74" s="5">
        <f t="shared" si="116"/>
        <v>-664114000</v>
      </c>
      <c r="AA74" s="5">
        <f t="shared" si="116"/>
        <v>0</v>
      </c>
    </row>
    <row r="75" spans="2:27" x14ac:dyDescent="0.25">
      <c r="B75" s="14" t="s">
        <v>108</v>
      </c>
      <c r="C75" s="10">
        <v>-250021000</v>
      </c>
      <c r="D75" s="10">
        <v>-287754000</v>
      </c>
      <c r="E75" s="10">
        <v>-253703000</v>
      </c>
      <c r="F75" s="10">
        <v>-193324000</v>
      </c>
      <c r="G75" s="10">
        <v>-125310000</v>
      </c>
      <c r="H75" s="10">
        <v>-253985000</v>
      </c>
      <c r="I75" s="10">
        <v>-291478000</v>
      </c>
      <c r="J75" s="10">
        <v>-125738000</v>
      </c>
      <c r="K75" s="10">
        <v>-124548000</v>
      </c>
      <c r="L75" s="10">
        <v>-122523000</v>
      </c>
      <c r="M75" s="10">
        <v>-77907000</v>
      </c>
      <c r="N75" s="10">
        <v>-107365000</v>
      </c>
      <c r="Y75" s="10">
        <v>-826322000</v>
      </c>
      <c r="Z75" s="10">
        <v>-664287000</v>
      </c>
    </row>
    <row r="76" spans="2:27" x14ac:dyDescent="0.25">
      <c r="B76" s="15" t="s">
        <v>109</v>
      </c>
      <c r="C76" s="11">
        <v>43490000</v>
      </c>
      <c r="D76" s="11">
        <v>83978000</v>
      </c>
      <c r="E76" s="11">
        <v>109560000</v>
      </c>
      <c r="F76" s="11">
        <v>111079000</v>
      </c>
      <c r="G76" s="11">
        <v>111023000</v>
      </c>
      <c r="H76" s="11">
        <v>232254000</v>
      </c>
      <c r="I76" s="11">
        <v>101810000</v>
      </c>
      <c r="J76" s="11">
        <v>101409000</v>
      </c>
      <c r="K76" s="11">
        <v>102600000</v>
      </c>
      <c r="L76" s="11">
        <v>103161000</v>
      </c>
      <c r="M76" s="11">
        <v>96217000</v>
      </c>
      <c r="N76" s="11">
        <v>96928000</v>
      </c>
      <c r="Y76" s="11">
        <v>563916000</v>
      </c>
      <c r="Z76" s="11">
        <v>408980000</v>
      </c>
    </row>
    <row r="77" spans="2:27" x14ac:dyDescent="0.25">
      <c r="B77" s="15" t="s">
        <v>83</v>
      </c>
      <c r="C77" s="11">
        <v>154479000</v>
      </c>
      <c r="D77" s="11">
        <v>173917000</v>
      </c>
      <c r="E77" s="11">
        <v>163028000</v>
      </c>
      <c r="F77" s="11">
        <v>157534000</v>
      </c>
      <c r="G77" s="11">
        <v>147181000</v>
      </c>
      <c r="H77" s="11">
        <v>180953000</v>
      </c>
      <c r="I77" s="11">
        <v>265877000</v>
      </c>
      <c r="J77" s="11">
        <v>115399000</v>
      </c>
      <c r="K77" s="11">
        <v>104617000</v>
      </c>
      <c r="L77" s="11">
        <v>110356000</v>
      </c>
      <c r="M77" s="11">
        <v>98790000</v>
      </c>
      <c r="N77" s="11">
        <v>101604000</v>
      </c>
      <c r="Y77" s="11">
        <v>648696000</v>
      </c>
      <c r="Z77" s="11">
        <v>596249000</v>
      </c>
    </row>
    <row r="78" spans="2:27" x14ac:dyDescent="0.25">
      <c r="B78" s="15" t="s">
        <v>84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-61371000</v>
      </c>
      <c r="J78" s="11">
        <v>0</v>
      </c>
      <c r="K78" s="11">
        <v>0</v>
      </c>
      <c r="L78" s="11">
        <v>0</v>
      </c>
      <c r="M78" s="11">
        <v>-42744000</v>
      </c>
      <c r="N78" s="11">
        <v>0</v>
      </c>
      <c r="Y78" s="11">
        <v>0</v>
      </c>
      <c r="Z78" s="11">
        <v>-61371000</v>
      </c>
    </row>
    <row r="79" spans="2:27" x14ac:dyDescent="0.25">
      <c r="B79" s="15" t="s">
        <v>85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13598000</v>
      </c>
      <c r="J79" s="11">
        <v>8320000</v>
      </c>
      <c r="K79" s="11">
        <v>956000</v>
      </c>
      <c r="L79" s="11">
        <v>-83000</v>
      </c>
      <c r="M79" s="11">
        <v>3470000</v>
      </c>
      <c r="N79" s="11">
        <v>579000</v>
      </c>
      <c r="Y79" s="11">
        <v>0</v>
      </c>
      <c r="Z79" s="11">
        <v>22791000</v>
      </c>
    </row>
    <row r="80" spans="2:27" x14ac:dyDescent="0.25">
      <c r="B80" s="15" t="s">
        <v>86</v>
      </c>
      <c r="C80" s="11">
        <v>3496000</v>
      </c>
      <c r="D80" s="11">
        <v>12032000</v>
      </c>
      <c r="E80" s="11">
        <v>379000</v>
      </c>
      <c r="F80" s="11">
        <v>1142000</v>
      </c>
      <c r="G80" s="11">
        <v>10036000</v>
      </c>
      <c r="H80" s="11">
        <v>13056000</v>
      </c>
      <c r="I80" s="11">
        <v>2918000</v>
      </c>
      <c r="J80" s="11">
        <v>12465000</v>
      </c>
      <c r="K80" s="11">
        <v>-648000</v>
      </c>
      <c r="L80" s="11">
        <v>8574000</v>
      </c>
      <c r="M80" s="11">
        <v>-218000</v>
      </c>
      <c r="N80" s="11">
        <v>-7754000</v>
      </c>
      <c r="Y80" s="11">
        <v>24613000</v>
      </c>
      <c r="Z80" s="11">
        <v>23309000</v>
      </c>
    </row>
    <row r="81" spans="2:27" x14ac:dyDescent="0.25">
      <c r="B81" s="16" t="s">
        <v>49</v>
      </c>
      <c r="C81" s="11">
        <v>3385000</v>
      </c>
      <c r="D81" s="11">
        <v>-30806000</v>
      </c>
      <c r="E81" s="11">
        <v>21013000</v>
      </c>
      <c r="F81" s="11">
        <v>-19380000</v>
      </c>
      <c r="G81" s="11">
        <v>26713000</v>
      </c>
      <c r="H81" s="11">
        <v>-6555000</v>
      </c>
      <c r="I81" s="11">
        <v>-9740000</v>
      </c>
      <c r="J81" s="11">
        <v>47806000</v>
      </c>
      <c r="K81" s="11">
        <v>-2603000</v>
      </c>
      <c r="L81" s="11">
        <v>1896000</v>
      </c>
      <c r="M81" s="11">
        <v>21022000</v>
      </c>
      <c r="N81" s="11">
        <v>-43083000</v>
      </c>
      <c r="Y81" s="11">
        <v>21791000</v>
      </c>
      <c r="Z81" s="11">
        <v>37359000</v>
      </c>
    </row>
    <row r="82" spans="2:27" x14ac:dyDescent="0.25">
      <c r="B82" s="16" t="s">
        <v>50</v>
      </c>
      <c r="C82" s="11">
        <v>-474000</v>
      </c>
      <c r="D82" s="11">
        <v>-13220000</v>
      </c>
      <c r="E82" s="11">
        <v>7589000</v>
      </c>
      <c r="F82" s="11">
        <v>15260000</v>
      </c>
      <c r="G82" s="11">
        <v>-495000</v>
      </c>
      <c r="H82" s="11">
        <v>-2040000</v>
      </c>
      <c r="I82" s="11">
        <v>-16779000</v>
      </c>
      <c r="J82" s="11">
        <v>-3036000</v>
      </c>
      <c r="K82" s="11">
        <v>7866000</v>
      </c>
      <c r="L82" s="11">
        <v>746000</v>
      </c>
      <c r="M82" s="11">
        <v>-10602000</v>
      </c>
      <c r="N82" s="11">
        <v>24373000</v>
      </c>
      <c r="Y82" s="11">
        <v>20314000</v>
      </c>
      <c r="Z82" s="11">
        <v>-11203000</v>
      </c>
    </row>
    <row r="83" spans="2:27" x14ac:dyDescent="0.25">
      <c r="B83" s="16" t="s">
        <v>52</v>
      </c>
      <c r="C83" s="11">
        <v>8733000</v>
      </c>
      <c r="D83" s="11">
        <v>14198000</v>
      </c>
      <c r="E83" s="11">
        <v>11169000</v>
      </c>
      <c r="F83" s="11">
        <v>13142000</v>
      </c>
      <c r="G83" s="11">
        <v>9222000</v>
      </c>
      <c r="H83" s="11">
        <v>11514000</v>
      </c>
      <c r="I83" s="11">
        <v>-2399000</v>
      </c>
      <c r="J83" s="11">
        <v>13000</v>
      </c>
      <c r="K83" s="11">
        <v>6753000</v>
      </c>
      <c r="L83" s="11">
        <v>-7113000</v>
      </c>
      <c r="M83" s="11">
        <v>10023000</v>
      </c>
      <c r="N83" s="11">
        <v>1866000</v>
      </c>
      <c r="Y83" s="11">
        <v>45047000</v>
      </c>
      <c r="Z83" s="11">
        <v>-2746000</v>
      </c>
    </row>
    <row r="84" spans="2:27" x14ac:dyDescent="0.25">
      <c r="B84" s="16" t="s">
        <v>54</v>
      </c>
      <c r="C84" s="11">
        <v>1556000</v>
      </c>
      <c r="D84" s="11">
        <v>-18548000</v>
      </c>
      <c r="E84" s="11">
        <v>7450000</v>
      </c>
      <c r="F84" s="11">
        <v>-10519000</v>
      </c>
      <c r="G84" s="11">
        <v>3637000</v>
      </c>
      <c r="H84" s="11">
        <v>-6881000</v>
      </c>
      <c r="I84" s="11">
        <v>5273000</v>
      </c>
      <c r="J84" s="11">
        <v>-5733000</v>
      </c>
      <c r="K84" s="11">
        <v>550000</v>
      </c>
      <c r="L84" s="11">
        <v>652000</v>
      </c>
      <c r="M84" s="11">
        <v>2198000</v>
      </c>
      <c r="N84" s="11">
        <v>-4297000</v>
      </c>
      <c r="Y84" s="11">
        <v>-6313000</v>
      </c>
      <c r="Z84" s="11">
        <v>742000</v>
      </c>
    </row>
    <row r="85" spans="2:27" x14ac:dyDescent="0.25">
      <c r="B85" s="16" t="s">
        <v>55</v>
      </c>
      <c r="C85" s="11">
        <v>9825000</v>
      </c>
      <c r="D85" s="11">
        <v>5602000</v>
      </c>
      <c r="E85" s="11">
        <v>-7305000</v>
      </c>
      <c r="F85" s="11">
        <v>-26422000</v>
      </c>
      <c r="G85" s="11">
        <v>9706000</v>
      </c>
      <c r="H85" s="11">
        <v>2952000</v>
      </c>
      <c r="I85" s="11">
        <v>-4269000</v>
      </c>
      <c r="J85" s="11">
        <v>-36032000</v>
      </c>
      <c r="K85" s="11">
        <v>24934000</v>
      </c>
      <c r="L85" s="11">
        <v>8696000</v>
      </c>
      <c r="M85" s="11">
        <v>-21029000</v>
      </c>
      <c r="N85" s="11">
        <v>7417000</v>
      </c>
      <c r="Y85" s="11">
        <v>-21069000</v>
      </c>
      <c r="Z85" s="11">
        <v>-6671000</v>
      </c>
    </row>
    <row r="86" spans="2:27" x14ac:dyDescent="0.25">
      <c r="B86" s="16" t="s">
        <v>56</v>
      </c>
      <c r="C86" s="11">
        <v>-24985000</v>
      </c>
      <c r="D86" s="11">
        <v>14749000</v>
      </c>
      <c r="E86" s="11">
        <v>-27756000</v>
      </c>
      <c r="F86" s="11">
        <v>28084000</v>
      </c>
      <c r="G86" s="11">
        <v>-37690000</v>
      </c>
      <c r="H86" s="11">
        <v>-23147000</v>
      </c>
      <c r="I86" s="11">
        <v>25558000</v>
      </c>
      <c r="J86" s="11">
        <v>-22418000</v>
      </c>
      <c r="K86" s="11">
        <v>-5701000</v>
      </c>
      <c r="L86" s="11">
        <v>11731000</v>
      </c>
      <c r="M86" s="11">
        <v>-55155000</v>
      </c>
      <c r="N86" s="11">
        <v>33590000</v>
      </c>
      <c r="Y86" s="11">
        <v>-60509000</v>
      </c>
      <c r="Z86" s="11">
        <v>9170000</v>
      </c>
    </row>
    <row r="87" spans="2:27" x14ac:dyDescent="0.25">
      <c r="B87" s="16" t="s">
        <v>87</v>
      </c>
      <c r="C87" s="11">
        <v>-8011000</v>
      </c>
      <c r="D87" s="11">
        <v>-2284000</v>
      </c>
      <c r="E87" s="11">
        <v>-18302000</v>
      </c>
      <c r="F87" s="11">
        <v>-19500000</v>
      </c>
      <c r="G87" s="11">
        <v>-21460000</v>
      </c>
      <c r="H87" s="11">
        <v>12017000</v>
      </c>
      <c r="I87" s="11">
        <v>-23584000</v>
      </c>
      <c r="J87" s="11">
        <v>-11052000</v>
      </c>
      <c r="K87" s="11">
        <v>-12146000</v>
      </c>
      <c r="L87" s="11">
        <v>-1181000</v>
      </c>
      <c r="M87" s="11">
        <v>-10919000</v>
      </c>
      <c r="N87" s="11">
        <v>-1942000</v>
      </c>
      <c r="Y87" s="11">
        <v>-47245000</v>
      </c>
      <c r="Z87" s="11">
        <v>-47963000</v>
      </c>
    </row>
    <row r="88" spans="2:27" x14ac:dyDescent="0.25">
      <c r="B88" s="16" t="s">
        <v>57</v>
      </c>
      <c r="C88" s="11">
        <v>-10273000</v>
      </c>
      <c r="D88" s="11">
        <v>-925000</v>
      </c>
      <c r="E88" s="11">
        <v>-18221000</v>
      </c>
      <c r="F88" s="11">
        <v>-9453000</v>
      </c>
      <c r="G88" s="11">
        <v>-12510000</v>
      </c>
      <c r="H88" s="11">
        <v>-88035000</v>
      </c>
      <c r="I88" s="11">
        <v>-12787000</v>
      </c>
      <c r="J88" s="11">
        <v>6973000</v>
      </c>
      <c r="K88" s="11">
        <v>19728000</v>
      </c>
      <c r="L88" s="11">
        <v>-2720000</v>
      </c>
      <c r="M88" s="11">
        <v>-120000</v>
      </c>
      <c r="N88" s="11">
        <v>31180000</v>
      </c>
      <c r="Y88" s="11">
        <v>-128219000</v>
      </c>
      <c r="Z88" s="11">
        <v>11194000</v>
      </c>
    </row>
    <row r="89" spans="2:27" x14ac:dyDescent="0.25">
      <c r="B89" s="17" t="s">
        <v>110</v>
      </c>
      <c r="C89" s="13">
        <f>SUM(C75:C88)</f>
        <v>-68800000</v>
      </c>
      <c r="D89" s="13">
        <f>SUM(D75:D88)</f>
        <v>-49061000</v>
      </c>
      <c r="E89" s="13">
        <f t="shared" ref="E89:T89" si="117">SUM(E75:E88)</f>
        <v>-5099000</v>
      </c>
      <c r="F89" s="13">
        <f t="shared" si="117"/>
        <v>47643000</v>
      </c>
      <c r="G89" s="13">
        <f t="shared" si="117"/>
        <v>120053000</v>
      </c>
      <c r="H89" s="13">
        <f t="shared" si="117"/>
        <v>72103000</v>
      </c>
      <c r="I89" s="13">
        <f t="shared" si="117"/>
        <v>-7373000</v>
      </c>
      <c r="J89" s="13">
        <f t="shared" si="117"/>
        <v>88376000</v>
      </c>
      <c r="K89" s="13">
        <f t="shared" si="117"/>
        <v>122358000</v>
      </c>
      <c r="L89" s="13">
        <f t="shared" si="117"/>
        <v>112192000</v>
      </c>
      <c r="M89" s="13">
        <f t="shared" si="117"/>
        <v>13026000</v>
      </c>
      <c r="N89" s="13">
        <f t="shared" si="117"/>
        <v>133096000</v>
      </c>
      <c r="O89" s="13">
        <f t="shared" si="117"/>
        <v>0</v>
      </c>
      <c r="P89" s="13">
        <f t="shared" si="117"/>
        <v>0</v>
      </c>
      <c r="Q89" s="13">
        <f t="shared" si="117"/>
        <v>0</v>
      </c>
      <c r="R89" s="13">
        <f t="shared" si="117"/>
        <v>0</v>
      </c>
      <c r="S89" s="13">
        <f t="shared" si="117"/>
        <v>0</v>
      </c>
      <c r="T89" s="13">
        <f t="shared" si="117"/>
        <v>0</v>
      </c>
      <c r="Y89" s="13">
        <f t="shared" ref="Y89" si="118">SUM(Y75:Y88)</f>
        <v>234700000</v>
      </c>
      <c r="Z89" s="13">
        <f t="shared" ref="Z89:AA89" si="119">SUM(Z75:Z88)</f>
        <v>315553000</v>
      </c>
      <c r="AA89" s="13">
        <f t="shared" si="119"/>
        <v>0</v>
      </c>
    </row>
    <row r="90" spans="2:27" x14ac:dyDescent="0.25">
      <c r="B90" s="16" t="s">
        <v>88</v>
      </c>
      <c r="C90" s="11">
        <v>0</v>
      </c>
      <c r="D90" s="11">
        <v>0</v>
      </c>
      <c r="E90" s="11">
        <v>-212000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Y90" s="11">
        <v>-212000</v>
      </c>
      <c r="Z90" s="11">
        <v>0</v>
      </c>
    </row>
    <row r="91" spans="2:27" x14ac:dyDescent="0.25">
      <c r="B91" s="16" t="s">
        <v>89</v>
      </c>
      <c r="C91" s="11">
        <v>0</v>
      </c>
      <c r="D91" s="11">
        <v>436293000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Y91" s="11">
        <v>0</v>
      </c>
      <c r="Z91" s="11">
        <v>0</v>
      </c>
    </row>
    <row r="92" spans="2:27" x14ac:dyDescent="0.25">
      <c r="B92" s="16" t="s">
        <v>90</v>
      </c>
      <c r="C92" s="11">
        <v>143310000</v>
      </c>
      <c r="D92" s="11">
        <v>12794000</v>
      </c>
      <c r="E92" s="11">
        <v>102673000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Y92" s="11">
        <v>102673000</v>
      </c>
      <c r="Z92" s="11">
        <v>0</v>
      </c>
    </row>
    <row r="93" spans="2:27" x14ac:dyDescent="0.25">
      <c r="B93" s="16" t="s">
        <v>88</v>
      </c>
      <c r="C93" s="11">
        <v>0</v>
      </c>
      <c r="D93" s="11">
        <v>0</v>
      </c>
      <c r="E93" s="11">
        <v>0</v>
      </c>
      <c r="F93" s="11">
        <v>-500000</v>
      </c>
      <c r="G93" s="11">
        <v>-2000000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-2000000</v>
      </c>
      <c r="Y93" s="11">
        <v>-2500000</v>
      </c>
      <c r="Z93" s="11">
        <v>0</v>
      </c>
    </row>
    <row r="94" spans="2:27" x14ac:dyDescent="0.25">
      <c r="B94" s="16" t="s">
        <v>111</v>
      </c>
      <c r="C94" s="11">
        <v>-11987000</v>
      </c>
      <c r="D94" s="11">
        <v>-14794000</v>
      </c>
      <c r="E94" s="11">
        <v>-14350000</v>
      </c>
      <c r="F94" s="11">
        <v>-14118000</v>
      </c>
      <c r="G94" s="11">
        <v>-16092000</v>
      </c>
      <c r="H94" s="11">
        <v>-11361000</v>
      </c>
      <c r="I94" s="11">
        <v>-7190000</v>
      </c>
      <c r="J94" s="11">
        <v>-8766000</v>
      </c>
      <c r="K94" s="11">
        <v>-7151000</v>
      </c>
      <c r="L94" s="11">
        <v>-6442000</v>
      </c>
      <c r="M94" s="11">
        <v>-5718000</v>
      </c>
      <c r="N94" s="11">
        <v>-6446000</v>
      </c>
      <c r="Y94" s="11">
        <v>-55921000</v>
      </c>
      <c r="Z94" s="11">
        <v>-29549000</v>
      </c>
    </row>
    <row r="95" spans="2:27" x14ac:dyDescent="0.25">
      <c r="B95" s="16" t="s">
        <v>91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-360000</v>
      </c>
      <c r="K95" s="11">
        <v>-12500000</v>
      </c>
      <c r="L95" s="11">
        <v>0</v>
      </c>
      <c r="M95" s="11">
        <v>0</v>
      </c>
      <c r="N95" s="11">
        <v>0</v>
      </c>
      <c r="Y95" s="11">
        <v>0</v>
      </c>
      <c r="Z95" s="11">
        <v>-12860000</v>
      </c>
    </row>
    <row r="96" spans="2:27" x14ac:dyDescent="0.25">
      <c r="B96" s="16" t="s">
        <v>92</v>
      </c>
      <c r="C96" s="11">
        <v>-193000</v>
      </c>
      <c r="D96" s="11">
        <v>147371000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Y96" s="11">
        <v>0</v>
      </c>
      <c r="Z96" s="11">
        <v>0</v>
      </c>
    </row>
    <row r="97" spans="2:27" x14ac:dyDescent="0.25">
      <c r="B97" s="17" t="s">
        <v>112</v>
      </c>
      <c r="C97" s="13">
        <f>SUM(C90:C96)</f>
        <v>131130000</v>
      </c>
      <c r="D97" s="13">
        <f t="shared" ref="D97:T97" si="120">SUM(D90:D96)</f>
        <v>581664000</v>
      </c>
      <c r="E97" s="13">
        <f t="shared" si="120"/>
        <v>88111000</v>
      </c>
      <c r="F97" s="13">
        <f t="shared" si="120"/>
        <v>-14618000</v>
      </c>
      <c r="G97" s="13">
        <f t="shared" si="120"/>
        <v>-18092000</v>
      </c>
      <c r="H97" s="13">
        <f t="shared" si="120"/>
        <v>-11361000</v>
      </c>
      <c r="I97" s="13">
        <f t="shared" si="120"/>
        <v>-7190000</v>
      </c>
      <c r="J97" s="13">
        <f t="shared" si="120"/>
        <v>-9126000</v>
      </c>
      <c r="K97" s="13">
        <f t="shared" si="120"/>
        <v>-19651000</v>
      </c>
      <c r="L97" s="13">
        <f t="shared" si="120"/>
        <v>-6442000</v>
      </c>
      <c r="M97" s="13">
        <f t="shared" si="120"/>
        <v>-5718000</v>
      </c>
      <c r="N97" s="13">
        <f t="shared" si="120"/>
        <v>-8446000</v>
      </c>
      <c r="O97" s="13">
        <f t="shared" si="120"/>
        <v>0</v>
      </c>
      <c r="P97" s="13">
        <f t="shared" si="120"/>
        <v>0</v>
      </c>
      <c r="Q97" s="13">
        <f t="shared" si="120"/>
        <v>0</v>
      </c>
      <c r="R97" s="13">
        <f t="shared" si="120"/>
        <v>0</v>
      </c>
      <c r="S97" s="13">
        <f t="shared" si="120"/>
        <v>0</v>
      </c>
      <c r="T97" s="13">
        <f t="shared" si="120"/>
        <v>0</v>
      </c>
      <c r="Y97" s="13">
        <f t="shared" ref="Y97" si="121">SUM(Y90:Y96)</f>
        <v>44040000</v>
      </c>
      <c r="Z97" s="13">
        <f t="shared" ref="Z97" si="122">SUM(Z90:Z96)</f>
        <v>-42409000</v>
      </c>
      <c r="AA97" s="13">
        <f t="shared" ref="AA97" si="123">SUM(AA90:AA96)</f>
        <v>0</v>
      </c>
    </row>
    <row r="98" spans="2:27" x14ac:dyDescent="0.25">
      <c r="B98" s="16" t="s">
        <v>93</v>
      </c>
      <c r="C98" s="11">
        <v>0</v>
      </c>
      <c r="D98" s="11">
        <v>1000000000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690000000</v>
      </c>
      <c r="N98" s="11">
        <v>0</v>
      </c>
      <c r="Y98" s="11">
        <v>0</v>
      </c>
      <c r="Z98" s="11">
        <v>0</v>
      </c>
    </row>
    <row r="99" spans="2:27" x14ac:dyDescent="0.25">
      <c r="B99" s="16" t="s">
        <v>94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-44436000</v>
      </c>
      <c r="N99" s="11">
        <v>0</v>
      </c>
      <c r="Y99" s="11">
        <v>0</v>
      </c>
      <c r="Z99" s="11">
        <v>0</v>
      </c>
    </row>
    <row r="100" spans="2:27" x14ac:dyDescent="0.25">
      <c r="B100" s="16" t="s">
        <v>95</v>
      </c>
      <c r="C100" s="11">
        <v>0</v>
      </c>
      <c r="D100" s="11">
        <v>-379000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-13236000</v>
      </c>
      <c r="N100" s="11">
        <v>0</v>
      </c>
      <c r="Y100" s="11">
        <v>0</v>
      </c>
      <c r="Z100" s="11">
        <v>0</v>
      </c>
    </row>
    <row r="101" spans="2:27" x14ac:dyDescent="0.25">
      <c r="B101" s="16" t="s">
        <v>96</v>
      </c>
      <c r="C101" s="11">
        <v>0</v>
      </c>
      <c r="D101" s="11">
        <v>210252000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Y101" s="11">
        <v>0</v>
      </c>
      <c r="Z101" s="11">
        <v>0</v>
      </c>
    </row>
    <row r="102" spans="2:27" x14ac:dyDescent="0.25">
      <c r="B102" s="16" t="s">
        <v>97</v>
      </c>
      <c r="C102" s="11">
        <v>0</v>
      </c>
      <c r="D102" s="11">
        <v>-1500000000</v>
      </c>
      <c r="E102" s="11">
        <v>0</v>
      </c>
      <c r="F102" s="11">
        <v>0</v>
      </c>
      <c r="G102" s="11">
        <v>-250000000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Y102" s="11">
        <v>-250000000</v>
      </c>
      <c r="Z102" s="11">
        <v>0</v>
      </c>
    </row>
    <row r="103" spans="2:27" x14ac:dyDescent="0.25">
      <c r="B103" s="16" t="s">
        <v>98</v>
      </c>
      <c r="C103" s="11">
        <v>18766000</v>
      </c>
      <c r="D103" s="11">
        <v>7009000</v>
      </c>
      <c r="E103" s="11">
        <v>21971000</v>
      </c>
      <c r="F103" s="11">
        <v>19973000</v>
      </c>
      <c r="G103" s="11">
        <v>23050000</v>
      </c>
      <c r="H103" s="11">
        <v>10991000</v>
      </c>
      <c r="I103" s="11">
        <v>25998000</v>
      </c>
      <c r="J103" s="11">
        <v>11304000</v>
      </c>
      <c r="K103" s="11">
        <v>20000000</v>
      </c>
      <c r="L103" s="11">
        <v>19390000</v>
      </c>
      <c r="M103" s="11">
        <v>21611000</v>
      </c>
      <c r="N103" s="11">
        <v>9783000</v>
      </c>
      <c r="Y103" s="11">
        <v>75985000</v>
      </c>
      <c r="Z103" s="11">
        <v>76692000</v>
      </c>
    </row>
    <row r="104" spans="2:27" x14ac:dyDescent="0.25">
      <c r="B104" s="16" t="s">
        <v>99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-414999000</v>
      </c>
      <c r="J104" s="11">
        <v>0</v>
      </c>
      <c r="K104" s="11">
        <v>0</v>
      </c>
      <c r="L104" s="11">
        <v>0</v>
      </c>
      <c r="M104" s="11">
        <v>-641691000</v>
      </c>
      <c r="N104" s="11">
        <v>0</v>
      </c>
      <c r="Y104" s="11">
        <v>0</v>
      </c>
      <c r="Z104" s="11">
        <v>-414999000</v>
      </c>
    </row>
    <row r="105" spans="2:27" x14ac:dyDescent="0.25">
      <c r="B105" s="17" t="s">
        <v>113</v>
      </c>
      <c r="C105" s="13">
        <f>SUM(C98:C104)</f>
        <v>18766000</v>
      </c>
      <c r="D105" s="13">
        <f>SUM(D98:D104)</f>
        <v>-283118000</v>
      </c>
      <c r="E105" s="13">
        <f>SUM(E98:E104)</f>
        <v>21971000</v>
      </c>
      <c r="F105" s="13">
        <f t="shared" ref="F105:T105" si="124">SUM(F98:F104)</f>
        <v>19973000</v>
      </c>
      <c r="G105" s="13">
        <f t="shared" si="124"/>
        <v>-226950000</v>
      </c>
      <c r="H105" s="13">
        <f t="shared" si="124"/>
        <v>10991000</v>
      </c>
      <c r="I105" s="13">
        <f t="shared" si="124"/>
        <v>-389001000</v>
      </c>
      <c r="J105" s="13">
        <f t="shared" si="124"/>
        <v>11304000</v>
      </c>
      <c r="K105" s="13">
        <f t="shared" si="124"/>
        <v>20000000</v>
      </c>
      <c r="L105" s="13">
        <f t="shared" si="124"/>
        <v>19390000</v>
      </c>
      <c r="M105" s="13">
        <f t="shared" si="124"/>
        <v>12248000</v>
      </c>
      <c r="N105" s="13">
        <f t="shared" si="124"/>
        <v>9783000</v>
      </c>
      <c r="O105" s="13">
        <f t="shared" si="124"/>
        <v>0</v>
      </c>
      <c r="P105" s="13">
        <f t="shared" si="124"/>
        <v>0</v>
      </c>
      <c r="Q105" s="13">
        <f t="shared" si="124"/>
        <v>0</v>
      </c>
      <c r="R105" s="13">
        <f t="shared" si="124"/>
        <v>0</v>
      </c>
      <c r="S105" s="13">
        <f t="shared" si="124"/>
        <v>0</v>
      </c>
      <c r="T105" s="13">
        <f t="shared" si="124"/>
        <v>0</v>
      </c>
      <c r="Y105" s="13">
        <f t="shared" ref="Y105" si="125">SUM(Y98:Y104)</f>
        <v>-174015000</v>
      </c>
      <c r="Z105" s="13">
        <f t="shared" ref="Z105" si="126">SUM(Z98:Z104)</f>
        <v>-338307000</v>
      </c>
      <c r="AA105" s="13">
        <f t="shared" ref="AA105" si="127">SUM(AA98:AA104)</f>
        <v>0</v>
      </c>
    </row>
    <row r="106" spans="2:27" x14ac:dyDescent="0.25">
      <c r="B106" s="14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Y106" s="18"/>
      <c r="Z106" s="18"/>
    </row>
    <row r="107" spans="2:27" x14ac:dyDescent="0.25">
      <c r="B107" s="19" t="s">
        <v>114</v>
      </c>
      <c r="C107" s="11">
        <v>-4144000</v>
      </c>
      <c r="D107" s="11">
        <v>6111000</v>
      </c>
      <c r="E107" s="11">
        <v>3151000</v>
      </c>
      <c r="F107" s="11">
        <v>-11936000</v>
      </c>
      <c r="G107" s="11">
        <v>-8871000</v>
      </c>
      <c r="H107" s="11">
        <v>11510000</v>
      </c>
      <c r="I107" s="11">
        <v>-6202000</v>
      </c>
      <c r="J107" s="11">
        <v>-3258000</v>
      </c>
      <c r="K107" s="11">
        <v>11464000</v>
      </c>
      <c r="L107" s="11">
        <v>-13227000</v>
      </c>
      <c r="M107" s="11">
        <v>4197000</v>
      </c>
      <c r="N107" s="11">
        <v>15440000</v>
      </c>
      <c r="Y107" s="11">
        <v>-6146000</v>
      </c>
      <c r="Z107" s="11">
        <v>-11223000</v>
      </c>
    </row>
    <row r="108" spans="2:27" s="4" customFormat="1" x14ac:dyDescent="0.25">
      <c r="B108" s="20" t="s">
        <v>115</v>
      </c>
      <c r="C108" s="12">
        <f>C89+C97+C105+C107</f>
        <v>76952000</v>
      </c>
      <c r="D108" s="12">
        <f>D89+D97+D105+D107</f>
        <v>255596000</v>
      </c>
      <c r="E108" s="12">
        <f t="shared" ref="E108:T108" si="128">E89+E97+E105+E107</f>
        <v>108134000</v>
      </c>
      <c r="F108" s="12">
        <f t="shared" si="128"/>
        <v>41062000</v>
      </c>
      <c r="G108" s="12">
        <f t="shared" si="128"/>
        <v>-133860000</v>
      </c>
      <c r="H108" s="12">
        <f t="shared" si="128"/>
        <v>83243000</v>
      </c>
      <c r="I108" s="12">
        <f t="shared" si="128"/>
        <v>-409766000</v>
      </c>
      <c r="J108" s="12">
        <f t="shared" si="128"/>
        <v>87296000</v>
      </c>
      <c r="K108" s="12">
        <f t="shared" si="128"/>
        <v>134171000</v>
      </c>
      <c r="L108" s="12">
        <f t="shared" si="128"/>
        <v>111913000</v>
      </c>
      <c r="M108" s="12">
        <f t="shared" si="128"/>
        <v>23753000</v>
      </c>
      <c r="N108" s="12">
        <f t="shared" si="128"/>
        <v>149873000</v>
      </c>
      <c r="O108" s="12">
        <f t="shared" si="128"/>
        <v>0</v>
      </c>
      <c r="P108" s="12">
        <f t="shared" si="128"/>
        <v>0</v>
      </c>
      <c r="Q108" s="12">
        <f t="shared" si="128"/>
        <v>0</v>
      </c>
      <c r="R108" s="12">
        <f t="shared" si="128"/>
        <v>0</v>
      </c>
      <c r="S108" s="12">
        <f t="shared" si="128"/>
        <v>0</v>
      </c>
      <c r="T108" s="12">
        <f t="shared" si="128"/>
        <v>0</v>
      </c>
      <c r="Y108" s="12">
        <f t="shared" ref="Y108:AA108" si="129">Y89+Y97+Y105+Y107</f>
        <v>98579000</v>
      </c>
      <c r="Z108" s="12">
        <f t="shared" si="129"/>
        <v>-76386000</v>
      </c>
      <c r="AA108" s="12">
        <f t="shared" si="129"/>
        <v>0</v>
      </c>
    </row>
    <row r="109" spans="2:27" x14ac:dyDescent="0.25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Y109" s="18"/>
      <c r="Z109" s="18"/>
    </row>
    <row r="110" spans="2:27" x14ac:dyDescent="0.25">
      <c r="B110" s="19" t="s">
        <v>116</v>
      </c>
      <c r="C110" s="11">
        <v>1173140000</v>
      </c>
      <c r="D110" s="11">
        <f>+C111</f>
        <v>1250092000</v>
      </c>
      <c r="E110" s="11">
        <f t="shared" ref="E110:T110" si="130">+D111</f>
        <v>1505688000</v>
      </c>
      <c r="F110" s="11">
        <f t="shared" si="130"/>
        <v>1613822000</v>
      </c>
      <c r="G110" s="11">
        <f t="shared" si="130"/>
        <v>1654884000</v>
      </c>
      <c r="H110" s="11">
        <f t="shared" si="130"/>
        <v>1521024000</v>
      </c>
      <c r="I110" s="11">
        <f t="shared" si="130"/>
        <v>1604267000</v>
      </c>
      <c r="J110" s="11">
        <f t="shared" si="130"/>
        <v>1194501000</v>
      </c>
      <c r="K110" s="11">
        <f t="shared" si="130"/>
        <v>1281797000</v>
      </c>
      <c r="L110" s="11">
        <f t="shared" si="130"/>
        <v>1415968000</v>
      </c>
      <c r="M110" s="11">
        <f t="shared" si="130"/>
        <v>1527881000</v>
      </c>
      <c r="N110" s="11">
        <f t="shared" si="130"/>
        <v>1551634000</v>
      </c>
      <c r="O110" s="11">
        <f t="shared" si="130"/>
        <v>1701507000</v>
      </c>
      <c r="P110" s="11">
        <f t="shared" si="130"/>
        <v>1701507000</v>
      </c>
      <c r="Q110" s="11">
        <f t="shared" si="130"/>
        <v>1701507000</v>
      </c>
      <c r="R110" s="11">
        <f t="shared" si="130"/>
        <v>1701507000</v>
      </c>
      <c r="S110" s="11">
        <f t="shared" si="130"/>
        <v>1701507000</v>
      </c>
      <c r="T110" s="11">
        <f t="shared" si="130"/>
        <v>1701507000</v>
      </c>
      <c r="Y110" s="11">
        <v>1505688000</v>
      </c>
      <c r="Z110" s="11">
        <f t="shared" ref="Z110:AA110" si="131">+Y111</f>
        <v>1604267000</v>
      </c>
      <c r="AA110" s="11">
        <f t="shared" si="131"/>
        <v>1527881000</v>
      </c>
    </row>
    <row r="111" spans="2:27" s="4" customFormat="1" x14ac:dyDescent="0.25">
      <c r="B111" s="20" t="s">
        <v>117</v>
      </c>
      <c r="C111" s="13">
        <f>C108+C110</f>
        <v>1250092000</v>
      </c>
      <c r="D111" s="13">
        <f>D108+D110</f>
        <v>1505688000</v>
      </c>
      <c r="E111" s="13">
        <f t="shared" ref="E111:N111" si="132">E108+E110</f>
        <v>1613822000</v>
      </c>
      <c r="F111" s="13">
        <f t="shared" si="132"/>
        <v>1654884000</v>
      </c>
      <c r="G111" s="13">
        <f t="shared" si="132"/>
        <v>1521024000</v>
      </c>
      <c r="H111" s="13">
        <f t="shared" si="132"/>
        <v>1604267000</v>
      </c>
      <c r="I111" s="13">
        <f t="shared" si="132"/>
        <v>1194501000</v>
      </c>
      <c r="J111" s="13">
        <f t="shared" si="132"/>
        <v>1281797000</v>
      </c>
      <c r="K111" s="13">
        <f t="shared" si="132"/>
        <v>1415968000</v>
      </c>
      <c r="L111" s="13">
        <f t="shared" si="132"/>
        <v>1527881000</v>
      </c>
      <c r="M111" s="13">
        <f t="shared" si="132"/>
        <v>1551634000</v>
      </c>
      <c r="N111" s="13">
        <f t="shared" si="132"/>
        <v>1701507000</v>
      </c>
      <c r="O111" s="13">
        <f t="shared" ref="O111" si="133">O108+O110</f>
        <v>1701507000</v>
      </c>
      <c r="P111" s="13">
        <f t="shared" ref="P111" si="134">P108+P110</f>
        <v>1701507000</v>
      </c>
      <c r="Q111" s="13">
        <f t="shared" ref="Q111" si="135">Q108+Q110</f>
        <v>1701507000</v>
      </c>
      <c r="R111" s="13">
        <f t="shared" ref="R111" si="136">R108+R110</f>
        <v>1701507000</v>
      </c>
      <c r="S111" s="13">
        <f t="shared" ref="S111" si="137">S108+S110</f>
        <v>1701507000</v>
      </c>
      <c r="T111" s="13">
        <f t="shared" ref="T111" si="138">T108+T110</f>
        <v>1701507000</v>
      </c>
      <c r="Y111" s="13">
        <f t="shared" ref="Y111:Z111" si="139">Y108+Y110</f>
        <v>1604267000</v>
      </c>
      <c r="Z111" s="13">
        <f t="shared" si="139"/>
        <v>1527881000</v>
      </c>
      <c r="AA111" s="13">
        <f t="shared" ref="AA111" si="140">AA108+AA110</f>
        <v>1527881000</v>
      </c>
    </row>
    <row r="112" spans="2:27" x14ac:dyDescent="0.25">
      <c r="B112" s="14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Y112" s="18"/>
      <c r="Z112" s="18"/>
    </row>
    <row r="113" spans="2:27" x14ac:dyDescent="0.25">
      <c r="B113" s="17" t="s">
        <v>100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4"/>
      <c r="M113" s="18"/>
      <c r="N113" s="18"/>
      <c r="Y113" s="18"/>
      <c r="Z113" s="18"/>
    </row>
    <row r="114" spans="2:27" x14ac:dyDescent="0.25">
      <c r="B114" s="16" t="s">
        <v>101</v>
      </c>
      <c r="C114" s="11">
        <v>0</v>
      </c>
      <c r="D114" s="11">
        <v>0</v>
      </c>
      <c r="E114" s="11">
        <v>0</v>
      </c>
      <c r="F114" s="11">
        <v>10389000</v>
      </c>
      <c r="G114" s="11">
        <v>0</v>
      </c>
      <c r="H114" s="11">
        <v>10000000</v>
      </c>
      <c r="I114" s="11">
        <v>0</v>
      </c>
      <c r="J114" s="11">
        <v>10000000</v>
      </c>
      <c r="K114" s="11">
        <v>0</v>
      </c>
      <c r="L114" s="11">
        <v>10000000</v>
      </c>
      <c r="M114" s="11">
        <v>0</v>
      </c>
      <c r="N114" s="11">
        <v>10000000</v>
      </c>
      <c r="Y114" s="11">
        <v>20389000</v>
      </c>
      <c r="Z114" s="11">
        <v>20000000</v>
      </c>
    </row>
    <row r="115" spans="2:27" x14ac:dyDescent="0.25">
      <c r="B115" s="16" t="s">
        <v>102</v>
      </c>
      <c r="C115" s="11">
        <v>15927000</v>
      </c>
      <c r="D115" s="11">
        <v>3388000</v>
      </c>
      <c r="E115" s="11">
        <v>3751000</v>
      </c>
      <c r="F115" s="11">
        <v>1995000</v>
      </c>
      <c r="G115" s="11">
        <v>10123000</v>
      </c>
      <c r="H115" s="11">
        <v>6602000</v>
      </c>
      <c r="I115" s="11">
        <v>11041000</v>
      </c>
      <c r="J115" s="11">
        <v>5266000</v>
      </c>
      <c r="K115" s="11">
        <v>3034000</v>
      </c>
      <c r="L115" s="11">
        <v>7022000</v>
      </c>
      <c r="M115" s="11">
        <v>-1736000</v>
      </c>
      <c r="N115" s="11">
        <v>-1343000</v>
      </c>
      <c r="Y115" s="11">
        <v>22471000</v>
      </c>
      <c r="Z115" s="11">
        <v>26363000</v>
      </c>
    </row>
    <row r="116" spans="2:27" x14ac:dyDescent="0.25">
      <c r="B116" s="16" t="s">
        <v>103</v>
      </c>
      <c r="C116" s="11">
        <v>6378000</v>
      </c>
      <c r="D116" s="11">
        <v>9432000</v>
      </c>
      <c r="E116" s="11">
        <v>10181000</v>
      </c>
      <c r="F116" s="11">
        <v>10025000</v>
      </c>
      <c r="G116" s="11">
        <v>11439000</v>
      </c>
      <c r="H116" s="11">
        <v>11260000</v>
      </c>
      <c r="I116" s="11">
        <v>13540000</v>
      </c>
      <c r="J116" s="11">
        <v>13118000</v>
      </c>
      <c r="K116" s="11">
        <v>12369000</v>
      </c>
      <c r="L116" s="11">
        <v>10947000</v>
      </c>
      <c r="M116" s="11">
        <v>10433000</v>
      </c>
      <c r="N116" s="11">
        <v>10482000</v>
      </c>
      <c r="Y116" s="11">
        <v>42905000</v>
      </c>
      <c r="Z116" s="11">
        <v>49974000</v>
      </c>
    </row>
    <row r="117" spans="2:27" x14ac:dyDescent="0.25">
      <c r="B117" s="21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Y117" s="18"/>
      <c r="Z117" s="18"/>
    </row>
    <row r="118" spans="2:27" x14ac:dyDescent="0.25">
      <c r="B118" s="17" t="s">
        <v>104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Y118" s="18"/>
      <c r="Z118" s="18"/>
    </row>
    <row r="119" spans="2:27" x14ac:dyDescent="0.25">
      <c r="B119" s="16" t="s">
        <v>105</v>
      </c>
      <c r="C119" s="11">
        <v>0</v>
      </c>
      <c r="D119" s="11">
        <v>2916224000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Y119" s="11">
        <v>0</v>
      </c>
      <c r="Z119" s="11">
        <v>0</v>
      </c>
    </row>
    <row r="120" spans="2:27" x14ac:dyDescent="0.25">
      <c r="B120" s="16" t="s">
        <v>106</v>
      </c>
      <c r="C120" s="11">
        <v>2892000</v>
      </c>
      <c r="D120" s="11">
        <v>9124000</v>
      </c>
      <c r="E120" s="11">
        <v>24528000</v>
      </c>
      <c r="F120" s="11">
        <v>12765000</v>
      </c>
      <c r="G120" s="11">
        <v>186000</v>
      </c>
      <c r="H120" s="11">
        <v>6352000</v>
      </c>
      <c r="I120" s="11">
        <v>9273000</v>
      </c>
      <c r="J120" s="11">
        <v>4586000</v>
      </c>
      <c r="K120" s="11">
        <v>727000</v>
      </c>
      <c r="L120" s="11">
        <v>9873000</v>
      </c>
      <c r="M120" s="11">
        <v>22000</v>
      </c>
      <c r="N120" s="11">
        <v>5384000</v>
      </c>
      <c r="Y120" s="11">
        <v>43831000</v>
      </c>
      <c r="Z120" s="11">
        <v>24459000</v>
      </c>
    </row>
    <row r="121" spans="2:27" x14ac:dyDescent="0.25">
      <c r="Y121" s="18"/>
      <c r="Z121" s="18"/>
    </row>
    <row r="122" spans="2:27" x14ac:dyDescent="0.25">
      <c r="Y122" s="18"/>
      <c r="Z122" s="18"/>
    </row>
    <row r="123" spans="2:27" x14ac:dyDescent="0.25">
      <c r="B123" s="3" t="s">
        <v>119</v>
      </c>
      <c r="C123" s="5">
        <f>C89+C94</f>
        <v>-80787000</v>
      </c>
      <c r="D123" s="5">
        <f t="shared" ref="D123:G123" si="141">D89+D94</f>
        <v>-63855000</v>
      </c>
      <c r="E123" s="5">
        <f t="shared" si="141"/>
        <v>-19449000</v>
      </c>
      <c r="F123" s="5">
        <f t="shared" si="141"/>
        <v>33525000</v>
      </c>
      <c r="G123" s="5">
        <f t="shared" si="141"/>
        <v>103961000</v>
      </c>
      <c r="H123" s="5">
        <f t="shared" ref="H123:T123" si="142">H89+H94</f>
        <v>60742000</v>
      </c>
      <c r="I123" s="5">
        <f t="shared" si="142"/>
        <v>-14563000</v>
      </c>
      <c r="J123" s="5">
        <f t="shared" si="142"/>
        <v>79610000</v>
      </c>
      <c r="K123" s="5">
        <f t="shared" si="142"/>
        <v>115207000</v>
      </c>
      <c r="L123" s="5">
        <f t="shared" si="142"/>
        <v>105750000</v>
      </c>
      <c r="M123" s="5">
        <f t="shared" si="142"/>
        <v>7308000</v>
      </c>
      <c r="N123" s="5">
        <f t="shared" si="142"/>
        <v>126650000</v>
      </c>
      <c r="O123" s="5">
        <f t="shared" si="142"/>
        <v>0</v>
      </c>
      <c r="P123" s="5">
        <f t="shared" si="142"/>
        <v>0</v>
      </c>
      <c r="Q123" s="5">
        <f t="shared" si="142"/>
        <v>0</v>
      </c>
      <c r="R123" s="5">
        <f t="shared" si="142"/>
        <v>0</v>
      </c>
      <c r="S123" s="5">
        <f t="shared" si="142"/>
        <v>0</v>
      </c>
      <c r="T123" s="5">
        <f t="shared" si="142"/>
        <v>0</v>
      </c>
      <c r="Y123" s="5">
        <f t="shared" ref="Y123:Z123" si="143">Y89+Y94</f>
        <v>178779000</v>
      </c>
      <c r="Z123" s="5">
        <f t="shared" si="143"/>
        <v>286004000</v>
      </c>
      <c r="AA123" s="5">
        <f t="shared" ref="AA123" si="144">AA89+AA94</f>
        <v>0</v>
      </c>
    </row>
    <row r="124" spans="2:27" x14ac:dyDescent="0.25">
      <c r="B124" s="3" t="s">
        <v>120</v>
      </c>
      <c r="C124" s="9">
        <f>C123/C74</f>
        <v>0.32312085784794076</v>
      </c>
      <c r="D124" s="9">
        <f t="shared" ref="D124:G124" si="145">D123/D74</f>
        <v>0.22070107283083559</v>
      </c>
      <c r="E124" s="9">
        <f t="shared" si="145"/>
        <v>7.6864099655773399E-2</v>
      </c>
      <c r="F124" s="9">
        <f t="shared" si="145"/>
        <v>-0.17446398834304747</v>
      </c>
      <c r="G124" s="9">
        <f t="shared" si="145"/>
        <v>-0.83791538715735348</v>
      </c>
      <c r="H124" s="9">
        <f t="shared" ref="H124" si="146">H123/H74</f>
        <v>-0.24032538209844551</v>
      </c>
      <c r="I124" s="9">
        <f t="shared" ref="I124" si="147">I123/I74</f>
        <v>5.0031950637982096E-2</v>
      </c>
      <c r="J124" s="9">
        <f t="shared" ref="J124" si="148">J123/J74</f>
        <v>-0.63396881520059889</v>
      </c>
      <c r="K124" s="9">
        <f t="shared" ref="K124" si="149">K123/K74</f>
        <v>-0.92358444431973963</v>
      </c>
      <c r="L124" s="9">
        <f t="shared" ref="L124" si="150">L123/L74</f>
        <v>-0.86166858148573666</v>
      </c>
      <c r="M124" s="9">
        <f t="shared" ref="M124" si="151">M123/M74</f>
        <v>-9.412431415986193E-2</v>
      </c>
      <c r="N124" s="9">
        <f t="shared" ref="N124" si="152">N123/N74</f>
        <v>-1.1640838986010773</v>
      </c>
      <c r="O124" s="9" t="e">
        <f t="shared" ref="O124" si="153">O123/O74</f>
        <v>#DIV/0!</v>
      </c>
      <c r="P124" s="9" t="e">
        <f t="shared" ref="P124" si="154">P123/P74</f>
        <v>#DIV/0!</v>
      </c>
      <c r="Q124" s="9" t="e">
        <f t="shared" ref="Q124" si="155">Q123/Q74</f>
        <v>#DIV/0!</v>
      </c>
      <c r="R124" s="9" t="e">
        <f t="shared" ref="R124" si="156">R123/R74</f>
        <v>#DIV/0!</v>
      </c>
      <c r="S124" s="9" t="e">
        <f t="shared" ref="S124" si="157">S123/S74</f>
        <v>#DIV/0!</v>
      </c>
      <c r="T124" s="9" t="e">
        <f t="shared" ref="T124" si="158">T123/T74</f>
        <v>#DIV/0!</v>
      </c>
      <c r="Y124" s="9">
        <f t="shared" ref="Y124" si="159">Y123/Y74</f>
        <v>-0.21748979028261178</v>
      </c>
      <c r="Z124" s="9">
        <f t="shared" ref="Z124" si="160">Z123/Z74</f>
        <v>-0.43065497791041901</v>
      </c>
      <c r="AA124" s="9" t="e">
        <f t="shared" ref="AA124" si="161">AA123/AA74</f>
        <v>#DIV/0!</v>
      </c>
    </row>
    <row r="125" spans="2:27" x14ac:dyDescent="0.25">
      <c r="B125" s="3" t="s">
        <v>121</v>
      </c>
      <c r="C125" s="9">
        <f>-C94/C74</f>
        <v>-4.7943972706292672E-2</v>
      </c>
      <c r="D125" s="9">
        <f t="shared" ref="D125:G125" si="162">-D94/D74</f>
        <v>-5.1132278936017253E-2</v>
      </c>
      <c r="E125" s="9">
        <f t="shared" si="162"/>
        <v>-5.6712418636451663E-2</v>
      </c>
      <c r="F125" s="9">
        <f t="shared" si="162"/>
        <v>-7.3470024979184007E-2</v>
      </c>
      <c r="G125" s="9">
        <f t="shared" si="162"/>
        <v>-0.1296999298788597</v>
      </c>
      <c r="H125" s="9">
        <f t="shared" ref="H125:T125" si="163">-H94/H74</f>
        <v>-4.4949732738804107E-2</v>
      </c>
      <c r="I125" s="9">
        <f t="shared" si="163"/>
        <v>-2.4701622267876897E-2</v>
      </c>
      <c r="J125" s="9">
        <f t="shared" si="163"/>
        <v>-6.9807444216159392E-2</v>
      </c>
      <c r="K125" s="9">
        <f t="shared" si="163"/>
        <v>-5.7327700238097148E-2</v>
      </c>
      <c r="L125" s="9">
        <f t="shared" si="163"/>
        <v>-5.2490487015897071E-2</v>
      </c>
      <c r="M125" s="9">
        <f t="shared" si="163"/>
        <v>-7.3645707220318893E-2</v>
      </c>
      <c r="N125" s="9">
        <f t="shared" si="163"/>
        <v>-5.9247412636261695E-2</v>
      </c>
      <c r="O125" s="9" t="e">
        <f t="shared" si="163"/>
        <v>#DIV/0!</v>
      </c>
      <c r="P125" s="9" t="e">
        <f t="shared" si="163"/>
        <v>#DIV/0!</v>
      </c>
      <c r="Q125" s="9" t="e">
        <f t="shared" si="163"/>
        <v>#DIV/0!</v>
      </c>
      <c r="R125" s="9" t="e">
        <f t="shared" si="163"/>
        <v>#DIV/0!</v>
      </c>
      <c r="S125" s="9" t="e">
        <f t="shared" si="163"/>
        <v>#DIV/0!</v>
      </c>
      <c r="T125" s="9" t="e">
        <f t="shared" si="163"/>
        <v>#DIV/0!</v>
      </c>
      <c r="Y125" s="9">
        <f t="shared" ref="Y125:Z125" si="164">-Y94/Y74</f>
        <v>-6.8029503254822626E-2</v>
      </c>
      <c r="Z125" s="9">
        <f t="shared" si="164"/>
        <v>-4.4493867016807354E-2</v>
      </c>
      <c r="AA125" s="9" t="e">
        <f t="shared" ref="AA125" si="165">-AA94/AA74</f>
        <v>#DIV/0!</v>
      </c>
    </row>
    <row r="126" spans="2:27" s="9" customFormat="1" x14ac:dyDescent="0.25">
      <c r="B126" s="9" t="s">
        <v>122</v>
      </c>
      <c r="G126" s="9">
        <f>G123/C123-1</f>
        <v>-2.2868530827979749</v>
      </c>
      <c r="H126" s="9">
        <f t="shared" ref="H126:T126" si="166">H123/D123-1</f>
        <v>-1.9512489233419466</v>
      </c>
      <c r="I126" s="9">
        <f t="shared" si="166"/>
        <v>-0.25122114247519156</v>
      </c>
      <c r="J126" s="9">
        <f t="shared" si="166"/>
        <v>1.3746457867263238</v>
      </c>
      <c r="K126" s="9">
        <f t="shared" si="166"/>
        <v>0.10817518107751956</v>
      </c>
      <c r="L126" s="9">
        <f t="shared" si="166"/>
        <v>0.74097000428039905</v>
      </c>
      <c r="M126" s="9">
        <f t="shared" si="166"/>
        <v>-1.5018196800109869</v>
      </c>
      <c r="N126" s="9">
        <f t="shared" si="166"/>
        <v>0.59088054264539625</v>
      </c>
      <c r="O126" s="9">
        <f t="shared" si="166"/>
        <v>-1</v>
      </c>
      <c r="P126" s="9">
        <f t="shared" si="166"/>
        <v>-1</v>
      </c>
      <c r="Q126" s="9">
        <f t="shared" si="166"/>
        <v>-1</v>
      </c>
      <c r="R126" s="9">
        <f t="shared" si="166"/>
        <v>-1</v>
      </c>
      <c r="S126" s="9" t="e">
        <f t="shared" si="166"/>
        <v>#DIV/0!</v>
      </c>
      <c r="T126" s="9" t="e">
        <f t="shared" si="166"/>
        <v>#DIV/0!</v>
      </c>
      <c r="Y126" s="22"/>
      <c r="Z126" s="22">
        <f>Z123/Y123-1</f>
        <v>0.59976283567980571</v>
      </c>
      <c r="AA126" s="22">
        <f t="shared" ref="AA126" si="167">AA123/Z123-1</f>
        <v>-1</v>
      </c>
    </row>
    <row r="127" spans="2:27" x14ac:dyDescent="0.25">
      <c r="Y127" s="18"/>
      <c r="Z127" s="18"/>
    </row>
    <row r="128" spans="2:27" x14ac:dyDescent="0.25">
      <c r="Y128" s="10"/>
      <c r="Z128" s="10"/>
    </row>
    <row r="129" spans="2:27" x14ac:dyDescent="0.25">
      <c r="Y129" s="11"/>
      <c r="Z129" s="11"/>
    </row>
    <row r="130" spans="2:27" x14ac:dyDescent="0.25">
      <c r="B130" s="3" t="s">
        <v>118</v>
      </c>
      <c r="C130" s="24">
        <v>-31172000</v>
      </c>
      <c r="D130" s="24">
        <v>20713000</v>
      </c>
      <c r="E130" s="24">
        <v>32463000</v>
      </c>
      <c r="F130" s="24">
        <v>98748000</v>
      </c>
      <c r="G130" s="24">
        <v>130976000</v>
      </c>
      <c r="H130" s="24">
        <v>185642000</v>
      </c>
      <c r="I130" s="24">
        <v>78515000</v>
      </c>
      <c r="J130" s="24">
        <v>113469000</v>
      </c>
      <c r="K130" s="24">
        <v>91722000</v>
      </c>
      <c r="L130" s="24">
        <v>106108000</v>
      </c>
      <c r="M130" s="24">
        <v>83943000</v>
      </c>
      <c r="N130" s="24">
        <v>90497000</v>
      </c>
      <c r="O130" s="25"/>
      <c r="Y130" s="24">
        <v>447829000</v>
      </c>
      <c r="Z130" s="24">
        <v>389814000</v>
      </c>
    </row>
    <row r="131" spans="2:27" s="9" customFormat="1" x14ac:dyDescent="0.25">
      <c r="B131" s="9" t="s">
        <v>123</v>
      </c>
      <c r="C131" s="22">
        <f t="shared" ref="C131:T131" si="168">C130/C5</f>
        <v>-9.654330852543197E-2</v>
      </c>
      <c r="D131" s="22">
        <f t="shared" si="168"/>
        <v>4.5929477087370892E-2</v>
      </c>
      <c r="E131" s="22">
        <f t="shared" si="168"/>
        <v>6.4879157248466601E-2</v>
      </c>
      <c r="F131" s="22">
        <f t="shared" si="168"/>
        <v>0.18510229100356529</v>
      </c>
      <c r="G131" s="22">
        <f t="shared" si="168"/>
        <v>0.24067179948916778</v>
      </c>
      <c r="H131" s="22">
        <f t="shared" si="168"/>
        <v>0.3046967836814013</v>
      </c>
      <c r="I131" s="22">
        <f t="shared" si="168"/>
        <v>0.17054389851861507</v>
      </c>
      <c r="J131" s="22">
        <f t="shared" si="168"/>
        <v>0.2525692306664975</v>
      </c>
      <c r="K131" s="22">
        <f t="shared" si="168"/>
        <v>0.20541659108163854</v>
      </c>
      <c r="L131" s="22">
        <f t="shared" si="168"/>
        <v>0.23213352030960471</v>
      </c>
      <c r="M131" s="22">
        <f t="shared" si="168"/>
        <v>0.19297241379310345</v>
      </c>
      <c r="N131" s="22">
        <f t="shared" si="168"/>
        <v>0.2052346783264995</v>
      </c>
      <c r="O131" s="22" t="e">
        <f t="shared" si="168"/>
        <v>#DIV/0!</v>
      </c>
      <c r="P131" s="22" t="e">
        <f t="shared" si="168"/>
        <v>#DIV/0!</v>
      </c>
      <c r="Q131" s="22" t="e">
        <f t="shared" si="168"/>
        <v>#DIV/0!</v>
      </c>
      <c r="R131" s="22" t="e">
        <f t="shared" si="168"/>
        <v>#DIV/0!</v>
      </c>
      <c r="S131" s="22" t="e">
        <f t="shared" si="168"/>
        <v>#DIV/0!</v>
      </c>
      <c r="T131" s="22" t="e">
        <f t="shared" si="168"/>
        <v>#DIV/0!</v>
      </c>
      <c r="Y131" s="22">
        <f>Y130/Y5</f>
        <v>0.20473895644755652</v>
      </c>
      <c r="Z131" s="22">
        <f t="shared" ref="Z131" si="169">Z130/Z5</f>
        <v>0.2149802427126907</v>
      </c>
      <c r="AA131" s="22" t="e">
        <f>AA130/AA5</f>
        <v>#DIV/0!</v>
      </c>
    </row>
    <row r="132" spans="2:27" s="9" customFormat="1" x14ac:dyDescent="0.25"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Y132" s="22"/>
      <c r="Z132" s="22"/>
      <c r="AA132" s="22"/>
    </row>
    <row r="133" spans="2:27" s="9" customFormat="1" x14ac:dyDescent="0.25"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Y133" s="22"/>
      <c r="Z133" s="22"/>
      <c r="AA133" s="22"/>
    </row>
    <row r="134" spans="2:27" s="9" customFormat="1" x14ac:dyDescent="0.25"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Y134" s="22"/>
      <c r="Z134" s="22"/>
      <c r="AA134" s="22"/>
    </row>
    <row r="135" spans="2:27" s="27" customFormat="1" x14ac:dyDescent="0.25">
      <c r="B135" s="27" t="s">
        <v>139</v>
      </c>
      <c r="C135" s="28">
        <v>967</v>
      </c>
      <c r="D135" s="28">
        <v>1202</v>
      </c>
      <c r="E135" s="28">
        <v>1214</v>
      </c>
      <c r="F135" s="28">
        <v>1227</v>
      </c>
      <c r="G135" s="28">
        <v>1230</v>
      </c>
      <c r="H135" s="28">
        <v>1222</v>
      </c>
      <c r="I135" s="28">
        <v>1243</v>
      </c>
      <c r="J135" s="28">
        <v>1254</v>
      </c>
      <c r="K135" s="28">
        <v>1242</v>
      </c>
      <c r="L135" s="28">
        <v>1254</v>
      </c>
      <c r="M135" s="28">
        <v>1260</v>
      </c>
      <c r="N135" s="28">
        <v>1270</v>
      </c>
      <c r="O135" s="28"/>
      <c r="P135" s="28"/>
      <c r="Q135" s="28"/>
      <c r="R135" s="28"/>
      <c r="S135" s="28"/>
      <c r="T135" s="28"/>
      <c r="Y135" s="28"/>
      <c r="Z135" s="28"/>
      <c r="AA135" s="28"/>
    </row>
    <row r="136" spans="2:27" s="9" customFormat="1" x14ac:dyDescent="0.25">
      <c r="B136" s="9" t="s">
        <v>140</v>
      </c>
      <c r="C136" s="22"/>
      <c r="D136" s="22">
        <f>D135/C135-1</f>
        <v>0.24301964839710455</v>
      </c>
      <c r="E136" s="22">
        <f t="shared" ref="E136:N136" si="170">E135/D135-1</f>
        <v>9.9833610648918381E-3</v>
      </c>
      <c r="F136" s="22">
        <f t="shared" si="170"/>
        <v>1.0708401976935678E-2</v>
      </c>
      <c r="G136" s="22">
        <f t="shared" si="170"/>
        <v>2.4449877750611915E-3</v>
      </c>
      <c r="H136" s="22">
        <f t="shared" si="170"/>
        <v>-6.5040650406503753E-3</v>
      </c>
      <c r="I136" s="22">
        <f t="shared" si="170"/>
        <v>1.7184942716857554E-2</v>
      </c>
      <c r="J136" s="22">
        <f t="shared" si="170"/>
        <v>8.8495575221239076E-3</v>
      </c>
      <c r="K136" s="22">
        <f t="shared" si="170"/>
        <v>-9.5693779904306719E-3</v>
      </c>
      <c r="L136" s="22">
        <f t="shared" si="170"/>
        <v>9.6618357487923134E-3</v>
      </c>
      <c r="M136" s="22">
        <f t="shared" si="170"/>
        <v>4.7846889952152249E-3</v>
      </c>
      <c r="N136" s="22">
        <f t="shared" si="170"/>
        <v>7.9365079365079083E-3</v>
      </c>
      <c r="O136" s="22"/>
      <c r="P136" s="22"/>
      <c r="Q136" s="22"/>
      <c r="R136" s="22"/>
      <c r="S136" s="22"/>
      <c r="T136" s="22"/>
      <c r="Y136" s="22"/>
      <c r="Z136" s="22"/>
      <c r="AA136" s="22"/>
    </row>
    <row r="137" spans="2:27" s="9" customFormat="1" x14ac:dyDescent="0.25">
      <c r="B137" s="9" t="s">
        <v>138</v>
      </c>
      <c r="C137" s="22">
        <v>1.1000000000000001</v>
      </c>
      <c r="D137" s="22">
        <v>1.1100000000000001</v>
      </c>
      <c r="E137" s="22">
        <v>1.02</v>
      </c>
      <c r="F137" s="22">
        <v>1.03</v>
      </c>
      <c r="G137" s="22">
        <v>1.02</v>
      </c>
      <c r="H137" s="22">
        <v>1</v>
      </c>
      <c r="I137" s="22">
        <v>1.01</v>
      </c>
      <c r="J137" s="22">
        <v>0.96</v>
      </c>
      <c r="K137" s="22">
        <v>0.94000000000000006</v>
      </c>
      <c r="L137" s="22">
        <v>0.96</v>
      </c>
      <c r="M137" s="22">
        <v>0.97</v>
      </c>
      <c r="N137" s="22">
        <v>1</v>
      </c>
      <c r="O137" s="22"/>
      <c r="P137" s="22"/>
      <c r="Q137" s="22"/>
      <c r="R137" s="22"/>
      <c r="S137" s="22"/>
      <c r="T137" s="22"/>
      <c r="Y137" s="22"/>
      <c r="Z137" s="22"/>
      <c r="AA137" s="22"/>
    </row>
    <row r="138" spans="2:27" s="9" customFormat="1" x14ac:dyDescent="0.25"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Y138" s="22"/>
      <c r="Z138" s="22"/>
      <c r="AA138" s="22"/>
    </row>
    <row r="139" spans="2:27" x14ac:dyDescent="0.25">
      <c r="Y139" s="11"/>
      <c r="Z139" s="11"/>
    </row>
    <row r="140" spans="2:27" x14ac:dyDescent="0.25">
      <c r="Y140" s="18"/>
      <c r="Z140" s="18"/>
    </row>
    <row r="141" spans="2:27" x14ac:dyDescent="0.25">
      <c r="Y141" s="11"/>
      <c r="Z141" s="11"/>
    </row>
    <row r="142" spans="2:27" x14ac:dyDescent="0.25">
      <c r="B142" s="4" t="s">
        <v>132</v>
      </c>
      <c r="Y142" s="11"/>
      <c r="Z142" s="11"/>
    </row>
    <row r="143" spans="2:27" x14ac:dyDescent="0.25">
      <c r="B143" s="3" t="s">
        <v>133</v>
      </c>
      <c r="C143" s="11">
        <v>80272000</v>
      </c>
      <c r="D143" s="11">
        <v>127077000</v>
      </c>
      <c r="E143" s="11">
        <v>132994000</v>
      </c>
      <c r="F143" s="11">
        <v>141905000</v>
      </c>
      <c r="G143" s="11">
        <v>142612000</v>
      </c>
      <c r="H143" s="11">
        <v>146847000</v>
      </c>
      <c r="I143" s="11">
        <v>139119000</v>
      </c>
      <c r="J143" s="11">
        <v>130843000</v>
      </c>
      <c r="K143" s="11">
        <v>128114000</v>
      </c>
      <c r="L143" s="11">
        <v>132311000</v>
      </c>
      <c r="M143" s="11">
        <v>126288000</v>
      </c>
      <c r="N143" s="11">
        <v>122367000</v>
      </c>
      <c r="Y143" s="11">
        <v>564358000</v>
      </c>
      <c r="Z143" s="11">
        <v>530387000</v>
      </c>
    </row>
    <row r="144" spans="2:27" x14ac:dyDescent="0.25">
      <c r="B144" s="3" t="s">
        <v>134</v>
      </c>
      <c r="C144" s="11">
        <v>44341000</v>
      </c>
      <c r="D144" s="11">
        <v>54962000</v>
      </c>
      <c r="E144" s="11">
        <v>59548000</v>
      </c>
      <c r="F144" s="11">
        <v>69750000</v>
      </c>
      <c r="G144" s="11">
        <v>65092000</v>
      </c>
      <c r="H144" s="11">
        <v>60161000</v>
      </c>
      <c r="I144" s="11">
        <v>59690000</v>
      </c>
      <c r="J144" s="11">
        <v>62063000</v>
      </c>
      <c r="K144" s="11">
        <v>65679000</v>
      </c>
      <c r="L144" s="11">
        <v>71440000</v>
      </c>
      <c r="M144" s="11">
        <v>65202000</v>
      </c>
      <c r="N144" s="11">
        <v>83575000</v>
      </c>
      <c r="Y144" s="11">
        <v>254551000</v>
      </c>
      <c r="Z144" s="11">
        <v>258872000</v>
      </c>
    </row>
    <row r="145" spans="2:27" x14ac:dyDescent="0.25">
      <c r="B145" s="3" t="s">
        <v>135</v>
      </c>
      <c r="C145" s="11">
        <v>112012000</v>
      </c>
      <c r="D145" s="11">
        <v>158844000</v>
      </c>
      <c r="E145" s="11">
        <v>186724000</v>
      </c>
      <c r="F145" s="11">
        <v>188219000</v>
      </c>
      <c r="G145" s="11">
        <v>200927000</v>
      </c>
      <c r="H145" s="11">
        <v>180344000</v>
      </c>
      <c r="I145" s="11">
        <v>166770000</v>
      </c>
      <c r="J145" s="11">
        <v>164064000</v>
      </c>
      <c r="K145" s="11">
        <v>157369000</v>
      </c>
      <c r="L145" s="11">
        <v>155669000</v>
      </c>
      <c r="M145" s="11">
        <v>152500000</v>
      </c>
      <c r="N145" s="11">
        <v>140809000</v>
      </c>
      <c r="Y145" s="11">
        <v>756214000</v>
      </c>
      <c r="Z145" s="11">
        <v>643872000</v>
      </c>
    </row>
    <row r="146" spans="2:27" x14ac:dyDescent="0.25">
      <c r="B146" s="3" t="s">
        <v>136</v>
      </c>
      <c r="C146" s="11">
        <v>76969000</v>
      </c>
      <c r="D146" s="11">
        <v>98395000</v>
      </c>
      <c r="E146" s="11">
        <v>107528000</v>
      </c>
      <c r="F146" s="11">
        <v>119107000</v>
      </c>
      <c r="G146" s="11">
        <v>122001000</v>
      </c>
      <c r="H146" s="11">
        <v>210174000</v>
      </c>
      <c r="I146" s="11">
        <v>84036000</v>
      </c>
      <c r="J146" s="11">
        <v>81119000</v>
      </c>
      <c r="K146" s="11">
        <v>81691000</v>
      </c>
      <c r="L146" s="11">
        <v>83061000</v>
      </c>
      <c r="M146" s="11">
        <v>80081000</v>
      </c>
      <c r="N146" s="11">
        <v>83295000</v>
      </c>
      <c r="Y146" s="11">
        <v>558810000</v>
      </c>
      <c r="Z146" s="11">
        <v>329907000</v>
      </c>
    </row>
    <row r="147" spans="2:27" x14ac:dyDescent="0.25">
      <c r="B147" s="3" t="s">
        <v>137</v>
      </c>
      <c r="C147" s="11">
        <v>9287000</v>
      </c>
      <c r="D147" s="11">
        <v>11696000</v>
      </c>
      <c r="E147" s="11">
        <v>13567000</v>
      </c>
      <c r="F147" s="11">
        <v>14497000</v>
      </c>
      <c r="G147" s="11">
        <v>13578000</v>
      </c>
      <c r="H147" s="11">
        <v>11742000</v>
      </c>
      <c r="I147" s="11">
        <v>10765000</v>
      </c>
      <c r="J147" s="11">
        <v>11170000</v>
      </c>
      <c r="K147" s="11">
        <v>13664000</v>
      </c>
      <c r="L147" s="11">
        <v>14618000</v>
      </c>
      <c r="M147" s="11">
        <v>10929000</v>
      </c>
      <c r="N147" s="11">
        <v>10898000</v>
      </c>
      <c r="Y147" s="11">
        <v>53384000</v>
      </c>
      <c r="Z147" s="11">
        <v>50217000</v>
      </c>
    </row>
    <row r="148" spans="2:27" s="4" customFormat="1" x14ac:dyDescent="0.25">
      <c r="B148" s="4" t="s">
        <v>129</v>
      </c>
      <c r="C148" s="26">
        <f t="shared" ref="C148:M148" si="171">SUM(C143:C147)</f>
        <v>322881000</v>
      </c>
      <c r="D148" s="26">
        <f t="shared" si="171"/>
        <v>450974000</v>
      </c>
      <c r="E148" s="26">
        <f t="shared" si="171"/>
        <v>500361000</v>
      </c>
      <c r="F148" s="26">
        <f t="shared" si="171"/>
        <v>533478000</v>
      </c>
      <c r="G148" s="26">
        <f t="shared" si="171"/>
        <v>544210000</v>
      </c>
      <c r="H148" s="26">
        <f t="shared" si="171"/>
        <v>609268000</v>
      </c>
      <c r="I148" s="26">
        <f t="shared" si="171"/>
        <v>460380000</v>
      </c>
      <c r="J148" s="26">
        <f t="shared" si="171"/>
        <v>449259000</v>
      </c>
      <c r="K148" s="26">
        <f t="shared" si="171"/>
        <v>446517000</v>
      </c>
      <c r="L148" s="26">
        <f t="shared" si="171"/>
        <v>457099000</v>
      </c>
      <c r="M148" s="26">
        <f t="shared" si="171"/>
        <v>435000000</v>
      </c>
      <c r="N148" s="26">
        <f>SUM(N143:N147)</f>
        <v>440944000</v>
      </c>
      <c r="O148" s="26">
        <f t="shared" ref="O148:T148" si="172">SUM(O143:O147)</f>
        <v>0</v>
      </c>
      <c r="P148" s="26">
        <f t="shared" si="172"/>
        <v>0</v>
      </c>
      <c r="Q148" s="26">
        <f t="shared" si="172"/>
        <v>0</v>
      </c>
      <c r="R148" s="26">
        <f t="shared" si="172"/>
        <v>0</v>
      </c>
      <c r="S148" s="26">
        <f t="shared" si="172"/>
        <v>0</v>
      </c>
      <c r="T148" s="26">
        <f t="shared" si="172"/>
        <v>0</v>
      </c>
      <c r="Y148" s="26">
        <f>SUM(Y143:Y147)</f>
        <v>2187317000</v>
      </c>
      <c r="Z148" s="26">
        <f t="shared" ref="Z148" si="173">SUM(Z143:Z147)</f>
        <v>1813255000</v>
      </c>
      <c r="AA148" s="26">
        <f>SUM(AA143:AA147)</f>
        <v>0</v>
      </c>
    </row>
    <row r="149" spans="2:27" x14ac:dyDescent="0.25">
      <c r="Y149" s="11"/>
      <c r="Z149" s="11"/>
    </row>
    <row r="150" spans="2:27" x14ac:dyDescent="0.25">
      <c r="Y150" s="11"/>
      <c r="Z150" s="11"/>
    </row>
    <row r="151" spans="2:27" x14ac:dyDescent="0.25">
      <c r="Y151" s="11"/>
      <c r="Z151" s="11"/>
    </row>
    <row r="152" spans="2:27" x14ac:dyDescent="0.25">
      <c r="Y152" s="11"/>
      <c r="Z152" s="11"/>
    </row>
    <row r="153" spans="2:27" x14ac:dyDescent="0.25">
      <c r="Y153" s="18"/>
      <c r="Z153" s="18"/>
    </row>
    <row r="154" spans="2:27" x14ac:dyDescent="0.25">
      <c r="Y154" s="11"/>
      <c r="Z154" s="11"/>
    </row>
    <row r="155" spans="2:27" x14ac:dyDescent="0.25">
      <c r="Y155" s="11"/>
      <c r="Z155" s="11"/>
    </row>
    <row r="156" spans="2:27" x14ac:dyDescent="0.25">
      <c r="Y156" s="11"/>
      <c r="Z156" s="11"/>
    </row>
    <row r="157" spans="2:27" x14ac:dyDescent="0.25">
      <c r="Y157" s="11"/>
      <c r="Z157" s="11"/>
    </row>
    <row r="158" spans="2:27" x14ac:dyDescent="0.25">
      <c r="Y158" s="18"/>
      <c r="Z158" s="18"/>
    </row>
    <row r="159" spans="2:27" x14ac:dyDescent="0.25">
      <c r="Y159" s="11"/>
      <c r="Z159" s="11"/>
    </row>
    <row r="160" spans="2:27" x14ac:dyDescent="0.25">
      <c r="Y160" s="18"/>
      <c r="Z160" s="18"/>
    </row>
    <row r="161" spans="25:26" x14ac:dyDescent="0.25">
      <c r="Y161" s="18"/>
      <c r="Z161" s="18"/>
    </row>
    <row r="162" spans="25:26" x14ac:dyDescent="0.25">
      <c r="Y162" s="11"/>
      <c r="Z162" s="11"/>
    </row>
    <row r="163" spans="25:26" x14ac:dyDescent="0.25">
      <c r="Y163" s="11"/>
      <c r="Z163" s="11"/>
    </row>
    <row r="164" spans="25:26" x14ac:dyDescent="0.25">
      <c r="Y164" s="11"/>
      <c r="Z164" s="11"/>
    </row>
    <row r="165" spans="25:26" x14ac:dyDescent="0.25">
      <c r="Y165" s="11"/>
      <c r="Z165" s="11"/>
    </row>
    <row r="166" spans="25:26" x14ac:dyDescent="0.25">
      <c r="Y166" s="11"/>
      <c r="Z166" s="11"/>
    </row>
    <row r="167" spans="25:26" x14ac:dyDescent="0.25">
      <c r="Y167" s="11"/>
      <c r="Z167" s="11"/>
    </row>
    <row r="168" spans="25:26" x14ac:dyDescent="0.25">
      <c r="Y168" s="11"/>
      <c r="Z168" s="11"/>
    </row>
    <row r="169" spans="25:26" x14ac:dyDescent="0.25">
      <c r="Y169" s="13"/>
      <c r="Z169" s="13"/>
    </row>
  </sheetData>
  <phoneticPr fontId="3" type="noConversion"/>
  <pageMargins left="0.7" right="0.7" top="0.75" bottom="0.75" header="0.3" footer="0.3"/>
  <ignoredErrors>
    <ignoredError sqref="Y5:AA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2025-10-17T17:21:08Z</dcterms:modified>
</cp:coreProperties>
</file>