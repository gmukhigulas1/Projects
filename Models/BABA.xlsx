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DE3FF41A-AC93-4B34-86B8-7CA8114C24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" i="1" l="1"/>
  <c r="I10" i="2"/>
  <c r="I9" i="2"/>
  <c r="I7" i="2"/>
  <c r="Q73" i="1"/>
  <c r="Q72" i="1"/>
  <c r="Q139" i="1"/>
  <c r="Q134" i="1"/>
  <c r="Q132" i="1"/>
  <c r="Q122" i="1"/>
  <c r="Q121" i="1"/>
  <c r="Q123" i="1" s="1"/>
  <c r="Q108" i="1"/>
  <c r="Q96" i="1"/>
  <c r="Q67" i="1"/>
  <c r="AG60" i="1"/>
  <c r="AF60" i="1"/>
  <c r="AE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Q47" i="1"/>
  <c r="Q45" i="1"/>
  <c r="Q43" i="1"/>
  <c r="Q85" i="1"/>
  <c r="Q92" i="1" s="1"/>
  <c r="Q19" i="1"/>
  <c r="Q17" i="1"/>
  <c r="Q5" i="1"/>
  <c r="P96" i="1"/>
  <c r="I8" i="2"/>
  <c r="O54" i="1"/>
  <c r="N54" i="1"/>
  <c r="M54" i="1"/>
  <c r="L54" i="1"/>
  <c r="K54" i="1"/>
  <c r="J54" i="1"/>
  <c r="I54" i="1"/>
  <c r="H54" i="1"/>
  <c r="G54" i="1"/>
  <c r="F54" i="1"/>
  <c r="E54" i="1"/>
  <c r="D54" i="1"/>
  <c r="P54" i="1"/>
  <c r="O22" i="1"/>
  <c r="N22" i="1"/>
  <c r="M22" i="1"/>
  <c r="L22" i="1"/>
  <c r="K22" i="1"/>
  <c r="J22" i="1"/>
  <c r="I22" i="1"/>
  <c r="H22" i="1"/>
  <c r="O21" i="1"/>
  <c r="N21" i="1"/>
  <c r="M21" i="1"/>
  <c r="L21" i="1"/>
  <c r="K21" i="1"/>
  <c r="J21" i="1"/>
  <c r="I21" i="1"/>
  <c r="H21" i="1"/>
  <c r="O20" i="1"/>
  <c r="N20" i="1"/>
  <c r="M20" i="1"/>
  <c r="L20" i="1"/>
  <c r="K20" i="1"/>
  <c r="J20" i="1"/>
  <c r="I20" i="1"/>
  <c r="H20" i="1"/>
  <c r="O19" i="1"/>
  <c r="N19" i="1"/>
  <c r="M19" i="1"/>
  <c r="L19" i="1"/>
  <c r="K19" i="1"/>
  <c r="J19" i="1"/>
  <c r="I19" i="1"/>
  <c r="H19" i="1"/>
  <c r="O18" i="1"/>
  <c r="N18" i="1"/>
  <c r="M18" i="1"/>
  <c r="L18" i="1"/>
  <c r="K18" i="1"/>
  <c r="J18" i="1"/>
  <c r="I18" i="1"/>
  <c r="H18" i="1"/>
  <c r="O17" i="1"/>
  <c r="N17" i="1"/>
  <c r="M17" i="1"/>
  <c r="L17" i="1"/>
  <c r="K17" i="1"/>
  <c r="J17" i="1"/>
  <c r="I17" i="1"/>
  <c r="H17" i="1"/>
  <c r="P22" i="1"/>
  <c r="P21" i="1"/>
  <c r="P20" i="1"/>
  <c r="P19" i="1"/>
  <c r="P18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D96" i="1"/>
  <c r="E96" i="1"/>
  <c r="F96" i="1"/>
  <c r="G96" i="1"/>
  <c r="H96" i="1"/>
  <c r="I96" i="1"/>
  <c r="J96" i="1"/>
  <c r="K96" i="1"/>
  <c r="L96" i="1"/>
  <c r="M96" i="1"/>
  <c r="N96" i="1"/>
  <c r="O96" i="1"/>
  <c r="T48" i="1"/>
  <c r="S48" i="1"/>
  <c r="R48" i="1"/>
  <c r="Y34" i="1"/>
  <c r="Y48" i="1" s="1"/>
  <c r="X34" i="1"/>
  <c r="W34" i="1"/>
  <c r="AA34" i="1" s="1"/>
  <c r="V34" i="1"/>
  <c r="U34" i="1"/>
  <c r="U48" i="1" s="1"/>
  <c r="T34" i="1"/>
  <c r="T66" i="1" s="1"/>
  <c r="S34" i="1"/>
  <c r="S66" i="1" s="1"/>
  <c r="R34" i="1"/>
  <c r="R66" i="1" s="1"/>
  <c r="Q15" i="1" l="1"/>
  <c r="Q90" i="1"/>
  <c r="Q18" i="1"/>
  <c r="I12" i="2"/>
  <c r="R58" i="1"/>
  <c r="S58" i="1"/>
  <c r="T58" i="1"/>
  <c r="Y66" i="1"/>
  <c r="X66" i="1"/>
  <c r="V66" i="1"/>
  <c r="AA66" i="1"/>
  <c r="AA48" i="1"/>
  <c r="W48" i="1"/>
  <c r="Z34" i="1"/>
  <c r="AJ34" i="1" s="1"/>
  <c r="V48" i="1"/>
  <c r="X48" i="1"/>
  <c r="W66" i="1"/>
  <c r="P17" i="1"/>
  <c r="AG49" i="1"/>
  <c r="AF49" i="1"/>
  <c r="AE49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H42" i="1"/>
  <c r="AG42" i="1"/>
  <c r="AF42" i="1"/>
  <c r="AE42" i="1"/>
  <c r="AJ41" i="1"/>
  <c r="AI41" i="1"/>
  <c r="AH41" i="1"/>
  <c r="AG41" i="1"/>
  <c r="AF41" i="1"/>
  <c r="AE41" i="1"/>
  <c r="AJ40" i="1"/>
  <c r="AI40" i="1"/>
  <c r="AH40" i="1"/>
  <c r="AG40" i="1"/>
  <c r="AF40" i="1"/>
  <c r="AE40" i="1"/>
  <c r="AJ39" i="1"/>
  <c r="AI39" i="1"/>
  <c r="AH39" i="1"/>
  <c r="AG39" i="1"/>
  <c r="AF39" i="1"/>
  <c r="AE39" i="1"/>
  <c r="AJ38" i="1"/>
  <c r="AI38" i="1"/>
  <c r="AH38" i="1"/>
  <c r="AG38" i="1"/>
  <c r="AF38" i="1"/>
  <c r="AE38" i="1"/>
  <c r="AJ37" i="1"/>
  <c r="AI37" i="1"/>
  <c r="AH37" i="1"/>
  <c r="AG37" i="1"/>
  <c r="AF37" i="1"/>
  <c r="AE37" i="1"/>
  <c r="AJ36" i="1"/>
  <c r="AI36" i="1"/>
  <c r="AJ35" i="1"/>
  <c r="AI35" i="1"/>
  <c r="AH35" i="1"/>
  <c r="AG35" i="1"/>
  <c r="AF35" i="1"/>
  <c r="AE35" i="1"/>
  <c r="AI34" i="1"/>
  <c r="AG34" i="1"/>
  <c r="AF34" i="1"/>
  <c r="AE34" i="1"/>
  <c r="AJ15" i="1"/>
  <c r="AI15" i="1"/>
  <c r="AJ14" i="1"/>
  <c r="AI14" i="1"/>
  <c r="AH14" i="1"/>
  <c r="AG14" i="1"/>
  <c r="AF14" i="1"/>
  <c r="AE14" i="1"/>
  <c r="AJ13" i="1"/>
  <c r="AI13" i="1"/>
  <c r="AH13" i="1"/>
  <c r="AG13" i="1"/>
  <c r="AF13" i="1"/>
  <c r="AE13" i="1"/>
  <c r="AJ12" i="1"/>
  <c r="AI12" i="1"/>
  <c r="AH12" i="1"/>
  <c r="AG12" i="1"/>
  <c r="AF12" i="1"/>
  <c r="AE12" i="1"/>
  <c r="AJ11" i="1"/>
  <c r="AI11" i="1"/>
  <c r="AH11" i="1"/>
  <c r="AG11" i="1"/>
  <c r="AF11" i="1"/>
  <c r="AE11" i="1"/>
  <c r="AJ10" i="1"/>
  <c r="AI10" i="1"/>
  <c r="AH10" i="1"/>
  <c r="AG10" i="1"/>
  <c r="AF10" i="1"/>
  <c r="AE10" i="1"/>
  <c r="AJ9" i="1"/>
  <c r="AI9" i="1"/>
  <c r="AH9" i="1"/>
  <c r="AG9" i="1"/>
  <c r="AF9" i="1"/>
  <c r="AE9" i="1"/>
  <c r="AJ8" i="1"/>
  <c r="AI8" i="1"/>
  <c r="AH8" i="1"/>
  <c r="AG8" i="1"/>
  <c r="AF8" i="1"/>
  <c r="AE8" i="1"/>
  <c r="AJ7" i="1"/>
  <c r="AI7" i="1"/>
  <c r="AH7" i="1"/>
  <c r="AG7" i="1"/>
  <c r="AF7" i="1"/>
  <c r="AE7" i="1"/>
  <c r="AJ6" i="1"/>
  <c r="AI6" i="1"/>
  <c r="AH6" i="1"/>
  <c r="AG6" i="1"/>
  <c r="AF6" i="1"/>
  <c r="AE6" i="1"/>
  <c r="AJ5" i="1"/>
  <c r="AI5" i="1"/>
  <c r="AH5" i="1"/>
  <c r="AG5" i="1"/>
  <c r="AF5" i="1"/>
  <c r="AE5" i="1"/>
  <c r="AJ4" i="1"/>
  <c r="AI4" i="1"/>
  <c r="AH4" i="1"/>
  <c r="AG4" i="1"/>
  <c r="AF4" i="1"/>
  <c r="AE4" i="1"/>
  <c r="AJ3" i="1"/>
  <c r="AI3" i="1"/>
  <c r="AG3" i="1"/>
  <c r="AF3" i="1"/>
  <c r="AE3" i="1"/>
  <c r="P66" i="1"/>
  <c r="O66" i="1"/>
  <c r="N66" i="1"/>
  <c r="M66" i="1"/>
  <c r="L66" i="1"/>
  <c r="K66" i="1"/>
  <c r="J66" i="1"/>
  <c r="I66" i="1"/>
  <c r="H66" i="1"/>
  <c r="D122" i="1"/>
  <c r="D47" i="1"/>
  <c r="D45" i="1"/>
  <c r="E122" i="1"/>
  <c r="E47" i="1"/>
  <c r="E45" i="1"/>
  <c r="D139" i="1"/>
  <c r="D132" i="1"/>
  <c r="D134" i="1" s="1"/>
  <c r="D121" i="1"/>
  <c r="D108" i="1"/>
  <c r="D92" i="1"/>
  <c r="D43" i="1"/>
  <c r="D36" i="1"/>
  <c r="D56" i="1" s="1"/>
  <c r="D15" i="1"/>
  <c r="E139" i="1"/>
  <c r="E132" i="1"/>
  <c r="E134" i="1" s="1"/>
  <c r="E121" i="1"/>
  <c r="E108" i="1"/>
  <c r="E92" i="1"/>
  <c r="E43" i="1"/>
  <c r="E36" i="1"/>
  <c r="E63" i="1" s="1"/>
  <c r="E15" i="1"/>
  <c r="F122" i="1"/>
  <c r="F47" i="1"/>
  <c r="F45" i="1"/>
  <c r="F139" i="1"/>
  <c r="F132" i="1"/>
  <c r="F134" i="1" s="1"/>
  <c r="F121" i="1"/>
  <c r="F108" i="1"/>
  <c r="F92" i="1"/>
  <c r="F43" i="1"/>
  <c r="F36" i="1"/>
  <c r="F62" i="1" s="1"/>
  <c r="F15" i="1"/>
  <c r="G122" i="1"/>
  <c r="G47" i="1"/>
  <c r="G45" i="1"/>
  <c r="G139" i="1"/>
  <c r="G132" i="1"/>
  <c r="G134" i="1" s="1"/>
  <c r="G121" i="1"/>
  <c r="G108" i="1"/>
  <c r="G92" i="1"/>
  <c r="G43" i="1"/>
  <c r="G36" i="1"/>
  <c r="G56" i="1" s="1"/>
  <c r="G15" i="1"/>
  <c r="H122" i="1"/>
  <c r="H47" i="1"/>
  <c r="H45" i="1"/>
  <c r="H139" i="1"/>
  <c r="H132" i="1"/>
  <c r="H134" i="1" s="1"/>
  <c r="H121" i="1"/>
  <c r="H108" i="1"/>
  <c r="H92" i="1"/>
  <c r="H43" i="1"/>
  <c r="H36" i="1"/>
  <c r="H61" i="1" s="1"/>
  <c r="H15" i="1"/>
  <c r="I122" i="1"/>
  <c r="I47" i="1"/>
  <c r="I45" i="1"/>
  <c r="I139" i="1"/>
  <c r="I132" i="1"/>
  <c r="I134" i="1" s="1"/>
  <c r="I121" i="1"/>
  <c r="I108" i="1"/>
  <c r="I85" i="1"/>
  <c r="I92" i="1" s="1"/>
  <c r="I43" i="1"/>
  <c r="I36" i="1"/>
  <c r="I63" i="1" s="1"/>
  <c r="I15" i="1"/>
  <c r="J122" i="1"/>
  <c r="J47" i="1"/>
  <c r="J45" i="1"/>
  <c r="J139" i="1"/>
  <c r="J132" i="1"/>
  <c r="J134" i="1" s="1"/>
  <c r="J121" i="1"/>
  <c r="J108" i="1"/>
  <c r="J85" i="1"/>
  <c r="J92" i="1" s="1"/>
  <c r="J43" i="1"/>
  <c r="J36" i="1"/>
  <c r="J63" i="1" s="1"/>
  <c r="J15" i="1"/>
  <c r="K139" i="1"/>
  <c r="K122" i="1"/>
  <c r="K47" i="1"/>
  <c r="K45" i="1"/>
  <c r="K132" i="1"/>
  <c r="K134" i="1" s="1"/>
  <c r="K121" i="1"/>
  <c r="K108" i="1"/>
  <c r="K85" i="1"/>
  <c r="K92" i="1" s="1"/>
  <c r="K43" i="1"/>
  <c r="K36" i="1"/>
  <c r="K63" i="1" s="1"/>
  <c r="K15" i="1"/>
  <c r="L122" i="1"/>
  <c r="L47" i="1"/>
  <c r="L45" i="1"/>
  <c r="L139" i="1"/>
  <c r="L132" i="1"/>
  <c r="L134" i="1" s="1"/>
  <c r="L121" i="1"/>
  <c r="L108" i="1"/>
  <c r="L85" i="1"/>
  <c r="L92" i="1" s="1"/>
  <c r="L43" i="1"/>
  <c r="L36" i="1"/>
  <c r="L56" i="1" s="1"/>
  <c r="L15" i="1"/>
  <c r="P139" i="1"/>
  <c r="O139" i="1"/>
  <c r="N139" i="1"/>
  <c r="M139" i="1"/>
  <c r="M122" i="1"/>
  <c r="M47" i="1"/>
  <c r="M45" i="1"/>
  <c r="M15" i="1"/>
  <c r="M132" i="1"/>
  <c r="M134" i="1" s="1"/>
  <c r="M121" i="1"/>
  <c r="M108" i="1"/>
  <c r="M85" i="1"/>
  <c r="M90" i="1" s="1"/>
  <c r="M43" i="1"/>
  <c r="M36" i="1"/>
  <c r="M63" i="1" s="1"/>
  <c r="N122" i="1"/>
  <c r="N47" i="1"/>
  <c r="N45" i="1"/>
  <c r="N132" i="1"/>
  <c r="N134" i="1" s="1"/>
  <c r="N121" i="1"/>
  <c r="N108" i="1"/>
  <c r="N85" i="1"/>
  <c r="N90" i="1" s="1"/>
  <c r="N43" i="1"/>
  <c r="N36" i="1"/>
  <c r="N61" i="1" s="1"/>
  <c r="N15" i="1"/>
  <c r="O122" i="1"/>
  <c r="O47" i="1"/>
  <c r="O45" i="1"/>
  <c r="O132" i="1"/>
  <c r="O134" i="1" s="1"/>
  <c r="O121" i="1"/>
  <c r="O108" i="1"/>
  <c r="O85" i="1"/>
  <c r="O90" i="1" s="1"/>
  <c r="O43" i="1"/>
  <c r="O36" i="1"/>
  <c r="O63" i="1" s="1"/>
  <c r="O15" i="1"/>
  <c r="P85" i="1"/>
  <c r="P90" i="1" s="1"/>
  <c r="P15" i="1"/>
  <c r="P132" i="1"/>
  <c r="P134" i="1" s="1"/>
  <c r="P122" i="1"/>
  <c r="P121" i="1"/>
  <c r="P108" i="1"/>
  <c r="P47" i="1"/>
  <c r="AH47" i="1" s="1"/>
  <c r="P45" i="1"/>
  <c r="AH45" i="1" s="1"/>
  <c r="P43" i="1"/>
  <c r="AH43" i="1" s="1"/>
  <c r="P36" i="1"/>
  <c r="P63" i="1" s="1"/>
  <c r="Q27" i="1" l="1"/>
  <c r="Q34" i="1"/>
  <c r="Q31" i="1"/>
  <c r="Q28" i="1"/>
  <c r="Q25" i="1"/>
  <c r="Q30" i="1"/>
  <c r="Q29" i="1"/>
  <c r="Q26" i="1"/>
  <c r="G27" i="1"/>
  <c r="G31" i="1"/>
  <c r="G29" i="1"/>
  <c r="G28" i="1"/>
  <c r="G26" i="1"/>
  <c r="G25" i="1"/>
  <c r="G30" i="1"/>
  <c r="H31" i="1"/>
  <c r="H30" i="1"/>
  <c r="H29" i="1"/>
  <c r="H28" i="1"/>
  <c r="H27" i="1"/>
  <c r="H26" i="1"/>
  <c r="H25" i="1"/>
  <c r="K31" i="1"/>
  <c r="K29" i="1"/>
  <c r="K28" i="1"/>
  <c r="K26" i="1"/>
  <c r="K30" i="1"/>
  <c r="K27" i="1"/>
  <c r="K25" i="1"/>
  <c r="P31" i="1"/>
  <c r="P28" i="1"/>
  <c r="P25" i="1"/>
  <c r="P30" i="1"/>
  <c r="P29" i="1"/>
  <c r="P27" i="1"/>
  <c r="P26" i="1"/>
  <c r="N31" i="1"/>
  <c r="N30" i="1"/>
  <c r="N29" i="1"/>
  <c r="N28" i="1"/>
  <c r="N27" i="1"/>
  <c r="N26" i="1"/>
  <c r="N25" i="1"/>
  <c r="L30" i="1"/>
  <c r="L27" i="1"/>
  <c r="L31" i="1"/>
  <c r="L29" i="1"/>
  <c r="L28" i="1"/>
  <c r="L26" i="1"/>
  <c r="L25" i="1"/>
  <c r="D31" i="1"/>
  <c r="D28" i="1"/>
  <c r="D26" i="1"/>
  <c r="D30" i="1"/>
  <c r="D25" i="1"/>
  <c r="D27" i="1"/>
  <c r="D29" i="1"/>
  <c r="O31" i="1"/>
  <c r="O30" i="1"/>
  <c r="O29" i="1"/>
  <c r="O28" i="1"/>
  <c r="O27" i="1"/>
  <c r="O26" i="1"/>
  <c r="O25" i="1"/>
  <c r="I31" i="1"/>
  <c r="I30" i="1"/>
  <c r="I29" i="1"/>
  <c r="I28" i="1"/>
  <c r="I27" i="1"/>
  <c r="I26" i="1"/>
  <c r="I25" i="1"/>
  <c r="J31" i="1"/>
  <c r="J30" i="1"/>
  <c r="J29" i="1"/>
  <c r="J28" i="1"/>
  <c r="J27" i="1"/>
  <c r="J26" i="1"/>
  <c r="J25" i="1"/>
  <c r="M31" i="1"/>
  <c r="M30" i="1"/>
  <c r="M29" i="1"/>
  <c r="M28" i="1"/>
  <c r="M27" i="1"/>
  <c r="M26" i="1"/>
  <c r="M25" i="1"/>
  <c r="E30" i="1"/>
  <c r="E31" i="1"/>
  <c r="E27" i="1"/>
  <c r="E29" i="1"/>
  <c r="E25" i="1"/>
  <c r="E28" i="1"/>
  <c r="E26" i="1"/>
  <c r="F29" i="1"/>
  <c r="F25" i="1"/>
  <c r="F27" i="1"/>
  <c r="F30" i="1"/>
  <c r="F26" i="1"/>
  <c r="F31" i="1"/>
  <c r="F28" i="1"/>
  <c r="AF19" i="1"/>
  <c r="AF21" i="1"/>
  <c r="AI48" i="1"/>
  <c r="AI58" i="1" s="1"/>
  <c r="AH15" i="1"/>
  <c r="AF45" i="1"/>
  <c r="AG21" i="1"/>
  <c r="AF20" i="1"/>
  <c r="AG20" i="1"/>
  <c r="AG19" i="1"/>
  <c r="AF18" i="1"/>
  <c r="AF22" i="1"/>
  <c r="AG18" i="1"/>
  <c r="AG22" i="1"/>
  <c r="AG17" i="1"/>
  <c r="AF17" i="1"/>
  <c r="AG66" i="1"/>
  <c r="AE45" i="1"/>
  <c r="AF43" i="1"/>
  <c r="Z66" i="1"/>
  <c r="Z48" i="1"/>
  <c r="AJ48" i="1" s="1"/>
  <c r="AJ58" i="1" s="1"/>
  <c r="AJ66" i="1"/>
  <c r="AK34" i="1"/>
  <c r="AG45" i="1"/>
  <c r="AG47" i="1"/>
  <c r="AF47" i="1"/>
  <c r="AE43" i="1"/>
  <c r="AG15" i="1"/>
  <c r="AF15" i="1"/>
  <c r="AE15" i="1"/>
  <c r="AG43" i="1"/>
  <c r="AE47" i="1"/>
  <c r="AF66" i="1"/>
  <c r="AE36" i="1"/>
  <c r="AE61" i="1" s="1"/>
  <c r="AG36" i="1"/>
  <c r="AG61" i="1" s="1"/>
  <c r="AF36" i="1"/>
  <c r="AF61" i="1" s="1"/>
  <c r="J62" i="1"/>
  <c r="K62" i="1"/>
  <c r="L63" i="1"/>
  <c r="N56" i="1"/>
  <c r="O56" i="1"/>
  <c r="F61" i="1"/>
  <c r="G62" i="1"/>
  <c r="H62" i="1"/>
  <c r="M62" i="1"/>
  <c r="F56" i="1"/>
  <c r="N62" i="1"/>
  <c r="F63" i="1"/>
  <c r="H56" i="1"/>
  <c r="L61" i="1"/>
  <c r="G63" i="1"/>
  <c r="J56" i="1"/>
  <c r="M61" i="1"/>
  <c r="H63" i="1"/>
  <c r="M56" i="1"/>
  <c r="N63" i="1"/>
  <c r="D61" i="1"/>
  <c r="D62" i="1"/>
  <c r="G61" i="1"/>
  <c r="L62" i="1"/>
  <c r="J61" i="1"/>
  <c r="K61" i="1"/>
  <c r="K56" i="1"/>
  <c r="D63" i="1"/>
  <c r="O61" i="1"/>
  <c r="O62" i="1"/>
  <c r="P56" i="1"/>
  <c r="P61" i="1"/>
  <c r="P62" i="1"/>
  <c r="E56" i="1"/>
  <c r="E61" i="1"/>
  <c r="E62" i="1"/>
  <c r="I56" i="1"/>
  <c r="I61" i="1"/>
  <c r="I62" i="1"/>
  <c r="G44" i="1"/>
  <c r="F44" i="1"/>
  <c r="E44" i="1"/>
  <c r="E57" i="1" s="1"/>
  <c r="D44" i="1"/>
  <c r="D123" i="1"/>
  <c r="E123" i="1"/>
  <c r="F123" i="1"/>
  <c r="G123" i="1"/>
  <c r="H123" i="1"/>
  <c r="H44" i="1"/>
  <c r="I123" i="1"/>
  <c r="I44" i="1"/>
  <c r="I57" i="1" s="1"/>
  <c r="N44" i="1"/>
  <c r="N57" i="1" s="1"/>
  <c r="J44" i="1"/>
  <c r="I90" i="1"/>
  <c r="J123" i="1"/>
  <c r="J90" i="1"/>
  <c r="O44" i="1"/>
  <c r="N92" i="1"/>
  <c r="K123" i="1"/>
  <c r="K44" i="1"/>
  <c r="O92" i="1"/>
  <c r="P92" i="1"/>
  <c r="K90" i="1"/>
  <c r="L123" i="1"/>
  <c r="L44" i="1"/>
  <c r="L90" i="1"/>
  <c r="M92" i="1"/>
  <c r="M123" i="1"/>
  <c r="M44" i="1"/>
  <c r="M57" i="1" s="1"/>
  <c r="O123" i="1"/>
  <c r="N123" i="1"/>
  <c r="P44" i="1"/>
  <c r="P64" i="1" s="1"/>
  <c r="P123" i="1"/>
  <c r="Q36" i="1" l="1"/>
  <c r="Q54" i="1"/>
  <c r="Q66" i="1"/>
  <c r="U66" i="1"/>
  <c r="AH34" i="1"/>
  <c r="AE44" i="1"/>
  <c r="AE57" i="1" s="1"/>
  <c r="AL34" i="1"/>
  <c r="AK48" i="1"/>
  <c r="AG44" i="1"/>
  <c r="AG63" i="1"/>
  <c r="AE63" i="1"/>
  <c r="AF44" i="1"/>
  <c r="P57" i="1"/>
  <c r="AF62" i="1"/>
  <c r="AF56" i="1"/>
  <c r="AG62" i="1"/>
  <c r="AG56" i="1"/>
  <c r="AF63" i="1"/>
  <c r="AE62" i="1"/>
  <c r="AE56" i="1"/>
  <c r="M64" i="1"/>
  <c r="I64" i="1"/>
  <c r="O46" i="1"/>
  <c r="O57" i="1"/>
  <c r="D57" i="1"/>
  <c r="D64" i="1"/>
  <c r="L64" i="1"/>
  <c r="L57" i="1"/>
  <c r="J64" i="1"/>
  <c r="J57" i="1"/>
  <c r="F64" i="1"/>
  <c r="F57" i="1"/>
  <c r="G46" i="1"/>
  <c r="G64" i="1"/>
  <c r="G57" i="1"/>
  <c r="O64" i="1"/>
  <c r="H64" i="1"/>
  <c r="H57" i="1"/>
  <c r="E64" i="1"/>
  <c r="K64" i="1"/>
  <c r="K57" i="1"/>
  <c r="N64" i="1"/>
  <c r="E46" i="1"/>
  <c r="F46" i="1"/>
  <c r="J46" i="1"/>
  <c r="K46" i="1"/>
  <c r="L46" i="1"/>
  <c r="H46" i="1"/>
  <c r="N46" i="1"/>
  <c r="P46" i="1"/>
  <c r="D46" i="1"/>
  <c r="M46" i="1"/>
  <c r="I46" i="1"/>
  <c r="AI66" i="1" l="1"/>
  <c r="AH66" i="1"/>
  <c r="Q63" i="1"/>
  <c r="Q61" i="1"/>
  <c r="Q62" i="1"/>
  <c r="Q56" i="1"/>
  <c r="Q44" i="1"/>
  <c r="AH36" i="1"/>
  <c r="AE64" i="1"/>
  <c r="AM34" i="1"/>
  <c r="AL48" i="1"/>
  <c r="AG57" i="1"/>
  <c r="AG64" i="1"/>
  <c r="AE46" i="1"/>
  <c r="AG46" i="1"/>
  <c r="AF46" i="1"/>
  <c r="AF57" i="1"/>
  <c r="AF64" i="1"/>
  <c r="E48" i="1"/>
  <c r="E58" i="1" s="1"/>
  <c r="F48" i="1"/>
  <c r="F58" i="1" s="1"/>
  <c r="G48" i="1"/>
  <c r="G58" i="1" s="1"/>
  <c r="O48" i="1"/>
  <c r="H48" i="1"/>
  <c r="P48" i="1"/>
  <c r="L48" i="1"/>
  <c r="I48" i="1"/>
  <c r="I58" i="1" s="1"/>
  <c r="N48" i="1"/>
  <c r="N58" i="1" s="1"/>
  <c r="D48" i="1"/>
  <c r="K48" i="1"/>
  <c r="K58" i="1" s="1"/>
  <c r="M48" i="1"/>
  <c r="M58" i="1" s="1"/>
  <c r="J48" i="1"/>
  <c r="J58" i="1" s="1"/>
  <c r="Q46" i="1" l="1"/>
  <c r="Q64" i="1"/>
  <c r="Q57" i="1"/>
  <c r="AH44" i="1"/>
  <c r="AN34" i="1"/>
  <c r="AM48" i="1"/>
  <c r="D58" i="1"/>
  <c r="AE48" i="1"/>
  <c r="L58" i="1"/>
  <c r="AG48" i="1"/>
  <c r="P58" i="1"/>
  <c r="H58" i="1"/>
  <c r="AF48" i="1"/>
  <c r="G50" i="1"/>
  <c r="F50" i="1"/>
  <c r="E50" i="1"/>
  <c r="O58" i="1"/>
  <c r="O50" i="1"/>
  <c r="M50" i="1"/>
  <c r="N50" i="1"/>
  <c r="I50" i="1"/>
  <c r="L50" i="1"/>
  <c r="J50" i="1"/>
  <c r="P50" i="1"/>
  <c r="K50" i="1"/>
  <c r="D50" i="1"/>
  <c r="H50" i="1"/>
  <c r="H67" i="1" s="1"/>
  <c r="Q60" i="1" l="1"/>
  <c r="Q48" i="1"/>
  <c r="AH46" i="1"/>
  <c r="AO34" i="1"/>
  <c r="AN48" i="1"/>
  <c r="P67" i="1"/>
  <c r="AE58" i="1"/>
  <c r="AE50" i="1"/>
  <c r="K67" i="1"/>
  <c r="AF58" i="1"/>
  <c r="AF50" i="1"/>
  <c r="J67" i="1"/>
  <c r="I67" i="1"/>
  <c r="AG58" i="1"/>
  <c r="AG50" i="1"/>
  <c r="O67" i="1"/>
  <c r="L67" i="1"/>
  <c r="N67" i="1"/>
  <c r="M67" i="1"/>
  <c r="Q58" i="1" l="1"/>
  <c r="Q49" i="1"/>
  <c r="AH48" i="1"/>
  <c r="AH58" i="1" s="1"/>
  <c r="AP34" i="1"/>
  <c r="AO48" i="1"/>
  <c r="AQ34" i="1" l="1"/>
  <c r="AP48" i="1"/>
  <c r="AR34" i="1" l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DC48" i="1" s="1"/>
  <c r="DD48" i="1" s="1"/>
  <c r="DE48" i="1" s="1"/>
  <c r="DF48" i="1" s="1"/>
  <c r="DG48" i="1" s="1"/>
  <c r="DH48" i="1" s="1"/>
  <c r="DI48" i="1" s="1"/>
  <c r="DJ48" i="1" s="1"/>
  <c r="DK48" i="1" s="1"/>
  <c r="DL48" i="1" s="1"/>
  <c r="DM48" i="1" s="1"/>
  <c r="DN48" i="1" s="1"/>
  <c r="DO48" i="1" s="1"/>
  <c r="DP48" i="1" s="1"/>
  <c r="DQ48" i="1" s="1"/>
  <c r="DR48" i="1" s="1"/>
  <c r="DS48" i="1" s="1"/>
  <c r="DT48" i="1" s="1"/>
  <c r="DU48" i="1" s="1"/>
  <c r="DV48" i="1" s="1"/>
  <c r="DW48" i="1" s="1"/>
  <c r="DX48" i="1" s="1"/>
  <c r="DY48" i="1" s="1"/>
  <c r="DZ48" i="1" s="1"/>
  <c r="EA48" i="1" s="1"/>
  <c r="EB48" i="1" s="1"/>
  <c r="EC48" i="1" s="1"/>
  <c r="ED48" i="1" s="1"/>
  <c r="EE48" i="1" s="1"/>
  <c r="EF48" i="1" s="1"/>
  <c r="EG48" i="1" s="1"/>
  <c r="EH48" i="1" s="1"/>
  <c r="EI48" i="1" s="1"/>
  <c r="EJ48" i="1" s="1"/>
  <c r="EK48" i="1" s="1"/>
  <c r="EL48" i="1" s="1"/>
  <c r="EM48" i="1" s="1"/>
  <c r="EN48" i="1" s="1"/>
  <c r="EO48" i="1" s="1"/>
  <c r="EP48" i="1" s="1"/>
  <c r="EQ48" i="1" s="1"/>
  <c r="ER48" i="1" s="1"/>
  <c r="ES48" i="1" s="1"/>
  <c r="ET48" i="1" s="1"/>
  <c r="EU48" i="1" s="1"/>
  <c r="EV48" i="1" s="1"/>
  <c r="EW48" i="1" s="1"/>
  <c r="EX48" i="1" s="1"/>
  <c r="EY48" i="1" s="1"/>
  <c r="EZ48" i="1" s="1"/>
  <c r="FA48" i="1" s="1"/>
  <c r="FB48" i="1" s="1"/>
  <c r="FC48" i="1" s="1"/>
  <c r="FD48" i="1" s="1"/>
  <c r="FE48" i="1" s="1"/>
  <c r="FF48" i="1" s="1"/>
  <c r="FG48" i="1" s="1"/>
  <c r="FH48" i="1" s="1"/>
  <c r="FI48" i="1" s="1"/>
  <c r="FJ48" i="1" s="1"/>
  <c r="FK48" i="1" s="1"/>
  <c r="FL48" i="1" s="1"/>
  <c r="FM48" i="1" s="1"/>
  <c r="FN48" i="1" s="1"/>
  <c r="FO48" i="1" s="1"/>
  <c r="FP48" i="1" s="1"/>
  <c r="FQ48" i="1" s="1"/>
  <c r="FR48" i="1" s="1"/>
  <c r="FS48" i="1" s="1"/>
  <c r="FT48" i="1" s="1"/>
  <c r="FU48" i="1" s="1"/>
  <c r="FV48" i="1" s="1"/>
  <c r="FW48" i="1" s="1"/>
  <c r="FX48" i="1" s="1"/>
  <c r="FY48" i="1" s="1"/>
  <c r="FZ48" i="1" s="1"/>
  <c r="GA48" i="1" s="1"/>
  <c r="GB48" i="1" s="1"/>
  <c r="GC48" i="1" s="1"/>
  <c r="GD48" i="1" s="1"/>
  <c r="GE48" i="1" s="1"/>
  <c r="GF48" i="1" s="1"/>
  <c r="GG48" i="1" s="1"/>
  <c r="GH48" i="1" s="1"/>
  <c r="GI48" i="1" s="1"/>
  <c r="GJ48" i="1" s="1"/>
  <c r="GK48" i="1" s="1"/>
  <c r="GL48" i="1" s="1"/>
  <c r="GM48" i="1" s="1"/>
  <c r="GN48" i="1" s="1"/>
  <c r="GO48" i="1" s="1"/>
  <c r="GP48" i="1" s="1"/>
  <c r="GQ48" i="1" s="1"/>
  <c r="GR48" i="1" s="1"/>
  <c r="GS48" i="1" s="1"/>
  <c r="GT48" i="1" s="1"/>
  <c r="GU48" i="1" s="1"/>
  <c r="GV48" i="1" s="1"/>
  <c r="GW48" i="1" s="1"/>
  <c r="GX48" i="1" s="1"/>
  <c r="GY48" i="1" s="1"/>
  <c r="GZ48" i="1" s="1"/>
  <c r="HA48" i="1" s="1"/>
  <c r="HB48" i="1" s="1"/>
  <c r="HC48" i="1" s="1"/>
  <c r="HD48" i="1" s="1"/>
  <c r="HE48" i="1" s="1"/>
  <c r="HF48" i="1" s="1"/>
  <c r="HG48" i="1" s="1"/>
  <c r="HH48" i="1" s="1"/>
  <c r="HI48" i="1" s="1"/>
  <c r="HJ48" i="1" s="1"/>
  <c r="HK48" i="1" s="1"/>
  <c r="HL48" i="1" s="1"/>
  <c r="HM48" i="1" s="1"/>
  <c r="HN48" i="1" s="1"/>
  <c r="HO48" i="1" s="1"/>
  <c r="HP48" i="1" s="1"/>
  <c r="HQ48" i="1" s="1"/>
  <c r="HR48" i="1" s="1"/>
  <c r="HS48" i="1" s="1"/>
  <c r="HT48" i="1" s="1"/>
  <c r="HU48" i="1" s="1"/>
  <c r="HV48" i="1" s="1"/>
  <c r="HW48" i="1" s="1"/>
  <c r="HX48" i="1" s="1"/>
  <c r="HY48" i="1" s="1"/>
  <c r="HZ48" i="1" s="1"/>
  <c r="IA48" i="1" s="1"/>
  <c r="IB48" i="1" s="1"/>
  <c r="IC48" i="1" s="1"/>
  <c r="ID48" i="1" s="1"/>
  <c r="IE48" i="1" s="1"/>
  <c r="IF48" i="1" s="1"/>
  <c r="IG48" i="1" s="1"/>
  <c r="IH48" i="1" s="1"/>
  <c r="II48" i="1" s="1"/>
  <c r="IJ48" i="1" s="1"/>
  <c r="IK48" i="1" s="1"/>
  <c r="IL48" i="1" s="1"/>
  <c r="IM48" i="1" s="1"/>
  <c r="IN48" i="1" s="1"/>
  <c r="IO48" i="1" s="1"/>
  <c r="IP48" i="1" s="1"/>
  <c r="IQ48" i="1" s="1"/>
  <c r="IR48" i="1" s="1"/>
  <c r="IS48" i="1" s="1"/>
  <c r="IT48" i="1" s="1"/>
  <c r="IU48" i="1" s="1"/>
  <c r="IV48" i="1" s="1"/>
  <c r="IW48" i="1" s="1"/>
  <c r="IX48" i="1" s="1"/>
  <c r="IY48" i="1" s="1"/>
  <c r="IZ48" i="1" s="1"/>
  <c r="JA48" i="1" s="1"/>
  <c r="JB48" i="1" s="1"/>
  <c r="JC48" i="1" s="1"/>
  <c r="JD48" i="1" s="1"/>
  <c r="JE48" i="1" s="1"/>
  <c r="JF48" i="1" s="1"/>
  <c r="JG48" i="1" s="1"/>
  <c r="JH48" i="1" s="1"/>
  <c r="JI48" i="1" s="1"/>
  <c r="JJ48" i="1" s="1"/>
  <c r="JK48" i="1" s="1"/>
  <c r="JL48" i="1" s="1"/>
  <c r="JM48" i="1" s="1"/>
  <c r="JN48" i="1" s="1"/>
  <c r="JO48" i="1" s="1"/>
  <c r="JP48" i="1" s="1"/>
  <c r="JQ48" i="1" s="1"/>
  <c r="JR48" i="1" s="1"/>
  <c r="JS48" i="1" s="1"/>
  <c r="JT48" i="1" s="1"/>
  <c r="JU48" i="1" s="1"/>
  <c r="JV48" i="1" s="1"/>
  <c r="JW48" i="1" s="1"/>
  <c r="JX48" i="1" s="1"/>
  <c r="JY48" i="1" s="1"/>
  <c r="JZ48" i="1" s="1"/>
  <c r="KA48" i="1" s="1"/>
  <c r="KB48" i="1" s="1"/>
  <c r="KC48" i="1" s="1"/>
  <c r="KD48" i="1" s="1"/>
  <c r="KE48" i="1" s="1"/>
  <c r="KF48" i="1" s="1"/>
  <c r="KG48" i="1" s="1"/>
  <c r="KH48" i="1" s="1"/>
  <c r="KI48" i="1" s="1"/>
  <c r="KJ48" i="1" s="1"/>
  <c r="KK48" i="1" s="1"/>
  <c r="KL48" i="1" s="1"/>
  <c r="KM48" i="1" s="1"/>
  <c r="KN48" i="1" s="1"/>
  <c r="KO48" i="1" s="1"/>
  <c r="KP48" i="1" s="1"/>
  <c r="KQ48" i="1" s="1"/>
  <c r="KR48" i="1" s="1"/>
  <c r="KS48" i="1" s="1"/>
  <c r="KT48" i="1" s="1"/>
  <c r="KU48" i="1" s="1"/>
  <c r="KV48" i="1" s="1"/>
  <c r="KW48" i="1" s="1"/>
  <c r="KX48" i="1" s="1"/>
  <c r="KY48" i="1" s="1"/>
  <c r="KZ48" i="1" s="1"/>
  <c r="LA48" i="1" s="1"/>
  <c r="LB48" i="1" s="1"/>
  <c r="LC48" i="1" s="1"/>
  <c r="LD48" i="1" s="1"/>
  <c r="LE48" i="1" s="1"/>
  <c r="LF48" i="1" s="1"/>
  <c r="LG48" i="1" s="1"/>
  <c r="LH48" i="1" s="1"/>
  <c r="LI48" i="1" s="1"/>
  <c r="LJ48" i="1" s="1"/>
  <c r="LK48" i="1" s="1"/>
  <c r="LL48" i="1" s="1"/>
  <c r="LM48" i="1" s="1"/>
  <c r="LN48" i="1" s="1"/>
  <c r="LO48" i="1" s="1"/>
  <c r="LP48" i="1" s="1"/>
  <c r="LQ48" i="1" s="1"/>
  <c r="LR48" i="1" s="1"/>
  <c r="LS48" i="1" s="1"/>
  <c r="LT48" i="1" s="1"/>
  <c r="LU48" i="1" s="1"/>
  <c r="LV48" i="1" s="1"/>
  <c r="LW48" i="1" s="1"/>
  <c r="LX48" i="1" s="1"/>
  <c r="LY48" i="1" s="1"/>
  <c r="LZ48" i="1" s="1"/>
  <c r="MA48" i="1" s="1"/>
  <c r="MB48" i="1" s="1"/>
  <c r="MC48" i="1" s="1"/>
  <c r="MD48" i="1" s="1"/>
  <c r="ME48" i="1" s="1"/>
  <c r="MF48" i="1" s="1"/>
  <c r="MG48" i="1" s="1"/>
  <c r="MH48" i="1" s="1"/>
  <c r="MI48" i="1" s="1"/>
  <c r="MJ48" i="1" s="1"/>
  <c r="MK48" i="1" s="1"/>
  <c r="ML48" i="1" s="1"/>
  <c r="MM48" i="1" s="1"/>
  <c r="MN48" i="1" s="1"/>
  <c r="MO48" i="1" s="1"/>
  <c r="MP48" i="1" s="1"/>
  <c r="MQ48" i="1" s="1"/>
  <c r="MR48" i="1" s="1"/>
  <c r="MS48" i="1" s="1"/>
  <c r="MT48" i="1" s="1"/>
  <c r="MU48" i="1" s="1"/>
  <c r="MV48" i="1" s="1"/>
  <c r="MW48" i="1" s="1"/>
  <c r="MX48" i="1" s="1"/>
  <c r="MY48" i="1" s="1"/>
  <c r="MZ48" i="1" s="1"/>
  <c r="NA48" i="1" s="1"/>
  <c r="NB48" i="1" s="1"/>
  <c r="NC48" i="1" s="1"/>
  <c r="ND48" i="1" s="1"/>
  <c r="NE48" i="1" s="1"/>
  <c r="NF48" i="1" s="1"/>
  <c r="NG48" i="1" s="1"/>
  <c r="NH48" i="1" s="1"/>
  <c r="NI48" i="1" s="1"/>
  <c r="NJ48" i="1" s="1"/>
  <c r="NK48" i="1" s="1"/>
  <c r="NL48" i="1" s="1"/>
  <c r="NM48" i="1" s="1"/>
  <c r="NN48" i="1" s="1"/>
  <c r="NO48" i="1" s="1"/>
  <c r="NP48" i="1" s="1"/>
  <c r="NQ48" i="1" s="1"/>
  <c r="NR48" i="1" s="1"/>
  <c r="NS48" i="1" s="1"/>
  <c r="NT48" i="1" s="1"/>
  <c r="NU48" i="1" s="1"/>
  <c r="NV48" i="1" s="1"/>
  <c r="NW48" i="1" s="1"/>
  <c r="NX48" i="1" s="1"/>
  <c r="NY48" i="1" s="1"/>
  <c r="NZ48" i="1" s="1"/>
  <c r="OA48" i="1" s="1"/>
  <c r="OB48" i="1" s="1"/>
  <c r="OC48" i="1" s="1"/>
  <c r="OD48" i="1" s="1"/>
  <c r="OE48" i="1" s="1"/>
  <c r="OF48" i="1" s="1"/>
  <c r="OG48" i="1" s="1"/>
  <c r="OH48" i="1" s="1"/>
  <c r="OI48" i="1" s="1"/>
  <c r="OJ48" i="1" s="1"/>
  <c r="OK48" i="1" s="1"/>
  <c r="OL48" i="1" s="1"/>
  <c r="OM48" i="1" s="1"/>
  <c r="ON48" i="1" s="1"/>
  <c r="OO48" i="1" s="1"/>
  <c r="OP48" i="1" s="1"/>
  <c r="OQ48" i="1" s="1"/>
  <c r="OR48" i="1" s="1"/>
  <c r="OS48" i="1" s="1"/>
  <c r="OT48" i="1" s="1"/>
  <c r="OU48" i="1" s="1"/>
  <c r="OV48" i="1" s="1"/>
  <c r="OW48" i="1" s="1"/>
  <c r="OX48" i="1" s="1"/>
  <c r="OY48" i="1" s="1"/>
  <c r="OZ48" i="1" s="1"/>
  <c r="PA48" i="1" s="1"/>
  <c r="PB48" i="1" s="1"/>
  <c r="PC48" i="1" s="1"/>
  <c r="PD48" i="1" s="1"/>
  <c r="PE48" i="1" s="1"/>
  <c r="PF48" i="1" s="1"/>
  <c r="PG48" i="1" s="1"/>
  <c r="PH48" i="1" s="1"/>
  <c r="PI48" i="1" s="1"/>
  <c r="PJ48" i="1" s="1"/>
  <c r="PK48" i="1" s="1"/>
  <c r="PL48" i="1" s="1"/>
  <c r="PM48" i="1" s="1"/>
  <c r="PN48" i="1" s="1"/>
  <c r="PO48" i="1" s="1"/>
  <c r="PP48" i="1" s="1"/>
  <c r="PQ48" i="1" s="1"/>
  <c r="PR48" i="1" s="1"/>
  <c r="PS48" i="1" s="1"/>
  <c r="PT48" i="1" s="1"/>
  <c r="PU48" i="1" s="1"/>
  <c r="PV48" i="1" s="1"/>
  <c r="PW48" i="1" s="1"/>
  <c r="PX48" i="1" s="1"/>
  <c r="PY48" i="1" s="1"/>
  <c r="PZ48" i="1" s="1"/>
  <c r="QA48" i="1" s="1"/>
  <c r="QB48" i="1" s="1"/>
  <c r="QC48" i="1" s="1"/>
  <c r="QD48" i="1" s="1"/>
  <c r="QE48" i="1" s="1"/>
  <c r="QF48" i="1" s="1"/>
  <c r="QG48" i="1" s="1"/>
  <c r="QH48" i="1" s="1"/>
  <c r="QI48" i="1" s="1"/>
  <c r="QJ48" i="1" s="1"/>
  <c r="QK48" i="1" s="1"/>
  <c r="QL48" i="1" s="1"/>
  <c r="QM48" i="1" s="1"/>
  <c r="QN48" i="1" s="1"/>
  <c r="QO48" i="1" s="1"/>
  <c r="QP48" i="1" s="1"/>
  <c r="QQ48" i="1" s="1"/>
  <c r="QR48" i="1" s="1"/>
  <c r="QS48" i="1" s="1"/>
  <c r="QT48" i="1" s="1"/>
  <c r="QU48" i="1" s="1"/>
  <c r="QV48" i="1" s="1"/>
  <c r="QW48" i="1" s="1"/>
  <c r="QX48" i="1" s="1"/>
  <c r="QY48" i="1" s="1"/>
  <c r="QZ48" i="1" s="1"/>
  <c r="RA48" i="1" s="1"/>
  <c r="RB48" i="1" s="1"/>
  <c r="RC48" i="1" s="1"/>
  <c r="RD48" i="1" s="1"/>
  <c r="RE48" i="1" s="1"/>
  <c r="RF48" i="1" s="1"/>
  <c r="RG48" i="1" s="1"/>
  <c r="RH48" i="1" s="1"/>
  <c r="RI48" i="1" s="1"/>
  <c r="RJ48" i="1" s="1"/>
  <c r="RK48" i="1" s="1"/>
  <c r="RL48" i="1" s="1"/>
  <c r="RM48" i="1" s="1"/>
  <c r="RN48" i="1" s="1"/>
  <c r="RO48" i="1" s="1"/>
  <c r="RP48" i="1" s="1"/>
  <c r="RQ48" i="1" s="1"/>
  <c r="RR48" i="1" s="1"/>
  <c r="RS48" i="1" s="1"/>
  <c r="RT48" i="1" s="1"/>
  <c r="RU48" i="1" s="1"/>
  <c r="RV48" i="1" s="1"/>
  <c r="RW48" i="1" s="1"/>
  <c r="RX48" i="1" s="1"/>
  <c r="RY48" i="1" s="1"/>
  <c r="RZ48" i="1" s="1"/>
  <c r="SA48" i="1" s="1"/>
  <c r="SB48" i="1" s="1"/>
  <c r="SC48" i="1" s="1"/>
  <c r="SD48" i="1" s="1"/>
  <c r="SE48" i="1" s="1"/>
  <c r="SF48" i="1" s="1"/>
  <c r="SG48" i="1" s="1"/>
  <c r="SH48" i="1" s="1"/>
  <c r="SI48" i="1" s="1"/>
  <c r="SJ48" i="1" s="1"/>
  <c r="SK48" i="1" s="1"/>
  <c r="SL48" i="1" s="1"/>
  <c r="SM48" i="1" s="1"/>
  <c r="SN48" i="1" s="1"/>
  <c r="SO48" i="1" s="1"/>
  <c r="SP48" i="1" s="1"/>
  <c r="SQ48" i="1" s="1"/>
  <c r="SR48" i="1" s="1"/>
  <c r="SS48" i="1" s="1"/>
  <c r="ST48" i="1" s="1"/>
  <c r="SU48" i="1" s="1"/>
  <c r="SV48" i="1" s="1"/>
  <c r="SW48" i="1" s="1"/>
  <c r="SX48" i="1" s="1"/>
  <c r="SY48" i="1" s="1"/>
  <c r="SZ48" i="1" s="1"/>
  <c r="TA48" i="1" s="1"/>
  <c r="TB48" i="1" s="1"/>
  <c r="TC48" i="1" s="1"/>
  <c r="TD48" i="1" s="1"/>
  <c r="TE48" i="1" s="1"/>
  <c r="TF48" i="1" s="1"/>
  <c r="TG48" i="1" s="1"/>
  <c r="TH48" i="1" s="1"/>
  <c r="TI48" i="1" s="1"/>
  <c r="TJ48" i="1" s="1"/>
  <c r="TK48" i="1" s="1"/>
  <c r="TL48" i="1" s="1"/>
  <c r="TM48" i="1" s="1"/>
  <c r="TN48" i="1" s="1"/>
  <c r="TO48" i="1" s="1"/>
  <c r="TP48" i="1" s="1"/>
  <c r="TQ48" i="1" s="1"/>
  <c r="TR48" i="1" s="1"/>
  <c r="TS48" i="1" s="1"/>
  <c r="TT48" i="1" s="1"/>
  <c r="TU48" i="1" s="1"/>
  <c r="TV48" i="1" s="1"/>
  <c r="TW48" i="1" s="1"/>
  <c r="TX48" i="1" s="1"/>
  <c r="TY48" i="1" s="1"/>
  <c r="TZ48" i="1" s="1"/>
  <c r="UA48" i="1" s="1"/>
  <c r="UB48" i="1" s="1"/>
  <c r="UC48" i="1" s="1"/>
  <c r="UD48" i="1" s="1"/>
  <c r="UE48" i="1" s="1"/>
  <c r="UF48" i="1" s="1"/>
  <c r="UG48" i="1" s="1"/>
  <c r="UH48" i="1" s="1"/>
  <c r="UI48" i="1" s="1"/>
  <c r="UJ48" i="1" s="1"/>
  <c r="UK48" i="1" s="1"/>
  <c r="UL48" i="1" s="1"/>
  <c r="UM48" i="1" s="1"/>
  <c r="UN48" i="1" s="1"/>
  <c r="UO48" i="1" s="1"/>
  <c r="UP48" i="1" s="1"/>
  <c r="UQ48" i="1" s="1"/>
  <c r="UR48" i="1" s="1"/>
  <c r="US48" i="1" s="1"/>
  <c r="UT48" i="1" s="1"/>
  <c r="UU48" i="1" s="1"/>
  <c r="UV48" i="1" s="1"/>
  <c r="UW48" i="1" s="1"/>
  <c r="UX48" i="1" s="1"/>
  <c r="UY48" i="1" s="1"/>
  <c r="UZ48" i="1" s="1"/>
  <c r="VA48" i="1" s="1"/>
  <c r="VB48" i="1" s="1"/>
  <c r="VC48" i="1" s="1"/>
  <c r="VD48" i="1" s="1"/>
  <c r="VE48" i="1" s="1"/>
  <c r="VF48" i="1" s="1"/>
  <c r="VG48" i="1" s="1"/>
  <c r="VH48" i="1" s="1"/>
  <c r="VI48" i="1" s="1"/>
  <c r="VJ48" i="1" s="1"/>
  <c r="VK48" i="1" s="1"/>
  <c r="VL48" i="1" s="1"/>
  <c r="VM48" i="1" s="1"/>
  <c r="VN48" i="1" s="1"/>
  <c r="VO48" i="1" s="1"/>
  <c r="VP48" i="1" s="1"/>
  <c r="VQ48" i="1" s="1"/>
  <c r="VR48" i="1" s="1"/>
  <c r="VS48" i="1" s="1"/>
  <c r="VT48" i="1" s="1"/>
  <c r="VU48" i="1" s="1"/>
  <c r="VV48" i="1" s="1"/>
  <c r="VW48" i="1" s="1"/>
  <c r="VX48" i="1" s="1"/>
  <c r="VY48" i="1" s="1"/>
  <c r="VZ48" i="1" s="1"/>
  <c r="WA48" i="1" s="1"/>
  <c r="WB48" i="1" s="1"/>
  <c r="WC48" i="1" s="1"/>
  <c r="WD48" i="1" s="1"/>
  <c r="WE48" i="1" s="1"/>
  <c r="WF48" i="1" s="1"/>
  <c r="WG48" i="1" s="1"/>
  <c r="WH48" i="1" s="1"/>
  <c r="WI48" i="1" s="1"/>
  <c r="WJ48" i="1" s="1"/>
  <c r="WK48" i="1" s="1"/>
  <c r="WL48" i="1" s="1"/>
  <c r="WM48" i="1" s="1"/>
  <c r="WN48" i="1" s="1"/>
  <c r="WO48" i="1" s="1"/>
  <c r="WP48" i="1" s="1"/>
  <c r="WQ48" i="1" s="1"/>
  <c r="WR48" i="1" s="1"/>
  <c r="WS48" i="1" s="1"/>
  <c r="WT48" i="1" s="1"/>
  <c r="WU48" i="1" s="1"/>
  <c r="WV48" i="1" s="1"/>
  <c r="WW48" i="1" s="1"/>
  <c r="WX48" i="1" s="1"/>
  <c r="WY48" i="1" s="1"/>
  <c r="WZ48" i="1" s="1"/>
  <c r="XA48" i="1" s="1"/>
  <c r="XB48" i="1" s="1"/>
  <c r="XC48" i="1" s="1"/>
  <c r="XD48" i="1" s="1"/>
  <c r="XE48" i="1" s="1"/>
  <c r="XF48" i="1" s="1"/>
  <c r="XG48" i="1" s="1"/>
  <c r="XH48" i="1" s="1"/>
  <c r="XI48" i="1" s="1"/>
  <c r="XJ48" i="1" s="1"/>
  <c r="XK48" i="1" s="1"/>
  <c r="XL48" i="1" s="1"/>
  <c r="XM48" i="1" s="1"/>
  <c r="XN48" i="1" s="1"/>
  <c r="XO48" i="1" s="1"/>
  <c r="XP48" i="1" s="1"/>
  <c r="XQ48" i="1" s="1"/>
  <c r="XR48" i="1" s="1"/>
  <c r="XS48" i="1" s="1"/>
  <c r="XT48" i="1" s="1"/>
  <c r="XU48" i="1" s="1"/>
  <c r="XV48" i="1" s="1"/>
  <c r="XW48" i="1" s="1"/>
  <c r="AU52" i="1" s="1"/>
  <c r="AU54" i="1" s="1"/>
  <c r="AU56" i="1" s="1"/>
  <c r="AQ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B49" authorId="0" shapeId="0" xr:uid="{E052ED59-DCAC-4279-9BB4-95AE08A088BB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Each ADS represents eight ordinary shares.</t>
        </r>
      </text>
    </comment>
    <comment ref="P71" authorId="0" shapeId="0" xr:uid="{47D3FBD2-2F24-49F2-BDA2-9751533E26BA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The decrease in number of employees was mainly the result of sale and deconsolidation of Sun Art, partly
offset by new hires.</t>
        </r>
      </text>
    </comment>
  </commentList>
</comments>
</file>

<file path=xl/sharedStrings.xml><?xml version="1.0" encoding="utf-8"?>
<sst xmlns="http://schemas.openxmlformats.org/spreadsheetml/2006/main" count="165" uniqueCount="153">
  <si>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</si>
  <si>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</si>
  <si>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</si>
  <si>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</si>
  <si>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</si>
  <si>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</si>
  <si>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</si>
  <si>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</si>
  <si>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</si>
  <si>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</si>
  <si>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</si>
  <si>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</si>
  <si>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</si>
  <si>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</si>
  <si>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</si>
  <si>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</si>
  <si>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</si>
  <si>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</si>
  <si>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</si>
  <si>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</si>
  <si>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</si>
  <si>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Revenue</t>
  </si>
  <si>
    <t>COGS</t>
  </si>
  <si>
    <t>Gross Profit</t>
  </si>
  <si>
    <t>R&amp;D</t>
  </si>
  <si>
    <t>S&amp;M</t>
  </si>
  <si>
    <t>G&amp;A</t>
  </si>
  <si>
    <t>Amortization and impairment of intangible assets</t>
  </si>
  <si>
    <t>Impairment of Goodwlill</t>
  </si>
  <si>
    <t>Other</t>
  </si>
  <si>
    <t>Operating Expenses</t>
  </si>
  <si>
    <t>Operating Profit</t>
  </si>
  <si>
    <t>Interest Income</t>
  </si>
  <si>
    <t>Pretax Income</t>
  </si>
  <si>
    <t>Taxes</t>
  </si>
  <si>
    <t>Net Income</t>
  </si>
  <si>
    <t>S/O</t>
  </si>
  <si>
    <t>EPS</t>
  </si>
  <si>
    <t>Cash and equivalents</t>
  </si>
  <si>
    <t>Short-term investment</t>
  </si>
  <si>
    <t>Restricted cash</t>
  </si>
  <si>
    <t>Equity securities and other inv.</t>
  </si>
  <si>
    <t>Prepayments, receivables and other</t>
  </si>
  <si>
    <t>Non-current prepayments, receivables and other</t>
  </si>
  <si>
    <t>Non-current equity securities and other inv.</t>
  </si>
  <si>
    <t>Investment in equity method investees</t>
  </si>
  <si>
    <t>PP&amp;E</t>
  </si>
  <si>
    <t>Intangible assets</t>
  </si>
  <si>
    <t>Goodwill</t>
  </si>
  <si>
    <t>Total Assets</t>
  </si>
  <si>
    <t>Current bank borrowings</t>
  </si>
  <si>
    <t>Current unsecured senior notes</t>
  </si>
  <si>
    <t>Income tax payable</t>
  </si>
  <si>
    <t>Accrued expenses, A/P and other</t>
  </si>
  <si>
    <t>Merchant deposits</t>
  </si>
  <si>
    <t>Deferred revenue</t>
  </si>
  <si>
    <t>Non-current deferred revenue</t>
  </si>
  <si>
    <t>Deferred tax liabilities</t>
  </si>
  <si>
    <t>Non-current bank borrowings</t>
  </si>
  <si>
    <t>Non-current unsecured senior notes</t>
  </si>
  <si>
    <t>Non-current convertible unsecured senior notes</t>
  </si>
  <si>
    <t>Other liabilities</t>
  </si>
  <si>
    <t>Total Liabilities</t>
  </si>
  <si>
    <t>SE</t>
  </si>
  <si>
    <t>L+SE</t>
  </si>
  <si>
    <t>Net Cash</t>
  </si>
  <si>
    <t>CFFO</t>
  </si>
  <si>
    <t>CFFI</t>
  </si>
  <si>
    <t>CFFF</t>
  </si>
  <si>
    <t>FX adj</t>
  </si>
  <si>
    <t>CF</t>
  </si>
  <si>
    <t>BOP Cash</t>
  </si>
  <si>
    <t>EOP Cash</t>
  </si>
  <si>
    <t>Adjusted EBITDA</t>
  </si>
  <si>
    <t>Adjusted EBITA</t>
  </si>
  <si>
    <t>Taobao and Tmall Group:</t>
  </si>
  <si>
    <t>Customer management</t>
  </si>
  <si>
    <t>Direct sales and other</t>
  </si>
  <si>
    <t>China commerce wholesale</t>
  </si>
  <si>
    <t>Alibaba international Digital Commerce Group:</t>
  </si>
  <si>
    <t>International commerce retail</t>
  </si>
  <si>
    <t>Inernational commerce wholesale</t>
  </si>
  <si>
    <t>Cainiano Smart Logistics Network Limited</t>
  </si>
  <si>
    <t>Cloud Intelligence Group</t>
  </si>
  <si>
    <t>Local Services Group</t>
  </si>
  <si>
    <t>Dugutal Media and Entertainment Group</t>
  </si>
  <si>
    <t>All others</t>
  </si>
  <si>
    <t>Unallocated</t>
  </si>
  <si>
    <t>Inter-segment elimination</t>
  </si>
  <si>
    <t>Total Revenue</t>
  </si>
  <si>
    <t>Non-cash share based compensation</t>
  </si>
  <si>
    <t>Amortization and impairment of intangible assets and others</t>
  </si>
  <si>
    <t>Operating profit</t>
  </si>
  <si>
    <t>Impairment of goodwill</t>
  </si>
  <si>
    <t>Provision of lawsuits</t>
  </si>
  <si>
    <t>Depreciation</t>
  </si>
  <si>
    <t>Non-GAAP net income</t>
  </si>
  <si>
    <t>FCF</t>
  </si>
  <si>
    <t>CapEx</t>
  </si>
  <si>
    <t>Changes in the buyer protection fund deposits</t>
  </si>
  <si>
    <t>Employees</t>
  </si>
  <si>
    <t>Purchase of Intangible assets</t>
  </si>
  <si>
    <t>Taobao and Tmall Group, which includes Taobao, Tmall, Xianyu, 1688.com and other businesses;</t>
  </si>
  <si>
    <t>Alibaba International Digital Commerce Group, which includes Lazada, AliExpress, Trendyol, Alibaba.com and other businesses;</t>
  </si>
  <si>
    <t>Local Services Group, which mainly includes the “To-Home” business of Ele.me and the “ToDestination” business of Amap;</t>
  </si>
  <si>
    <t>Cainiao Smart Logistics Network Limited;</t>
  </si>
  <si>
    <t>Cloud Intelligence Group, which includes Alibaba Cloud, DingTalk and other businesses;</t>
  </si>
  <si>
    <t xml:space="preserve">Digital Media and Entertainment Group, which includes Youku, Damai and Alibaba Pictures. </t>
  </si>
  <si>
    <t>Other businesses include Sun Art, Freshippo, Alibaba Health, Lingxi Games, Intime, Intelligent Information Platform (which mainly consists of UCWeb and Quark businesses), Fliggy and other businesses.</t>
  </si>
  <si>
    <t>Q322</t>
  </si>
  <si>
    <t>Q422</t>
  </si>
  <si>
    <t>Q122</t>
  </si>
  <si>
    <t>Q222</t>
  </si>
  <si>
    <t>Q421</t>
  </si>
  <si>
    <t>Gross Margin</t>
  </si>
  <si>
    <t>Operating Margin</t>
  </si>
  <si>
    <t>Net Margin</t>
  </si>
  <si>
    <t>Tax Margin</t>
  </si>
  <si>
    <t>R&amp;D Margin</t>
  </si>
  <si>
    <t>S&amp;M Margin</t>
  </si>
  <si>
    <t>G&amp;A Margin</t>
  </si>
  <si>
    <t>Interest Margin</t>
  </si>
  <si>
    <t>Revenue y/y</t>
  </si>
  <si>
    <t>EPS y/y</t>
  </si>
  <si>
    <t>Cloud Y/Y</t>
  </si>
  <si>
    <t>Maturity</t>
  </si>
  <si>
    <t>Discount</t>
  </si>
  <si>
    <t>NPV</t>
  </si>
  <si>
    <t>Share</t>
  </si>
  <si>
    <t>Current</t>
  </si>
  <si>
    <t>Return</t>
  </si>
  <si>
    <t>Revenue per employee</t>
  </si>
  <si>
    <t>Employee Y/Y</t>
  </si>
  <si>
    <t>Taobao Y/Y</t>
  </si>
  <si>
    <t>Alibaba Y/Y</t>
  </si>
  <si>
    <t>Cainiao Y/Y</t>
  </si>
  <si>
    <t>Local Serv. Y/Y</t>
  </si>
  <si>
    <t>Digital Med. Y/Y</t>
  </si>
  <si>
    <t>% of Revenue</t>
  </si>
  <si>
    <t>Cloud</t>
  </si>
  <si>
    <t>Taobao</t>
  </si>
  <si>
    <t>Alibaba</t>
  </si>
  <si>
    <t>Cainiao</t>
  </si>
  <si>
    <t>Local Serv.</t>
  </si>
  <si>
    <t>Digital Med.</t>
  </si>
  <si>
    <t>Revenue to S&amp;M</t>
  </si>
  <si>
    <t>P</t>
  </si>
  <si>
    <t>MC</t>
  </si>
  <si>
    <t>C</t>
  </si>
  <si>
    <t>D</t>
  </si>
  <si>
    <t>EV</t>
  </si>
  <si>
    <t>Q4FY25</t>
  </si>
  <si>
    <t>Q1FY26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</si>
</sst>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ck">
        <color rgb="FF00F2B3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1"/>
    <xf numFmtId="0" fontId="2" fillId="0" borderId="0" xfId="0" applyFont="1"/>
    <xf numFmtId="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0" fontId="0" fillId="2" borderId="0" xfId="0" applyFill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4" fontId="2" fillId="0" borderId="0" xfId="0" applyNumberFormat="1" applyFont="1"/>
    <xf numFmtId="9" fontId="0" fillId="0" borderId="0" xfId="0" applyNumberFormat="1"/>
    <xf numFmtId="164" fontId="2" fillId="0" borderId="0" xfId="0" applyNumberFormat="1" applyFont="1"/>
    <xf numFmtId="3" fontId="0" fillId="0" borderId="1" xfId="0" applyNumberForma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2" fontId="0" fillId="0" borderId="0" xfId="0" applyNumberFormat="1"/>
    <xf numFmtId="2" fontId="0" fillId="0" borderId="1" xfId="0" applyNumberFormat="1" applyBorder="1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0" fontId="0" fillId="0" borderId="0" xfId="0" applyBorder="1"/>
    <xf numFmtId="3" fontId="0" fillId="0" borderId="0" xfId="0" applyNumberFormat="1" applyBorder="1"/>
    <xf numFmtId="164" fontId="0" fillId="0" borderId="0" xfId="0" applyNumberFormat="1" applyBorder="1"/>
    <xf numFmtId="3" fontId="2" fillId="0" borderId="0" xfId="0" applyNumberFormat="1" applyFont="1" applyBorder="1"/>
    <xf numFmtId="4" fontId="0" fillId="0" borderId="0" xfId="0" applyNumberFormat="1" applyBorder="1"/>
    <xf numFmtId="2" fontId="0" fillId="0" borderId="0" xfId="0" applyNumberFormat="1" applyBorder="1"/>
    <xf numFmtId="3" fontId="0" fillId="0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Inv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9DF6-51C8-4BC4-8668-FFE55BBBA2C7}">
  <dimension ref="H5:N29"/>
  <sheetViews>
    <sheetView topLeftCell="A3" workbookViewId="0">
      <selection activeCell="I11" sqref="I11"/>
    </sheetView>
  </sheetViews>
  <sheetFormatPr defaultRowHeight="14.4" x14ac:dyDescent="0.3"/>
  <cols>
    <col min="13" max="13" width="19.44140625" bestFit="1" customWidth="1"/>
  </cols>
  <sheetData>
    <row r="5" spans="8:14" x14ac:dyDescent="0.3">
      <c r="M5" s="18"/>
      <c r="N5" s="18"/>
    </row>
    <row r="6" spans="8:14" x14ac:dyDescent="0.3">
      <c r="H6" t="s">
        <v>146</v>
      </c>
      <c r="I6">
        <v>135</v>
      </c>
      <c r="J6" t="s">
        <v>152</v>
      </c>
      <c r="M6" s="18"/>
      <c r="N6" s="19"/>
    </row>
    <row r="7" spans="8:14" x14ac:dyDescent="0.3">
      <c r="H7" t="s">
        <v>36</v>
      </c>
      <c r="I7" s="4">
        <f>+Model!Q49</f>
        <v>2284.1698841698844</v>
      </c>
      <c r="M7" s="18"/>
      <c r="N7" s="19"/>
    </row>
    <row r="8" spans="8:14" x14ac:dyDescent="0.3">
      <c r="H8" t="s">
        <v>147</v>
      </c>
      <c r="I8" s="4">
        <f>+I6*I7</f>
        <v>308362.93436293438</v>
      </c>
      <c r="M8" s="18"/>
      <c r="N8" s="20"/>
    </row>
    <row r="9" spans="8:14" x14ac:dyDescent="0.3">
      <c r="H9" t="s">
        <v>148</v>
      </c>
      <c r="I9" s="4">
        <f>Model!Q97+Model!Q98</f>
        <v>52329</v>
      </c>
      <c r="J9" t="s">
        <v>152</v>
      </c>
      <c r="M9" s="18"/>
      <c r="N9" s="18"/>
    </row>
    <row r="10" spans="8:14" x14ac:dyDescent="0.3">
      <c r="H10" t="s">
        <v>149</v>
      </c>
      <c r="I10" s="4">
        <f>+Model!Q109+Model!Q110+Model!Q119+Model!Q118+Model!Q117</f>
        <v>32400</v>
      </c>
      <c r="J10" t="s">
        <v>152</v>
      </c>
      <c r="M10" s="18"/>
      <c r="N10" s="18"/>
    </row>
    <row r="11" spans="8:14" x14ac:dyDescent="0.3">
      <c r="I11" s="4"/>
      <c r="M11" s="18"/>
      <c r="N11" s="20"/>
    </row>
    <row r="12" spans="8:14" x14ac:dyDescent="0.3">
      <c r="H12" t="s">
        <v>150</v>
      </c>
      <c r="I12" s="4">
        <f>+I8-I9+I10</f>
        <v>288433.93436293438</v>
      </c>
      <c r="M12" s="18"/>
      <c r="N12" s="4"/>
    </row>
    <row r="13" spans="8:14" x14ac:dyDescent="0.3">
      <c r="M13" s="18"/>
      <c r="N13" s="18"/>
    </row>
    <row r="14" spans="8:14" x14ac:dyDescent="0.3">
      <c r="M14" s="18"/>
      <c r="N14" s="20"/>
    </row>
    <row r="15" spans="8:14" x14ac:dyDescent="0.3">
      <c r="M15" s="18"/>
      <c r="N15" s="21"/>
    </row>
    <row r="16" spans="8:14" x14ac:dyDescent="0.3">
      <c r="M16" s="18"/>
      <c r="N16" s="18"/>
    </row>
    <row r="17" spans="13:14" x14ac:dyDescent="0.3">
      <c r="M17" s="18"/>
      <c r="N17" s="20"/>
    </row>
    <row r="18" spans="13:14" x14ac:dyDescent="0.3">
      <c r="M18" s="18"/>
      <c r="N18" s="19"/>
    </row>
    <row r="19" spans="13:14" x14ac:dyDescent="0.3">
      <c r="M19" s="18"/>
      <c r="N19" s="18"/>
    </row>
    <row r="20" spans="13:14" x14ac:dyDescent="0.3">
      <c r="M20" s="18"/>
      <c r="N20" s="20"/>
    </row>
    <row r="21" spans="13:14" x14ac:dyDescent="0.3">
      <c r="M21" s="18"/>
      <c r="N21" s="18"/>
    </row>
    <row r="22" spans="13:14" x14ac:dyDescent="0.3">
      <c r="M22" s="18"/>
      <c r="N22" s="18"/>
    </row>
    <row r="23" spans="13:14" x14ac:dyDescent="0.3">
      <c r="M23" s="18"/>
      <c r="N23" s="20"/>
    </row>
    <row r="24" spans="13:14" x14ac:dyDescent="0.3">
      <c r="M24" s="18"/>
      <c r="N24" s="19"/>
    </row>
    <row r="25" spans="13:14" x14ac:dyDescent="0.3">
      <c r="M25" s="18"/>
      <c r="N25" s="18"/>
    </row>
    <row r="26" spans="13:14" x14ac:dyDescent="0.3">
      <c r="M26" s="18"/>
      <c r="N26" s="20"/>
    </row>
    <row r="27" spans="13:14" x14ac:dyDescent="0.3">
      <c r="M27" s="18"/>
      <c r="N27" s="18"/>
    </row>
    <row r="28" spans="13:14" x14ac:dyDescent="0.3">
      <c r="M28" s="18"/>
      <c r="N28" s="18"/>
    </row>
    <row r="29" spans="13:14" x14ac:dyDescent="0.3">
      <c r="M29" s="18"/>
      <c r="N29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W139"/>
  <sheetViews>
    <sheetView tabSelected="1" zoomScale="73" zoomScaleNormal="13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V8" sqref="V8"/>
    </sheetView>
  </sheetViews>
  <sheetFormatPr defaultRowHeight="14.4" x14ac:dyDescent="0.3"/>
  <cols>
    <col min="47" max="47" width="8.109375" customWidth="1"/>
  </cols>
  <sheetData>
    <row r="1" spans="1:55" x14ac:dyDescent="0.3">
      <c r="A1" s="1" t="s">
        <v>0</v>
      </c>
      <c r="P1" s="22" t="s">
        <v>151</v>
      </c>
    </row>
    <row r="2" spans="1:55" x14ac:dyDescent="0.3">
      <c r="C2" t="s">
        <v>113</v>
      </c>
      <c r="D2" t="s">
        <v>111</v>
      </c>
      <c r="E2" t="s">
        <v>112</v>
      </c>
      <c r="F2" t="s">
        <v>109</v>
      </c>
      <c r="G2" t="s">
        <v>110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s="2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E2">
        <v>2022</v>
      </c>
      <c r="AF2">
        <v>2023</v>
      </c>
      <c r="AG2" s="7">
        <v>2024</v>
      </c>
      <c r="AH2">
        <v>2025</v>
      </c>
      <c r="AI2">
        <v>2026</v>
      </c>
      <c r="AJ2">
        <v>2027</v>
      </c>
      <c r="AK2">
        <v>2028</v>
      </c>
      <c r="AL2">
        <v>2029</v>
      </c>
      <c r="AM2">
        <v>2030</v>
      </c>
      <c r="AN2">
        <v>2031</v>
      </c>
      <c r="AO2">
        <v>2032</v>
      </c>
      <c r="AP2">
        <v>2033</v>
      </c>
      <c r="AQ2">
        <v>2034</v>
      </c>
      <c r="AR2">
        <v>2035</v>
      </c>
      <c r="AS2">
        <v>2036</v>
      </c>
      <c r="AT2">
        <v>2037</v>
      </c>
      <c r="AU2">
        <v>2038</v>
      </c>
      <c r="AV2">
        <v>2039</v>
      </c>
      <c r="AW2">
        <v>2040</v>
      </c>
      <c r="AX2">
        <v>2041</v>
      </c>
      <c r="AY2">
        <v>2042</v>
      </c>
      <c r="AZ2">
        <v>2043</v>
      </c>
      <c r="BA2">
        <v>2044</v>
      </c>
      <c r="BB2">
        <v>2045</v>
      </c>
      <c r="BC2">
        <v>2046</v>
      </c>
    </row>
    <row r="3" spans="1:55" x14ac:dyDescent="0.3">
      <c r="A3" s="6" t="s">
        <v>102</v>
      </c>
      <c r="B3" t="s">
        <v>76</v>
      </c>
      <c r="D3" s="4">
        <v>10004</v>
      </c>
      <c r="E3" s="4">
        <v>10789</v>
      </c>
      <c r="F3" s="4">
        <v>9348</v>
      </c>
      <c r="G3" s="4">
        <v>13244</v>
      </c>
      <c r="H3" s="4">
        <v>8777</v>
      </c>
      <c r="I3" s="4">
        <v>10986</v>
      </c>
      <c r="J3" s="4">
        <v>9411</v>
      </c>
      <c r="K3" s="4">
        <v>12974</v>
      </c>
      <c r="L3" s="4">
        <v>8805</v>
      </c>
      <c r="M3" s="4">
        <v>11024</v>
      </c>
      <c r="N3" s="4">
        <v>10027</v>
      </c>
      <c r="O3" s="4">
        <v>13808</v>
      </c>
      <c r="P3" s="23">
        <v>9794</v>
      </c>
      <c r="Q3" s="28">
        <v>12459</v>
      </c>
      <c r="AE3" s="4">
        <f>SUM(D3:G3)</f>
        <v>43385</v>
      </c>
      <c r="AF3" s="4">
        <f>SUM(H3:K3)</f>
        <v>42148</v>
      </c>
      <c r="AG3" s="13">
        <f>SUM(L3:O3)</f>
        <v>43664</v>
      </c>
      <c r="AH3" s="4">
        <f>SUM(P3:S3)</f>
        <v>22253</v>
      </c>
      <c r="AI3">
        <f>SUM(T3:W3)</f>
        <v>0</v>
      </c>
      <c r="AJ3">
        <f>SUM(X3:AA3)</f>
        <v>0</v>
      </c>
    </row>
    <row r="4" spans="1:55" x14ac:dyDescent="0.3">
      <c r="B4" t="s">
        <v>77</v>
      </c>
      <c r="D4" s="4">
        <v>11441</v>
      </c>
      <c r="E4" s="4">
        <v>9661</v>
      </c>
      <c r="F4" s="4">
        <v>9099</v>
      </c>
      <c r="G4" s="4">
        <v>10790</v>
      </c>
      <c r="H4" s="4">
        <v>10453</v>
      </c>
      <c r="I4" s="4">
        <v>4160</v>
      </c>
      <c r="J4" s="4">
        <v>3276</v>
      </c>
      <c r="K4" s="4">
        <v>4458</v>
      </c>
      <c r="L4" s="4">
        <v>3419</v>
      </c>
      <c r="M4" s="4">
        <v>3758</v>
      </c>
      <c r="N4" s="4">
        <v>3227</v>
      </c>
      <c r="O4" s="4">
        <v>3935</v>
      </c>
      <c r="P4" s="23">
        <v>3377</v>
      </c>
      <c r="Q4" s="28">
        <v>4093</v>
      </c>
      <c r="AE4" s="4">
        <f t="shared" ref="AE4:AE15" si="0">SUM(D4:G4)</f>
        <v>40991</v>
      </c>
      <c r="AF4" s="4">
        <f t="shared" ref="AF4:AF15" si="1">SUM(H4:K4)</f>
        <v>22347</v>
      </c>
      <c r="AG4" s="13">
        <f t="shared" ref="AG4:AG15" si="2">SUM(L4:O4)</f>
        <v>14339</v>
      </c>
      <c r="AH4" s="4">
        <f t="shared" ref="AH4:AH15" si="3">SUM(P4:S4)</f>
        <v>7470</v>
      </c>
      <c r="AI4">
        <f t="shared" ref="AI4:AI15" si="4">SUM(T4:W4)</f>
        <v>0</v>
      </c>
      <c r="AJ4">
        <f t="shared" ref="AJ4:AJ15" si="5">SUM(X4:AA4)</f>
        <v>0</v>
      </c>
    </row>
    <row r="5" spans="1:55" x14ac:dyDescent="0.3">
      <c r="B5" t="s">
        <v>78</v>
      </c>
      <c r="D5" s="4">
        <v>692</v>
      </c>
      <c r="E5" s="4">
        <v>740</v>
      </c>
      <c r="F5" s="4">
        <v>592</v>
      </c>
      <c r="G5" s="4">
        <v>612</v>
      </c>
      <c r="H5" s="4">
        <v>584</v>
      </c>
      <c r="I5" s="4">
        <v>707</v>
      </c>
      <c r="J5" s="4">
        <v>698</v>
      </c>
      <c r="K5" s="4">
        <v>747</v>
      </c>
      <c r="L5" s="4">
        <v>686</v>
      </c>
      <c r="M5" s="4">
        <v>819</v>
      </c>
      <c r="N5" s="4">
        <v>853</v>
      </c>
      <c r="O5" s="4">
        <v>901</v>
      </c>
      <c r="P5" s="23">
        <v>798</v>
      </c>
      <c r="Q5" s="28">
        <f>937+2064</f>
        <v>3001</v>
      </c>
      <c r="AE5" s="4">
        <f t="shared" si="0"/>
        <v>2636</v>
      </c>
      <c r="AF5" s="4">
        <f t="shared" si="1"/>
        <v>2736</v>
      </c>
      <c r="AG5" s="13">
        <f t="shared" si="2"/>
        <v>3259</v>
      </c>
      <c r="AH5" s="4">
        <f t="shared" si="3"/>
        <v>3799</v>
      </c>
      <c r="AI5">
        <f t="shared" si="4"/>
        <v>0</v>
      </c>
      <c r="AJ5">
        <f t="shared" si="5"/>
        <v>0</v>
      </c>
    </row>
    <row r="6" spans="1:55" x14ac:dyDescent="0.3">
      <c r="A6" s="6" t="s">
        <v>103</v>
      </c>
      <c r="B6" t="s">
        <v>80</v>
      </c>
      <c r="D6" s="4">
        <v>1560</v>
      </c>
      <c r="E6" s="4">
        <v>1571</v>
      </c>
      <c r="F6" s="4">
        <v>1510</v>
      </c>
      <c r="G6" s="4">
        <v>2123</v>
      </c>
      <c r="H6" s="4">
        <v>2034</v>
      </c>
      <c r="I6" s="4">
        <v>2364</v>
      </c>
      <c r="J6" s="4">
        <v>2602</v>
      </c>
      <c r="K6" s="4">
        <v>3276</v>
      </c>
      <c r="L6" s="4">
        <v>3086</v>
      </c>
      <c r="M6" s="4">
        <v>3260</v>
      </c>
      <c r="N6" s="4">
        <v>3650</v>
      </c>
      <c r="O6" s="4">
        <v>4323</v>
      </c>
      <c r="P6" s="23">
        <v>3804</v>
      </c>
      <c r="Q6" s="28">
        <v>3964</v>
      </c>
      <c r="AE6" s="4">
        <f t="shared" si="0"/>
        <v>6764</v>
      </c>
      <c r="AF6" s="4">
        <f t="shared" si="1"/>
        <v>10276</v>
      </c>
      <c r="AG6" s="13">
        <f t="shared" si="2"/>
        <v>14319</v>
      </c>
      <c r="AH6" s="4">
        <f t="shared" si="3"/>
        <v>7768</v>
      </c>
      <c r="AI6">
        <f t="shared" si="4"/>
        <v>0</v>
      </c>
      <c r="AJ6">
        <f t="shared" si="5"/>
        <v>0</v>
      </c>
    </row>
    <row r="7" spans="1:55" x14ac:dyDescent="0.3">
      <c r="B7" t="s">
        <v>81</v>
      </c>
      <c r="D7" s="4">
        <v>701</v>
      </c>
      <c r="E7" s="4">
        <v>736</v>
      </c>
      <c r="F7" s="4">
        <v>704</v>
      </c>
      <c r="G7" s="4">
        <v>699</v>
      </c>
      <c r="H7" s="4">
        <v>666</v>
      </c>
      <c r="I7" s="4">
        <v>687</v>
      </c>
      <c r="J7" s="4">
        <v>758</v>
      </c>
      <c r="K7" s="4">
        <v>740</v>
      </c>
      <c r="L7" s="4">
        <v>716</v>
      </c>
      <c r="M7" s="4">
        <v>771</v>
      </c>
      <c r="N7" s="4">
        <v>863</v>
      </c>
      <c r="O7" s="4">
        <v>850</v>
      </c>
      <c r="P7" s="23">
        <v>823</v>
      </c>
      <c r="Q7" s="28">
        <v>886</v>
      </c>
      <c r="AE7" s="4">
        <f t="shared" si="0"/>
        <v>2840</v>
      </c>
      <c r="AF7" s="4">
        <f t="shared" si="1"/>
        <v>2851</v>
      </c>
      <c r="AG7" s="13">
        <f t="shared" si="2"/>
        <v>3200</v>
      </c>
      <c r="AH7" s="4">
        <f t="shared" si="3"/>
        <v>1709</v>
      </c>
      <c r="AI7">
        <f t="shared" si="4"/>
        <v>0</v>
      </c>
      <c r="AJ7">
        <f t="shared" si="5"/>
        <v>0</v>
      </c>
    </row>
    <row r="8" spans="1:55" x14ac:dyDescent="0.3">
      <c r="A8" s="6" t="s">
        <v>106</v>
      </c>
      <c r="B8" t="s">
        <v>83</v>
      </c>
      <c r="D8" s="4">
        <v>2993</v>
      </c>
      <c r="E8" s="4">
        <v>2640</v>
      </c>
      <c r="F8" s="4">
        <v>2918</v>
      </c>
      <c r="G8" s="4">
        <v>2925</v>
      </c>
      <c r="H8" s="4">
        <v>2706</v>
      </c>
      <c r="I8" s="4">
        <v>3465</v>
      </c>
      <c r="J8" s="4">
        <v>3789</v>
      </c>
      <c r="K8" s="4">
        <v>3953</v>
      </c>
      <c r="L8" s="4">
        <v>3545</v>
      </c>
      <c r="M8" s="4">
        <v>3653</v>
      </c>
      <c r="N8" s="4">
        <v>4219</v>
      </c>
      <c r="O8" s="4">
        <v>4349</v>
      </c>
      <c r="P8" s="23">
        <v>4152</v>
      </c>
      <c r="Q8" s="28">
        <v>4662</v>
      </c>
      <c r="AE8" s="4">
        <f t="shared" si="0"/>
        <v>11476</v>
      </c>
      <c r="AF8" s="4">
        <f t="shared" si="1"/>
        <v>13913</v>
      </c>
      <c r="AG8" s="13">
        <f t="shared" si="2"/>
        <v>15766</v>
      </c>
      <c r="AH8" s="4">
        <f t="shared" si="3"/>
        <v>8814</v>
      </c>
      <c r="AI8">
        <f t="shared" si="4"/>
        <v>0</v>
      </c>
      <c r="AJ8">
        <f t="shared" si="5"/>
        <v>0</v>
      </c>
    </row>
    <row r="9" spans="1:55" x14ac:dyDescent="0.3">
      <c r="A9" s="6" t="s">
        <v>105</v>
      </c>
      <c r="B9" t="s">
        <v>82</v>
      </c>
      <c r="D9" s="4">
        <v>1827</v>
      </c>
      <c r="E9" s="4">
        <v>1813</v>
      </c>
      <c r="F9" s="4">
        <v>1879</v>
      </c>
      <c r="G9" s="4">
        <v>2400</v>
      </c>
      <c r="H9" s="4">
        <v>1983</v>
      </c>
      <c r="I9" s="4">
        <v>3194</v>
      </c>
      <c r="J9" s="4">
        <v>3128</v>
      </c>
      <c r="K9" s="4">
        <v>4011</v>
      </c>
      <c r="L9" s="4">
        <v>3401</v>
      </c>
      <c r="M9" s="4">
        <v>3689</v>
      </c>
      <c r="N9" s="4">
        <v>3512</v>
      </c>
      <c r="O9" s="4">
        <v>3869</v>
      </c>
      <c r="P9" s="23">
        <v>2973</v>
      </c>
      <c r="Q9" s="28"/>
      <c r="AE9" s="4">
        <f t="shared" si="0"/>
        <v>7919</v>
      </c>
      <c r="AF9" s="4">
        <f t="shared" si="1"/>
        <v>12316</v>
      </c>
      <c r="AG9" s="13">
        <f t="shared" si="2"/>
        <v>14471</v>
      </c>
      <c r="AH9" s="4">
        <f t="shared" si="3"/>
        <v>2973</v>
      </c>
      <c r="AI9">
        <f t="shared" si="4"/>
        <v>0</v>
      </c>
      <c r="AJ9">
        <f t="shared" si="5"/>
        <v>0</v>
      </c>
    </row>
    <row r="10" spans="1:55" x14ac:dyDescent="0.3">
      <c r="A10" s="6" t="s">
        <v>104</v>
      </c>
      <c r="B10" t="s">
        <v>84</v>
      </c>
      <c r="D10" s="4">
        <v>1647</v>
      </c>
      <c r="E10" s="4">
        <v>1587</v>
      </c>
      <c r="F10" s="4">
        <v>1838</v>
      </c>
      <c r="G10" s="4">
        <v>1909</v>
      </c>
      <c r="H10" s="4">
        <v>1827</v>
      </c>
      <c r="I10" s="4">
        <v>1993</v>
      </c>
      <c r="J10" s="4">
        <v>2133</v>
      </c>
      <c r="K10" s="4">
        <v>2135</v>
      </c>
      <c r="L10" s="4">
        <v>2026</v>
      </c>
      <c r="M10" s="4">
        <v>2233</v>
      </c>
      <c r="N10" s="4">
        <v>2526</v>
      </c>
      <c r="O10" s="4">
        <v>2327</v>
      </c>
      <c r="P10" s="23">
        <v>2223</v>
      </c>
      <c r="Q10" s="28"/>
      <c r="AE10" s="4">
        <f t="shared" si="0"/>
        <v>6981</v>
      </c>
      <c r="AF10" s="4">
        <f t="shared" si="1"/>
        <v>8088</v>
      </c>
      <c r="AG10" s="13">
        <f t="shared" si="2"/>
        <v>9112</v>
      </c>
      <c r="AH10" s="4">
        <f t="shared" si="3"/>
        <v>2223</v>
      </c>
      <c r="AI10">
        <f t="shared" si="4"/>
        <v>0</v>
      </c>
      <c r="AJ10">
        <f t="shared" si="5"/>
        <v>0</v>
      </c>
    </row>
    <row r="11" spans="1:55" x14ac:dyDescent="0.3">
      <c r="A11" s="6" t="s">
        <v>107</v>
      </c>
      <c r="B11" t="s">
        <v>85</v>
      </c>
      <c r="D11" s="4">
        <v>1263</v>
      </c>
      <c r="E11" s="4">
        <v>1080</v>
      </c>
      <c r="F11" s="4">
        <v>1179</v>
      </c>
      <c r="G11" s="4">
        <v>1100</v>
      </c>
      <c r="H11" s="4">
        <v>1204</v>
      </c>
      <c r="I11" s="4">
        <v>742</v>
      </c>
      <c r="J11" s="4">
        <v>792</v>
      </c>
      <c r="K11" s="4">
        <v>710</v>
      </c>
      <c r="L11" s="4">
        <v>685</v>
      </c>
      <c r="M11" s="4">
        <v>768</v>
      </c>
      <c r="N11" s="4">
        <v>811</v>
      </c>
      <c r="O11" s="4">
        <v>745</v>
      </c>
      <c r="P11" s="23">
        <v>765</v>
      </c>
      <c r="AE11" s="4">
        <f t="shared" si="0"/>
        <v>4622</v>
      </c>
      <c r="AF11" s="4">
        <f t="shared" si="1"/>
        <v>3448</v>
      </c>
      <c r="AG11" s="13">
        <f t="shared" si="2"/>
        <v>3009</v>
      </c>
      <c r="AH11" s="4">
        <f t="shared" si="3"/>
        <v>765</v>
      </c>
      <c r="AI11">
        <f t="shared" si="4"/>
        <v>0</v>
      </c>
      <c r="AJ11">
        <f t="shared" si="5"/>
        <v>0</v>
      </c>
    </row>
    <row r="12" spans="1:55" x14ac:dyDescent="0.3">
      <c r="A12" s="6" t="s">
        <v>108</v>
      </c>
      <c r="B12" t="s">
        <v>86</v>
      </c>
      <c r="D12" s="4">
        <v>60</v>
      </c>
      <c r="E12" s="4">
        <v>72</v>
      </c>
      <c r="F12" s="4">
        <v>57</v>
      </c>
      <c r="G12" s="4">
        <v>119</v>
      </c>
      <c r="H12" s="4">
        <v>82</v>
      </c>
      <c r="I12" s="4">
        <v>6280</v>
      </c>
      <c r="J12" s="4">
        <v>6586</v>
      </c>
      <c r="K12" s="4">
        <v>6623</v>
      </c>
      <c r="L12" s="4">
        <v>7126</v>
      </c>
      <c r="M12" s="4">
        <v>6468</v>
      </c>
      <c r="N12" s="4">
        <v>7435</v>
      </c>
      <c r="O12" s="4">
        <v>7275</v>
      </c>
      <c r="P12" s="23">
        <v>7440</v>
      </c>
      <c r="Q12" s="28">
        <v>8180</v>
      </c>
      <c r="AE12" s="4">
        <f t="shared" si="0"/>
        <v>308</v>
      </c>
      <c r="AF12" s="4">
        <f t="shared" si="1"/>
        <v>19571</v>
      </c>
      <c r="AG12" s="13">
        <f t="shared" si="2"/>
        <v>28304</v>
      </c>
      <c r="AH12" s="4">
        <f t="shared" si="3"/>
        <v>15620</v>
      </c>
      <c r="AI12">
        <f t="shared" si="4"/>
        <v>0</v>
      </c>
      <c r="AJ12">
        <f t="shared" si="5"/>
        <v>0</v>
      </c>
    </row>
    <row r="13" spans="1:55" x14ac:dyDescent="0.3">
      <c r="B13" t="s">
        <v>87</v>
      </c>
      <c r="D13" s="4"/>
      <c r="E13" s="4"/>
      <c r="F13" s="4"/>
      <c r="G13" s="4"/>
      <c r="H13" s="4"/>
      <c r="I13" s="4">
        <v>34</v>
      </c>
      <c r="J13" s="4">
        <v>38</v>
      </c>
      <c r="K13" s="4">
        <v>53</v>
      </c>
      <c r="L13" s="4">
        <v>55</v>
      </c>
      <c r="M13" s="4">
        <v>58</v>
      </c>
      <c r="N13" s="4">
        <v>67</v>
      </c>
      <c r="O13" s="4">
        <v>81</v>
      </c>
      <c r="P13" s="23">
        <v>61</v>
      </c>
      <c r="Q13" s="28">
        <v>73</v>
      </c>
      <c r="AE13" s="4">
        <f t="shared" si="0"/>
        <v>0</v>
      </c>
      <c r="AF13" s="4">
        <f t="shared" si="1"/>
        <v>125</v>
      </c>
      <c r="AG13" s="13">
        <f t="shared" si="2"/>
        <v>261</v>
      </c>
      <c r="AH13" s="4">
        <f t="shared" si="3"/>
        <v>134</v>
      </c>
      <c r="AI13">
        <f t="shared" si="4"/>
        <v>0</v>
      </c>
      <c r="AJ13">
        <f t="shared" si="5"/>
        <v>0</v>
      </c>
    </row>
    <row r="14" spans="1:55" x14ac:dyDescent="0.3">
      <c r="B14" t="s">
        <v>88</v>
      </c>
      <c r="D14" s="4"/>
      <c r="E14" s="4"/>
      <c r="F14" s="4"/>
      <c r="G14" s="4"/>
      <c r="H14" s="4"/>
      <c r="I14" s="4">
        <v>-2320</v>
      </c>
      <c r="J14" s="4">
        <v>-2401</v>
      </c>
      <c r="K14" s="4">
        <v>-3011</v>
      </c>
      <c r="L14" s="4">
        <v>-2821</v>
      </c>
      <c r="M14" s="4">
        <v>-3031</v>
      </c>
      <c r="N14" s="4">
        <v>-3489</v>
      </c>
      <c r="O14" s="4">
        <v>-4082</v>
      </c>
      <c r="P14" s="23">
        <v>-3626</v>
      </c>
      <c r="Q14" s="28">
        <v>-2747</v>
      </c>
      <c r="AE14" s="4">
        <f t="shared" si="0"/>
        <v>0</v>
      </c>
      <c r="AF14" s="4">
        <f t="shared" si="1"/>
        <v>-7732</v>
      </c>
      <c r="AG14" s="13">
        <f t="shared" si="2"/>
        <v>-13423</v>
      </c>
      <c r="AH14" s="4">
        <f t="shared" si="3"/>
        <v>-6373</v>
      </c>
      <c r="AI14">
        <f t="shared" si="4"/>
        <v>0</v>
      </c>
      <c r="AJ14">
        <f t="shared" si="5"/>
        <v>0</v>
      </c>
    </row>
    <row r="15" spans="1:55" x14ac:dyDescent="0.3">
      <c r="B15" t="s">
        <v>89</v>
      </c>
      <c r="D15" s="4">
        <f t="shared" ref="D15:Q15" si="6">SUM(D3:D14)</f>
        <v>32188</v>
      </c>
      <c r="E15" s="4">
        <f t="shared" si="6"/>
        <v>30689</v>
      </c>
      <c r="F15" s="4">
        <f t="shared" si="6"/>
        <v>29124</v>
      </c>
      <c r="G15" s="4">
        <f t="shared" si="6"/>
        <v>35921</v>
      </c>
      <c r="H15" s="4">
        <f t="shared" si="6"/>
        <v>30316</v>
      </c>
      <c r="I15" s="4">
        <f t="shared" si="6"/>
        <v>32292</v>
      </c>
      <c r="J15" s="4">
        <f t="shared" si="6"/>
        <v>30810</v>
      </c>
      <c r="K15" s="4">
        <f t="shared" si="6"/>
        <v>36669</v>
      </c>
      <c r="L15" s="4">
        <f t="shared" si="6"/>
        <v>30729</v>
      </c>
      <c r="M15" s="4">
        <f t="shared" si="6"/>
        <v>33470</v>
      </c>
      <c r="N15" s="4">
        <f t="shared" si="6"/>
        <v>33701</v>
      </c>
      <c r="O15" s="4">
        <f t="shared" si="6"/>
        <v>38381</v>
      </c>
      <c r="P15" s="23">
        <f t="shared" si="6"/>
        <v>32584</v>
      </c>
      <c r="Q15" s="23">
        <f t="shared" si="6"/>
        <v>34571</v>
      </c>
      <c r="AE15" s="4">
        <f t="shared" si="0"/>
        <v>127922</v>
      </c>
      <c r="AF15" s="4">
        <f t="shared" si="1"/>
        <v>130087</v>
      </c>
      <c r="AG15" s="13">
        <f t="shared" si="2"/>
        <v>136281</v>
      </c>
      <c r="AH15" s="4">
        <f t="shared" si="3"/>
        <v>67155</v>
      </c>
      <c r="AI15">
        <f t="shared" si="4"/>
        <v>0</v>
      </c>
      <c r="AJ15">
        <f t="shared" si="5"/>
        <v>0</v>
      </c>
    </row>
    <row r="16" spans="1:55" x14ac:dyDescent="0.3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23"/>
      <c r="AE16" s="4"/>
      <c r="AF16" s="4"/>
      <c r="AG16" s="13"/>
      <c r="AH16" s="4"/>
    </row>
    <row r="17" spans="2:34" x14ac:dyDescent="0.3">
      <c r="B17" t="s">
        <v>124</v>
      </c>
      <c r="D17" s="4"/>
      <c r="E17" s="4"/>
      <c r="F17" s="4"/>
      <c r="G17" s="4"/>
      <c r="H17" s="9">
        <f t="shared" ref="H17:Q17" si="7">H8/D8-1</f>
        <v>-9.589041095890416E-2</v>
      </c>
      <c r="I17" s="9">
        <f t="shared" si="7"/>
        <v>0.3125</v>
      </c>
      <c r="J17" s="9">
        <f t="shared" si="7"/>
        <v>0.29849211788896501</v>
      </c>
      <c r="K17" s="9">
        <f t="shared" si="7"/>
        <v>0.35145299145299136</v>
      </c>
      <c r="L17" s="9">
        <f t="shared" si="7"/>
        <v>0.31005173688100518</v>
      </c>
      <c r="M17" s="9">
        <f t="shared" si="7"/>
        <v>5.4256854256854226E-2</v>
      </c>
      <c r="N17" s="9">
        <f t="shared" si="7"/>
        <v>0.11348640802322518</v>
      </c>
      <c r="O17" s="9">
        <f t="shared" si="7"/>
        <v>0.10017708069820386</v>
      </c>
      <c r="P17" s="24">
        <f t="shared" si="7"/>
        <v>0.17122708039492252</v>
      </c>
      <c r="Q17" s="24">
        <f t="shared" si="7"/>
        <v>0.2762113331508349</v>
      </c>
      <c r="AE17" s="4"/>
      <c r="AF17" s="9">
        <f>AF8/AE8-1</f>
        <v>0.21235622168002788</v>
      </c>
      <c r="AG17" s="8">
        <f>AG8/AF8-1</f>
        <v>0.1331847912024724</v>
      </c>
      <c r="AH17" s="4"/>
    </row>
    <row r="18" spans="2:34" x14ac:dyDescent="0.3">
      <c r="B18" t="s">
        <v>133</v>
      </c>
      <c r="D18" s="4"/>
      <c r="E18" s="4"/>
      <c r="F18" s="4"/>
      <c r="G18" s="4"/>
      <c r="H18" s="9">
        <f t="shared" ref="H18:Q18" si="8">SUM(H3:H5)/SUM(D3:D5)-1</f>
        <v>-0.10493743506346842</v>
      </c>
      <c r="I18" s="9">
        <f t="shared" si="8"/>
        <v>-0.25186408683341199</v>
      </c>
      <c r="J18" s="9">
        <f t="shared" si="8"/>
        <v>-0.29696937864383632</v>
      </c>
      <c r="K18" s="9">
        <f t="shared" si="8"/>
        <v>-0.26239552057128945</v>
      </c>
      <c r="L18" s="9">
        <f t="shared" si="8"/>
        <v>-0.34844049661855259</v>
      </c>
      <c r="M18" s="9">
        <f t="shared" si="8"/>
        <v>-1.5896044912634855E-2</v>
      </c>
      <c r="N18" s="9">
        <f t="shared" si="8"/>
        <v>5.3940978707508469E-2</v>
      </c>
      <c r="O18" s="9">
        <f t="shared" si="8"/>
        <v>2.5578964739534582E-2</v>
      </c>
      <c r="P18" s="24">
        <f t="shared" si="8"/>
        <v>8.2029434546862845E-2</v>
      </c>
      <c r="Q18" s="24">
        <f t="shared" si="8"/>
        <v>0.25331709505800903</v>
      </c>
      <c r="AE18" s="4"/>
      <c r="AF18" s="9">
        <f>SUM(AF3:AF5)/SUM(AE3:AE5)-1</f>
        <v>-0.22733645933894175</v>
      </c>
      <c r="AG18" s="8">
        <f>SUM(AG3:AG5)/SUM(AF3:AF5)-1</f>
        <v>-8.878344811173422E-2</v>
      </c>
      <c r="AH18" s="4"/>
    </row>
    <row r="19" spans="2:34" x14ac:dyDescent="0.3">
      <c r="B19" t="s">
        <v>134</v>
      </c>
      <c r="D19" s="4"/>
      <c r="E19" s="4"/>
      <c r="F19" s="4"/>
      <c r="G19" s="4"/>
      <c r="H19" s="9">
        <f t="shared" ref="H19:Q19" si="9">SUM(H6:H7)/SUM(D6:D7)-1</f>
        <v>0.19416187527642625</v>
      </c>
      <c r="I19" s="9">
        <f t="shared" si="9"/>
        <v>0.32249674902470749</v>
      </c>
      <c r="J19" s="9">
        <f t="shared" si="9"/>
        <v>0.51761517615176156</v>
      </c>
      <c r="K19" s="9">
        <f t="shared" si="9"/>
        <v>0.42310418143160877</v>
      </c>
      <c r="L19" s="9">
        <f t="shared" si="9"/>
        <v>0.40814814814814815</v>
      </c>
      <c r="M19" s="9">
        <f t="shared" si="9"/>
        <v>0.32120616191412643</v>
      </c>
      <c r="N19" s="9">
        <f t="shared" si="9"/>
        <v>0.34315476190476191</v>
      </c>
      <c r="O19" s="9">
        <f t="shared" si="9"/>
        <v>0.2880976095617529</v>
      </c>
      <c r="P19" s="24">
        <f t="shared" si="9"/>
        <v>0.21699105733824298</v>
      </c>
      <c r="Q19" s="24">
        <f t="shared" si="9"/>
        <v>0.20317539072190516</v>
      </c>
      <c r="AE19" s="4"/>
      <c r="AF19" s="9">
        <f>SUM(AF6:AF7)/SUM(AE6:AE7)-1</f>
        <v>0.36682632236568091</v>
      </c>
      <c r="AG19" s="8">
        <f>SUM(AG6:AG7)/SUM(AF6:AF7)-1</f>
        <v>0.33457758817703964</v>
      </c>
      <c r="AH19" s="4"/>
    </row>
    <row r="20" spans="2:34" x14ac:dyDescent="0.3">
      <c r="B20" t="s">
        <v>135</v>
      </c>
      <c r="D20" s="4"/>
      <c r="E20" s="4"/>
      <c r="F20" s="4"/>
      <c r="G20" s="4"/>
      <c r="H20" s="9">
        <f t="shared" ref="H20:P22" si="10">H9/D9-1</f>
        <v>8.5385878489326661E-2</v>
      </c>
      <c r="I20" s="9">
        <f t="shared" si="10"/>
        <v>0.76172090457804753</v>
      </c>
      <c r="J20" s="9">
        <f t="shared" si="10"/>
        <v>0.66471527408195841</v>
      </c>
      <c r="K20" s="9">
        <f t="shared" si="10"/>
        <v>0.6712499999999999</v>
      </c>
      <c r="L20" s="9">
        <f t="shared" si="10"/>
        <v>0.71507816439737781</v>
      </c>
      <c r="M20" s="9">
        <f t="shared" si="10"/>
        <v>0.15497808390732626</v>
      </c>
      <c r="N20" s="9">
        <f t="shared" si="10"/>
        <v>0.1227621483375958</v>
      </c>
      <c r="O20" s="9">
        <f t="shared" si="10"/>
        <v>-3.5402642732485612E-2</v>
      </c>
      <c r="P20" s="24">
        <f t="shared" si="10"/>
        <v>-0.1258453396059982</v>
      </c>
      <c r="Q20" s="24"/>
      <c r="AE20" s="4"/>
      <c r="AF20" s="9">
        <f t="shared" ref="AF20:AG22" si="11">AF9/AE9-1</f>
        <v>0.55524687460537936</v>
      </c>
      <c r="AG20" s="8">
        <f t="shared" si="11"/>
        <v>0.17497564144202671</v>
      </c>
      <c r="AH20" s="4"/>
    </row>
    <row r="21" spans="2:34" x14ac:dyDescent="0.3">
      <c r="B21" t="s">
        <v>136</v>
      </c>
      <c r="D21" s="4"/>
      <c r="E21" s="4"/>
      <c r="F21" s="4"/>
      <c r="G21" s="4"/>
      <c r="H21" s="9">
        <f t="shared" si="10"/>
        <v>0.1092896174863387</v>
      </c>
      <c r="I21" s="9">
        <f t="shared" si="10"/>
        <v>0.2558286074354128</v>
      </c>
      <c r="J21" s="9">
        <f t="shared" si="10"/>
        <v>0.16050054406964098</v>
      </c>
      <c r="K21" s="9">
        <f t="shared" si="10"/>
        <v>0.1183865898376113</v>
      </c>
      <c r="L21" s="9">
        <f t="shared" si="10"/>
        <v>0.10892172961138469</v>
      </c>
      <c r="M21" s="9">
        <f t="shared" si="10"/>
        <v>0.12042147516307078</v>
      </c>
      <c r="N21" s="9">
        <f t="shared" si="10"/>
        <v>0.18424753867791832</v>
      </c>
      <c r="O21" s="9">
        <f t="shared" si="10"/>
        <v>8.9929742388758838E-2</v>
      </c>
      <c r="P21" s="24">
        <f t="shared" si="10"/>
        <v>9.7235932872655528E-2</v>
      </c>
      <c r="Q21" s="24"/>
      <c r="AE21" s="4"/>
      <c r="AF21" s="9">
        <f t="shared" si="11"/>
        <v>0.15857327030511392</v>
      </c>
      <c r="AG21" s="8">
        <f t="shared" si="11"/>
        <v>0.12660731948565784</v>
      </c>
      <c r="AH21" s="4"/>
    </row>
    <row r="22" spans="2:34" x14ac:dyDescent="0.3">
      <c r="B22" t="s">
        <v>137</v>
      </c>
      <c r="D22" s="4"/>
      <c r="E22" s="4"/>
      <c r="F22" s="4"/>
      <c r="G22" s="4"/>
      <c r="H22" s="9">
        <f t="shared" si="10"/>
        <v>-4.6714172604908955E-2</v>
      </c>
      <c r="I22" s="9">
        <f t="shared" si="10"/>
        <v>-0.312962962962963</v>
      </c>
      <c r="J22" s="9">
        <f t="shared" si="10"/>
        <v>-0.3282442748091603</v>
      </c>
      <c r="K22" s="9">
        <f t="shared" si="10"/>
        <v>-0.3545454545454545</v>
      </c>
      <c r="L22" s="9">
        <f t="shared" si="10"/>
        <v>-0.43106312292358806</v>
      </c>
      <c r="M22" s="9">
        <f t="shared" si="10"/>
        <v>3.5040431266846417E-2</v>
      </c>
      <c r="N22" s="9">
        <f t="shared" si="10"/>
        <v>2.3989898989899006E-2</v>
      </c>
      <c r="O22" s="9">
        <f t="shared" si="10"/>
        <v>4.9295774647887258E-2</v>
      </c>
      <c r="P22" s="24">
        <f t="shared" si="10"/>
        <v>0.11678832116788329</v>
      </c>
      <c r="Q22" s="24"/>
      <c r="AE22" s="4"/>
      <c r="AF22" s="9">
        <f t="shared" si="11"/>
        <v>-0.25400259627866728</v>
      </c>
      <c r="AG22" s="8">
        <f t="shared" si="11"/>
        <v>-0.12732018561484915</v>
      </c>
      <c r="AH22" s="4"/>
    </row>
    <row r="23" spans="2:34" x14ac:dyDescent="0.3">
      <c r="D23" s="4"/>
      <c r="E23" s="4"/>
      <c r="F23" s="4"/>
      <c r="G23" s="4"/>
      <c r="H23" s="9"/>
      <c r="I23" s="9"/>
      <c r="J23" s="9"/>
      <c r="K23" s="9"/>
      <c r="L23" s="9"/>
      <c r="M23" s="9"/>
      <c r="N23" s="9"/>
      <c r="O23" s="9"/>
      <c r="P23" s="24"/>
      <c r="Q23" s="24"/>
      <c r="AE23" s="4"/>
      <c r="AF23" s="9"/>
      <c r="AG23" s="8"/>
      <c r="AH23" s="4"/>
    </row>
    <row r="24" spans="2:34" x14ac:dyDescent="0.3">
      <c r="B24" s="2" t="s">
        <v>138</v>
      </c>
      <c r="D24" s="4"/>
      <c r="E24" s="4"/>
      <c r="F24" s="4"/>
      <c r="G24" s="4"/>
      <c r="H24" s="9"/>
      <c r="I24" s="9"/>
      <c r="J24" s="9"/>
      <c r="K24" s="9"/>
      <c r="L24" s="9"/>
      <c r="M24" s="9"/>
      <c r="N24" s="9"/>
      <c r="O24" s="9"/>
      <c r="P24" s="24"/>
      <c r="Q24" s="24"/>
      <c r="AE24" s="4"/>
      <c r="AF24" s="9"/>
      <c r="AG24" s="8"/>
      <c r="AH24" s="4"/>
    </row>
    <row r="25" spans="2:34" x14ac:dyDescent="0.3">
      <c r="B25" t="s">
        <v>139</v>
      </c>
      <c r="D25" s="9">
        <f t="shared" ref="D25:O25" si="12">D8/D15</f>
        <v>9.2984963340375301E-2</v>
      </c>
      <c r="E25" s="9">
        <f t="shared" si="12"/>
        <v>8.602430838411157E-2</v>
      </c>
      <c r="F25" s="9">
        <f t="shared" si="12"/>
        <v>0.10019228128004395</v>
      </c>
      <c r="G25" s="9">
        <f t="shared" si="12"/>
        <v>8.1428690738008402E-2</v>
      </c>
      <c r="H25" s="9">
        <f t="shared" si="12"/>
        <v>8.9259796806966621E-2</v>
      </c>
      <c r="I25" s="9">
        <f t="shared" si="12"/>
        <v>0.10730211817168339</v>
      </c>
      <c r="J25" s="9">
        <f t="shared" si="12"/>
        <v>0.12297955209347615</v>
      </c>
      <c r="K25" s="9">
        <f t="shared" si="12"/>
        <v>0.10780223076713299</v>
      </c>
      <c r="L25" s="9">
        <f t="shared" si="12"/>
        <v>0.11536333756386476</v>
      </c>
      <c r="M25" s="9">
        <f t="shared" si="12"/>
        <v>0.10914251568568868</v>
      </c>
      <c r="N25" s="9">
        <f t="shared" si="12"/>
        <v>0.12518916352630485</v>
      </c>
      <c r="O25" s="9">
        <f t="shared" si="12"/>
        <v>0.11331127380735259</v>
      </c>
      <c r="P25" s="24">
        <f>P8/P15</f>
        <v>0.12742450282347165</v>
      </c>
      <c r="Q25" s="24">
        <f>Q8/Q15</f>
        <v>0.1348529113997281</v>
      </c>
      <c r="AE25" s="4"/>
      <c r="AF25" s="9"/>
      <c r="AG25" s="8"/>
      <c r="AH25" s="4"/>
    </row>
    <row r="26" spans="2:34" x14ac:dyDescent="0.3">
      <c r="B26" t="s">
        <v>140</v>
      </c>
      <c r="D26" s="9">
        <f t="shared" ref="D26:O26" si="13">SUM(D3:D5)/D15</f>
        <v>0.68774077295886671</v>
      </c>
      <c r="E26" s="9">
        <f t="shared" si="13"/>
        <v>0.69047541464368345</v>
      </c>
      <c r="F26" s="9">
        <f t="shared" si="13"/>
        <v>0.653722016206565</v>
      </c>
      <c r="G26" s="9">
        <f t="shared" si="13"/>
        <v>0.68611675621502743</v>
      </c>
      <c r="H26" s="9">
        <f t="shared" si="13"/>
        <v>0.65358226678981401</v>
      </c>
      <c r="I26" s="9">
        <f t="shared" si="13"/>
        <v>0.49092654527437135</v>
      </c>
      <c r="J26" s="9">
        <f t="shared" si="13"/>
        <v>0.43443687114573193</v>
      </c>
      <c r="K26" s="9">
        <f t="shared" si="13"/>
        <v>0.49575936076795113</v>
      </c>
      <c r="L26" s="9">
        <f t="shared" si="13"/>
        <v>0.4201243125386443</v>
      </c>
      <c r="M26" s="9">
        <f t="shared" si="13"/>
        <v>0.46611891245891846</v>
      </c>
      <c r="N26" s="9">
        <f t="shared" si="13"/>
        <v>0.41859292009139193</v>
      </c>
      <c r="O26" s="9">
        <f t="shared" si="13"/>
        <v>0.48576118391912665</v>
      </c>
      <c r="P26" s="24">
        <f>SUM(P3:P5)/P15</f>
        <v>0.42870734102627056</v>
      </c>
      <c r="Q26" s="24">
        <f>SUM(Q3:Q5)/Q15</f>
        <v>0.56558965607011658</v>
      </c>
      <c r="AE26" s="4"/>
      <c r="AF26" s="9"/>
      <c r="AG26" s="8"/>
      <c r="AH26" s="4"/>
    </row>
    <row r="27" spans="2:34" x14ac:dyDescent="0.3">
      <c r="B27" t="s">
        <v>141</v>
      </c>
      <c r="D27" s="9">
        <f t="shared" ref="D27:O27" si="14">SUM(D6:D7)/D15</f>
        <v>7.0243569031937361E-2</v>
      </c>
      <c r="E27" s="9">
        <f t="shared" si="14"/>
        <v>7.517351494020659E-2</v>
      </c>
      <c r="F27" s="9">
        <f t="shared" si="14"/>
        <v>7.6019777503090233E-2</v>
      </c>
      <c r="G27" s="9">
        <f t="shared" si="14"/>
        <v>7.8561287269285379E-2</v>
      </c>
      <c r="H27" s="9">
        <f t="shared" si="14"/>
        <v>8.9061881514711699E-2</v>
      </c>
      <c r="I27" s="9">
        <f t="shared" si="14"/>
        <v>9.4481605351170575E-2</v>
      </c>
      <c r="J27" s="9">
        <f t="shared" si="14"/>
        <v>0.10905550146056475</v>
      </c>
      <c r="K27" s="9">
        <f t="shared" si="14"/>
        <v>0.10952030325342933</v>
      </c>
      <c r="L27" s="9">
        <f t="shared" si="14"/>
        <v>0.12372677275537766</v>
      </c>
      <c r="M27" s="9">
        <f t="shared" si="14"/>
        <v>0.12043621153271586</v>
      </c>
      <c r="N27" s="9">
        <f t="shared" si="14"/>
        <v>0.13391294026883474</v>
      </c>
      <c r="O27" s="9">
        <f t="shared" si="14"/>
        <v>0.13478022980120372</v>
      </c>
      <c r="P27" s="24">
        <f>SUM(P6:P7)/P15</f>
        <v>0.14200220967345936</v>
      </c>
      <c r="Q27" s="24">
        <f>SUM(Q6:Q7)/Q15</f>
        <v>0.14029099534291747</v>
      </c>
      <c r="AE27" s="4"/>
      <c r="AF27" s="9"/>
      <c r="AG27" s="8"/>
      <c r="AH27" s="4"/>
    </row>
    <row r="28" spans="2:34" x14ac:dyDescent="0.3">
      <c r="B28" t="s">
        <v>142</v>
      </c>
      <c r="D28" s="9">
        <f t="shared" ref="D28:O28" si="15">D9/D15</f>
        <v>5.6760283335404497E-2</v>
      </c>
      <c r="E28" s="9">
        <f t="shared" si="15"/>
        <v>5.9076542083482682E-2</v>
      </c>
      <c r="F28" s="9">
        <f t="shared" si="15"/>
        <v>6.4517236643318224E-2</v>
      </c>
      <c r="G28" s="9">
        <f t="shared" si="15"/>
        <v>6.6813284708109461E-2</v>
      </c>
      <c r="H28" s="9">
        <f t="shared" si="15"/>
        <v>6.5411004090249372E-2</v>
      </c>
      <c r="I28" s="9">
        <f t="shared" si="15"/>
        <v>9.8909946736033691E-2</v>
      </c>
      <c r="J28" s="9">
        <f t="shared" si="15"/>
        <v>0.10152547874066861</v>
      </c>
      <c r="K28" s="9">
        <f t="shared" si="15"/>
        <v>0.10938394829419947</v>
      </c>
      <c r="L28" s="9">
        <f t="shared" si="15"/>
        <v>0.11067721045266686</v>
      </c>
      <c r="M28" s="9">
        <f t="shared" si="15"/>
        <v>0.11021810576635793</v>
      </c>
      <c r="N28" s="9">
        <f t="shared" si="15"/>
        <v>0.10421055755022106</v>
      </c>
      <c r="O28" s="9">
        <f t="shared" si="15"/>
        <v>0.10080508584976941</v>
      </c>
      <c r="P28" s="24">
        <f>P9/P15</f>
        <v>9.1241099926344216E-2</v>
      </c>
      <c r="Q28" s="24">
        <f>Q9/Q15</f>
        <v>0</v>
      </c>
      <c r="AE28" s="4"/>
      <c r="AF28" s="9"/>
      <c r="AG28" s="8"/>
      <c r="AH28" s="4"/>
    </row>
    <row r="29" spans="2:34" x14ac:dyDescent="0.3">
      <c r="B29" t="s">
        <v>143</v>
      </c>
      <c r="D29" s="9">
        <f t="shared" ref="D29:O29" si="16">D10/D15</f>
        <v>5.1168137193985337E-2</v>
      </c>
      <c r="E29" s="9">
        <f t="shared" si="16"/>
        <v>5.1712339926357979E-2</v>
      </c>
      <c r="F29" s="9">
        <f t="shared" si="16"/>
        <v>6.3109462985853598E-2</v>
      </c>
      <c r="G29" s="9">
        <f t="shared" si="16"/>
        <v>5.3144400211575404E-2</v>
      </c>
      <c r="H29" s="9">
        <f t="shared" si="16"/>
        <v>6.0265206491621585E-2</v>
      </c>
      <c r="I29" s="9">
        <f t="shared" si="16"/>
        <v>6.1718072587637805E-2</v>
      </c>
      <c r="J29" s="9">
        <f t="shared" si="16"/>
        <v>6.9230769230769235E-2</v>
      </c>
      <c r="K29" s="9">
        <f t="shared" si="16"/>
        <v>5.822356759115329E-2</v>
      </c>
      <c r="L29" s="9">
        <f t="shared" si="16"/>
        <v>6.5931205050603667E-2</v>
      </c>
      <c r="M29" s="9">
        <f t="shared" si="16"/>
        <v>6.6716462503734683E-2</v>
      </c>
      <c r="N29" s="9">
        <f t="shared" si="16"/>
        <v>7.4953265481736447E-2</v>
      </c>
      <c r="O29" s="9">
        <f t="shared" si="16"/>
        <v>6.0628957036033451E-2</v>
      </c>
      <c r="P29" s="24">
        <f>P10/P15</f>
        <v>6.8223668057942555E-2</v>
      </c>
      <c r="Q29" s="24">
        <f>Q10/Q15</f>
        <v>0</v>
      </c>
      <c r="AE29" s="4"/>
      <c r="AF29" s="9"/>
      <c r="AG29" s="8"/>
      <c r="AH29" s="4"/>
    </row>
    <row r="30" spans="2:34" x14ac:dyDescent="0.3">
      <c r="B30" t="s">
        <v>144</v>
      </c>
      <c r="D30" s="9">
        <f t="shared" ref="D30:O30" si="17">D11/D15</f>
        <v>3.9238225425624454E-2</v>
      </c>
      <c r="E30" s="9">
        <f t="shared" si="17"/>
        <v>3.5191762520772912E-2</v>
      </c>
      <c r="F30" s="9">
        <f t="shared" si="17"/>
        <v>4.0482076637824473E-2</v>
      </c>
      <c r="G30" s="9">
        <f t="shared" si="17"/>
        <v>3.0622755491216836E-2</v>
      </c>
      <c r="H30" s="9">
        <f t="shared" si="17"/>
        <v>3.9715001979152925E-2</v>
      </c>
      <c r="I30" s="9">
        <f t="shared" si="17"/>
        <v>2.2977827325653413E-2</v>
      </c>
      <c r="J30" s="9">
        <f t="shared" si="17"/>
        <v>2.5705939629990262E-2</v>
      </c>
      <c r="K30" s="9">
        <f t="shared" si="17"/>
        <v>1.936240421064114E-2</v>
      </c>
      <c r="L30" s="9">
        <f t="shared" si="17"/>
        <v>2.2291646327573304E-2</v>
      </c>
      <c r="M30" s="9">
        <f t="shared" si="17"/>
        <v>2.2945921720944128E-2</v>
      </c>
      <c r="N30" s="9">
        <f t="shared" si="17"/>
        <v>2.4064567816978726E-2</v>
      </c>
      <c r="O30" s="9">
        <f t="shared" si="17"/>
        <v>1.9410645892498891E-2</v>
      </c>
      <c r="P30" s="24">
        <f>P11/P15</f>
        <v>2.3477780505769704E-2</v>
      </c>
      <c r="Q30" s="24">
        <f>Q11/Q15</f>
        <v>0</v>
      </c>
      <c r="AE30" s="4"/>
      <c r="AF30" s="9"/>
      <c r="AG30" s="8"/>
      <c r="AH30" s="4"/>
    </row>
    <row r="31" spans="2:34" x14ac:dyDescent="0.3">
      <c r="B31" t="s">
        <v>29</v>
      </c>
      <c r="D31" s="9">
        <f t="shared" ref="D31:O31" si="18">SUM(D12:D14)/D15</f>
        <v>1.8640487138063876E-3</v>
      </c>
      <c r="E31" s="9">
        <f t="shared" si="18"/>
        <v>2.3461175013848611E-3</v>
      </c>
      <c r="F31" s="9">
        <f t="shared" si="18"/>
        <v>1.957148743304491E-3</v>
      </c>
      <c r="G31" s="9">
        <f t="shared" si="18"/>
        <v>3.3128253667770941E-3</v>
      </c>
      <c r="H31" s="9">
        <f t="shared" si="18"/>
        <v>2.7048423274838368E-3</v>
      </c>
      <c r="I31" s="9">
        <f t="shared" si="18"/>
        <v>0.12368388455344977</v>
      </c>
      <c r="J31" s="9">
        <f t="shared" si="18"/>
        <v>0.1370658876987991</v>
      </c>
      <c r="K31" s="9">
        <f t="shared" si="18"/>
        <v>9.9948185115492652E-2</v>
      </c>
      <c r="L31" s="9">
        <f t="shared" si="18"/>
        <v>0.14188551531126947</v>
      </c>
      <c r="M31" s="9">
        <f t="shared" si="18"/>
        <v>0.10442187033164027</v>
      </c>
      <c r="N31" s="9">
        <f t="shared" si="18"/>
        <v>0.11907658526453221</v>
      </c>
      <c r="O31" s="9">
        <f t="shared" si="18"/>
        <v>8.530262369401527E-2</v>
      </c>
      <c r="P31" s="24">
        <f>SUM(P12:P14)/P15</f>
        <v>0.11892339798674197</v>
      </c>
      <c r="Q31" s="24">
        <f>SUM(Q12:Q14)/Q15</f>
        <v>0.15926643718723785</v>
      </c>
      <c r="AE31" s="4"/>
      <c r="AF31" s="9"/>
      <c r="AG31" s="8"/>
      <c r="AH31" s="4"/>
    </row>
    <row r="32" spans="2:34" x14ac:dyDescent="0.3">
      <c r="D32" s="4"/>
      <c r="E32" s="4"/>
      <c r="F32" s="4"/>
      <c r="G32" s="4"/>
      <c r="H32" s="9"/>
      <c r="I32" s="9"/>
      <c r="J32" s="9"/>
      <c r="K32" s="9"/>
      <c r="L32" s="9"/>
      <c r="M32" s="9"/>
      <c r="N32" s="9"/>
      <c r="O32" s="9"/>
      <c r="P32" s="24"/>
      <c r="AE32" s="4"/>
      <c r="AF32" s="9"/>
      <c r="AG32" s="8"/>
      <c r="AH32" s="4"/>
    </row>
    <row r="33" spans="2:647" x14ac:dyDescent="0.3">
      <c r="P33" s="22"/>
      <c r="AG33" s="7"/>
    </row>
    <row r="34" spans="2:647" s="4" customFormat="1" x14ac:dyDescent="0.3">
      <c r="B34" s="4" t="s">
        <v>21</v>
      </c>
      <c r="D34" s="4">
        <v>32188</v>
      </c>
      <c r="E34" s="4">
        <v>30689</v>
      </c>
      <c r="F34" s="4">
        <v>29124</v>
      </c>
      <c r="G34" s="4">
        <v>35921</v>
      </c>
      <c r="H34" s="4">
        <v>30316</v>
      </c>
      <c r="I34" s="4">
        <v>32292</v>
      </c>
      <c r="J34" s="4">
        <v>30810</v>
      </c>
      <c r="K34" s="4">
        <v>36669</v>
      </c>
      <c r="L34" s="4">
        <v>30729</v>
      </c>
      <c r="M34" s="4">
        <v>33470</v>
      </c>
      <c r="N34" s="4">
        <v>33701</v>
      </c>
      <c r="O34" s="4">
        <v>38381</v>
      </c>
      <c r="P34" s="23">
        <v>32584</v>
      </c>
      <c r="Q34" s="4">
        <f>+Q15</f>
        <v>34571</v>
      </c>
      <c r="R34" s="4">
        <f>249730*0.14</f>
        <v>34962.200000000004</v>
      </c>
      <c r="S34" s="4">
        <f>296190*0.14</f>
        <v>41466.600000000006</v>
      </c>
      <c r="T34" s="4">
        <f>254580*0.14</f>
        <v>35641.200000000004</v>
      </c>
      <c r="U34" s="4">
        <f>273040*0.14</f>
        <v>38225.600000000006</v>
      </c>
      <c r="V34" s="4">
        <f>282290*0.14</f>
        <v>39520.600000000006</v>
      </c>
      <c r="W34" s="4">
        <f>331480*0.14</f>
        <v>46407.200000000004</v>
      </c>
      <c r="X34" s="4">
        <f>278050*0.14</f>
        <v>38927.000000000007</v>
      </c>
      <c r="Y34" s="4">
        <f>302760*0.14</f>
        <v>42386.400000000001</v>
      </c>
      <c r="Z34" s="4">
        <f>V34*1.1</f>
        <v>43472.660000000011</v>
      </c>
      <c r="AA34" s="4">
        <f t="shared" ref="AA34" si="19">W34*1.1</f>
        <v>51047.920000000006</v>
      </c>
      <c r="AE34" s="4">
        <f t="shared" ref="AE34" si="20">SUM(D34:G34)</f>
        <v>127922</v>
      </c>
      <c r="AF34" s="4">
        <f t="shared" ref="AF34" si="21">SUM(H34:K34)</f>
        <v>130087</v>
      </c>
      <c r="AG34" s="13">
        <f t="shared" ref="AG34" si="22">SUM(L34:O34)</f>
        <v>136281</v>
      </c>
      <c r="AH34" s="4">
        <f t="shared" ref="AH34" si="23">SUM(P34:S34)</f>
        <v>143583.80000000002</v>
      </c>
      <c r="AI34" s="4">
        <f t="shared" ref="AI34" si="24">SUM(T34:W34)</f>
        <v>159794.60000000003</v>
      </c>
      <c r="AJ34" s="4">
        <f t="shared" ref="AJ34" si="25">SUM(X34:AA34)</f>
        <v>175833.98000000004</v>
      </c>
      <c r="AK34" s="4">
        <f>+AJ34*1.02</f>
        <v>179350.65960000004</v>
      </c>
      <c r="AL34" s="4">
        <f t="shared" ref="AL34:AR34" si="26">+AK34*1.02</f>
        <v>182937.67279200006</v>
      </c>
      <c r="AM34" s="4">
        <f t="shared" si="26"/>
        <v>186596.42624784005</v>
      </c>
      <c r="AN34" s="4">
        <f t="shared" si="26"/>
        <v>190328.35477279685</v>
      </c>
      <c r="AO34" s="4">
        <f t="shared" si="26"/>
        <v>194134.9218682528</v>
      </c>
      <c r="AP34" s="4">
        <f t="shared" si="26"/>
        <v>198017.62030561786</v>
      </c>
      <c r="AQ34" s="4">
        <f t="shared" si="26"/>
        <v>201977.97271173022</v>
      </c>
      <c r="AR34" s="4">
        <f t="shared" si="26"/>
        <v>206017.53216596483</v>
      </c>
    </row>
    <row r="35" spans="2:647" x14ac:dyDescent="0.3">
      <c r="B35" t="s">
        <v>22</v>
      </c>
      <c r="D35" s="4">
        <v>21918</v>
      </c>
      <c r="E35" s="4">
        <v>19357</v>
      </c>
      <c r="F35" s="4">
        <v>18445</v>
      </c>
      <c r="G35" s="4">
        <v>21749</v>
      </c>
      <c r="H35" s="4">
        <v>20214</v>
      </c>
      <c r="I35" s="4">
        <v>19631</v>
      </c>
      <c r="J35" s="4">
        <v>19143</v>
      </c>
      <c r="K35" s="4">
        <v>22002</v>
      </c>
      <c r="L35" s="4">
        <v>20511</v>
      </c>
      <c r="M35" s="4">
        <v>20105</v>
      </c>
      <c r="N35" s="4">
        <v>20524</v>
      </c>
      <c r="O35" s="4">
        <v>22266</v>
      </c>
      <c r="P35" s="23">
        <v>20068</v>
      </c>
      <c r="Q35" s="28">
        <v>19045</v>
      </c>
      <c r="AE35" s="4">
        <f t="shared" ref="AE35:AE48" si="27">SUM(D35:G35)</f>
        <v>81469</v>
      </c>
      <c r="AF35" s="4">
        <f t="shared" ref="AF35:AF48" si="28">SUM(H35:K35)</f>
        <v>80990</v>
      </c>
      <c r="AG35" s="13">
        <f t="shared" ref="AG35:AG48" si="29">SUM(L35:O35)</f>
        <v>83406</v>
      </c>
      <c r="AH35" s="4">
        <f t="shared" ref="AH35:AH47" si="30">SUM(P35:S35)</f>
        <v>39113</v>
      </c>
      <c r="AI35">
        <f t="shared" ref="AI35:AI48" si="31">SUM(T35:W35)</f>
        <v>0</v>
      </c>
      <c r="AJ35">
        <f t="shared" ref="AJ35:AJ48" si="32">SUM(X35:AA35)</f>
        <v>0</v>
      </c>
    </row>
    <row r="36" spans="2:647" s="2" customFormat="1" x14ac:dyDescent="0.3">
      <c r="B36" s="2" t="s">
        <v>23</v>
      </c>
      <c r="D36" s="5">
        <f t="shared" ref="D36:P36" si="33">+D34-D35</f>
        <v>10270</v>
      </c>
      <c r="E36" s="5">
        <f t="shared" si="33"/>
        <v>11332</v>
      </c>
      <c r="F36" s="5">
        <f t="shared" si="33"/>
        <v>10679</v>
      </c>
      <c r="G36" s="5">
        <f t="shared" si="33"/>
        <v>14172</v>
      </c>
      <c r="H36" s="5">
        <f t="shared" si="33"/>
        <v>10102</v>
      </c>
      <c r="I36" s="5">
        <f t="shared" si="33"/>
        <v>12661</v>
      </c>
      <c r="J36" s="5">
        <f t="shared" si="33"/>
        <v>11667</v>
      </c>
      <c r="K36" s="5">
        <f t="shared" si="33"/>
        <v>14667</v>
      </c>
      <c r="L36" s="5">
        <f t="shared" si="33"/>
        <v>10218</v>
      </c>
      <c r="M36" s="5">
        <f t="shared" si="33"/>
        <v>13365</v>
      </c>
      <c r="N36" s="5">
        <f t="shared" si="33"/>
        <v>13177</v>
      </c>
      <c r="O36" s="5">
        <f t="shared" si="33"/>
        <v>16115</v>
      </c>
      <c r="P36" s="25">
        <f t="shared" si="33"/>
        <v>12516</v>
      </c>
      <c r="Q36" s="25">
        <f t="shared" ref="Q36" si="34">+Q34-Q35</f>
        <v>15526</v>
      </c>
      <c r="AE36" s="5">
        <f t="shared" si="27"/>
        <v>46453</v>
      </c>
      <c r="AF36" s="5">
        <f t="shared" si="28"/>
        <v>49097</v>
      </c>
      <c r="AG36" s="14">
        <f t="shared" si="29"/>
        <v>52875</v>
      </c>
      <c r="AH36" s="5">
        <f t="shared" si="30"/>
        <v>28042</v>
      </c>
      <c r="AI36" s="2">
        <f t="shared" si="31"/>
        <v>0</v>
      </c>
      <c r="AJ36" s="2">
        <f t="shared" si="32"/>
        <v>0</v>
      </c>
    </row>
    <row r="37" spans="2:647" x14ac:dyDescent="0.3">
      <c r="B37" t="s">
        <v>24</v>
      </c>
      <c r="D37" s="4">
        <v>1726</v>
      </c>
      <c r="E37" s="4">
        <v>2119</v>
      </c>
      <c r="F37" s="4">
        <v>2130</v>
      </c>
      <c r="G37" s="4">
        <v>1960</v>
      </c>
      <c r="H37" s="4">
        <v>2021</v>
      </c>
      <c r="I37" s="4">
        <v>1443</v>
      </c>
      <c r="J37" s="4">
        <v>1949</v>
      </c>
      <c r="K37" s="4">
        <v>1900</v>
      </c>
      <c r="L37" s="4">
        <v>1951</v>
      </c>
      <c r="M37" s="4">
        <v>1840</v>
      </c>
      <c r="N37" s="4">
        <v>2020</v>
      </c>
      <c r="O37" s="4">
        <v>2009</v>
      </c>
      <c r="P37" s="23">
        <v>2058</v>
      </c>
      <c r="Q37" s="23">
        <v>2094</v>
      </c>
      <c r="AE37" s="4">
        <f t="shared" si="27"/>
        <v>7935</v>
      </c>
      <c r="AF37" s="4">
        <f t="shared" si="28"/>
        <v>7313</v>
      </c>
      <c r="AG37" s="13">
        <f t="shared" si="29"/>
        <v>7820</v>
      </c>
      <c r="AH37" s="4">
        <f t="shared" si="30"/>
        <v>4152</v>
      </c>
      <c r="AI37">
        <f t="shared" si="31"/>
        <v>0</v>
      </c>
      <c r="AJ37">
        <f t="shared" si="32"/>
        <v>0</v>
      </c>
    </row>
    <row r="38" spans="2:647" x14ac:dyDescent="0.3">
      <c r="B38" t="s">
        <v>25</v>
      </c>
      <c r="D38" s="4">
        <v>4291</v>
      </c>
      <c r="E38" s="4">
        <v>3819</v>
      </c>
      <c r="F38" s="4">
        <v>3143</v>
      </c>
      <c r="G38" s="4">
        <v>4441</v>
      </c>
      <c r="H38" s="4">
        <v>3630</v>
      </c>
      <c r="I38" s="4">
        <v>3730</v>
      </c>
      <c r="J38" s="4">
        <v>3493</v>
      </c>
      <c r="K38" s="4">
        <v>4758</v>
      </c>
      <c r="L38" s="4">
        <v>3992</v>
      </c>
      <c r="M38" s="4">
        <v>4499</v>
      </c>
      <c r="N38" s="4">
        <v>4627</v>
      </c>
      <c r="O38" s="4">
        <v>5846</v>
      </c>
      <c r="P38" s="23">
        <v>4985</v>
      </c>
      <c r="Q38" s="23">
        <v>7423</v>
      </c>
      <c r="AE38" s="4">
        <f t="shared" si="27"/>
        <v>15694</v>
      </c>
      <c r="AF38" s="4">
        <f t="shared" si="28"/>
        <v>15611</v>
      </c>
      <c r="AG38" s="13">
        <f t="shared" si="29"/>
        <v>18964</v>
      </c>
      <c r="AH38" s="4">
        <f t="shared" si="30"/>
        <v>12408</v>
      </c>
      <c r="AI38">
        <f t="shared" si="31"/>
        <v>0</v>
      </c>
      <c r="AJ38">
        <f t="shared" si="32"/>
        <v>0</v>
      </c>
    </row>
    <row r="39" spans="2:647" x14ac:dyDescent="0.3">
      <c r="B39" t="s">
        <v>26</v>
      </c>
      <c r="D39" s="4">
        <v>1169</v>
      </c>
      <c r="E39" s="4">
        <v>1259</v>
      </c>
      <c r="F39" s="4">
        <v>1488</v>
      </c>
      <c r="G39" s="4">
        <v>1497</v>
      </c>
      <c r="H39" s="4">
        <v>1869</v>
      </c>
      <c r="I39" s="4">
        <v>1006</v>
      </c>
      <c r="J39" s="4">
        <v>1289</v>
      </c>
      <c r="K39" s="4">
        <v>1586</v>
      </c>
      <c r="L39" s="4">
        <v>1942</v>
      </c>
      <c r="M39" s="4">
        <v>1827</v>
      </c>
      <c r="N39" s="4">
        <v>1393</v>
      </c>
      <c r="O39" s="4">
        <v>1487</v>
      </c>
      <c r="P39" s="23">
        <v>1423</v>
      </c>
      <c r="Q39" s="23">
        <v>1033</v>
      </c>
      <c r="AE39" s="4">
        <f t="shared" si="27"/>
        <v>5413</v>
      </c>
      <c r="AF39" s="4">
        <f t="shared" si="28"/>
        <v>5750</v>
      </c>
      <c r="AG39" s="13">
        <f t="shared" si="29"/>
        <v>6649</v>
      </c>
      <c r="AH39" s="4">
        <f t="shared" si="30"/>
        <v>2456</v>
      </c>
      <c r="AI39">
        <f t="shared" si="31"/>
        <v>0</v>
      </c>
      <c r="AJ39">
        <f t="shared" si="32"/>
        <v>0</v>
      </c>
    </row>
    <row r="40" spans="2:647" x14ac:dyDescent="0.3">
      <c r="B40" t="s">
        <v>27</v>
      </c>
      <c r="D40" s="4">
        <v>447</v>
      </c>
      <c r="E40" s="4">
        <v>411</v>
      </c>
      <c r="F40" s="4">
        <v>384</v>
      </c>
      <c r="G40" s="4">
        <v>801</v>
      </c>
      <c r="H40" s="4">
        <v>363</v>
      </c>
      <c r="I40" s="4">
        <v>342</v>
      </c>
      <c r="J40" s="4">
        <v>333</v>
      </c>
      <c r="K40" s="4">
        <v>2056</v>
      </c>
      <c r="L40" s="4">
        <v>288</v>
      </c>
      <c r="N40" s="4">
        <v>235</v>
      </c>
      <c r="O40" s="4">
        <v>282</v>
      </c>
      <c r="P40" s="23">
        <v>115</v>
      </c>
      <c r="Q40" s="23">
        <v>113</v>
      </c>
      <c r="AE40" s="4">
        <f t="shared" si="27"/>
        <v>2043</v>
      </c>
      <c r="AF40" s="4">
        <f t="shared" si="28"/>
        <v>3094</v>
      </c>
      <c r="AG40" s="13">
        <f t="shared" si="29"/>
        <v>805</v>
      </c>
      <c r="AH40" s="4">
        <f t="shared" si="30"/>
        <v>228</v>
      </c>
      <c r="AI40">
        <f t="shared" si="31"/>
        <v>0</v>
      </c>
      <c r="AJ40">
        <f t="shared" si="32"/>
        <v>0</v>
      </c>
    </row>
    <row r="41" spans="2:647" x14ac:dyDescent="0.3">
      <c r="B41" t="s">
        <v>28</v>
      </c>
      <c r="D41" s="4"/>
      <c r="E41" s="4"/>
      <c r="F41" s="4"/>
      <c r="G41" s="4">
        <v>394</v>
      </c>
      <c r="H41" s="4"/>
      <c r="I41" s="4">
        <v>280</v>
      </c>
      <c r="J41" s="4"/>
      <c r="K41" s="4">
        <v>1196</v>
      </c>
      <c r="L41" s="4"/>
      <c r="M41" s="4">
        <v>247</v>
      </c>
      <c r="N41" s="4"/>
      <c r="O41" s="4">
        <v>845</v>
      </c>
      <c r="P41" s="23"/>
      <c r="Q41" s="23"/>
      <c r="AE41" s="4">
        <f t="shared" si="27"/>
        <v>394</v>
      </c>
      <c r="AF41" s="4">
        <f t="shared" si="28"/>
        <v>1476</v>
      </c>
      <c r="AG41" s="13">
        <f t="shared" si="29"/>
        <v>1092</v>
      </c>
      <c r="AH41" s="4">
        <f t="shared" si="30"/>
        <v>0</v>
      </c>
      <c r="AI41">
        <f t="shared" si="31"/>
        <v>0</v>
      </c>
      <c r="AJ41">
        <f t="shared" si="32"/>
        <v>0</v>
      </c>
    </row>
    <row r="42" spans="2:647" x14ac:dyDescent="0.3">
      <c r="B42" t="s">
        <v>29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>
        <v>-121</v>
      </c>
      <c r="O42" s="4">
        <v>1</v>
      </c>
      <c r="P42" s="23">
        <v>12</v>
      </c>
      <c r="Q42" s="23">
        <v>-21</v>
      </c>
      <c r="AE42" s="4">
        <f t="shared" si="27"/>
        <v>0</v>
      </c>
      <c r="AF42" s="4">
        <f t="shared" si="28"/>
        <v>0</v>
      </c>
      <c r="AG42" s="13">
        <f t="shared" si="29"/>
        <v>-120</v>
      </c>
      <c r="AH42" s="4">
        <f t="shared" si="30"/>
        <v>-9</v>
      </c>
      <c r="AI42">
        <f t="shared" si="31"/>
        <v>0</v>
      </c>
      <c r="AJ42">
        <f t="shared" si="32"/>
        <v>0</v>
      </c>
    </row>
    <row r="43" spans="2:647" s="2" customFormat="1" x14ac:dyDescent="0.3">
      <c r="B43" s="2" t="s">
        <v>30</v>
      </c>
      <c r="D43" s="5">
        <f t="shared" ref="D43:P43" si="35">SUM(D37:D42)</f>
        <v>7633</v>
      </c>
      <c r="E43" s="5">
        <f t="shared" si="35"/>
        <v>7608</v>
      </c>
      <c r="F43" s="5">
        <f t="shared" si="35"/>
        <v>7145</v>
      </c>
      <c r="G43" s="5">
        <f t="shared" si="35"/>
        <v>9093</v>
      </c>
      <c r="H43" s="5">
        <f t="shared" si="35"/>
        <v>7883</v>
      </c>
      <c r="I43" s="5">
        <f t="shared" si="35"/>
        <v>6801</v>
      </c>
      <c r="J43" s="5">
        <f t="shared" si="35"/>
        <v>7064</v>
      </c>
      <c r="K43" s="5">
        <f t="shared" si="35"/>
        <v>11496</v>
      </c>
      <c r="L43" s="5">
        <f t="shared" si="35"/>
        <v>8173</v>
      </c>
      <c r="M43" s="5">
        <f t="shared" si="35"/>
        <v>8413</v>
      </c>
      <c r="N43" s="5">
        <f t="shared" si="35"/>
        <v>8154</v>
      </c>
      <c r="O43" s="5">
        <f t="shared" si="35"/>
        <v>10470</v>
      </c>
      <c r="P43" s="25">
        <f t="shared" si="35"/>
        <v>8593</v>
      </c>
      <c r="Q43" s="25">
        <f t="shared" ref="Q43" si="36">SUM(Q37:Q42)</f>
        <v>10642</v>
      </c>
      <c r="AE43" s="5">
        <f t="shared" si="27"/>
        <v>31479</v>
      </c>
      <c r="AF43" s="5">
        <f t="shared" si="28"/>
        <v>33244</v>
      </c>
      <c r="AG43" s="14">
        <f t="shared" si="29"/>
        <v>35210</v>
      </c>
      <c r="AH43" s="5">
        <f t="shared" si="30"/>
        <v>19235</v>
      </c>
      <c r="AI43" s="2">
        <f t="shared" si="31"/>
        <v>0</v>
      </c>
      <c r="AJ43" s="2">
        <f t="shared" si="32"/>
        <v>0</v>
      </c>
    </row>
    <row r="44" spans="2:647" s="2" customFormat="1" x14ac:dyDescent="0.3">
      <c r="B44" s="2" t="s">
        <v>31</v>
      </c>
      <c r="D44" s="5">
        <f t="shared" ref="D44:P44" si="37">D36-D43</f>
        <v>2637</v>
      </c>
      <c r="E44" s="5">
        <f t="shared" si="37"/>
        <v>3724</v>
      </c>
      <c r="F44" s="5">
        <f t="shared" si="37"/>
        <v>3534</v>
      </c>
      <c r="G44" s="5">
        <f t="shared" si="37"/>
        <v>5079</v>
      </c>
      <c r="H44" s="5">
        <f t="shared" si="37"/>
        <v>2219</v>
      </c>
      <c r="I44" s="5">
        <f t="shared" si="37"/>
        <v>5860</v>
      </c>
      <c r="J44" s="5">
        <f t="shared" si="37"/>
        <v>4603</v>
      </c>
      <c r="K44" s="5">
        <f t="shared" si="37"/>
        <v>3171</v>
      </c>
      <c r="L44" s="5">
        <f t="shared" si="37"/>
        <v>2045</v>
      </c>
      <c r="M44" s="5">
        <f t="shared" si="37"/>
        <v>4952</v>
      </c>
      <c r="N44" s="5">
        <f t="shared" si="37"/>
        <v>5023</v>
      </c>
      <c r="O44" s="5">
        <f t="shared" si="37"/>
        <v>5645</v>
      </c>
      <c r="P44" s="25">
        <f t="shared" si="37"/>
        <v>3923</v>
      </c>
      <c r="Q44" s="25">
        <f t="shared" ref="Q44" si="38">Q36-Q43</f>
        <v>4884</v>
      </c>
      <c r="AE44" s="5">
        <f t="shared" si="27"/>
        <v>14974</v>
      </c>
      <c r="AF44" s="5">
        <f t="shared" si="28"/>
        <v>15853</v>
      </c>
      <c r="AG44" s="14">
        <f t="shared" si="29"/>
        <v>17665</v>
      </c>
      <c r="AH44" s="5">
        <f t="shared" si="30"/>
        <v>8807</v>
      </c>
      <c r="AI44" s="2">
        <f t="shared" si="31"/>
        <v>0</v>
      </c>
      <c r="AJ44" s="2">
        <f t="shared" si="32"/>
        <v>0</v>
      </c>
    </row>
    <row r="45" spans="2:647" x14ac:dyDescent="0.3">
      <c r="B45" t="s">
        <v>32</v>
      </c>
      <c r="D45" s="4">
        <f>-5791-188+256</f>
        <v>-5723</v>
      </c>
      <c r="E45" s="4">
        <f>802-186+16</f>
        <v>632</v>
      </c>
      <c r="F45" s="4">
        <f>-5968-195+414</f>
        <v>-5749</v>
      </c>
      <c r="G45" s="4">
        <f>2250-225+212</f>
        <v>2237</v>
      </c>
      <c r="H45" s="4">
        <f>1528-253+191</f>
        <v>1466</v>
      </c>
      <c r="I45" s="4">
        <f>-814-246+188</f>
        <v>-872</v>
      </c>
      <c r="J45" s="4">
        <f>704-254+191</f>
        <v>641</v>
      </c>
      <c r="K45" s="4">
        <f>-493-301+62</f>
        <v>-732</v>
      </c>
      <c r="L45" s="4">
        <f>-790-301+410</f>
        <v>-681</v>
      </c>
      <c r="M45" s="4">
        <f>-203-301+35</f>
        <v>-469</v>
      </c>
      <c r="N45" s="4">
        <f>2652-346-211</f>
        <v>2095</v>
      </c>
      <c r="O45" s="4">
        <f>1527-340+628</f>
        <v>1815</v>
      </c>
      <c r="P45" s="23">
        <f>-1036-344+3</f>
        <v>-1377</v>
      </c>
      <c r="Q45" s="23">
        <f>2426-346+48</f>
        <v>2128</v>
      </c>
      <c r="AE45" s="4">
        <f t="shared" si="27"/>
        <v>-8603</v>
      </c>
      <c r="AF45" s="4">
        <f t="shared" si="28"/>
        <v>503</v>
      </c>
      <c r="AG45" s="13">
        <f t="shared" si="29"/>
        <v>2760</v>
      </c>
      <c r="AH45" s="4">
        <f t="shared" si="30"/>
        <v>751</v>
      </c>
      <c r="AI45">
        <f t="shared" si="31"/>
        <v>0</v>
      </c>
      <c r="AJ45">
        <f t="shared" si="32"/>
        <v>0</v>
      </c>
    </row>
    <row r="46" spans="2:647" s="2" customFormat="1" x14ac:dyDescent="0.3">
      <c r="B46" s="2" t="s">
        <v>33</v>
      </c>
      <c r="D46" s="5">
        <f t="shared" ref="D46:P46" si="39">D44+D45</f>
        <v>-3086</v>
      </c>
      <c r="E46" s="5">
        <f t="shared" si="39"/>
        <v>4356</v>
      </c>
      <c r="F46" s="5">
        <f t="shared" si="39"/>
        <v>-2215</v>
      </c>
      <c r="G46" s="5">
        <f t="shared" si="39"/>
        <v>7316</v>
      </c>
      <c r="H46" s="5">
        <f t="shared" si="39"/>
        <v>3685</v>
      </c>
      <c r="I46" s="5">
        <f t="shared" si="39"/>
        <v>4988</v>
      </c>
      <c r="J46" s="5">
        <f t="shared" si="39"/>
        <v>5244</v>
      </c>
      <c r="K46" s="5">
        <f t="shared" si="39"/>
        <v>2439</v>
      </c>
      <c r="L46" s="5">
        <f t="shared" si="39"/>
        <v>1364</v>
      </c>
      <c r="M46" s="5">
        <f t="shared" si="39"/>
        <v>4483</v>
      </c>
      <c r="N46" s="5">
        <f t="shared" si="39"/>
        <v>7118</v>
      </c>
      <c r="O46" s="5">
        <f t="shared" si="39"/>
        <v>7460</v>
      </c>
      <c r="P46" s="25">
        <f t="shared" si="39"/>
        <v>2546</v>
      </c>
      <c r="Q46" s="25">
        <f t="shared" ref="Q46" si="40">Q44+Q45</f>
        <v>7012</v>
      </c>
      <c r="AE46" s="5">
        <f t="shared" si="27"/>
        <v>6371</v>
      </c>
      <c r="AF46" s="5">
        <f t="shared" si="28"/>
        <v>16356</v>
      </c>
      <c r="AG46" s="14">
        <f t="shared" si="29"/>
        <v>20425</v>
      </c>
      <c r="AH46" s="5">
        <f t="shared" si="30"/>
        <v>9558</v>
      </c>
      <c r="AI46" s="2">
        <f t="shared" si="31"/>
        <v>0</v>
      </c>
      <c r="AJ46" s="2">
        <f t="shared" si="32"/>
        <v>0</v>
      </c>
    </row>
    <row r="47" spans="2:647" x14ac:dyDescent="0.3">
      <c r="B47" t="s">
        <v>34</v>
      </c>
      <c r="D47" s="4">
        <f>-328+518</f>
        <v>190</v>
      </c>
      <c r="E47" s="4">
        <f>-806-520</f>
        <v>-1326</v>
      </c>
      <c r="F47" s="4">
        <f>-362-581</f>
        <v>-943</v>
      </c>
      <c r="G47" s="4">
        <f>-554-129</f>
        <v>-683</v>
      </c>
      <c r="H47" s="4">
        <f>-547+65</f>
        <v>-482</v>
      </c>
      <c r="I47" s="4">
        <f>-830+393</f>
        <v>-437</v>
      </c>
      <c r="J47" s="4">
        <f>-795-790</f>
        <v>-1585</v>
      </c>
      <c r="K47" s="4">
        <f>-702-228</f>
        <v>-930</v>
      </c>
      <c r="L47" s="4">
        <f>-793-444</f>
        <v>-1237</v>
      </c>
      <c r="M47" s="4">
        <f>-1384+207</f>
        <v>-1177</v>
      </c>
      <c r="N47" s="4">
        <f>-1052+139</f>
        <v>-913</v>
      </c>
      <c r="O47" s="4">
        <f>-1528+429</f>
        <v>-1099</v>
      </c>
      <c r="P47" s="23">
        <f>-945+49</f>
        <v>-896</v>
      </c>
      <c r="Q47" s="23">
        <f>-1237+141</f>
        <v>-1096</v>
      </c>
      <c r="AE47" s="4">
        <f t="shared" si="27"/>
        <v>-2762</v>
      </c>
      <c r="AF47" s="4">
        <f t="shared" si="28"/>
        <v>-3434</v>
      </c>
      <c r="AG47" s="13">
        <f t="shared" si="29"/>
        <v>-4426</v>
      </c>
      <c r="AH47" s="4">
        <f t="shared" si="30"/>
        <v>-1992</v>
      </c>
      <c r="AI47">
        <f t="shared" si="31"/>
        <v>0</v>
      </c>
      <c r="AJ47">
        <f t="shared" si="32"/>
        <v>0</v>
      </c>
    </row>
    <row r="48" spans="2:647" s="5" customFormat="1" x14ac:dyDescent="0.3">
      <c r="B48" s="5" t="s">
        <v>35</v>
      </c>
      <c r="D48" s="5">
        <f t="shared" ref="D48:P48" si="41">D46+D47</f>
        <v>-2896</v>
      </c>
      <c r="E48" s="5">
        <f t="shared" si="41"/>
        <v>3030</v>
      </c>
      <c r="F48" s="5">
        <f t="shared" si="41"/>
        <v>-3158</v>
      </c>
      <c r="G48" s="5">
        <f t="shared" si="41"/>
        <v>6633</v>
      </c>
      <c r="H48" s="5">
        <f t="shared" si="41"/>
        <v>3203</v>
      </c>
      <c r="I48" s="5">
        <f t="shared" si="41"/>
        <v>4551</v>
      </c>
      <c r="J48" s="5">
        <f t="shared" si="41"/>
        <v>3659</v>
      </c>
      <c r="K48" s="5">
        <f t="shared" si="41"/>
        <v>1509</v>
      </c>
      <c r="L48" s="5">
        <f t="shared" si="41"/>
        <v>127</v>
      </c>
      <c r="M48" s="5">
        <f t="shared" si="41"/>
        <v>3306</v>
      </c>
      <c r="N48" s="5">
        <f t="shared" si="41"/>
        <v>6205</v>
      </c>
      <c r="O48" s="5">
        <f t="shared" si="41"/>
        <v>6361</v>
      </c>
      <c r="P48" s="25">
        <f t="shared" si="41"/>
        <v>1650</v>
      </c>
      <c r="Q48" s="25">
        <f>Q46+Q47</f>
        <v>5916</v>
      </c>
      <c r="R48" s="5">
        <f>25930*0.14</f>
        <v>3630.2000000000003</v>
      </c>
      <c r="S48" s="5">
        <f>40840*0.14</f>
        <v>5717.6</v>
      </c>
      <c r="T48" s="5">
        <f>24910*0.14</f>
        <v>3487.4000000000005</v>
      </c>
      <c r="U48" s="5">
        <f>U34*0.1</f>
        <v>3822.5600000000009</v>
      </c>
      <c r="V48" s="5">
        <f t="shared" ref="V48:AA48" si="42">V34*0.1</f>
        <v>3952.0600000000009</v>
      </c>
      <c r="W48" s="5">
        <f t="shared" si="42"/>
        <v>4640.72</v>
      </c>
      <c r="X48" s="5">
        <f t="shared" si="42"/>
        <v>3892.7000000000007</v>
      </c>
      <c r="Y48" s="5">
        <f t="shared" si="42"/>
        <v>4238.6400000000003</v>
      </c>
      <c r="Z48" s="5">
        <f t="shared" si="42"/>
        <v>4347.2660000000014</v>
      </c>
      <c r="AA48" s="5">
        <f t="shared" si="42"/>
        <v>5104.7920000000013</v>
      </c>
      <c r="AE48" s="5">
        <f t="shared" si="27"/>
        <v>3609</v>
      </c>
      <c r="AF48" s="5">
        <f t="shared" si="28"/>
        <v>12922</v>
      </c>
      <c r="AG48" s="14">
        <f t="shared" si="29"/>
        <v>15999</v>
      </c>
      <c r="AH48" s="5">
        <f>SUM(P48:S48)</f>
        <v>16913.800000000003</v>
      </c>
      <c r="AI48" s="5">
        <f t="shared" si="31"/>
        <v>15902.740000000002</v>
      </c>
      <c r="AJ48" s="5">
        <f t="shared" si="32"/>
        <v>17583.398000000005</v>
      </c>
      <c r="AK48" s="5">
        <f>AK34*0.1</f>
        <v>17935.065960000004</v>
      </c>
      <c r="AL48" s="5">
        <f t="shared" ref="AL48:AR48" si="43">AL34*0.1</f>
        <v>18293.767279200005</v>
      </c>
      <c r="AM48" s="5">
        <f t="shared" si="43"/>
        <v>18659.642624784006</v>
      </c>
      <c r="AN48" s="5">
        <f t="shared" si="43"/>
        <v>19032.835477279685</v>
      </c>
      <c r="AO48" s="5">
        <f t="shared" si="43"/>
        <v>19413.492186825282</v>
      </c>
      <c r="AP48" s="5">
        <f t="shared" si="43"/>
        <v>19801.762030561789</v>
      </c>
      <c r="AQ48" s="5">
        <f t="shared" si="43"/>
        <v>20197.797271173025</v>
      </c>
      <c r="AR48" s="5">
        <f t="shared" si="43"/>
        <v>20601.753216596484</v>
      </c>
      <c r="AS48" s="5">
        <f>AR48*(1+$AU$50)</f>
        <v>20395.735684430518</v>
      </c>
      <c r="AT48" s="5">
        <f>AS48*(1+$AU$50)</f>
        <v>20191.778327586213</v>
      </c>
      <c r="AU48" s="5">
        <f t="shared" ref="AU48:DF48" si="44">AT48*(1+$AU$50)</f>
        <v>19989.860544310352</v>
      </c>
      <c r="AV48" s="5">
        <f t="shared" si="44"/>
        <v>19789.961938867247</v>
      </c>
      <c r="AW48" s="5">
        <f t="shared" si="44"/>
        <v>19592.062319478573</v>
      </c>
      <c r="AX48" s="5">
        <f t="shared" si="44"/>
        <v>19396.141696283787</v>
      </c>
      <c r="AY48" s="5">
        <f t="shared" si="44"/>
        <v>19202.18027932095</v>
      </c>
      <c r="AZ48" s="5">
        <f t="shared" si="44"/>
        <v>19010.15847652774</v>
      </c>
      <c r="BA48" s="5">
        <f t="shared" si="44"/>
        <v>18820.056891762462</v>
      </c>
      <c r="BB48" s="5">
        <f t="shared" si="44"/>
        <v>18631.856322844837</v>
      </c>
      <c r="BC48" s="5">
        <f t="shared" si="44"/>
        <v>18445.537759616389</v>
      </c>
      <c r="BD48" s="5">
        <f t="shared" si="44"/>
        <v>18261.082382020224</v>
      </c>
      <c r="BE48" s="5">
        <f t="shared" si="44"/>
        <v>18078.471558200021</v>
      </c>
      <c r="BF48" s="5">
        <f t="shared" si="44"/>
        <v>17897.686842618019</v>
      </c>
      <c r="BG48" s="5">
        <f t="shared" si="44"/>
        <v>17718.709974191839</v>
      </c>
      <c r="BH48" s="5">
        <f t="shared" si="44"/>
        <v>17541.522874449922</v>
      </c>
      <c r="BI48" s="5">
        <f t="shared" si="44"/>
        <v>17366.107645705422</v>
      </c>
      <c r="BJ48" s="5">
        <f t="shared" si="44"/>
        <v>17192.446569248368</v>
      </c>
      <c r="BK48" s="5">
        <f t="shared" si="44"/>
        <v>17020.522103555886</v>
      </c>
      <c r="BL48" s="5">
        <f t="shared" si="44"/>
        <v>16850.316882520328</v>
      </c>
      <c r="BM48" s="5">
        <f t="shared" si="44"/>
        <v>16681.813713695126</v>
      </c>
      <c r="BN48" s="5">
        <f t="shared" si="44"/>
        <v>16514.995576558176</v>
      </c>
      <c r="BO48" s="5">
        <f t="shared" si="44"/>
        <v>16349.845620792594</v>
      </c>
      <c r="BP48" s="5">
        <f t="shared" si="44"/>
        <v>16186.347164584668</v>
      </c>
      <c r="BQ48" s="5">
        <f t="shared" si="44"/>
        <v>16024.48369293882</v>
      </c>
      <c r="BR48" s="5">
        <f t="shared" si="44"/>
        <v>15864.238856009431</v>
      </c>
      <c r="BS48" s="5">
        <f t="shared" si="44"/>
        <v>15705.596467449337</v>
      </c>
      <c r="BT48" s="5">
        <f t="shared" si="44"/>
        <v>15548.540502774844</v>
      </c>
      <c r="BU48" s="5">
        <f t="shared" si="44"/>
        <v>15393.055097747096</v>
      </c>
      <c r="BV48" s="5">
        <f t="shared" si="44"/>
        <v>15239.124546769624</v>
      </c>
      <c r="BW48" s="5">
        <f t="shared" si="44"/>
        <v>15086.733301301929</v>
      </c>
      <c r="BX48" s="5">
        <f t="shared" si="44"/>
        <v>14935.86596828891</v>
      </c>
      <c r="BY48" s="5">
        <f t="shared" si="44"/>
        <v>14786.50730860602</v>
      </c>
      <c r="BZ48" s="5">
        <f t="shared" si="44"/>
        <v>14638.642235519959</v>
      </c>
      <c r="CA48" s="5">
        <f t="shared" si="44"/>
        <v>14492.25581316476</v>
      </c>
      <c r="CB48" s="5">
        <f t="shared" si="44"/>
        <v>14347.333255033112</v>
      </c>
      <c r="CC48" s="5">
        <f t="shared" si="44"/>
        <v>14203.859922482781</v>
      </c>
      <c r="CD48" s="5">
        <f t="shared" si="44"/>
        <v>14061.821323257953</v>
      </c>
      <c r="CE48" s="5">
        <f t="shared" si="44"/>
        <v>13921.203110025373</v>
      </c>
      <c r="CF48" s="5">
        <f t="shared" si="44"/>
        <v>13781.991078925119</v>
      </c>
      <c r="CG48" s="5">
        <f t="shared" si="44"/>
        <v>13644.171168135868</v>
      </c>
      <c r="CH48" s="5">
        <f t="shared" si="44"/>
        <v>13507.72945645451</v>
      </c>
      <c r="CI48" s="5">
        <f t="shared" si="44"/>
        <v>13372.652161889964</v>
      </c>
      <c r="CJ48" s="5">
        <f t="shared" si="44"/>
        <v>13238.925640271065</v>
      </c>
      <c r="CK48" s="5">
        <f t="shared" si="44"/>
        <v>13106.536383868355</v>
      </c>
      <c r="CL48" s="5">
        <f t="shared" si="44"/>
        <v>12975.471020029672</v>
      </c>
      <c r="CM48" s="5">
        <f t="shared" si="44"/>
        <v>12845.716309829375</v>
      </c>
      <c r="CN48" s="5">
        <f t="shared" si="44"/>
        <v>12717.259146731081</v>
      </c>
      <c r="CO48" s="5">
        <f t="shared" si="44"/>
        <v>12590.08655526377</v>
      </c>
      <c r="CP48" s="5">
        <f t="shared" si="44"/>
        <v>12464.185689711132</v>
      </c>
      <c r="CQ48" s="5">
        <f t="shared" si="44"/>
        <v>12339.543832814021</v>
      </c>
      <c r="CR48" s="5">
        <f t="shared" si="44"/>
        <v>12216.148394485881</v>
      </c>
      <c r="CS48" s="5">
        <f t="shared" si="44"/>
        <v>12093.986910541022</v>
      </c>
      <c r="CT48" s="5">
        <f t="shared" si="44"/>
        <v>11973.047041435611</v>
      </c>
      <c r="CU48" s="5">
        <f t="shared" si="44"/>
        <v>11853.316571021254</v>
      </c>
      <c r="CV48" s="5">
        <f t="shared" si="44"/>
        <v>11734.783405311042</v>
      </c>
      <c r="CW48" s="5">
        <f t="shared" si="44"/>
        <v>11617.435571257931</v>
      </c>
      <c r="CX48" s="5">
        <f t="shared" si="44"/>
        <v>11501.261215545352</v>
      </c>
      <c r="CY48" s="5">
        <f t="shared" si="44"/>
        <v>11386.248603389899</v>
      </c>
      <c r="CZ48" s="5">
        <f t="shared" si="44"/>
        <v>11272.386117356</v>
      </c>
      <c r="DA48" s="5">
        <f t="shared" si="44"/>
        <v>11159.662256182441</v>
      </c>
      <c r="DB48" s="5">
        <f t="shared" si="44"/>
        <v>11048.065633620616</v>
      </c>
      <c r="DC48" s="5">
        <f t="shared" si="44"/>
        <v>10937.58497728441</v>
      </c>
      <c r="DD48" s="5">
        <f t="shared" si="44"/>
        <v>10828.209127511565</v>
      </c>
      <c r="DE48" s="5">
        <f t="shared" si="44"/>
        <v>10719.92703623645</v>
      </c>
      <c r="DF48" s="5">
        <f t="shared" si="44"/>
        <v>10612.727765874084</v>
      </c>
      <c r="DG48" s="5">
        <f t="shared" ref="DG48:FR48" si="45">DF48*(1+$AU$50)</f>
        <v>10506.600488215343</v>
      </c>
      <c r="DH48" s="5">
        <f t="shared" si="45"/>
        <v>10401.534483333189</v>
      </c>
      <c r="DI48" s="5">
        <f t="shared" si="45"/>
        <v>10297.519138499858</v>
      </c>
      <c r="DJ48" s="5">
        <f t="shared" si="45"/>
        <v>10194.543947114858</v>
      </c>
      <c r="DK48" s="5">
        <f t="shared" si="45"/>
        <v>10092.59850764371</v>
      </c>
      <c r="DL48" s="5">
        <f t="shared" si="45"/>
        <v>9991.6725225672726</v>
      </c>
      <c r="DM48" s="5">
        <f t="shared" si="45"/>
        <v>9891.7557973416006</v>
      </c>
      <c r="DN48" s="5">
        <f t="shared" si="45"/>
        <v>9792.8382393681841</v>
      </c>
      <c r="DO48" s="5">
        <f t="shared" si="45"/>
        <v>9694.909856974502</v>
      </c>
      <c r="DP48" s="5">
        <f t="shared" si="45"/>
        <v>9597.9607584047571</v>
      </c>
      <c r="DQ48" s="5">
        <f t="shared" si="45"/>
        <v>9501.9811508207094</v>
      </c>
      <c r="DR48" s="5">
        <f t="shared" si="45"/>
        <v>9406.9613393125019</v>
      </c>
      <c r="DS48" s="5">
        <f t="shared" si="45"/>
        <v>9312.8917259193768</v>
      </c>
      <c r="DT48" s="5">
        <f t="shared" si="45"/>
        <v>9219.7628086601835</v>
      </c>
      <c r="DU48" s="5">
        <f t="shared" si="45"/>
        <v>9127.5651805735815</v>
      </c>
      <c r="DV48" s="5">
        <f t="shared" si="45"/>
        <v>9036.2895287678457</v>
      </c>
      <c r="DW48" s="5">
        <f t="shared" si="45"/>
        <v>8945.9266334801669</v>
      </c>
      <c r="DX48" s="5">
        <f t="shared" si="45"/>
        <v>8856.4673671453656</v>
      </c>
      <c r="DY48" s="5">
        <f t="shared" si="45"/>
        <v>8767.9026934739122</v>
      </c>
      <c r="DZ48" s="5">
        <f t="shared" si="45"/>
        <v>8680.2236665391738</v>
      </c>
      <c r="EA48" s="5">
        <f t="shared" si="45"/>
        <v>8593.4214298737825</v>
      </c>
      <c r="EB48" s="5">
        <f t="shared" si="45"/>
        <v>8507.4872155750454</v>
      </c>
      <c r="EC48" s="5">
        <f t="shared" si="45"/>
        <v>8422.4123434192952</v>
      </c>
      <c r="ED48" s="5">
        <f t="shared" si="45"/>
        <v>8338.1882199851025</v>
      </c>
      <c r="EE48" s="5">
        <f t="shared" si="45"/>
        <v>8254.8063377852523</v>
      </c>
      <c r="EF48" s="5">
        <f t="shared" si="45"/>
        <v>8172.2582744073998</v>
      </c>
      <c r="EG48" s="5">
        <f t="shared" si="45"/>
        <v>8090.5356916633255</v>
      </c>
      <c r="EH48" s="5">
        <f t="shared" si="45"/>
        <v>8009.6303347466919</v>
      </c>
      <c r="EI48" s="5">
        <f t="shared" si="45"/>
        <v>7929.5340313992247</v>
      </c>
      <c r="EJ48" s="5">
        <f t="shared" si="45"/>
        <v>7850.2386910852319</v>
      </c>
      <c r="EK48" s="5">
        <f t="shared" si="45"/>
        <v>7771.7363041743793</v>
      </c>
      <c r="EL48" s="5">
        <f t="shared" si="45"/>
        <v>7694.0189411326355</v>
      </c>
      <c r="EM48" s="5">
        <f t="shared" si="45"/>
        <v>7617.0787517213093</v>
      </c>
      <c r="EN48" s="5">
        <f t="shared" si="45"/>
        <v>7540.9079642040961</v>
      </c>
      <c r="EO48" s="5">
        <f t="shared" si="45"/>
        <v>7465.4988845620546</v>
      </c>
      <c r="EP48" s="5">
        <f t="shared" si="45"/>
        <v>7390.8438957164344</v>
      </c>
      <c r="EQ48" s="5">
        <f t="shared" si="45"/>
        <v>7316.93545675927</v>
      </c>
      <c r="ER48" s="5">
        <f t="shared" si="45"/>
        <v>7243.7661021916774</v>
      </c>
      <c r="ES48" s="5">
        <f t="shared" si="45"/>
        <v>7171.3284411697605</v>
      </c>
      <c r="ET48" s="5">
        <f t="shared" si="45"/>
        <v>7099.6151567580628</v>
      </c>
      <c r="EU48" s="5">
        <f t="shared" si="45"/>
        <v>7028.6190051904823</v>
      </c>
      <c r="EV48" s="5">
        <f t="shared" si="45"/>
        <v>6958.3328151385776</v>
      </c>
      <c r="EW48" s="5">
        <f t="shared" si="45"/>
        <v>6888.7494869871916</v>
      </c>
      <c r="EX48" s="5">
        <f t="shared" si="45"/>
        <v>6819.8619921173195</v>
      </c>
      <c r="EY48" s="5">
        <f t="shared" si="45"/>
        <v>6751.6633721961462</v>
      </c>
      <c r="EZ48" s="5">
        <f t="shared" si="45"/>
        <v>6684.1467384741845</v>
      </c>
      <c r="FA48" s="5">
        <f t="shared" si="45"/>
        <v>6617.3052710894426</v>
      </c>
      <c r="FB48" s="5">
        <f t="shared" si="45"/>
        <v>6551.1322183785478</v>
      </c>
      <c r="FC48" s="5">
        <f t="shared" si="45"/>
        <v>6485.6208961947623</v>
      </c>
      <c r="FD48" s="5">
        <f t="shared" si="45"/>
        <v>6420.764687232815</v>
      </c>
      <c r="FE48" s="5">
        <f t="shared" si="45"/>
        <v>6356.557040360487</v>
      </c>
      <c r="FF48" s="5">
        <f t="shared" si="45"/>
        <v>6292.9914699568817</v>
      </c>
      <c r="FG48" s="5">
        <f t="shared" si="45"/>
        <v>6230.0615552573126</v>
      </c>
      <c r="FH48" s="5">
        <f t="shared" si="45"/>
        <v>6167.760939704739</v>
      </c>
      <c r="FI48" s="5">
        <f t="shared" si="45"/>
        <v>6106.0833303076915</v>
      </c>
      <c r="FJ48" s="5">
        <f t="shared" si="45"/>
        <v>6045.0224970046147</v>
      </c>
      <c r="FK48" s="5">
        <f t="shared" si="45"/>
        <v>5984.5722720345684</v>
      </c>
      <c r="FL48" s="5">
        <f t="shared" si="45"/>
        <v>5924.7265493142231</v>
      </c>
      <c r="FM48" s="5">
        <f t="shared" si="45"/>
        <v>5865.4792838210806</v>
      </c>
      <c r="FN48" s="5">
        <f t="shared" si="45"/>
        <v>5806.82449098287</v>
      </c>
      <c r="FO48" s="5">
        <f t="shared" si="45"/>
        <v>5748.7562460730414</v>
      </c>
      <c r="FP48" s="5">
        <f t="shared" si="45"/>
        <v>5691.2686836123112</v>
      </c>
      <c r="FQ48" s="5">
        <f t="shared" si="45"/>
        <v>5634.3559967761876</v>
      </c>
      <c r="FR48" s="5">
        <f t="shared" si="45"/>
        <v>5578.0124368084253</v>
      </c>
      <c r="FS48" s="5">
        <f t="shared" ref="FS48:ID48" si="46">FR48*(1+$AU$50)</f>
        <v>5522.232312440341</v>
      </c>
      <c r="FT48" s="5">
        <f t="shared" si="46"/>
        <v>5467.0099893159377</v>
      </c>
      <c r="FU48" s="5">
        <f t="shared" si="46"/>
        <v>5412.3398894227785</v>
      </c>
      <c r="FV48" s="5">
        <f t="shared" si="46"/>
        <v>5358.2164905285508</v>
      </c>
      <c r="FW48" s="5">
        <f t="shared" si="46"/>
        <v>5304.6343256232649</v>
      </c>
      <c r="FX48" s="5">
        <f t="shared" si="46"/>
        <v>5251.5879823670321</v>
      </c>
      <c r="FY48" s="5">
        <f t="shared" si="46"/>
        <v>5199.0721025433613</v>
      </c>
      <c r="FZ48" s="5">
        <f t="shared" si="46"/>
        <v>5147.0813815179281</v>
      </c>
      <c r="GA48" s="5">
        <f t="shared" si="46"/>
        <v>5095.610567702749</v>
      </c>
      <c r="GB48" s="5">
        <f t="shared" si="46"/>
        <v>5044.6544620257218</v>
      </c>
      <c r="GC48" s="5">
        <f t="shared" si="46"/>
        <v>4994.2079174054643</v>
      </c>
      <c r="GD48" s="5">
        <f t="shared" si="46"/>
        <v>4944.2658382314094</v>
      </c>
      <c r="GE48" s="5">
        <f t="shared" si="46"/>
        <v>4894.8231798490951</v>
      </c>
      <c r="GF48" s="5">
        <f t="shared" si="46"/>
        <v>4845.874948050604</v>
      </c>
      <c r="GG48" s="5">
        <f t="shared" si="46"/>
        <v>4797.4161985700975</v>
      </c>
      <c r="GH48" s="5">
        <f t="shared" si="46"/>
        <v>4749.4420365843962</v>
      </c>
      <c r="GI48" s="5">
        <f t="shared" si="46"/>
        <v>4701.947616218552</v>
      </c>
      <c r="GJ48" s="5">
        <f t="shared" si="46"/>
        <v>4654.9281400563668</v>
      </c>
      <c r="GK48" s="5">
        <f t="shared" si="46"/>
        <v>4608.378858655803</v>
      </c>
      <c r="GL48" s="5">
        <f t="shared" si="46"/>
        <v>4562.2950700692445</v>
      </c>
      <c r="GM48" s="5">
        <f t="shared" si="46"/>
        <v>4516.6721193685516</v>
      </c>
      <c r="GN48" s="5">
        <f t="shared" si="46"/>
        <v>4471.5053981748661</v>
      </c>
      <c r="GO48" s="5">
        <f t="shared" si="46"/>
        <v>4426.7903441931176</v>
      </c>
      <c r="GP48" s="5">
        <f t="shared" si="46"/>
        <v>4382.522440751186</v>
      </c>
      <c r="GQ48" s="5">
        <f t="shared" si="46"/>
        <v>4338.697216343674</v>
      </c>
      <c r="GR48" s="5">
        <f t="shared" si="46"/>
        <v>4295.3102441802375</v>
      </c>
      <c r="GS48" s="5">
        <f t="shared" si="46"/>
        <v>4252.3571417384355</v>
      </c>
      <c r="GT48" s="5">
        <f t="shared" si="46"/>
        <v>4209.8335703210514</v>
      </c>
      <c r="GU48" s="5">
        <f t="shared" si="46"/>
        <v>4167.7352346178404</v>
      </c>
      <c r="GV48" s="5">
        <f t="shared" si="46"/>
        <v>4126.0578822716616</v>
      </c>
      <c r="GW48" s="5">
        <f t="shared" si="46"/>
        <v>4084.7973034489451</v>
      </c>
      <c r="GX48" s="5">
        <f t="shared" si="46"/>
        <v>4043.9493304144557</v>
      </c>
      <c r="GY48" s="5">
        <f t="shared" si="46"/>
        <v>4003.5098371103113</v>
      </c>
      <c r="GZ48" s="5">
        <f t="shared" si="46"/>
        <v>3963.4747387392081</v>
      </c>
      <c r="HA48" s="5">
        <f t="shared" si="46"/>
        <v>3923.839991351816</v>
      </c>
      <c r="HB48" s="5">
        <f t="shared" si="46"/>
        <v>3884.6015914382979</v>
      </c>
      <c r="HC48" s="5">
        <f t="shared" si="46"/>
        <v>3845.755575523915</v>
      </c>
      <c r="HD48" s="5">
        <f t="shared" si="46"/>
        <v>3807.2980197686757</v>
      </c>
      <c r="HE48" s="5">
        <f t="shared" si="46"/>
        <v>3769.2250395709889</v>
      </c>
      <c r="HF48" s="5">
        <f t="shared" si="46"/>
        <v>3731.532789175279</v>
      </c>
      <c r="HG48" s="5">
        <f t="shared" si="46"/>
        <v>3694.2174612835261</v>
      </c>
      <c r="HH48" s="5">
        <f t="shared" si="46"/>
        <v>3657.2752866706905</v>
      </c>
      <c r="HI48" s="5">
        <f t="shared" si="46"/>
        <v>3620.7025338039834</v>
      </c>
      <c r="HJ48" s="5">
        <f t="shared" si="46"/>
        <v>3584.4955084659437</v>
      </c>
      <c r="HK48" s="5">
        <f t="shared" si="46"/>
        <v>3548.6505533812842</v>
      </c>
      <c r="HL48" s="5">
        <f t="shared" si="46"/>
        <v>3513.1640478474715</v>
      </c>
      <c r="HM48" s="5">
        <f t="shared" si="46"/>
        <v>3478.0324073689967</v>
      </c>
      <c r="HN48" s="5">
        <f t="shared" si="46"/>
        <v>3443.2520832953069</v>
      </c>
      <c r="HO48" s="5">
        <f t="shared" si="46"/>
        <v>3408.8195624623536</v>
      </c>
      <c r="HP48" s="5">
        <f t="shared" si="46"/>
        <v>3374.7313668377301</v>
      </c>
      <c r="HQ48" s="5">
        <f t="shared" si="46"/>
        <v>3340.9840531693526</v>
      </c>
      <c r="HR48" s="5">
        <f t="shared" si="46"/>
        <v>3307.574212637659</v>
      </c>
      <c r="HS48" s="5">
        <f t="shared" si="46"/>
        <v>3274.4984705112824</v>
      </c>
      <c r="HT48" s="5">
        <f t="shared" si="46"/>
        <v>3241.7534858061695</v>
      </c>
      <c r="HU48" s="5">
        <f t="shared" si="46"/>
        <v>3209.3359509481079</v>
      </c>
      <c r="HV48" s="5">
        <f t="shared" si="46"/>
        <v>3177.2425914386267</v>
      </c>
      <c r="HW48" s="5">
        <f t="shared" si="46"/>
        <v>3145.4701655242407</v>
      </c>
      <c r="HX48" s="5">
        <f t="shared" si="46"/>
        <v>3114.0154638689983</v>
      </c>
      <c r="HY48" s="5">
        <f t="shared" si="46"/>
        <v>3082.8753092303082</v>
      </c>
      <c r="HZ48" s="5">
        <f t="shared" si="46"/>
        <v>3052.0465561380051</v>
      </c>
      <c r="IA48" s="5">
        <f t="shared" si="46"/>
        <v>3021.5260905766249</v>
      </c>
      <c r="IB48" s="5">
        <f t="shared" si="46"/>
        <v>2991.3108296708588</v>
      </c>
      <c r="IC48" s="5">
        <f t="shared" si="46"/>
        <v>2961.39772137415</v>
      </c>
      <c r="ID48" s="5">
        <f t="shared" si="46"/>
        <v>2931.7837441604083</v>
      </c>
      <c r="IE48" s="5">
        <f t="shared" ref="IE48:KP48" si="47">ID48*(1+$AU$50)</f>
        <v>2902.465906718804</v>
      </c>
      <c r="IF48" s="5">
        <f t="shared" si="47"/>
        <v>2873.4412476516159</v>
      </c>
      <c r="IG48" s="5">
        <f t="shared" si="47"/>
        <v>2844.7068351750995</v>
      </c>
      <c r="IH48" s="5">
        <f t="shared" si="47"/>
        <v>2816.2597668233484</v>
      </c>
      <c r="II48" s="5">
        <f t="shared" si="47"/>
        <v>2788.0971691551149</v>
      </c>
      <c r="IJ48" s="5">
        <f t="shared" si="47"/>
        <v>2760.2161974635637</v>
      </c>
      <c r="IK48" s="5">
        <f t="shared" si="47"/>
        <v>2732.614035488928</v>
      </c>
      <c r="IL48" s="5">
        <f t="shared" si="47"/>
        <v>2705.2878951340385</v>
      </c>
      <c r="IM48" s="5">
        <f t="shared" si="47"/>
        <v>2678.235016182698</v>
      </c>
      <c r="IN48" s="5">
        <f t="shared" si="47"/>
        <v>2651.4526660208712</v>
      </c>
      <c r="IO48" s="5">
        <f t="shared" si="47"/>
        <v>2624.9381393606623</v>
      </c>
      <c r="IP48" s="5">
        <f t="shared" si="47"/>
        <v>2598.6887579670556</v>
      </c>
      <c r="IQ48" s="5">
        <f t="shared" si="47"/>
        <v>2572.701870387385</v>
      </c>
      <c r="IR48" s="5">
        <f t="shared" si="47"/>
        <v>2546.9748516835111</v>
      </c>
      <c r="IS48" s="5">
        <f t="shared" si="47"/>
        <v>2521.5051031666758</v>
      </c>
      <c r="IT48" s="5">
        <f t="shared" si="47"/>
        <v>2496.2900521350089</v>
      </c>
      <c r="IU48" s="5">
        <f t="shared" si="47"/>
        <v>2471.3271516136588</v>
      </c>
      <c r="IV48" s="5">
        <f t="shared" si="47"/>
        <v>2446.6138800975223</v>
      </c>
      <c r="IW48" s="5">
        <f t="shared" si="47"/>
        <v>2422.1477412965469</v>
      </c>
      <c r="IX48" s="5">
        <f t="shared" si="47"/>
        <v>2397.9262638835812</v>
      </c>
      <c r="IY48" s="5">
        <f t="shared" si="47"/>
        <v>2373.9470012447455</v>
      </c>
      <c r="IZ48" s="5">
        <f t="shared" si="47"/>
        <v>2350.2075312322982</v>
      </c>
      <c r="JA48" s="5">
        <f t="shared" si="47"/>
        <v>2326.7054559199751</v>
      </c>
      <c r="JB48" s="5">
        <f t="shared" si="47"/>
        <v>2303.4384013607755</v>
      </c>
      <c r="JC48" s="5">
        <f t="shared" si="47"/>
        <v>2280.4040173471676</v>
      </c>
      <c r="JD48" s="5">
        <f t="shared" si="47"/>
        <v>2257.5999771736961</v>
      </c>
      <c r="JE48" s="5">
        <f t="shared" si="47"/>
        <v>2235.0239774019592</v>
      </c>
      <c r="JF48" s="5">
        <f t="shared" si="47"/>
        <v>2212.6737376279398</v>
      </c>
      <c r="JG48" s="5">
        <f t="shared" si="47"/>
        <v>2190.5470002516604</v>
      </c>
      <c r="JH48" s="5">
        <f t="shared" si="47"/>
        <v>2168.6415302491437</v>
      </c>
      <c r="JI48" s="5">
        <f t="shared" si="47"/>
        <v>2146.9551149466524</v>
      </c>
      <c r="JJ48" s="5">
        <f t="shared" si="47"/>
        <v>2125.4855637971859</v>
      </c>
      <c r="JK48" s="5">
        <f t="shared" si="47"/>
        <v>2104.2307081592139</v>
      </c>
      <c r="JL48" s="5">
        <f t="shared" si="47"/>
        <v>2083.1884010776216</v>
      </c>
      <c r="JM48" s="5">
        <f t="shared" si="47"/>
        <v>2062.3565170668453</v>
      </c>
      <c r="JN48" s="5">
        <f t="shared" si="47"/>
        <v>2041.7329518961769</v>
      </c>
      <c r="JO48" s="5">
        <f t="shared" si="47"/>
        <v>2021.315622377215</v>
      </c>
      <c r="JP48" s="5">
        <f t="shared" si="47"/>
        <v>2001.1024661534429</v>
      </c>
      <c r="JQ48" s="5">
        <f t="shared" si="47"/>
        <v>1981.0914414919084</v>
      </c>
      <c r="JR48" s="5">
        <f t="shared" si="47"/>
        <v>1961.2805270769893</v>
      </c>
      <c r="JS48" s="5">
        <f t="shared" si="47"/>
        <v>1941.6677218062193</v>
      </c>
      <c r="JT48" s="5">
        <f t="shared" si="47"/>
        <v>1922.2510445881571</v>
      </c>
      <c r="JU48" s="5">
        <f t="shared" si="47"/>
        <v>1903.0285341422755</v>
      </c>
      <c r="JV48" s="5">
        <f t="shared" si="47"/>
        <v>1883.9982488008527</v>
      </c>
      <c r="JW48" s="5">
        <f t="shared" si="47"/>
        <v>1865.1582663128443</v>
      </c>
      <c r="JX48" s="5">
        <f t="shared" si="47"/>
        <v>1846.5066836497158</v>
      </c>
      <c r="JY48" s="5">
        <f t="shared" si="47"/>
        <v>1828.0416168132185</v>
      </c>
      <c r="JZ48" s="5">
        <f t="shared" si="47"/>
        <v>1809.7612006450863</v>
      </c>
      <c r="KA48" s="5">
        <f t="shared" si="47"/>
        <v>1791.6635886386355</v>
      </c>
      <c r="KB48" s="5">
        <f t="shared" si="47"/>
        <v>1773.7469527522492</v>
      </c>
      <c r="KC48" s="5">
        <f t="shared" si="47"/>
        <v>1756.0094832247266</v>
      </c>
      <c r="KD48" s="5">
        <f t="shared" si="47"/>
        <v>1738.4493883924792</v>
      </c>
      <c r="KE48" s="5">
        <f t="shared" si="47"/>
        <v>1721.0648945085545</v>
      </c>
      <c r="KF48" s="5">
        <f t="shared" si="47"/>
        <v>1703.854245563469</v>
      </c>
      <c r="KG48" s="5">
        <f t="shared" si="47"/>
        <v>1686.8157031078342</v>
      </c>
      <c r="KH48" s="5">
        <f t="shared" si="47"/>
        <v>1669.9475460767558</v>
      </c>
      <c r="KI48" s="5">
        <f t="shared" si="47"/>
        <v>1653.2480706159881</v>
      </c>
      <c r="KJ48" s="5">
        <f t="shared" si="47"/>
        <v>1636.7155899098282</v>
      </c>
      <c r="KK48" s="5">
        <f t="shared" si="47"/>
        <v>1620.3484340107298</v>
      </c>
      <c r="KL48" s="5">
        <f t="shared" si="47"/>
        <v>1604.1449496706225</v>
      </c>
      <c r="KM48" s="5">
        <f t="shared" si="47"/>
        <v>1588.1035001739162</v>
      </c>
      <c r="KN48" s="5">
        <f t="shared" si="47"/>
        <v>1572.2224651721772</v>
      </c>
      <c r="KO48" s="5">
        <f t="shared" si="47"/>
        <v>1556.5002405204555</v>
      </c>
      <c r="KP48" s="5">
        <f t="shared" si="47"/>
        <v>1540.935238115251</v>
      </c>
      <c r="KQ48" s="5">
        <f t="shared" ref="KQ48:NB48" si="48">KP48*(1+$AU$50)</f>
        <v>1525.5258857340984</v>
      </c>
      <c r="KR48" s="5">
        <f t="shared" si="48"/>
        <v>1510.2706268767574</v>
      </c>
      <c r="KS48" s="5">
        <f t="shared" si="48"/>
        <v>1495.1679206079898</v>
      </c>
      <c r="KT48" s="5">
        <f t="shared" si="48"/>
        <v>1480.2162414019099</v>
      </c>
      <c r="KU48" s="5">
        <f t="shared" si="48"/>
        <v>1465.4140789878907</v>
      </c>
      <c r="KV48" s="5">
        <f t="shared" si="48"/>
        <v>1450.7599381980117</v>
      </c>
      <c r="KW48" s="5">
        <f t="shared" si="48"/>
        <v>1436.2523388160316</v>
      </c>
      <c r="KX48" s="5">
        <f t="shared" si="48"/>
        <v>1421.8898154278713</v>
      </c>
      <c r="KY48" s="5">
        <f t="shared" si="48"/>
        <v>1407.6709172735925</v>
      </c>
      <c r="KZ48" s="5">
        <f t="shared" si="48"/>
        <v>1393.5942081008566</v>
      </c>
      <c r="LA48" s="5">
        <f t="shared" si="48"/>
        <v>1379.658266019848</v>
      </c>
      <c r="LB48" s="5">
        <f t="shared" si="48"/>
        <v>1365.8616833596495</v>
      </c>
      <c r="LC48" s="5">
        <f t="shared" si="48"/>
        <v>1352.2030665260531</v>
      </c>
      <c r="LD48" s="5">
        <f t="shared" si="48"/>
        <v>1338.6810358607927</v>
      </c>
      <c r="LE48" s="5">
        <f t="shared" si="48"/>
        <v>1325.2942255021846</v>
      </c>
      <c r="LF48" s="5">
        <f t="shared" si="48"/>
        <v>1312.0412832471627</v>
      </c>
      <c r="LG48" s="5">
        <f t="shared" si="48"/>
        <v>1298.9208704146911</v>
      </c>
      <c r="LH48" s="5">
        <f t="shared" si="48"/>
        <v>1285.9316617105442</v>
      </c>
      <c r="LI48" s="5">
        <f t="shared" si="48"/>
        <v>1273.0723450934388</v>
      </c>
      <c r="LJ48" s="5">
        <f t="shared" si="48"/>
        <v>1260.3416216425044</v>
      </c>
      <c r="LK48" s="5">
        <f t="shared" si="48"/>
        <v>1247.7382054260793</v>
      </c>
      <c r="LL48" s="5">
        <f t="shared" si="48"/>
        <v>1235.2608233718186</v>
      </c>
      <c r="LM48" s="5">
        <f t="shared" si="48"/>
        <v>1222.9082151381003</v>
      </c>
      <c r="LN48" s="5">
        <f t="shared" si="48"/>
        <v>1210.6791329867194</v>
      </c>
      <c r="LO48" s="5">
        <f t="shared" si="48"/>
        <v>1198.5723416568521</v>
      </c>
      <c r="LP48" s="5">
        <f t="shared" si="48"/>
        <v>1186.5866182402835</v>
      </c>
      <c r="LQ48" s="5">
        <f t="shared" si="48"/>
        <v>1174.7207520578806</v>
      </c>
      <c r="LR48" s="5">
        <f t="shared" si="48"/>
        <v>1162.9735445373019</v>
      </c>
      <c r="LS48" s="5">
        <f t="shared" si="48"/>
        <v>1151.343809091929</v>
      </c>
      <c r="LT48" s="5">
        <f t="shared" si="48"/>
        <v>1139.8303710010096</v>
      </c>
      <c r="LU48" s="5">
        <f t="shared" si="48"/>
        <v>1128.4320672909994</v>
      </c>
      <c r="LV48" s="5">
        <f t="shared" si="48"/>
        <v>1117.1477466180893</v>
      </c>
      <c r="LW48" s="5">
        <f t="shared" si="48"/>
        <v>1105.9762691519084</v>
      </c>
      <c r="LX48" s="5">
        <f t="shared" si="48"/>
        <v>1094.9165064603892</v>
      </c>
      <c r="LY48" s="5">
        <f t="shared" si="48"/>
        <v>1083.9673413957853</v>
      </c>
      <c r="LZ48" s="5">
        <f t="shared" si="48"/>
        <v>1073.1276679818275</v>
      </c>
      <c r="MA48" s="5">
        <f t="shared" si="48"/>
        <v>1062.3963913020091</v>
      </c>
      <c r="MB48" s="5">
        <f t="shared" si="48"/>
        <v>1051.7724273889889</v>
      </c>
      <c r="MC48" s="5">
        <f t="shared" si="48"/>
        <v>1041.2547031150991</v>
      </c>
      <c r="MD48" s="5">
        <f t="shared" si="48"/>
        <v>1030.8421560839481</v>
      </c>
      <c r="ME48" s="5">
        <f t="shared" si="48"/>
        <v>1020.5337345231086</v>
      </c>
      <c r="MF48" s="5">
        <f t="shared" si="48"/>
        <v>1010.3283971778775</v>
      </c>
      <c r="MG48" s="5">
        <f t="shared" si="48"/>
        <v>1000.2251132060987</v>
      </c>
      <c r="MH48" s="5">
        <f t="shared" si="48"/>
        <v>990.22286207403772</v>
      </c>
      <c r="MI48" s="5">
        <f t="shared" si="48"/>
        <v>980.32063345329732</v>
      </c>
      <c r="MJ48" s="5">
        <f t="shared" si="48"/>
        <v>970.51742711876432</v>
      </c>
      <c r="MK48" s="5">
        <f t="shared" si="48"/>
        <v>960.8122528475767</v>
      </c>
      <c r="ML48" s="5">
        <f t="shared" si="48"/>
        <v>951.20413031910095</v>
      </c>
      <c r="MM48" s="5">
        <f t="shared" si="48"/>
        <v>941.69208901590991</v>
      </c>
      <c r="MN48" s="5">
        <f t="shared" si="48"/>
        <v>932.27516812575084</v>
      </c>
      <c r="MO48" s="5">
        <f t="shared" si="48"/>
        <v>922.95241644449334</v>
      </c>
      <c r="MP48" s="5">
        <f t="shared" si="48"/>
        <v>913.72289228004843</v>
      </c>
      <c r="MQ48" s="5">
        <f t="shared" si="48"/>
        <v>904.58566335724788</v>
      </c>
      <c r="MR48" s="5">
        <f t="shared" si="48"/>
        <v>895.53980672367538</v>
      </c>
      <c r="MS48" s="5">
        <f t="shared" si="48"/>
        <v>886.58440865643865</v>
      </c>
      <c r="MT48" s="5">
        <f t="shared" si="48"/>
        <v>877.71856456987427</v>
      </c>
      <c r="MU48" s="5">
        <f t="shared" si="48"/>
        <v>868.94137892417552</v>
      </c>
      <c r="MV48" s="5">
        <f t="shared" si="48"/>
        <v>860.25196513493381</v>
      </c>
      <c r="MW48" s="5">
        <f t="shared" si="48"/>
        <v>851.64944548358449</v>
      </c>
      <c r="MX48" s="5">
        <f t="shared" si="48"/>
        <v>843.13295102874861</v>
      </c>
      <c r="MY48" s="5">
        <f t="shared" si="48"/>
        <v>834.70162151846114</v>
      </c>
      <c r="MZ48" s="5">
        <f t="shared" si="48"/>
        <v>826.35460530327657</v>
      </c>
      <c r="NA48" s="5">
        <f t="shared" si="48"/>
        <v>818.0910592502438</v>
      </c>
      <c r="NB48" s="5">
        <f t="shared" si="48"/>
        <v>809.91014865774139</v>
      </c>
      <c r="NC48" s="5">
        <f t="shared" ref="NC48:PN48" si="49">NB48*(1+$AU$50)</f>
        <v>801.81104717116398</v>
      </c>
      <c r="ND48" s="5">
        <f t="shared" si="49"/>
        <v>793.7929366994523</v>
      </c>
      <c r="NE48" s="5">
        <f t="shared" si="49"/>
        <v>785.85500733245772</v>
      </c>
      <c r="NF48" s="5">
        <f t="shared" si="49"/>
        <v>777.99645725913308</v>
      </c>
      <c r="NG48" s="5">
        <f t="shared" si="49"/>
        <v>770.21649268654176</v>
      </c>
      <c r="NH48" s="5">
        <f t="shared" si="49"/>
        <v>762.51432775967635</v>
      </c>
      <c r="NI48" s="5">
        <f t="shared" si="49"/>
        <v>754.8891844820796</v>
      </c>
      <c r="NJ48" s="5">
        <f t="shared" si="49"/>
        <v>747.34029263725881</v>
      </c>
      <c r="NK48" s="5">
        <f t="shared" si="49"/>
        <v>739.8668897108862</v>
      </c>
      <c r="NL48" s="5">
        <f t="shared" si="49"/>
        <v>732.46822081377729</v>
      </c>
      <c r="NM48" s="5">
        <f t="shared" si="49"/>
        <v>725.14353860563949</v>
      </c>
      <c r="NN48" s="5">
        <f t="shared" si="49"/>
        <v>717.89210321958308</v>
      </c>
      <c r="NO48" s="5">
        <f t="shared" si="49"/>
        <v>710.71318218738725</v>
      </c>
      <c r="NP48" s="5">
        <f t="shared" si="49"/>
        <v>703.6060503655134</v>
      </c>
      <c r="NQ48" s="5">
        <f t="shared" si="49"/>
        <v>696.56998986185829</v>
      </c>
      <c r="NR48" s="5">
        <f t="shared" si="49"/>
        <v>689.60428996323969</v>
      </c>
      <c r="NS48" s="5">
        <f t="shared" si="49"/>
        <v>682.70824706360725</v>
      </c>
      <c r="NT48" s="5">
        <f t="shared" si="49"/>
        <v>675.88116459297112</v>
      </c>
      <c r="NU48" s="5">
        <f t="shared" si="49"/>
        <v>669.12235294704135</v>
      </c>
      <c r="NV48" s="5">
        <f t="shared" si="49"/>
        <v>662.4311294175709</v>
      </c>
      <c r="NW48" s="5">
        <f t="shared" si="49"/>
        <v>655.80681812339515</v>
      </c>
      <c r="NX48" s="5">
        <f t="shared" si="49"/>
        <v>649.24874994216123</v>
      </c>
      <c r="NY48" s="5">
        <f t="shared" si="49"/>
        <v>642.75626244273963</v>
      </c>
      <c r="NZ48" s="5">
        <f t="shared" si="49"/>
        <v>636.3286998183122</v>
      </c>
      <c r="OA48" s="5">
        <f t="shared" si="49"/>
        <v>629.96541282012913</v>
      </c>
      <c r="OB48" s="5">
        <f t="shared" si="49"/>
        <v>623.66575869192786</v>
      </c>
      <c r="OC48" s="5">
        <f t="shared" si="49"/>
        <v>617.42910110500861</v>
      </c>
      <c r="OD48" s="5">
        <f t="shared" si="49"/>
        <v>611.25481009395855</v>
      </c>
      <c r="OE48" s="5">
        <f t="shared" si="49"/>
        <v>605.14226199301902</v>
      </c>
      <c r="OF48" s="5">
        <f t="shared" si="49"/>
        <v>599.09083937308878</v>
      </c>
      <c r="OG48" s="5">
        <f t="shared" si="49"/>
        <v>593.09993097935785</v>
      </c>
      <c r="OH48" s="5">
        <f t="shared" si="49"/>
        <v>587.16893166956424</v>
      </c>
      <c r="OI48" s="5">
        <f t="shared" si="49"/>
        <v>581.29724235286858</v>
      </c>
      <c r="OJ48" s="5">
        <f t="shared" si="49"/>
        <v>575.48426992933992</v>
      </c>
      <c r="OK48" s="5">
        <f t="shared" si="49"/>
        <v>569.72942723004655</v>
      </c>
      <c r="OL48" s="5">
        <f t="shared" si="49"/>
        <v>564.03213295774606</v>
      </c>
      <c r="OM48" s="5">
        <f t="shared" si="49"/>
        <v>558.39181162816863</v>
      </c>
      <c r="ON48" s="5">
        <f t="shared" si="49"/>
        <v>552.80789351188696</v>
      </c>
      <c r="OO48" s="5">
        <f t="shared" si="49"/>
        <v>547.2798145767681</v>
      </c>
      <c r="OP48" s="5">
        <f t="shared" si="49"/>
        <v>541.80701643100042</v>
      </c>
      <c r="OQ48" s="5">
        <f t="shared" si="49"/>
        <v>536.38894626669037</v>
      </c>
      <c r="OR48" s="5">
        <f t="shared" si="49"/>
        <v>531.02505680402351</v>
      </c>
      <c r="OS48" s="5">
        <f t="shared" si="49"/>
        <v>525.71480623598325</v>
      </c>
      <c r="OT48" s="5">
        <f t="shared" si="49"/>
        <v>520.45765817362337</v>
      </c>
      <c r="OU48" s="5">
        <f t="shared" si="49"/>
        <v>515.25308159188717</v>
      </c>
      <c r="OV48" s="5">
        <f t="shared" si="49"/>
        <v>510.10055077596832</v>
      </c>
      <c r="OW48" s="5">
        <f t="shared" si="49"/>
        <v>504.99954526820864</v>
      </c>
      <c r="OX48" s="5">
        <f t="shared" si="49"/>
        <v>499.94954981552655</v>
      </c>
      <c r="OY48" s="5">
        <f t="shared" si="49"/>
        <v>494.95005431737127</v>
      </c>
      <c r="OZ48" s="5">
        <f t="shared" si="49"/>
        <v>490.00055377419756</v>
      </c>
      <c r="PA48" s="5">
        <f t="shared" si="49"/>
        <v>485.10054823645555</v>
      </c>
      <c r="PB48" s="5">
        <f t="shared" si="49"/>
        <v>480.24954275409101</v>
      </c>
      <c r="PC48" s="5">
        <f t="shared" si="49"/>
        <v>475.44704732655009</v>
      </c>
      <c r="PD48" s="5">
        <f t="shared" si="49"/>
        <v>470.69257685328461</v>
      </c>
      <c r="PE48" s="5">
        <f t="shared" si="49"/>
        <v>465.98565108475174</v>
      </c>
      <c r="PF48" s="5">
        <f t="shared" si="49"/>
        <v>461.3257945739042</v>
      </c>
      <c r="PG48" s="5">
        <f t="shared" si="49"/>
        <v>456.71253662816514</v>
      </c>
      <c r="PH48" s="5">
        <f t="shared" si="49"/>
        <v>452.14541126188351</v>
      </c>
      <c r="PI48" s="5">
        <f t="shared" si="49"/>
        <v>447.6239571492647</v>
      </c>
      <c r="PJ48" s="5">
        <f t="shared" si="49"/>
        <v>443.14771757777203</v>
      </c>
      <c r="PK48" s="5">
        <f t="shared" si="49"/>
        <v>438.7162404019943</v>
      </c>
      <c r="PL48" s="5">
        <f t="shared" si="49"/>
        <v>434.32907799797437</v>
      </c>
      <c r="PM48" s="5">
        <f t="shared" si="49"/>
        <v>429.98578721799464</v>
      </c>
      <c r="PN48" s="5">
        <f t="shared" si="49"/>
        <v>425.68592934581471</v>
      </c>
      <c r="PO48" s="5">
        <f t="shared" ref="PO48:RZ48" si="50">PN48*(1+$AU$50)</f>
        <v>421.42907005235656</v>
      </c>
      <c r="PP48" s="5">
        <f t="shared" si="50"/>
        <v>417.21477935183299</v>
      </c>
      <c r="PQ48" s="5">
        <f t="shared" si="50"/>
        <v>413.04263155831467</v>
      </c>
      <c r="PR48" s="5">
        <f t="shared" si="50"/>
        <v>408.91220524273155</v>
      </c>
      <c r="PS48" s="5">
        <f t="shared" si="50"/>
        <v>404.8230831903042</v>
      </c>
      <c r="PT48" s="5">
        <f t="shared" si="50"/>
        <v>400.77485235840118</v>
      </c>
      <c r="PU48" s="5">
        <f t="shared" si="50"/>
        <v>396.76710383481714</v>
      </c>
      <c r="PV48" s="5">
        <f t="shared" si="50"/>
        <v>392.79943279646898</v>
      </c>
      <c r="PW48" s="5">
        <f t="shared" si="50"/>
        <v>388.87143846850427</v>
      </c>
      <c r="PX48" s="5">
        <f t="shared" si="50"/>
        <v>384.98272408381922</v>
      </c>
      <c r="PY48" s="5">
        <f t="shared" si="50"/>
        <v>381.13289684298104</v>
      </c>
      <c r="PZ48" s="5">
        <f t="shared" si="50"/>
        <v>377.32156787455125</v>
      </c>
      <c r="QA48" s="5">
        <f t="shared" si="50"/>
        <v>373.54835219580571</v>
      </c>
      <c r="QB48" s="5">
        <f t="shared" si="50"/>
        <v>369.81286867384762</v>
      </c>
      <c r="QC48" s="5">
        <f t="shared" si="50"/>
        <v>366.11473998710915</v>
      </c>
      <c r="QD48" s="5">
        <f t="shared" si="50"/>
        <v>362.45359258723806</v>
      </c>
      <c r="QE48" s="5">
        <f t="shared" si="50"/>
        <v>358.82905666136566</v>
      </c>
      <c r="QF48" s="5">
        <f t="shared" si="50"/>
        <v>355.24076609475202</v>
      </c>
      <c r="QG48" s="5">
        <f t="shared" si="50"/>
        <v>351.68835843380447</v>
      </c>
      <c r="QH48" s="5">
        <f t="shared" si="50"/>
        <v>348.17147484946639</v>
      </c>
      <c r="QI48" s="5">
        <f t="shared" si="50"/>
        <v>344.68976010097174</v>
      </c>
      <c r="QJ48" s="5">
        <f t="shared" si="50"/>
        <v>341.24286249996203</v>
      </c>
      <c r="QK48" s="5">
        <f t="shared" si="50"/>
        <v>337.83043387496241</v>
      </c>
      <c r="QL48" s="5">
        <f t="shared" si="50"/>
        <v>334.45212953621279</v>
      </c>
      <c r="QM48" s="5">
        <f t="shared" si="50"/>
        <v>331.10760824085065</v>
      </c>
      <c r="QN48" s="5">
        <f t="shared" si="50"/>
        <v>327.79653215844212</v>
      </c>
      <c r="QO48" s="5">
        <f t="shared" si="50"/>
        <v>324.5185668368577</v>
      </c>
      <c r="QP48" s="5">
        <f t="shared" si="50"/>
        <v>321.2733811684891</v>
      </c>
      <c r="QQ48" s="5">
        <f t="shared" si="50"/>
        <v>318.06064735680422</v>
      </c>
      <c r="QR48" s="5">
        <f t="shared" si="50"/>
        <v>314.88004088323618</v>
      </c>
      <c r="QS48" s="5">
        <f t="shared" si="50"/>
        <v>311.73124047440382</v>
      </c>
      <c r="QT48" s="5">
        <f t="shared" si="50"/>
        <v>308.61392806965978</v>
      </c>
      <c r="QU48" s="5">
        <f t="shared" si="50"/>
        <v>305.52778878896316</v>
      </c>
      <c r="QV48" s="5">
        <f t="shared" si="50"/>
        <v>302.47251090107352</v>
      </c>
      <c r="QW48" s="5">
        <f t="shared" si="50"/>
        <v>299.4477857920628</v>
      </c>
      <c r="QX48" s="5">
        <f t="shared" si="50"/>
        <v>296.45330793414217</v>
      </c>
      <c r="QY48" s="5">
        <f t="shared" si="50"/>
        <v>293.48877485480074</v>
      </c>
      <c r="QZ48" s="5">
        <f t="shared" si="50"/>
        <v>290.55388710625272</v>
      </c>
      <c r="RA48" s="5">
        <f t="shared" si="50"/>
        <v>287.64834823519021</v>
      </c>
      <c r="RB48" s="5">
        <f t="shared" si="50"/>
        <v>284.77186475283833</v>
      </c>
      <c r="RC48" s="5">
        <f t="shared" si="50"/>
        <v>281.92414610530994</v>
      </c>
      <c r="RD48" s="5">
        <f t="shared" si="50"/>
        <v>279.10490464425686</v>
      </c>
      <c r="RE48" s="5">
        <f t="shared" si="50"/>
        <v>276.31385559781427</v>
      </c>
      <c r="RF48" s="5">
        <f t="shared" si="50"/>
        <v>273.55071704183609</v>
      </c>
      <c r="RG48" s="5">
        <f t="shared" si="50"/>
        <v>270.81520987141772</v>
      </c>
      <c r="RH48" s="5">
        <f t="shared" si="50"/>
        <v>268.10705777270357</v>
      </c>
      <c r="RI48" s="5">
        <f t="shared" si="50"/>
        <v>265.42598719497653</v>
      </c>
      <c r="RJ48" s="5">
        <f t="shared" si="50"/>
        <v>262.77172732302677</v>
      </c>
      <c r="RK48" s="5">
        <f t="shared" si="50"/>
        <v>260.14401004979652</v>
      </c>
      <c r="RL48" s="5">
        <f t="shared" si="50"/>
        <v>257.54256994929852</v>
      </c>
      <c r="RM48" s="5">
        <f t="shared" si="50"/>
        <v>254.96714424980553</v>
      </c>
      <c r="RN48" s="5">
        <f t="shared" si="50"/>
        <v>252.41747280730746</v>
      </c>
      <c r="RO48" s="5">
        <f t="shared" si="50"/>
        <v>249.8932980792344</v>
      </c>
      <c r="RP48" s="5">
        <f t="shared" si="50"/>
        <v>247.39436509844205</v>
      </c>
      <c r="RQ48" s="5">
        <f t="shared" si="50"/>
        <v>244.92042144745764</v>
      </c>
      <c r="RR48" s="5">
        <f t="shared" si="50"/>
        <v>242.47121723298307</v>
      </c>
      <c r="RS48" s="5">
        <f t="shared" si="50"/>
        <v>240.04650506065323</v>
      </c>
      <c r="RT48" s="5">
        <f t="shared" si="50"/>
        <v>237.6460400100467</v>
      </c>
      <c r="RU48" s="5">
        <f t="shared" si="50"/>
        <v>235.26957960994625</v>
      </c>
      <c r="RV48" s="5">
        <f t="shared" si="50"/>
        <v>232.91688381384679</v>
      </c>
      <c r="RW48" s="5">
        <f t="shared" si="50"/>
        <v>230.58771497570834</v>
      </c>
      <c r="RX48" s="5">
        <f t="shared" si="50"/>
        <v>228.28183782595124</v>
      </c>
      <c r="RY48" s="5">
        <f t="shared" si="50"/>
        <v>225.99901944769172</v>
      </c>
      <c r="RZ48" s="5">
        <f t="shared" si="50"/>
        <v>223.7390292532148</v>
      </c>
      <c r="SA48" s="5">
        <f t="shared" ref="SA48:UL48" si="51">RZ48*(1+$AU$50)</f>
        <v>221.50163896068264</v>
      </c>
      <c r="SB48" s="5">
        <f t="shared" si="51"/>
        <v>219.28662257107581</v>
      </c>
      <c r="SC48" s="5">
        <f t="shared" si="51"/>
        <v>217.09375634536505</v>
      </c>
      <c r="SD48" s="5">
        <f t="shared" si="51"/>
        <v>214.92281878191139</v>
      </c>
      <c r="SE48" s="5">
        <f t="shared" si="51"/>
        <v>212.77359059409227</v>
      </c>
      <c r="SF48" s="5">
        <f t="shared" si="51"/>
        <v>210.64585468815133</v>
      </c>
      <c r="SG48" s="5">
        <f t="shared" si="51"/>
        <v>208.5393961412698</v>
      </c>
      <c r="SH48" s="5">
        <f t="shared" si="51"/>
        <v>206.4540021798571</v>
      </c>
      <c r="SI48" s="5">
        <f t="shared" si="51"/>
        <v>204.38946215805854</v>
      </c>
      <c r="SJ48" s="5">
        <f t="shared" si="51"/>
        <v>202.34556753647794</v>
      </c>
      <c r="SK48" s="5">
        <f t="shared" si="51"/>
        <v>200.32211186111317</v>
      </c>
      <c r="SL48" s="5">
        <f t="shared" si="51"/>
        <v>198.31889074250205</v>
      </c>
      <c r="SM48" s="5">
        <f t="shared" si="51"/>
        <v>196.33570183507703</v>
      </c>
      <c r="SN48" s="5">
        <f t="shared" si="51"/>
        <v>194.37234481672627</v>
      </c>
      <c r="SO48" s="5">
        <f t="shared" si="51"/>
        <v>192.42862136855899</v>
      </c>
      <c r="SP48" s="5">
        <f t="shared" si="51"/>
        <v>190.50433515487339</v>
      </c>
      <c r="SQ48" s="5">
        <f t="shared" si="51"/>
        <v>188.59929180332466</v>
      </c>
      <c r="SR48" s="5">
        <f t="shared" si="51"/>
        <v>186.71329888529141</v>
      </c>
      <c r="SS48" s="5">
        <f t="shared" si="51"/>
        <v>184.84616589643849</v>
      </c>
      <c r="ST48" s="5">
        <f t="shared" si="51"/>
        <v>182.9977042374741</v>
      </c>
      <c r="SU48" s="5">
        <f t="shared" si="51"/>
        <v>181.16772719509936</v>
      </c>
      <c r="SV48" s="5">
        <f t="shared" si="51"/>
        <v>179.35604992314836</v>
      </c>
      <c r="SW48" s="5">
        <f t="shared" si="51"/>
        <v>177.56248942391687</v>
      </c>
      <c r="SX48" s="5">
        <f t="shared" si="51"/>
        <v>175.7868645296777</v>
      </c>
      <c r="SY48" s="5">
        <f t="shared" si="51"/>
        <v>174.02899588438092</v>
      </c>
      <c r="SZ48" s="5">
        <f t="shared" si="51"/>
        <v>172.2887059255371</v>
      </c>
      <c r="TA48" s="5">
        <f t="shared" si="51"/>
        <v>170.56581886628172</v>
      </c>
      <c r="TB48" s="5">
        <f t="shared" si="51"/>
        <v>168.86016067761889</v>
      </c>
      <c r="TC48" s="5">
        <f t="shared" si="51"/>
        <v>167.1715590708427</v>
      </c>
      <c r="TD48" s="5">
        <f t="shared" si="51"/>
        <v>165.49984348013427</v>
      </c>
      <c r="TE48" s="5">
        <f t="shared" si="51"/>
        <v>163.84484504533293</v>
      </c>
      <c r="TF48" s="5">
        <f t="shared" si="51"/>
        <v>162.20639659487961</v>
      </c>
      <c r="TG48" s="5">
        <f t="shared" si="51"/>
        <v>160.58433262893081</v>
      </c>
      <c r="TH48" s="5">
        <f t="shared" si="51"/>
        <v>158.97848930264149</v>
      </c>
      <c r="TI48" s="5">
        <f t="shared" si="51"/>
        <v>157.38870440961509</v>
      </c>
      <c r="TJ48" s="5">
        <f t="shared" si="51"/>
        <v>155.81481736551893</v>
      </c>
      <c r="TK48" s="5">
        <f t="shared" si="51"/>
        <v>154.25666919186375</v>
      </c>
      <c r="TL48" s="5">
        <f t="shared" si="51"/>
        <v>152.71410249994511</v>
      </c>
      <c r="TM48" s="5">
        <f t="shared" si="51"/>
        <v>151.18696147494566</v>
      </c>
      <c r="TN48" s="5">
        <f t="shared" si="51"/>
        <v>149.6750918601962</v>
      </c>
      <c r="TO48" s="5">
        <f t="shared" si="51"/>
        <v>148.17834094159423</v>
      </c>
      <c r="TP48" s="5">
        <f t="shared" si="51"/>
        <v>146.69655753217828</v>
      </c>
      <c r="TQ48" s="5">
        <f t="shared" si="51"/>
        <v>145.2295919568565</v>
      </c>
      <c r="TR48" s="5">
        <f t="shared" si="51"/>
        <v>143.77729603728793</v>
      </c>
      <c r="TS48" s="5">
        <f t="shared" si="51"/>
        <v>142.33952307691504</v>
      </c>
      <c r="TT48" s="5">
        <f t="shared" si="51"/>
        <v>140.91612784614588</v>
      </c>
      <c r="TU48" s="5">
        <f t="shared" si="51"/>
        <v>139.50696656768443</v>
      </c>
      <c r="TV48" s="5">
        <f t="shared" si="51"/>
        <v>138.11189690200757</v>
      </c>
      <c r="TW48" s="5">
        <f t="shared" si="51"/>
        <v>136.73077793298751</v>
      </c>
      <c r="TX48" s="5">
        <f t="shared" si="51"/>
        <v>135.36347015365763</v>
      </c>
      <c r="TY48" s="5">
        <f t="shared" si="51"/>
        <v>134.00983545212105</v>
      </c>
      <c r="TZ48" s="5">
        <f t="shared" si="51"/>
        <v>132.66973709759984</v>
      </c>
      <c r="UA48" s="5">
        <f t="shared" si="51"/>
        <v>131.34303972662383</v>
      </c>
      <c r="UB48" s="5">
        <f t="shared" si="51"/>
        <v>130.02960932935758</v>
      </c>
      <c r="UC48" s="5">
        <f t="shared" si="51"/>
        <v>128.729313236064</v>
      </c>
      <c r="UD48" s="5">
        <f t="shared" si="51"/>
        <v>127.44202010370336</v>
      </c>
      <c r="UE48" s="5">
        <f t="shared" si="51"/>
        <v>126.16759990266632</v>
      </c>
      <c r="UF48" s="5">
        <f t="shared" si="51"/>
        <v>124.90592390363966</v>
      </c>
      <c r="UG48" s="5">
        <f t="shared" si="51"/>
        <v>123.65686466460326</v>
      </c>
      <c r="UH48" s="5">
        <f t="shared" si="51"/>
        <v>122.42029601795723</v>
      </c>
      <c r="UI48" s="5">
        <f t="shared" si="51"/>
        <v>121.19609305777766</v>
      </c>
      <c r="UJ48" s="5">
        <f t="shared" si="51"/>
        <v>119.98413212719989</v>
      </c>
      <c r="UK48" s="5">
        <f t="shared" si="51"/>
        <v>118.78429080592788</v>
      </c>
      <c r="UL48" s="5">
        <f t="shared" si="51"/>
        <v>117.5964478978686</v>
      </c>
      <c r="UM48" s="5">
        <f t="shared" ref="UM48:WX48" si="52">UL48*(1+$AU$50)</f>
        <v>116.42048341888992</v>
      </c>
      <c r="UN48" s="5">
        <f t="shared" si="52"/>
        <v>115.25627858470102</v>
      </c>
      <c r="UO48" s="5">
        <f t="shared" si="52"/>
        <v>114.10371579885401</v>
      </c>
      <c r="UP48" s="5">
        <f t="shared" si="52"/>
        <v>112.96267864086548</v>
      </c>
      <c r="UQ48" s="5">
        <f t="shared" si="52"/>
        <v>111.83305185445683</v>
      </c>
      <c r="UR48" s="5">
        <f t="shared" si="52"/>
        <v>110.71472133591226</v>
      </c>
      <c r="US48" s="5">
        <f t="shared" si="52"/>
        <v>109.60757412255313</v>
      </c>
      <c r="UT48" s="5">
        <f t="shared" si="52"/>
        <v>108.5114983813276</v>
      </c>
      <c r="UU48" s="5">
        <f t="shared" si="52"/>
        <v>107.42638339751433</v>
      </c>
      <c r="UV48" s="5">
        <f t="shared" si="52"/>
        <v>106.35211956353919</v>
      </c>
      <c r="UW48" s="5">
        <f t="shared" si="52"/>
        <v>105.2885983679038</v>
      </c>
      <c r="UX48" s="5">
        <f t="shared" si="52"/>
        <v>104.23571238422477</v>
      </c>
      <c r="UY48" s="5">
        <f t="shared" si="52"/>
        <v>103.19335526038252</v>
      </c>
      <c r="UZ48" s="5">
        <f t="shared" si="52"/>
        <v>102.16142170777869</v>
      </c>
      <c r="VA48" s="5">
        <f t="shared" si="52"/>
        <v>101.1398074907009</v>
      </c>
      <c r="VB48" s="5">
        <f t="shared" si="52"/>
        <v>100.1284094157939</v>
      </c>
      <c r="VC48" s="5">
        <f t="shared" si="52"/>
        <v>99.127125321635958</v>
      </c>
      <c r="VD48" s="5">
        <f t="shared" si="52"/>
        <v>98.135854068419604</v>
      </c>
      <c r="VE48" s="5">
        <f t="shared" si="52"/>
        <v>97.154495527735406</v>
      </c>
      <c r="VF48" s="5">
        <f t="shared" si="52"/>
        <v>96.182950572458054</v>
      </c>
      <c r="VG48" s="5">
        <f t="shared" si="52"/>
        <v>95.221121066733474</v>
      </c>
      <c r="VH48" s="5">
        <f t="shared" si="52"/>
        <v>94.268909856066145</v>
      </c>
      <c r="VI48" s="5">
        <f t="shared" si="52"/>
        <v>93.326220757505482</v>
      </c>
      <c r="VJ48" s="5">
        <f t="shared" si="52"/>
        <v>92.392958549930427</v>
      </c>
      <c r="VK48" s="5">
        <f t="shared" si="52"/>
        <v>91.469028964431118</v>
      </c>
      <c r="VL48" s="5">
        <f t="shared" si="52"/>
        <v>90.554338674786806</v>
      </c>
      <c r="VM48" s="5">
        <f t="shared" si="52"/>
        <v>89.64879528803894</v>
      </c>
      <c r="VN48" s="5">
        <f t="shared" si="52"/>
        <v>88.752307335158548</v>
      </c>
      <c r="VO48" s="5">
        <f t="shared" si="52"/>
        <v>87.86478426180696</v>
      </c>
      <c r="VP48" s="5">
        <f t="shared" si="52"/>
        <v>86.986136419188895</v>
      </c>
      <c r="VQ48" s="5">
        <f t="shared" si="52"/>
        <v>86.116275054997004</v>
      </c>
      <c r="VR48" s="5">
        <f t="shared" si="52"/>
        <v>85.255112304447039</v>
      </c>
      <c r="VS48" s="5">
        <f t="shared" si="52"/>
        <v>84.402561181402561</v>
      </c>
      <c r="VT48" s="5">
        <f t="shared" si="52"/>
        <v>83.558535569588528</v>
      </c>
      <c r="VU48" s="5">
        <f t="shared" si="52"/>
        <v>82.722950213892645</v>
      </c>
      <c r="VV48" s="5">
        <f t="shared" si="52"/>
        <v>81.895720711753711</v>
      </c>
      <c r="VW48" s="5">
        <f t="shared" si="52"/>
        <v>81.076763504636176</v>
      </c>
      <c r="VX48" s="5">
        <f t="shared" si="52"/>
        <v>80.265995869589815</v>
      </c>
      <c r="VY48" s="5">
        <f t="shared" si="52"/>
        <v>79.463335910893917</v>
      </c>
      <c r="VZ48" s="5">
        <f t="shared" si="52"/>
        <v>78.668702551784975</v>
      </c>
      <c r="WA48" s="5">
        <f t="shared" si="52"/>
        <v>77.882015526267125</v>
      </c>
      <c r="WB48" s="5">
        <f t="shared" si="52"/>
        <v>77.103195371004446</v>
      </c>
      <c r="WC48" s="5">
        <f t="shared" si="52"/>
        <v>76.332163417294396</v>
      </c>
      <c r="WD48" s="5">
        <f t="shared" si="52"/>
        <v>75.568841783121457</v>
      </c>
      <c r="WE48" s="5">
        <f t="shared" si="52"/>
        <v>74.813153365290248</v>
      </c>
      <c r="WF48" s="5">
        <f t="shared" si="52"/>
        <v>74.065021831637338</v>
      </c>
      <c r="WG48" s="5">
        <f t="shared" si="52"/>
        <v>73.324371613320963</v>
      </c>
      <c r="WH48" s="5">
        <f t="shared" si="52"/>
        <v>72.591127897187746</v>
      </c>
      <c r="WI48" s="5">
        <f t="shared" si="52"/>
        <v>71.865216618215868</v>
      </c>
      <c r="WJ48" s="5">
        <f t="shared" si="52"/>
        <v>71.146564452033715</v>
      </c>
      <c r="WK48" s="5">
        <f t="shared" si="52"/>
        <v>70.435098807513384</v>
      </c>
      <c r="WL48" s="5">
        <f t="shared" si="52"/>
        <v>69.73074781943825</v>
      </c>
      <c r="WM48" s="5">
        <f t="shared" si="52"/>
        <v>69.03344034124386</v>
      </c>
      <c r="WN48" s="5">
        <f t="shared" si="52"/>
        <v>68.343105937831425</v>
      </c>
      <c r="WO48" s="5">
        <f t="shared" si="52"/>
        <v>67.659674878453103</v>
      </c>
      <c r="WP48" s="5">
        <f t="shared" si="52"/>
        <v>66.98307812966857</v>
      </c>
      <c r="WQ48" s="5">
        <f t="shared" si="52"/>
        <v>66.313247348371888</v>
      </c>
      <c r="WR48" s="5">
        <f t="shared" si="52"/>
        <v>65.650114874888175</v>
      </c>
      <c r="WS48" s="5">
        <f t="shared" si="52"/>
        <v>64.993613726139287</v>
      </c>
      <c r="WT48" s="5">
        <f t="shared" si="52"/>
        <v>64.343677588877895</v>
      </c>
      <c r="WU48" s="5">
        <f t="shared" si="52"/>
        <v>63.700240812989115</v>
      </c>
      <c r="WV48" s="5">
        <f t="shared" si="52"/>
        <v>63.06323840485922</v>
      </c>
      <c r="WW48" s="5">
        <f t="shared" si="52"/>
        <v>62.432606020810624</v>
      </c>
      <c r="WX48" s="5">
        <f t="shared" si="52"/>
        <v>61.808279960602519</v>
      </c>
      <c r="WY48" s="5">
        <f t="shared" ref="WY48:XW48" si="53">WX48*(1+$AU$50)</f>
        <v>61.19019716099649</v>
      </c>
      <c r="WZ48" s="5">
        <f t="shared" si="53"/>
        <v>60.578295189386523</v>
      </c>
      <c r="XA48" s="5">
        <f t="shared" si="53"/>
        <v>59.972512237492658</v>
      </c>
      <c r="XB48" s="5">
        <f t="shared" si="53"/>
        <v>59.372787115117731</v>
      </c>
      <c r="XC48" s="5">
        <f t="shared" si="53"/>
        <v>58.77905924396655</v>
      </c>
      <c r="XD48" s="5">
        <f t="shared" si="53"/>
        <v>58.191268651526883</v>
      </c>
      <c r="XE48" s="5">
        <f t="shared" si="53"/>
        <v>57.609355965011616</v>
      </c>
      <c r="XF48" s="5">
        <f t="shared" si="53"/>
        <v>57.033262405361498</v>
      </c>
      <c r="XG48" s="5">
        <f t="shared" si="53"/>
        <v>56.462929781307885</v>
      </c>
      <c r="XH48" s="5">
        <f t="shared" si="53"/>
        <v>55.898300483494808</v>
      </c>
      <c r="XI48" s="5">
        <f t="shared" si="53"/>
        <v>55.339317478659858</v>
      </c>
      <c r="XJ48" s="5">
        <f t="shared" si="53"/>
        <v>54.785924303873259</v>
      </c>
      <c r="XK48" s="5">
        <f t="shared" si="53"/>
        <v>54.238065060834522</v>
      </c>
      <c r="XL48" s="5">
        <f t="shared" si="53"/>
        <v>53.695684410226178</v>
      </c>
      <c r="XM48" s="5">
        <f t="shared" si="53"/>
        <v>53.158727566123915</v>
      </c>
      <c r="XN48" s="5">
        <f t="shared" si="53"/>
        <v>52.627140290462677</v>
      </c>
      <c r="XO48" s="5">
        <f t="shared" si="53"/>
        <v>52.10086888755805</v>
      </c>
      <c r="XP48" s="5">
        <f t="shared" si="53"/>
        <v>51.579860198682468</v>
      </c>
      <c r="XQ48" s="5">
        <f t="shared" si="53"/>
        <v>51.064061596695645</v>
      </c>
      <c r="XR48" s="5">
        <f t="shared" si="53"/>
        <v>50.553420980728689</v>
      </c>
      <c r="XS48" s="5">
        <f t="shared" si="53"/>
        <v>50.047886770921401</v>
      </c>
      <c r="XT48" s="5">
        <f t="shared" si="53"/>
        <v>49.547407903212189</v>
      </c>
      <c r="XU48" s="5">
        <f t="shared" si="53"/>
        <v>49.051933824180068</v>
      </c>
      <c r="XV48" s="5">
        <f t="shared" si="53"/>
        <v>48.561414485938265</v>
      </c>
      <c r="XW48" s="5">
        <f t="shared" si="53"/>
        <v>48.075800341078882</v>
      </c>
    </row>
    <row r="49" spans="2:47" x14ac:dyDescent="0.3">
      <c r="B49" t="s">
        <v>36</v>
      </c>
      <c r="D49" s="4">
        <v>2675.125</v>
      </c>
      <c r="E49" s="4">
        <v>2662.375</v>
      </c>
      <c r="F49" s="4">
        <v>2645.5</v>
      </c>
      <c r="G49" s="4">
        <v>2600.625</v>
      </c>
      <c r="H49" s="4">
        <v>2581.375</v>
      </c>
      <c r="I49" s="4">
        <v>2561.625</v>
      </c>
      <c r="J49" s="4">
        <v>2541.875</v>
      </c>
      <c r="K49" s="4">
        <v>2517.25</v>
      </c>
      <c r="L49" s="4">
        <v>2470.375</v>
      </c>
      <c r="M49" s="4">
        <v>2416.125</v>
      </c>
      <c r="N49" s="4">
        <v>2345.125</v>
      </c>
      <c r="O49" s="4">
        <v>2323.25</v>
      </c>
      <c r="P49" s="23">
        <v>2310.875</v>
      </c>
      <c r="Q49" s="23">
        <f>Q48/Q50</f>
        <v>2284.1698841698844</v>
      </c>
      <c r="AE49" s="4">
        <f>G49</f>
        <v>2600.625</v>
      </c>
      <c r="AF49" s="4">
        <f>K49</f>
        <v>2517.25</v>
      </c>
      <c r="AG49" s="13">
        <f>O49</f>
        <v>2323.25</v>
      </c>
    </row>
    <row r="50" spans="2:47" x14ac:dyDescent="0.3">
      <c r="B50" t="s">
        <v>37</v>
      </c>
      <c r="D50" s="3">
        <f t="shared" ref="D50:P50" si="54">D48/D49</f>
        <v>-1.0825662352226531</v>
      </c>
      <c r="E50" s="3">
        <f t="shared" si="54"/>
        <v>1.1380816000751208</v>
      </c>
      <c r="F50" s="3">
        <f t="shared" si="54"/>
        <v>-1.1937251937251938</v>
      </c>
      <c r="G50" s="3">
        <f t="shared" si="54"/>
        <v>2.5505407354001441</v>
      </c>
      <c r="H50" s="3">
        <f t="shared" si="54"/>
        <v>1.2408115829741901</v>
      </c>
      <c r="I50" s="3">
        <f t="shared" si="54"/>
        <v>1.7766066461718635</v>
      </c>
      <c r="J50" s="3">
        <f t="shared" si="54"/>
        <v>1.4394885665109418</v>
      </c>
      <c r="K50" s="3">
        <f t="shared" si="54"/>
        <v>0.59946370046677921</v>
      </c>
      <c r="L50" s="3">
        <f t="shared" si="54"/>
        <v>5.1409199008247738E-2</v>
      </c>
      <c r="M50" s="3">
        <f t="shared" si="54"/>
        <v>1.3683066894303895</v>
      </c>
      <c r="N50" s="3">
        <f t="shared" si="54"/>
        <v>2.6459143968871595</v>
      </c>
      <c r="O50" s="3">
        <f t="shared" si="54"/>
        <v>2.7379748197568063</v>
      </c>
      <c r="P50" s="26">
        <f t="shared" si="54"/>
        <v>0.71401525396224375</v>
      </c>
      <c r="Q50" s="26">
        <v>2.59</v>
      </c>
      <c r="AE50" s="10">
        <f>AE48/AE49</f>
        <v>1.3877433309300649</v>
      </c>
      <c r="AF50" s="10">
        <f t="shared" ref="AF50:AG50" si="55">AF48/AF49</f>
        <v>5.1333796802065743</v>
      </c>
      <c r="AG50" s="15">
        <f t="shared" si="55"/>
        <v>6.8864736898740988</v>
      </c>
      <c r="AT50" s="2" t="s">
        <v>125</v>
      </c>
      <c r="AU50" s="11">
        <v>-0.01</v>
      </c>
    </row>
    <row r="51" spans="2:47" x14ac:dyDescent="0.3">
      <c r="P51" s="22"/>
      <c r="AG51" s="7"/>
      <c r="AT51" t="s">
        <v>126</v>
      </c>
      <c r="AU51" s="11">
        <v>0.05</v>
      </c>
    </row>
    <row r="52" spans="2:47" x14ac:dyDescent="0.3">
      <c r="B52" t="s">
        <v>96</v>
      </c>
      <c r="D52" s="4">
        <v>3123</v>
      </c>
      <c r="E52" s="4">
        <v>4517</v>
      </c>
      <c r="F52" s="4">
        <v>4754</v>
      </c>
      <c r="G52" s="4">
        <v>7239</v>
      </c>
      <c r="H52" s="4">
        <v>3986</v>
      </c>
      <c r="I52" s="4">
        <v>6195</v>
      </c>
      <c r="J52" s="4">
        <v>5508</v>
      </c>
      <c r="K52" s="4">
        <v>6754</v>
      </c>
      <c r="L52" s="4">
        <v>3382</v>
      </c>
      <c r="M52" s="4">
        <v>5599</v>
      </c>
      <c r="N52" s="4">
        <v>5204</v>
      </c>
      <c r="O52" s="4">
        <v>6996</v>
      </c>
      <c r="P52" s="23">
        <v>4113</v>
      </c>
      <c r="Q52" s="28">
        <v>4678</v>
      </c>
      <c r="AG52" s="7"/>
      <c r="AT52" t="s">
        <v>127</v>
      </c>
      <c r="AU52" s="4">
        <f>NPV(AU51,AI48:XW48)+AH48+P96</f>
        <v>388717.81422549789</v>
      </c>
    </row>
    <row r="53" spans="2:47" x14ac:dyDescent="0.3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23"/>
      <c r="AG53" s="7"/>
      <c r="AU53" s="4"/>
    </row>
    <row r="54" spans="2:47" s="16" customFormat="1" x14ac:dyDescent="0.3">
      <c r="B54" s="16" t="s">
        <v>145</v>
      </c>
      <c r="D54" s="16">
        <f t="shared" ref="D54:O54" si="56">D34/D38</f>
        <v>7.5012817525052435</v>
      </c>
      <c r="E54" s="16">
        <f t="shared" si="56"/>
        <v>8.0358732652526843</v>
      </c>
      <c r="F54" s="16">
        <f t="shared" si="56"/>
        <v>9.2663060769965</v>
      </c>
      <c r="G54" s="16">
        <f t="shared" si="56"/>
        <v>8.0884935825264588</v>
      </c>
      <c r="H54" s="16">
        <f t="shared" si="56"/>
        <v>8.3515151515151516</v>
      </c>
      <c r="I54" s="16">
        <f t="shared" si="56"/>
        <v>8.6573726541554965</v>
      </c>
      <c r="J54" s="16">
        <f t="shared" si="56"/>
        <v>8.8204981391354131</v>
      </c>
      <c r="K54" s="16">
        <f t="shared" si="56"/>
        <v>7.7068095838587638</v>
      </c>
      <c r="L54" s="16">
        <f t="shared" si="56"/>
        <v>7.6976452905811623</v>
      </c>
      <c r="M54" s="16">
        <f t="shared" si="56"/>
        <v>7.4394309846632583</v>
      </c>
      <c r="N54" s="16">
        <f t="shared" si="56"/>
        <v>7.2835530581370218</v>
      </c>
      <c r="O54" s="16">
        <f t="shared" si="56"/>
        <v>6.5653438248374956</v>
      </c>
      <c r="P54" s="27">
        <f>P34/P38</f>
        <v>6.5364092276830492</v>
      </c>
      <c r="Q54" s="27">
        <f t="shared" ref="Q54" si="57">Q34/Q38</f>
        <v>4.6572814226054158</v>
      </c>
      <c r="AG54" s="17"/>
      <c r="AT54" s="16" t="s">
        <v>128</v>
      </c>
      <c r="AU54" s="16">
        <f>AU52/P49</f>
        <v>168.21239323870736</v>
      </c>
    </row>
    <row r="55" spans="2:47" x14ac:dyDescent="0.3"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23"/>
      <c r="AG55" s="7"/>
      <c r="AT55" t="s">
        <v>129</v>
      </c>
      <c r="AU55">
        <v>120.03</v>
      </c>
    </row>
    <row r="56" spans="2:47" x14ac:dyDescent="0.3">
      <c r="B56" t="s">
        <v>114</v>
      </c>
      <c r="D56" s="9">
        <f t="shared" ref="D56:P56" si="58">D36/D34</f>
        <v>0.31906300484652667</v>
      </c>
      <c r="E56" s="9">
        <f t="shared" si="58"/>
        <v>0.3692528267457395</v>
      </c>
      <c r="F56" s="9">
        <f t="shared" si="58"/>
        <v>0.36667353385523965</v>
      </c>
      <c r="G56" s="9">
        <f t="shared" si="58"/>
        <v>0.39453244620138639</v>
      </c>
      <c r="H56" s="9">
        <f t="shared" si="58"/>
        <v>0.33322338039319171</v>
      </c>
      <c r="I56" s="9">
        <f t="shared" si="58"/>
        <v>0.39207853338288123</v>
      </c>
      <c r="J56" s="9">
        <f t="shared" si="58"/>
        <v>0.37867575462512171</v>
      </c>
      <c r="K56" s="9">
        <f t="shared" si="58"/>
        <v>0.3999836374048924</v>
      </c>
      <c r="L56" s="9">
        <f t="shared" si="58"/>
        <v>0.33251976959875035</v>
      </c>
      <c r="M56" s="9">
        <f t="shared" si="58"/>
        <v>0.39931281744846131</v>
      </c>
      <c r="N56" s="9">
        <f t="shared" si="58"/>
        <v>0.39099729978338921</v>
      </c>
      <c r="O56" s="9">
        <f t="shared" si="58"/>
        <v>0.41986920611761025</v>
      </c>
      <c r="P56" s="24">
        <f t="shared" si="58"/>
        <v>0.38411490301988704</v>
      </c>
      <c r="Q56" s="24">
        <f t="shared" ref="Q56" si="59">Q36/Q34</f>
        <v>0.44910474096786324</v>
      </c>
      <c r="AE56" s="9">
        <f>AE36/AE34</f>
        <v>0.36313534810275011</v>
      </c>
      <c r="AF56" s="9">
        <f>AF36/AF34</f>
        <v>0.37741665193293716</v>
      </c>
      <c r="AG56" s="8">
        <f>AG36/AG34</f>
        <v>0.38798511898210314</v>
      </c>
      <c r="AH56" s="9"/>
      <c r="AI56" s="9"/>
      <c r="AJ56" s="9"/>
      <c r="AT56" s="2" t="s">
        <v>130</v>
      </c>
      <c r="AU56" s="12">
        <f>+AU54/AU55-1</f>
        <v>0.40141958875870509</v>
      </c>
    </row>
    <row r="57" spans="2:47" x14ac:dyDescent="0.3">
      <c r="B57" t="s">
        <v>115</v>
      </c>
      <c r="D57" s="9">
        <f t="shared" ref="D57:P57" si="60">D44/D34</f>
        <v>8.1924940971790733E-2</v>
      </c>
      <c r="E57" s="9">
        <f t="shared" si="60"/>
        <v>0.12134641076607254</v>
      </c>
      <c r="F57" s="9">
        <f t="shared" si="60"/>
        <v>0.12134322208487845</v>
      </c>
      <c r="G57" s="9">
        <f t="shared" si="60"/>
        <v>0.14139361376353665</v>
      </c>
      <c r="H57" s="9">
        <f t="shared" si="60"/>
        <v>7.3195672252276023E-2</v>
      </c>
      <c r="I57" s="9">
        <f t="shared" si="60"/>
        <v>0.18146909451257279</v>
      </c>
      <c r="J57" s="9">
        <f t="shared" si="60"/>
        <v>0.14939954560207724</v>
      </c>
      <c r="K57" s="9">
        <f t="shared" si="60"/>
        <v>8.647631514358177E-2</v>
      </c>
      <c r="L57" s="9">
        <f t="shared" si="60"/>
        <v>6.6549513488886713E-2</v>
      </c>
      <c r="M57" s="9">
        <f t="shared" si="60"/>
        <v>0.14795339109650432</v>
      </c>
      <c r="N57" s="9">
        <f t="shared" si="60"/>
        <v>0.14904602237322334</v>
      </c>
      <c r="O57" s="9">
        <f t="shared" si="60"/>
        <v>0.14707798129282718</v>
      </c>
      <c r="P57" s="24">
        <f t="shared" si="60"/>
        <v>0.12039651362631966</v>
      </c>
      <c r="Q57" s="24">
        <f t="shared" ref="Q57" si="61">Q44/Q34</f>
        <v>0.14127447860923895</v>
      </c>
      <c r="AE57" s="9">
        <f>AE44/AE34</f>
        <v>0.1170557058207345</v>
      </c>
      <c r="AF57" s="9">
        <f>AF44/AF34</f>
        <v>0.12186459830728666</v>
      </c>
      <c r="AG57" s="8">
        <f>AG44/AG34</f>
        <v>0.12962188419515561</v>
      </c>
      <c r="AH57" s="9"/>
      <c r="AI57" s="9"/>
      <c r="AJ57" s="9"/>
    </row>
    <row r="58" spans="2:47" x14ac:dyDescent="0.3">
      <c r="B58" t="s">
        <v>116</v>
      </c>
      <c r="D58" s="9">
        <f t="shared" ref="D58:T58" si="62">D48/D34</f>
        <v>-8.997141791972163E-2</v>
      </c>
      <c r="E58" s="9">
        <f t="shared" si="62"/>
        <v>9.8732444849946241E-2</v>
      </c>
      <c r="F58" s="9">
        <f t="shared" si="62"/>
        <v>-0.1084329075676418</v>
      </c>
      <c r="G58" s="9">
        <f t="shared" si="62"/>
        <v>0.18465521561203752</v>
      </c>
      <c r="H58" s="9">
        <f t="shared" si="62"/>
        <v>0.10565378018208207</v>
      </c>
      <c r="I58" s="9">
        <f t="shared" si="62"/>
        <v>0.14093273875882573</v>
      </c>
      <c r="J58" s="9">
        <f t="shared" si="62"/>
        <v>0.11876014281077572</v>
      </c>
      <c r="K58" s="9">
        <f t="shared" si="62"/>
        <v>4.1151926695573916E-2</v>
      </c>
      <c r="L58" s="9">
        <f t="shared" si="62"/>
        <v>4.1329037716814733E-3</v>
      </c>
      <c r="M58" s="9">
        <f t="shared" si="62"/>
        <v>9.8775022408126675E-2</v>
      </c>
      <c r="N58" s="9">
        <f t="shared" si="62"/>
        <v>0.18411916560339456</v>
      </c>
      <c r="O58" s="9">
        <f t="shared" si="62"/>
        <v>0.1657330449962221</v>
      </c>
      <c r="P58" s="24">
        <f t="shared" si="62"/>
        <v>5.0638350110483676E-2</v>
      </c>
      <c r="Q58" s="24">
        <f t="shared" ref="Q58" si="63">Q48/Q34</f>
        <v>0.17112608833993809</v>
      </c>
      <c r="R58" s="9">
        <f t="shared" si="62"/>
        <v>0.10383213870980659</v>
      </c>
      <c r="S58" s="9">
        <f t="shared" si="62"/>
        <v>0.1378844660521962</v>
      </c>
      <c r="T58" s="9">
        <f t="shared" si="62"/>
        <v>9.7847434990965515E-2</v>
      </c>
      <c r="AE58" s="9">
        <f t="shared" ref="AE58:AJ58" si="64">AE48/AE34</f>
        <v>2.8212504494926596E-2</v>
      </c>
      <c r="AF58" s="9">
        <f t="shared" si="64"/>
        <v>9.9333522950025746E-2</v>
      </c>
      <c r="AG58" s="8">
        <f t="shared" si="64"/>
        <v>0.11739714266845709</v>
      </c>
      <c r="AH58" s="9">
        <f t="shared" si="64"/>
        <v>0.11779741168571943</v>
      </c>
      <c r="AI58" s="9">
        <f t="shared" si="64"/>
        <v>9.9519883650636493E-2</v>
      </c>
      <c r="AJ58" s="9">
        <f t="shared" si="64"/>
        <v>0.1</v>
      </c>
    </row>
    <row r="59" spans="2:47" x14ac:dyDescent="0.3"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24"/>
      <c r="AE59" s="9"/>
      <c r="AF59" s="9"/>
      <c r="AG59" s="8"/>
      <c r="AH59" s="9"/>
      <c r="AI59" s="9"/>
      <c r="AJ59" s="9"/>
    </row>
    <row r="60" spans="2:47" x14ac:dyDescent="0.3">
      <c r="B60" t="s">
        <v>117</v>
      </c>
      <c r="D60" s="24">
        <f t="shared" ref="D60:Q60" si="65">-D47/D46</f>
        <v>6.1568373298768631E-2</v>
      </c>
      <c r="E60" s="24">
        <f t="shared" si="65"/>
        <v>0.30440771349862261</v>
      </c>
      <c r="F60" s="24">
        <f t="shared" si="65"/>
        <v>-0.4257336343115124</v>
      </c>
      <c r="G60" s="24">
        <f t="shared" si="65"/>
        <v>9.3357025697102247E-2</v>
      </c>
      <c r="H60" s="24">
        <f t="shared" si="65"/>
        <v>0.13080054274084124</v>
      </c>
      <c r="I60" s="24">
        <f t="shared" si="65"/>
        <v>8.7610264635124294E-2</v>
      </c>
      <c r="J60" s="24">
        <f t="shared" si="65"/>
        <v>0.30225019069412662</v>
      </c>
      <c r="K60" s="24">
        <f t="shared" si="65"/>
        <v>0.38130381303813038</v>
      </c>
      <c r="L60" s="24">
        <f t="shared" si="65"/>
        <v>0.90689149560117299</v>
      </c>
      <c r="M60" s="24">
        <f t="shared" si="65"/>
        <v>0.26254740129377652</v>
      </c>
      <c r="N60" s="24">
        <f t="shared" si="65"/>
        <v>0.12826636695701041</v>
      </c>
      <c r="O60" s="24">
        <f t="shared" si="65"/>
        <v>0.14731903485254691</v>
      </c>
      <c r="P60" s="24">
        <f t="shared" si="65"/>
        <v>0.35192458758837392</v>
      </c>
      <c r="Q60" s="24">
        <f>-Q47/Q46</f>
        <v>0.15630347974900172</v>
      </c>
      <c r="AE60" s="24">
        <f t="shared" ref="AE60:AG60" si="66">-AE47/AE46</f>
        <v>0.43352691885104377</v>
      </c>
      <c r="AF60" s="24">
        <f t="shared" si="66"/>
        <v>0.2099535338713622</v>
      </c>
      <c r="AG60" s="24">
        <f t="shared" si="66"/>
        <v>0.2166952264381885</v>
      </c>
      <c r="AH60" s="9"/>
      <c r="AI60" s="9"/>
      <c r="AJ60" s="9"/>
    </row>
    <row r="61" spans="2:47" x14ac:dyDescent="0.3">
      <c r="B61" t="s">
        <v>118</v>
      </c>
      <c r="D61" s="9">
        <f t="shared" ref="D61:P61" si="67">D37/D36</f>
        <v>0.16806231742940603</v>
      </c>
      <c r="E61" s="9">
        <f t="shared" si="67"/>
        <v>0.18699258736321919</v>
      </c>
      <c r="F61" s="9">
        <f t="shared" si="67"/>
        <v>0.19945687798483003</v>
      </c>
      <c r="G61" s="9">
        <f t="shared" si="67"/>
        <v>0.13830087496471916</v>
      </c>
      <c r="H61" s="9">
        <f t="shared" si="67"/>
        <v>0.20005939417937041</v>
      </c>
      <c r="I61" s="9">
        <f t="shared" si="67"/>
        <v>0.11397204012321302</v>
      </c>
      <c r="J61" s="9">
        <f t="shared" si="67"/>
        <v>0.16705236993228764</v>
      </c>
      <c r="K61" s="9">
        <f t="shared" si="67"/>
        <v>0.12954251039749096</v>
      </c>
      <c r="L61" s="9">
        <f t="shared" si="67"/>
        <v>0.19093756116656879</v>
      </c>
      <c r="M61" s="9">
        <f t="shared" si="67"/>
        <v>0.13767302656191546</v>
      </c>
      <c r="N61" s="9">
        <f t="shared" si="67"/>
        <v>0.15329741215754725</v>
      </c>
      <c r="O61" s="9">
        <f t="shared" si="67"/>
        <v>0.12466645982004344</v>
      </c>
      <c r="P61" s="24">
        <f t="shared" si="67"/>
        <v>0.16442953020134229</v>
      </c>
      <c r="Q61" s="24">
        <f t="shared" ref="Q61" si="68">Q37/Q36</f>
        <v>0.13487053973979132</v>
      </c>
      <c r="AE61" s="9">
        <f>AE37/AE36</f>
        <v>0.1708178158568876</v>
      </c>
      <c r="AF61" s="9">
        <f>AF37/AF36</f>
        <v>0.14895003768051002</v>
      </c>
      <c r="AG61" s="8">
        <f>AG37/AG36</f>
        <v>0.14789598108747046</v>
      </c>
      <c r="AH61" s="9"/>
      <c r="AI61" s="9"/>
      <c r="AJ61" s="9"/>
    </row>
    <row r="62" spans="2:47" x14ac:dyDescent="0.3">
      <c r="B62" t="s">
        <v>119</v>
      </c>
      <c r="D62" s="9">
        <f t="shared" ref="D62:P62" si="69">D38/D36</f>
        <v>0.4178188899707887</v>
      </c>
      <c r="E62" s="9">
        <f t="shared" si="69"/>
        <v>0.33701023649841155</v>
      </c>
      <c r="F62" s="9">
        <f t="shared" si="69"/>
        <v>0.29431594718606613</v>
      </c>
      <c r="G62" s="9">
        <f t="shared" si="69"/>
        <v>0.31336438046852949</v>
      </c>
      <c r="H62" s="9">
        <f t="shared" si="69"/>
        <v>0.35933478519105128</v>
      </c>
      <c r="I62" s="9">
        <f t="shared" si="69"/>
        <v>0.29460548139957349</v>
      </c>
      <c r="J62" s="9">
        <f t="shared" si="69"/>
        <v>0.29939144595868689</v>
      </c>
      <c r="K62" s="9">
        <f t="shared" si="69"/>
        <v>0.32440171814276947</v>
      </c>
      <c r="L62" s="9">
        <f t="shared" si="69"/>
        <v>0.39068310824036012</v>
      </c>
      <c r="M62" s="9">
        <f t="shared" si="69"/>
        <v>0.33662551440329219</v>
      </c>
      <c r="N62" s="9">
        <f t="shared" si="69"/>
        <v>0.35114214161038171</v>
      </c>
      <c r="O62" s="9">
        <f t="shared" si="69"/>
        <v>0.36276760781880235</v>
      </c>
      <c r="P62" s="24">
        <f t="shared" si="69"/>
        <v>0.39829018855864495</v>
      </c>
      <c r="Q62" s="24">
        <f t="shared" ref="Q62" si="70">Q38/Q36</f>
        <v>0.47810124951693933</v>
      </c>
      <c r="AE62" s="9">
        <f>AE38/AE36</f>
        <v>0.33784685596194003</v>
      </c>
      <c r="AF62" s="9">
        <f>AF38/AF36</f>
        <v>0.31796240096136219</v>
      </c>
      <c r="AG62" s="8">
        <f>AG38/AG36</f>
        <v>0.35865721040189125</v>
      </c>
      <c r="AH62" s="9"/>
      <c r="AI62" s="9"/>
      <c r="AJ62" s="9"/>
    </row>
    <row r="63" spans="2:47" x14ac:dyDescent="0.3">
      <c r="B63" t="s">
        <v>120</v>
      </c>
      <c r="D63" s="9">
        <f t="shared" ref="D63:P63" si="71">D39/D36</f>
        <v>0.11382667964946445</v>
      </c>
      <c r="E63" s="9">
        <f t="shared" si="71"/>
        <v>0.11110130603600424</v>
      </c>
      <c r="F63" s="9">
        <f t="shared" si="71"/>
        <v>0.1393388894091207</v>
      </c>
      <c r="G63" s="9">
        <f t="shared" si="71"/>
        <v>0.10563082133784928</v>
      </c>
      <c r="H63" s="9">
        <f t="shared" si="71"/>
        <v>0.18501286873886358</v>
      </c>
      <c r="I63" s="9">
        <f t="shared" si="71"/>
        <v>7.945659900481794E-2</v>
      </c>
      <c r="J63" s="9">
        <f t="shared" si="71"/>
        <v>0.11048255764121025</v>
      </c>
      <c r="K63" s="9">
        <f t="shared" si="71"/>
        <v>0.10813390604758982</v>
      </c>
      <c r="L63" s="9">
        <f t="shared" si="71"/>
        <v>0.19005676257584656</v>
      </c>
      <c r="M63" s="9">
        <f t="shared" si="71"/>
        <v>0.13670033670033671</v>
      </c>
      <c r="N63" s="9">
        <f t="shared" si="71"/>
        <v>0.10571450254230856</v>
      </c>
      <c r="O63" s="9">
        <f t="shared" si="71"/>
        <v>9.2274278622401493E-2</v>
      </c>
      <c r="P63" s="24">
        <f t="shared" si="71"/>
        <v>0.11369447107702141</v>
      </c>
      <c r="Q63" s="24">
        <f t="shared" ref="Q63" si="72">Q39/Q36</f>
        <v>6.6533556614710804E-2</v>
      </c>
      <c r="AE63" s="9">
        <f>AE39/AE36</f>
        <v>0.11652638150388565</v>
      </c>
      <c r="AF63" s="9">
        <f>AF39/AF36</f>
        <v>0.11711509868220055</v>
      </c>
      <c r="AG63" s="8">
        <f>AG39/AG36</f>
        <v>0.12574940898345155</v>
      </c>
      <c r="AH63" s="9"/>
      <c r="AI63" s="9"/>
      <c r="AJ63" s="9"/>
    </row>
    <row r="64" spans="2:47" x14ac:dyDescent="0.3">
      <c r="B64" t="s">
        <v>121</v>
      </c>
      <c r="D64" s="9">
        <f t="shared" ref="D64:P64" si="73">D45/D44</f>
        <v>-2.1702692453545698</v>
      </c>
      <c r="E64" s="9">
        <f t="shared" si="73"/>
        <v>0.16970998925886144</v>
      </c>
      <c r="F64" s="9">
        <f t="shared" si="73"/>
        <v>-1.6267685342388229</v>
      </c>
      <c r="G64" s="9">
        <f t="shared" si="73"/>
        <v>0.44044103169915338</v>
      </c>
      <c r="H64" s="9">
        <f t="shared" si="73"/>
        <v>0.66065795403334837</v>
      </c>
      <c r="I64" s="9">
        <f t="shared" si="73"/>
        <v>-0.14880546075085324</v>
      </c>
      <c r="J64" s="9">
        <f t="shared" si="73"/>
        <v>0.13925700630023896</v>
      </c>
      <c r="K64" s="9">
        <f t="shared" si="73"/>
        <v>-0.23084200567644275</v>
      </c>
      <c r="L64" s="9">
        <f t="shared" si="73"/>
        <v>-0.33300733496332519</v>
      </c>
      <c r="M64" s="9">
        <f t="shared" si="73"/>
        <v>-9.47092084006462E-2</v>
      </c>
      <c r="N64" s="9">
        <f t="shared" si="73"/>
        <v>0.41708142544296239</v>
      </c>
      <c r="O64" s="9">
        <f t="shared" si="73"/>
        <v>0.32152347209920284</v>
      </c>
      <c r="P64" s="24">
        <f t="shared" si="73"/>
        <v>-0.35100688248789191</v>
      </c>
      <c r="Q64" s="24">
        <f t="shared" ref="Q64" si="74">Q45/Q44</f>
        <v>0.4357084357084357</v>
      </c>
      <c r="AE64" s="9">
        <f>AE45/AE44</f>
        <v>-0.5745291839187926</v>
      </c>
      <c r="AF64" s="9">
        <f>AF45/AF44</f>
        <v>3.1729010281965557E-2</v>
      </c>
      <c r="AG64" s="8">
        <f>AG45/AG44</f>
        <v>0.15624115482592699</v>
      </c>
      <c r="AH64" s="9"/>
      <c r="AI64" s="9"/>
      <c r="AJ64" s="9"/>
    </row>
    <row r="65" spans="2:36" x14ac:dyDescent="0.3"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23"/>
      <c r="AG65" s="7"/>
    </row>
    <row r="66" spans="2:36" x14ac:dyDescent="0.3">
      <c r="B66" s="9" t="s">
        <v>122</v>
      </c>
      <c r="D66" s="4"/>
      <c r="E66" s="4"/>
      <c r="F66" s="4"/>
      <c r="G66" s="4"/>
      <c r="H66" s="9">
        <f t="shared" ref="H66:AA66" si="75">H34/D34-1</f>
        <v>-5.8158319870759256E-2</v>
      </c>
      <c r="I66" s="9">
        <f t="shared" si="75"/>
        <v>5.2233699371110109E-2</v>
      </c>
      <c r="J66" s="9">
        <f t="shared" si="75"/>
        <v>5.7890399670375015E-2</v>
      </c>
      <c r="K66" s="9">
        <f t="shared" si="75"/>
        <v>2.0823473734027376E-2</v>
      </c>
      <c r="L66" s="9">
        <f t="shared" si="75"/>
        <v>1.3623169283546677E-2</v>
      </c>
      <c r="M66" s="9">
        <f t="shared" si="75"/>
        <v>3.6479623436145081E-2</v>
      </c>
      <c r="N66" s="9">
        <f t="shared" si="75"/>
        <v>9.3833171048360864E-2</v>
      </c>
      <c r="O66" s="9">
        <f t="shared" si="75"/>
        <v>4.6687938040306465E-2</v>
      </c>
      <c r="P66" s="24">
        <f t="shared" si="75"/>
        <v>6.0366429106056163E-2</v>
      </c>
      <c r="Q66" s="9">
        <f t="shared" si="75"/>
        <v>3.2895129967134729E-2</v>
      </c>
      <c r="R66" s="9">
        <f t="shared" si="75"/>
        <v>3.7423221862852962E-2</v>
      </c>
      <c r="S66" s="9">
        <f t="shared" si="75"/>
        <v>8.0393944920664095E-2</v>
      </c>
      <c r="T66" s="9">
        <f t="shared" si="75"/>
        <v>9.3825190277436965E-2</v>
      </c>
      <c r="U66" s="9">
        <f t="shared" si="75"/>
        <v>0.10571288073819107</v>
      </c>
      <c r="V66" s="9">
        <f t="shared" si="75"/>
        <v>0.1303808112761784</v>
      </c>
      <c r="W66" s="9">
        <f t="shared" si="75"/>
        <v>0.11914649380465248</v>
      </c>
      <c r="X66" s="9">
        <f t="shared" si="75"/>
        <v>9.2191059784743512E-2</v>
      </c>
      <c r="Y66" s="9">
        <f t="shared" si="75"/>
        <v>0.10884852036331649</v>
      </c>
      <c r="Z66" s="9">
        <f t="shared" si="75"/>
        <v>0.10000000000000009</v>
      </c>
      <c r="AA66" s="9">
        <f t="shared" si="75"/>
        <v>0.10000000000000009</v>
      </c>
      <c r="AF66" s="9">
        <f>AF34/AE34-1</f>
        <v>1.6924375791497859E-2</v>
      </c>
      <c r="AG66" s="8">
        <f>AG34/AF34-1</f>
        <v>4.7614288898967683E-2</v>
      </c>
      <c r="AH66" s="9">
        <f>AH34/AG34-1</f>
        <v>5.3586339988699994E-2</v>
      </c>
      <c r="AI66" s="9">
        <f>AI34/AH34-1</f>
        <v>0.11290131616519417</v>
      </c>
      <c r="AJ66" s="9">
        <f>AJ34/AI34-1</f>
        <v>0.10037498138234957</v>
      </c>
    </row>
    <row r="67" spans="2:36" x14ac:dyDescent="0.3">
      <c r="B67" t="s">
        <v>123</v>
      </c>
      <c r="D67" s="4"/>
      <c r="E67" s="4"/>
      <c r="F67" s="4"/>
      <c r="G67" s="4"/>
      <c r="H67" s="9">
        <f t="shared" ref="H67:P67" si="76">H50/D50-1</f>
        <v>-2.1461761346353008</v>
      </c>
      <c r="I67" s="9">
        <f t="shared" si="76"/>
        <v>0.56105383485208438</v>
      </c>
      <c r="J67" s="9">
        <f t="shared" si="76"/>
        <v>-2.2058793548779914</v>
      </c>
      <c r="K67" s="9">
        <f t="shared" si="76"/>
        <v>-0.76496603557569465</v>
      </c>
      <c r="L67" s="9">
        <f t="shared" si="76"/>
        <v>-0.95856808582893682</v>
      </c>
      <c r="M67" s="9">
        <f t="shared" si="76"/>
        <v>-0.22982012232210025</v>
      </c>
      <c r="N67" s="9">
        <f t="shared" si="76"/>
        <v>0.83809337457981625</v>
      </c>
      <c r="O67" s="9">
        <f t="shared" si="76"/>
        <v>3.5673738336864282</v>
      </c>
      <c r="P67" s="24">
        <f t="shared" si="76"/>
        <v>12.888861677220298</v>
      </c>
      <c r="Q67" s="24">
        <f t="shared" ref="Q67" si="77">Q50/M50-1</f>
        <v>0.89285049909255898</v>
      </c>
      <c r="AG67" s="7"/>
    </row>
    <row r="68" spans="2:36" x14ac:dyDescent="0.3">
      <c r="D68" s="4"/>
      <c r="E68" s="4"/>
      <c r="F68" s="4"/>
      <c r="G68" s="4"/>
      <c r="H68" s="9"/>
      <c r="I68" s="9"/>
      <c r="J68" s="9"/>
      <c r="K68" s="9"/>
      <c r="L68" s="9"/>
      <c r="M68" s="9"/>
      <c r="N68" s="9"/>
      <c r="O68" s="9"/>
      <c r="P68" s="24"/>
      <c r="AG68" s="7"/>
    </row>
    <row r="69" spans="2:36" x14ac:dyDescent="0.3">
      <c r="D69" s="4"/>
      <c r="E69" s="4"/>
      <c r="F69" s="4"/>
      <c r="G69" s="4"/>
      <c r="H69" s="9"/>
      <c r="I69" s="9"/>
      <c r="J69" s="9"/>
      <c r="K69" s="9"/>
      <c r="L69" s="9"/>
      <c r="M69" s="9"/>
      <c r="N69" s="9"/>
      <c r="O69" s="9"/>
      <c r="P69" s="24"/>
      <c r="AG69" s="7"/>
    </row>
    <row r="70" spans="2:36" x14ac:dyDescent="0.3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23"/>
    </row>
    <row r="71" spans="2:36" x14ac:dyDescent="0.3">
      <c r="B71" t="s">
        <v>100</v>
      </c>
      <c r="C71" s="4">
        <v>259316</v>
      </c>
      <c r="D71" s="4">
        <v>254941</v>
      </c>
      <c r="E71" s="4">
        <v>245700</v>
      </c>
      <c r="F71" s="4">
        <v>243903</v>
      </c>
      <c r="G71" s="4">
        <v>239740</v>
      </c>
      <c r="H71" s="4">
        <v>235216</v>
      </c>
      <c r="I71" s="4">
        <v>228675</v>
      </c>
      <c r="J71" s="4">
        <v>224955</v>
      </c>
      <c r="K71" s="4">
        <v>219260</v>
      </c>
      <c r="L71" s="4">
        <v>204891</v>
      </c>
      <c r="M71" s="4">
        <v>198162</v>
      </c>
      <c r="N71" s="4">
        <v>197991</v>
      </c>
      <c r="O71" s="4">
        <v>194320</v>
      </c>
      <c r="P71" s="23">
        <v>124320</v>
      </c>
      <c r="Q71" s="28">
        <v>123711</v>
      </c>
    </row>
    <row r="72" spans="2:36" x14ac:dyDescent="0.3">
      <c r="B72" t="s">
        <v>131</v>
      </c>
      <c r="C72" s="4"/>
      <c r="D72" s="3">
        <f t="shared" ref="D72:P72" si="78">D34/D71</f>
        <v>0.12625666330641208</v>
      </c>
      <c r="E72" s="3">
        <f t="shared" si="78"/>
        <v>0.12490435490435491</v>
      </c>
      <c r="F72" s="3">
        <f t="shared" si="78"/>
        <v>0.11940812536131166</v>
      </c>
      <c r="G72" s="3">
        <f t="shared" si="78"/>
        <v>0.14983315258196381</v>
      </c>
      <c r="H72" s="3">
        <f t="shared" si="78"/>
        <v>0.12888579008230733</v>
      </c>
      <c r="I72" s="3">
        <f t="shared" si="78"/>
        <v>0.14121351262709084</v>
      </c>
      <c r="J72" s="3">
        <f t="shared" si="78"/>
        <v>0.13696072547842902</v>
      </c>
      <c r="K72" s="3">
        <f t="shared" si="78"/>
        <v>0.16723980662227492</v>
      </c>
      <c r="L72" s="3">
        <f t="shared" si="78"/>
        <v>0.14997730500607639</v>
      </c>
      <c r="M72" s="3">
        <f t="shared" si="78"/>
        <v>0.16890221132204963</v>
      </c>
      <c r="N72" s="3">
        <f t="shared" si="78"/>
        <v>0.17021480774378633</v>
      </c>
      <c r="O72" s="3">
        <f t="shared" si="78"/>
        <v>0.19751440922190203</v>
      </c>
      <c r="P72" s="26">
        <f t="shared" si="78"/>
        <v>0.26209781209781208</v>
      </c>
      <c r="Q72" s="26">
        <f t="shared" ref="Q72" si="79">Q34/Q71</f>
        <v>0.27944968515330082</v>
      </c>
    </row>
    <row r="73" spans="2:36" x14ac:dyDescent="0.3">
      <c r="B73" t="s">
        <v>132</v>
      </c>
      <c r="C73" s="4"/>
      <c r="D73" s="9">
        <f>D71/C71-1</f>
        <v>-1.6871307593823714E-2</v>
      </c>
      <c r="E73" s="9">
        <f t="shared" ref="E73:O73" si="80">E71/D71-1</f>
        <v>-3.6247602386434541E-2</v>
      </c>
      <c r="F73" s="9">
        <f t="shared" si="80"/>
        <v>-7.3137973137973322E-3</v>
      </c>
      <c r="G73" s="9">
        <f t="shared" si="80"/>
        <v>-1.7068260743000274E-2</v>
      </c>
      <c r="H73" s="9">
        <f t="shared" si="80"/>
        <v>-1.887044297989493E-2</v>
      </c>
      <c r="I73" s="9">
        <f t="shared" si="80"/>
        <v>-2.7808482416162184E-2</v>
      </c>
      <c r="J73" s="9">
        <f t="shared" si="80"/>
        <v>-1.6267628730731398E-2</v>
      </c>
      <c r="K73" s="9">
        <f t="shared" si="80"/>
        <v>-2.5316174345980325E-2</v>
      </c>
      <c r="L73" s="9">
        <f t="shared" si="80"/>
        <v>-6.5534069141658269E-2</v>
      </c>
      <c r="M73" s="9">
        <f t="shared" si="80"/>
        <v>-3.2841852497181412E-2</v>
      </c>
      <c r="N73" s="9">
        <f t="shared" si="80"/>
        <v>-8.6293032973017159E-4</v>
      </c>
      <c r="O73" s="9">
        <f t="shared" si="80"/>
        <v>-1.8541246824350655E-2</v>
      </c>
      <c r="P73" s="24">
        <f>P71/O71-1</f>
        <v>-0.36023054755043227</v>
      </c>
      <c r="Q73" s="24">
        <f t="shared" ref="Q73" si="81">Q71/P71-1</f>
        <v>-4.8986486486486402E-3</v>
      </c>
    </row>
    <row r="74" spans="2:36" x14ac:dyDescent="0.3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23"/>
    </row>
    <row r="75" spans="2:36" x14ac:dyDescent="0.3">
      <c r="B75" t="s">
        <v>75</v>
      </c>
      <c r="D75" s="4"/>
      <c r="E75" s="4"/>
      <c r="F75" s="4"/>
      <c r="G75" s="4"/>
      <c r="H75" s="4"/>
      <c r="I75" s="4">
        <v>6801</v>
      </c>
      <c r="J75" s="4">
        <v>6453</v>
      </c>
      <c r="K75" s="4">
        <v>8441</v>
      </c>
      <c r="L75" s="4">
        <v>5332</v>
      </c>
      <c r="M75" s="4">
        <v>6716</v>
      </c>
      <c r="N75" s="4">
        <v>6354</v>
      </c>
      <c r="O75" s="4">
        <v>8368</v>
      </c>
      <c r="P75" s="23">
        <v>5753</v>
      </c>
      <c r="Q75" s="28">
        <v>5359</v>
      </c>
    </row>
    <row r="76" spans="2:36" x14ac:dyDescent="0.3">
      <c r="B76" t="s">
        <v>79</v>
      </c>
      <c r="D76" s="4"/>
      <c r="E76" s="4"/>
      <c r="F76" s="4"/>
      <c r="G76" s="4"/>
      <c r="H76" s="4"/>
      <c r="I76" s="4">
        <v>-58</v>
      </c>
      <c r="J76" s="4">
        <v>-53</v>
      </c>
      <c r="K76" s="4">
        <v>-443</v>
      </c>
      <c r="L76" s="4">
        <v>-566</v>
      </c>
      <c r="M76" s="4">
        <v>-510</v>
      </c>
      <c r="N76" s="4">
        <v>-414</v>
      </c>
      <c r="O76" s="4">
        <v>-678</v>
      </c>
      <c r="P76" s="23">
        <v>-492</v>
      </c>
      <c r="Q76" s="28">
        <v>-8</v>
      </c>
    </row>
    <row r="77" spans="2:36" x14ac:dyDescent="0.3">
      <c r="B77" t="s">
        <v>81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23"/>
    </row>
    <row r="78" spans="2:36" x14ac:dyDescent="0.3">
      <c r="B78" t="s">
        <v>83</v>
      </c>
      <c r="D78" s="4"/>
      <c r="E78" s="4"/>
      <c r="F78" s="4"/>
      <c r="G78" s="4"/>
      <c r="H78" s="4"/>
      <c r="I78" s="4">
        <v>53</v>
      </c>
      <c r="J78" s="4">
        <v>193</v>
      </c>
      <c r="K78" s="4">
        <v>333</v>
      </c>
      <c r="L78" s="4">
        <v>198</v>
      </c>
      <c r="M78" s="4">
        <v>322</v>
      </c>
      <c r="N78" s="4">
        <v>379</v>
      </c>
      <c r="O78" s="4">
        <v>430</v>
      </c>
      <c r="P78" s="23">
        <v>333</v>
      </c>
      <c r="Q78" s="28">
        <v>412</v>
      </c>
    </row>
    <row r="79" spans="2:36" x14ac:dyDescent="0.3">
      <c r="B79" t="s">
        <v>82</v>
      </c>
      <c r="D79" s="4"/>
      <c r="E79" s="4"/>
      <c r="F79" s="4"/>
      <c r="G79" s="4"/>
      <c r="H79" s="4"/>
      <c r="I79" s="4">
        <v>121</v>
      </c>
      <c r="J79" s="4">
        <v>124</v>
      </c>
      <c r="K79" s="4">
        <v>135</v>
      </c>
      <c r="L79" s="4">
        <v>-186</v>
      </c>
      <c r="M79" s="4">
        <v>85</v>
      </c>
      <c r="N79" s="4">
        <v>8</v>
      </c>
      <c r="O79" s="4">
        <v>32</v>
      </c>
      <c r="P79" s="23">
        <v>-83</v>
      </c>
    </row>
    <row r="80" spans="2:36" x14ac:dyDescent="0.3">
      <c r="B80" t="s">
        <v>84</v>
      </c>
      <c r="D80" s="4"/>
      <c r="E80" s="4"/>
      <c r="F80" s="4"/>
      <c r="G80" s="4"/>
      <c r="H80" s="4"/>
      <c r="I80" s="4">
        <v>-273</v>
      </c>
      <c r="J80" s="4">
        <v>-351</v>
      </c>
      <c r="K80" s="4">
        <v>-291</v>
      </c>
      <c r="L80" s="4">
        <v>-443</v>
      </c>
      <c r="M80" s="4">
        <v>-53</v>
      </c>
      <c r="N80" s="4">
        <v>-56</v>
      </c>
      <c r="O80" s="4">
        <v>-82</v>
      </c>
      <c r="P80" s="23">
        <v>-319</v>
      </c>
    </row>
    <row r="81" spans="2:18" x14ac:dyDescent="0.3">
      <c r="B81" t="s">
        <v>85</v>
      </c>
      <c r="D81" s="4"/>
      <c r="E81" s="4"/>
      <c r="F81" s="4"/>
      <c r="G81" s="4"/>
      <c r="H81" s="4"/>
      <c r="I81" s="4">
        <v>9</v>
      </c>
      <c r="J81" s="4">
        <v>-28</v>
      </c>
      <c r="K81" s="4">
        <v>-73</v>
      </c>
      <c r="L81" s="4">
        <v>-122</v>
      </c>
      <c r="M81" s="4">
        <v>-14</v>
      </c>
      <c r="N81" s="4">
        <v>-25</v>
      </c>
      <c r="O81" s="4">
        <v>-42</v>
      </c>
      <c r="P81" s="23">
        <v>5</v>
      </c>
    </row>
    <row r="82" spans="2:18" x14ac:dyDescent="0.3">
      <c r="B82" t="s">
        <v>86</v>
      </c>
      <c r="D82" s="4"/>
      <c r="E82" s="4"/>
      <c r="F82" s="4"/>
      <c r="G82" s="4"/>
      <c r="H82" s="4"/>
      <c r="I82" s="4">
        <v>-166</v>
      </c>
      <c r="J82" s="4">
        <v>-197</v>
      </c>
      <c r="K82" s="4">
        <v>-447</v>
      </c>
      <c r="L82" s="4">
        <v>-390</v>
      </c>
      <c r="M82" s="4">
        <v>-174</v>
      </c>
      <c r="N82" s="4">
        <v>-225</v>
      </c>
      <c r="O82" s="4">
        <v>-432</v>
      </c>
      <c r="P82" s="23">
        <v>-349</v>
      </c>
      <c r="Q82" s="28">
        <v>-198</v>
      </c>
    </row>
    <row r="83" spans="2:18" x14ac:dyDescent="0.3">
      <c r="B83" t="s">
        <v>87</v>
      </c>
      <c r="D83" s="4"/>
      <c r="E83" s="4"/>
      <c r="F83" s="4"/>
      <c r="G83" s="4"/>
      <c r="H83" s="4"/>
      <c r="I83" s="4">
        <v>-202</v>
      </c>
      <c r="J83" s="4">
        <v>-140</v>
      </c>
      <c r="K83" s="4">
        <v>-114</v>
      </c>
      <c r="L83" s="4">
        <v>-402</v>
      </c>
      <c r="M83" s="4">
        <v>-120</v>
      </c>
      <c r="N83" s="4">
        <v>-181</v>
      </c>
      <c r="O83" s="4">
        <v>-23</v>
      </c>
      <c r="P83" s="23">
        <v>-280</v>
      </c>
      <c r="Q83" s="28">
        <v>-58</v>
      </c>
    </row>
    <row r="84" spans="2:18" x14ac:dyDescent="0.3">
      <c r="B84" t="s">
        <v>88</v>
      </c>
      <c r="D84" s="4"/>
      <c r="E84" s="4"/>
      <c r="F84" s="4"/>
      <c r="G84" s="4"/>
      <c r="H84" s="4"/>
      <c r="I84" s="4">
        <v>-28</v>
      </c>
      <c r="J84" s="4">
        <v>-129</v>
      </c>
      <c r="K84" s="4">
        <v>-98</v>
      </c>
      <c r="L84" s="4">
        <v>-101</v>
      </c>
      <c r="M84" s="4">
        <v>-55</v>
      </c>
      <c r="N84" s="4">
        <v>-60</v>
      </c>
      <c r="O84" s="4">
        <v>-58</v>
      </c>
      <c r="P84" s="23">
        <v>-73</v>
      </c>
      <c r="Q84" s="28">
        <v>-85</v>
      </c>
    </row>
    <row r="85" spans="2:18" s="2" customFormat="1" x14ac:dyDescent="0.3">
      <c r="B85" s="2" t="s">
        <v>74</v>
      </c>
      <c r="D85" s="5">
        <v>2494</v>
      </c>
      <c r="E85" s="5">
        <v>5139</v>
      </c>
      <c r="F85" s="5">
        <v>5084</v>
      </c>
      <c r="G85" s="5">
        <v>7546</v>
      </c>
      <c r="H85" s="5">
        <v>3681</v>
      </c>
      <c r="I85" s="5">
        <f t="shared" ref="I85:Q85" si="82">SUM(I75:I84)</f>
        <v>6257</v>
      </c>
      <c r="J85" s="5">
        <f t="shared" si="82"/>
        <v>5872</v>
      </c>
      <c r="K85" s="5">
        <f t="shared" si="82"/>
        <v>7443</v>
      </c>
      <c r="L85" s="5">
        <f t="shared" si="82"/>
        <v>3320</v>
      </c>
      <c r="M85" s="5">
        <f t="shared" si="82"/>
        <v>6197</v>
      </c>
      <c r="N85" s="5">
        <f t="shared" si="82"/>
        <v>5780</v>
      </c>
      <c r="O85" s="5">
        <f t="shared" si="82"/>
        <v>7515</v>
      </c>
      <c r="P85" s="25">
        <f t="shared" si="82"/>
        <v>4495</v>
      </c>
      <c r="Q85" s="25">
        <f t="shared" si="82"/>
        <v>5422</v>
      </c>
    </row>
    <row r="86" spans="2:18" x14ac:dyDescent="0.3">
      <c r="B86" t="s">
        <v>90</v>
      </c>
      <c r="D86" s="4"/>
      <c r="E86" s="4"/>
      <c r="F86" s="4"/>
      <c r="G86" s="4"/>
      <c r="H86" s="4"/>
      <c r="I86" s="4">
        <v>225</v>
      </c>
      <c r="J86" s="4">
        <v>-936</v>
      </c>
      <c r="K86" s="4">
        <v>-876</v>
      </c>
      <c r="L86" s="4">
        <v>-987</v>
      </c>
      <c r="M86" s="4">
        <v>-565</v>
      </c>
      <c r="N86" s="4">
        <v>-522</v>
      </c>
      <c r="O86" s="4">
        <v>-468</v>
      </c>
      <c r="P86" s="23">
        <v>-383</v>
      </c>
      <c r="Q86" s="28">
        <v>-446</v>
      </c>
    </row>
    <row r="87" spans="2:18" x14ac:dyDescent="0.3">
      <c r="B87" t="s">
        <v>91</v>
      </c>
      <c r="D87" s="4"/>
      <c r="E87" s="4"/>
      <c r="F87" s="4"/>
      <c r="G87" s="4"/>
      <c r="H87" s="4"/>
      <c r="I87" s="4">
        <v>-342</v>
      </c>
      <c r="J87" s="4">
        <v>-333</v>
      </c>
      <c r="K87" s="4">
        <v>-2056</v>
      </c>
      <c r="L87" s="4">
        <v>-288</v>
      </c>
      <c r="M87" s="4">
        <v>-247</v>
      </c>
      <c r="N87" s="4">
        <v>-235</v>
      </c>
      <c r="O87" s="4">
        <v>-282</v>
      </c>
      <c r="P87" s="23">
        <v>-189</v>
      </c>
      <c r="Q87" s="28">
        <v>-92</v>
      </c>
    </row>
    <row r="88" spans="2:18" x14ac:dyDescent="0.3">
      <c r="B88" t="s">
        <v>93</v>
      </c>
      <c r="D88" s="4"/>
      <c r="E88" s="4"/>
      <c r="F88" s="4"/>
      <c r="G88" s="4"/>
      <c r="H88" s="4"/>
      <c r="I88" s="4">
        <v>-280</v>
      </c>
      <c r="J88" s="4"/>
      <c r="K88" s="4">
        <v>-1340</v>
      </c>
      <c r="L88" s="4"/>
      <c r="M88" s="4"/>
      <c r="N88" s="4"/>
      <c r="O88" s="4">
        <v>-1120</v>
      </c>
      <c r="P88" s="23"/>
      <c r="Q88" s="28">
        <v>0</v>
      </c>
    </row>
    <row r="89" spans="2:18" x14ac:dyDescent="0.3">
      <c r="B89" t="s">
        <v>94</v>
      </c>
      <c r="D89" s="4"/>
      <c r="E89" s="4"/>
      <c r="F89" s="4"/>
      <c r="G89" s="4"/>
      <c r="H89" s="4"/>
      <c r="I89" s="4"/>
      <c r="J89" s="4"/>
      <c r="K89" s="4"/>
      <c r="L89" s="4"/>
      <c r="M89" s="4">
        <v>-433</v>
      </c>
      <c r="N89" s="4"/>
      <c r="O89" s="4"/>
      <c r="P89" s="23"/>
    </row>
    <row r="90" spans="2:18" s="2" customFormat="1" x14ac:dyDescent="0.3">
      <c r="B90" s="2" t="s">
        <v>92</v>
      </c>
      <c r="D90" s="5">
        <v>2637</v>
      </c>
      <c r="E90" s="5">
        <v>3724</v>
      </c>
      <c r="F90" s="5">
        <v>3534</v>
      </c>
      <c r="G90" s="5">
        <v>5079</v>
      </c>
      <c r="H90" s="5">
        <v>2219</v>
      </c>
      <c r="I90" s="5">
        <f>SUM(I85:I89)</f>
        <v>5860</v>
      </c>
      <c r="J90" s="5">
        <f>SUM(J85:J89)</f>
        <v>4603</v>
      </c>
      <c r="K90" s="5">
        <f>SUM(K85:K89)</f>
        <v>3171</v>
      </c>
      <c r="L90" s="5">
        <f>SUM(L85:L89)</f>
        <v>2045</v>
      </c>
      <c r="M90" s="5">
        <f>SUM(M85:M89)</f>
        <v>4952</v>
      </c>
      <c r="N90" s="5">
        <f>SUM(N85:N88)</f>
        <v>5023</v>
      </c>
      <c r="O90" s="5">
        <f>SUM(O85:O88)</f>
        <v>5645</v>
      </c>
      <c r="P90" s="25">
        <f>SUM(P85:P87)</f>
        <v>3923</v>
      </c>
      <c r="Q90" s="25">
        <f t="shared" ref="Q90" si="83">SUM(Q85:Q87)</f>
        <v>4884</v>
      </c>
    </row>
    <row r="91" spans="2:18" x14ac:dyDescent="0.3">
      <c r="B91" t="s">
        <v>95</v>
      </c>
      <c r="D91" s="4">
        <v>1193</v>
      </c>
      <c r="E91" s="4">
        <v>999</v>
      </c>
      <c r="F91" s="4">
        <v>1005</v>
      </c>
      <c r="G91" s="4">
        <v>1032</v>
      </c>
      <c r="H91" s="4">
        <v>996</v>
      </c>
      <c r="I91" s="4">
        <v>921</v>
      </c>
      <c r="J91" s="4">
        <v>876</v>
      </c>
      <c r="K91" s="4">
        <v>948</v>
      </c>
      <c r="L91" s="4">
        <v>947</v>
      </c>
      <c r="M91" s="4">
        <v>843</v>
      </c>
      <c r="N91">
        <v>964</v>
      </c>
      <c r="O91" s="4">
        <v>986</v>
      </c>
      <c r="P91">
        <v>1263</v>
      </c>
      <c r="Q91" s="28">
        <v>962</v>
      </c>
    </row>
    <row r="92" spans="2:18" s="2" customFormat="1" x14ac:dyDescent="0.3">
      <c r="B92" s="2" t="s">
        <v>73</v>
      </c>
      <c r="D92" s="5">
        <f t="shared" ref="D92:M92" si="84">+D85+D91</f>
        <v>3687</v>
      </c>
      <c r="E92" s="5">
        <f t="shared" si="84"/>
        <v>6138</v>
      </c>
      <c r="F92" s="5">
        <f t="shared" si="84"/>
        <v>6089</v>
      </c>
      <c r="G92" s="5">
        <f t="shared" si="84"/>
        <v>8578</v>
      </c>
      <c r="H92" s="5">
        <f t="shared" si="84"/>
        <v>4677</v>
      </c>
      <c r="I92" s="5">
        <f t="shared" si="84"/>
        <v>7178</v>
      </c>
      <c r="J92" s="5">
        <f t="shared" si="84"/>
        <v>6748</v>
      </c>
      <c r="K92" s="5">
        <f t="shared" si="84"/>
        <v>8391</v>
      </c>
      <c r="L92" s="5">
        <f t="shared" si="84"/>
        <v>4267</v>
      </c>
      <c r="M92" s="5">
        <f t="shared" si="84"/>
        <v>7040</v>
      </c>
      <c r="N92" s="5">
        <f t="shared" ref="N92:P92" si="85">+N85+N91</f>
        <v>6744</v>
      </c>
      <c r="O92" s="5">
        <f t="shared" si="85"/>
        <v>8501</v>
      </c>
      <c r="P92" s="5">
        <f t="shared" si="85"/>
        <v>5758</v>
      </c>
      <c r="Q92" s="5">
        <f t="shared" ref="Q92" si="86">+Q85+Q91</f>
        <v>6384</v>
      </c>
    </row>
    <row r="93" spans="2:18" s="2" customFormat="1" x14ac:dyDescent="0.3"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6" spans="2:18" x14ac:dyDescent="0.3">
      <c r="B96" t="s">
        <v>65</v>
      </c>
      <c r="D96" s="4">
        <f t="shared" ref="D96:O96" si="87">+D97+D98-D109-D110-D117-D118-D119</f>
        <v>48123</v>
      </c>
      <c r="E96" s="4">
        <f t="shared" si="87"/>
        <v>44966</v>
      </c>
      <c r="F96" s="4">
        <f t="shared" si="87"/>
        <v>44343</v>
      </c>
      <c r="G96" s="4">
        <f t="shared" si="87"/>
        <v>50950</v>
      </c>
      <c r="H96" s="4">
        <f t="shared" si="87"/>
        <v>52161</v>
      </c>
      <c r="I96" s="4">
        <f t="shared" si="87"/>
        <v>47552</v>
      </c>
      <c r="J96" s="4">
        <f t="shared" si="87"/>
        <v>51229</v>
      </c>
      <c r="K96" s="4">
        <f t="shared" si="87"/>
        <v>54832</v>
      </c>
      <c r="L96" s="4">
        <f t="shared" si="87"/>
        <v>47132</v>
      </c>
      <c r="M96" s="4">
        <f t="shared" si="87"/>
        <v>25768</v>
      </c>
      <c r="N96" s="4">
        <f t="shared" si="87"/>
        <v>19417</v>
      </c>
      <c r="O96" s="4">
        <f t="shared" si="87"/>
        <v>23044</v>
      </c>
      <c r="P96" s="4">
        <f>+P97+P98-P109-P110-P117-P118-P119</f>
        <v>19790</v>
      </c>
      <c r="Q96" s="4">
        <f>+Q97+Q98-Q109-Q110-Q117-Q118-Q119</f>
        <v>19929</v>
      </c>
      <c r="R96" s="4"/>
    </row>
    <row r="97" spans="2:17" x14ac:dyDescent="0.3">
      <c r="B97" t="s">
        <v>38</v>
      </c>
      <c r="D97" s="4">
        <v>29956</v>
      </c>
      <c r="E97" s="4">
        <v>26385</v>
      </c>
      <c r="F97" s="4">
        <v>29059</v>
      </c>
      <c r="G97" s="4">
        <v>28308</v>
      </c>
      <c r="H97" s="4">
        <v>28115</v>
      </c>
      <c r="I97" s="4">
        <v>31223</v>
      </c>
      <c r="J97" s="4">
        <v>33404</v>
      </c>
      <c r="K97" s="4">
        <v>35889</v>
      </c>
      <c r="L97" s="4">
        <v>34365</v>
      </c>
      <c r="M97" s="4">
        <v>30158</v>
      </c>
      <c r="N97" s="4">
        <v>26076</v>
      </c>
      <c r="O97" s="4">
        <v>22301</v>
      </c>
      <c r="P97" s="4">
        <v>20049</v>
      </c>
      <c r="Q97" s="4">
        <v>25563</v>
      </c>
    </row>
    <row r="98" spans="2:17" x14ac:dyDescent="0.3">
      <c r="B98" t="s">
        <v>39</v>
      </c>
      <c r="D98" s="4">
        <v>40464</v>
      </c>
      <c r="E98" s="4">
        <v>41275</v>
      </c>
      <c r="F98" s="4">
        <v>37979</v>
      </c>
      <c r="G98" s="4">
        <v>45814</v>
      </c>
      <c r="H98" s="4">
        <v>47541</v>
      </c>
      <c r="I98" s="4">
        <v>39159</v>
      </c>
      <c r="J98" s="4">
        <v>40679</v>
      </c>
      <c r="K98" s="4">
        <v>42313</v>
      </c>
      <c r="L98" s="4">
        <v>36419</v>
      </c>
      <c r="M98" s="4">
        <v>24223</v>
      </c>
      <c r="N98" s="4">
        <v>22163</v>
      </c>
      <c r="O98" s="4">
        <v>32462</v>
      </c>
      <c r="P98" s="4">
        <v>31533</v>
      </c>
      <c r="Q98" s="4">
        <v>26766</v>
      </c>
    </row>
    <row r="99" spans="2:17" x14ac:dyDescent="0.3">
      <c r="B99" t="s">
        <v>40</v>
      </c>
      <c r="D99" s="4">
        <v>5908</v>
      </c>
      <c r="E99" s="4">
        <v>5851</v>
      </c>
      <c r="F99" s="4">
        <v>5643</v>
      </c>
      <c r="G99" s="4">
        <v>5827</v>
      </c>
      <c r="H99" s="4">
        <v>5304</v>
      </c>
      <c r="I99" s="4">
        <v>5611</v>
      </c>
      <c r="J99" s="4">
        <v>5110</v>
      </c>
      <c r="K99" s="4">
        <v>5651</v>
      </c>
      <c r="L99" s="4">
        <v>5304</v>
      </c>
      <c r="M99" s="4">
        <v>6349</v>
      </c>
      <c r="N99" s="4">
        <v>6481</v>
      </c>
      <c r="O99" s="4">
        <v>5916</v>
      </c>
      <c r="P99" s="4">
        <v>6033</v>
      </c>
      <c r="Q99" s="4">
        <v>5787</v>
      </c>
    </row>
    <row r="100" spans="2:17" x14ac:dyDescent="0.3">
      <c r="B100" t="s">
        <v>41</v>
      </c>
      <c r="D100" s="4">
        <v>1368</v>
      </c>
      <c r="E100" s="4">
        <v>1506</v>
      </c>
      <c r="F100" s="4">
        <v>1439</v>
      </c>
      <c r="G100" s="4">
        <v>1156</v>
      </c>
      <c r="H100" s="4">
        <v>712</v>
      </c>
      <c r="I100" s="4">
        <v>4699</v>
      </c>
      <c r="J100" s="4">
        <v>4640</v>
      </c>
      <c r="K100" s="4">
        <v>8335</v>
      </c>
      <c r="L100" s="4">
        <v>8303</v>
      </c>
      <c r="M100" s="4">
        <v>7393</v>
      </c>
      <c r="N100" s="4">
        <v>7163</v>
      </c>
      <c r="O100" s="4">
        <v>7336</v>
      </c>
      <c r="P100" s="4">
        <v>7411</v>
      </c>
      <c r="Q100" s="4">
        <v>5801</v>
      </c>
    </row>
    <row r="101" spans="2:17" x14ac:dyDescent="0.3">
      <c r="B101" t="s">
        <v>42</v>
      </c>
      <c r="D101" s="4">
        <v>23030</v>
      </c>
      <c r="E101" s="4">
        <v>21274</v>
      </c>
      <c r="F101" s="4">
        <v>21151</v>
      </c>
      <c r="G101" s="4">
        <v>24499</v>
      </c>
      <c r="H101" s="4">
        <v>19960</v>
      </c>
      <c r="I101" s="4">
        <v>20040</v>
      </c>
      <c r="J101" s="4">
        <v>20054</v>
      </c>
      <c r="K101" s="4">
        <v>21510</v>
      </c>
      <c r="L101" s="4">
        <v>19879</v>
      </c>
      <c r="M101" s="4">
        <v>21828</v>
      </c>
      <c r="N101" s="4">
        <v>24913</v>
      </c>
      <c r="O101" s="4">
        <v>24849</v>
      </c>
      <c r="P101" s="4">
        <v>27860</v>
      </c>
      <c r="Q101" s="4">
        <v>31855</v>
      </c>
    </row>
    <row r="102" spans="2:17" x14ac:dyDescent="0.3">
      <c r="B102" t="s">
        <v>44</v>
      </c>
      <c r="D102" s="4">
        <v>35274</v>
      </c>
      <c r="E102" s="4">
        <v>34159</v>
      </c>
      <c r="F102" s="4">
        <v>27862</v>
      </c>
      <c r="G102" s="4">
        <v>32988</v>
      </c>
      <c r="H102" s="4">
        <v>35782</v>
      </c>
      <c r="I102" s="4">
        <v>33032</v>
      </c>
      <c r="J102" s="4">
        <v>33966</v>
      </c>
      <c r="K102" s="4">
        <v>31273</v>
      </c>
      <c r="L102" s="4">
        <v>30600</v>
      </c>
      <c r="M102" s="4">
        <v>45538</v>
      </c>
      <c r="N102" s="4">
        <v>49113</v>
      </c>
      <c r="O102" s="4">
        <v>47373</v>
      </c>
      <c r="P102" s="4">
        <v>49171</v>
      </c>
      <c r="Q102" s="4">
        <v>50987</v>
      </c>
    </row>
    <row r="103" spans="2:17" x14ac:dyDescent="0.3">
      <c r="B103" t="s">
        <v>43</v>
      </c>
      <c r="D103" s="4">
        <v>17849</v>
      </c>
      <c r="E103" s="4">
        <v>16653</v>
      </c>
      <c r="F103" s="4">
        <v>15697</v>
      </c>
      <c r="G103" s="4">
        <v>16350</v>
      </c>
      <c r="H103" s="4">
        <v>16152</v>
      </c>
      <c r="I103" s="4">
        <v>14853</v>
      </c>
      <c r="J103" s="4">
        <v>15047</v>
      </c>
      <c r="K103" s="4">
        <v>16202</v>
      </c>
      <c r="L103" s="4">
        <v>16080</v>
      </c>
      <c r="M103" s="4">
        <v>16146</v>
      </c>
      <c r="N103" s="4">
        <v>16524</v>
      </c>
      <c r="O103" s="4">
        <v>16000</v>
      </c>
      <c r="P103" s="4">
        <v>11497</v>
      </c>
      <c r="Q103" s="4">
        <v>13022</v>
      </c>
    </row>
    <row r="104" spans="2:17" x14ac:dyDescent="0.3">
      <c r="B104" t="s">
        <v>45</v>
      </c>
      <c r="D104" s="4">
        <v>34648</v>
      </c>
      <c r="E104" s="4">
        <v>32544</v>
      </c>
      <c r="F104" s="4">
        <v>30922</v>
      </c>
      <c r="G104" s="4">
        <v>30243</v>
      </c>
      <c r="H104" s="4">
        <v>30197</v>
      </c>
      <c r="I104" s="4">
        <v>29254</v>
      </c>
      <c r="J104" s="4">
        <v>28548</v>
      </c>
      <c r="K104" s="4">
        <v>29179</v>
      </c>
      <c r="L104" s="4">
        <v>28133</v>
      </c>
      <c r="M104" s="4">
        <v>28054</v>
      </c>
      <c r="N104" s="4">
        <v>28863</v>
      </c>
      <c r="O104" s="4">
        <v>28920</v>
      </c>
      <c r="P104" s="4">
        <v>28962</v>
      </c>
      <c r="Q104" s="4">
        <v>28748</v>
      </c>
    </row>
    <row r="105" spans="2:17" x14ac:dyDescent="0.3">
      <c r="B105" t="s">
        <v>46</v>
      </c>
      <c r="D105" s="4">
        <v>27102</v>
      </c>
      <c r="E105" s="4">
        <v>26547</v>
      </c>
      <c r="F105" s="4">
        <v>25243</v>
      </c>
      <c r="G105" s="4">
        <v>25778</v>
      </c>
      <c r="H105" s="4">
        <v>25632</v>
      </c>
      <c r="I105" s="4">
        <v>24252</v>
      </c>
      <c r="J105" s="4">
        <v>24594</v>
      </c>
      <c r="K105" s="4">
        <v>25579</v>
      </c>
      <c r="L105" s="4">
        <v>25645</v>
      </c>
      <c r="M105" s="4">
        <v>26726</v>
      </c>
      <c r="N105" s="4">
        <v>29628</v>
      </c>
      <c r="O105" s="4">
        <v>31076</v>
      </c>
      <c r="P105" s="4">
        <v>28022</v>
      </c>
      <c r="Q105" s="4">
        <v>30828</v>
      </c>
    </row>
    <row r="106" spans="2:17" x14ac:dyDescent="0.3">
      <c r="B106" t="s">
        <v>47</v>
      </c>
      <c r="D106" s="4">
        <v>9343</v>
      </c>
      <c r="E106" s="4">
        <v>8470</v>
      </c>
      <c r="F106" s="4">
        <v>7652</v>
      </c>
      <c r="G106" s="4">
        <v>7092</v>
      </c>
      <c r="H106" s="4">
        <v>6831</v>
      </c>
      <c r="I106" s="4">
        <v>6145</v>
      </c>
      <c r="J106" s="4">
        <v>5701</v>
      </c>
      <c r="K106" s="4">
        <v>3994</v>
      </c>
      <c r="L106" s="4">
        <v>3733</v>
      </c>
      <c r="M106" s="4">
        <v>3478</v>
      </c>
      <c r="N106" s="4">
        <v>3264</v>
      </c>
      <c r="O106" s="4">
        <v>2969</v>
      </c>
      <c r="P106" s="4">
        <v>2882</v>
      </c>
      <c r="Q106" s="4">
        <v>2809</v>
      </c>
    </row>
    <row r="107" spans="2:17" x14ac:dyDescent="0.3">
      <c r="B107" t="s">
        <v>48</v>
      </c>
      <c r="D107" s="4">
        <v>42525</v>
      </c>
      <c r="E107" s="4">
        <v>40389</v>
      </c>
      <c r="F107" s="4">
        <v>38099</v>
      </c>
      <c r="G107" s="4">
        <v>38879</v>
      </c>
      <c r="H107" s="4">
        <v>39037</v>
      </c>
      <c r="I107" s="4">
        <v>36764</v>
      </c>
      <c r="J107" s="4">
        <v>36556</v>
      </c>
      <c r="K107" s="4">
        <v>36553</v>
      </c>
      <c r="L107" s="4">
        <v>35965</v>
      </c>
      <c r="M107" s="4">
        <v>35739</v>
      </c>
      <c r="N107" s="4">
        <v>36996</v>
      </c>
      <c r="O107" s="4">
        <v>34927</v>
      </c>
      <c r="P107" s="4">
        <v>35209</v>
      </c>
      <c r="Q107" s="4">
        <v>35677</v>
      </c>
    </row>
    <row r="108" spans="2:17" s="2" customFormat="1" x14ac:dyDescent="0.3">
      <c r="B108" s="2" t="s">
        <v>49</v>
      </c>
      <c r="D108" s="5">
        <f t="shared" ref="D108:P108" si="88">SUM(D97:D107)</f>
        <v>267467</v>
      </c>
      <c r="E108" s="5">
        <f t="shared" si="88"/>
        <v>255053</v>
      </c>
      <c r="F108" s="5">
        <f t="shared" si="88"/>
        <v>240746</v>
      </c>
      <c r="G108" s="5">
        <f t="shared" si="88"/>
        <v>256934</v>
      </c>
      <c r="H108" s="5">
        <f t="shared" si="88"/>
        <v>255263</v>
      </c>
      <c r="I108" s="5">
        <f t="shared" si="88"/>
        <v>245032</v>
      </c>
      <c r="J108" s="5">
        <f t="shared" si="88"/>
        <v>248299</v>
      </c>
      <c r="K108" s="5">
        <f t="shared" si="88"/>
        <v>256478</v>
      </c>
      <c r="L108" s="5">
        <f t="shared" si="88"/>
        <v>244426</v>
      </c>
      <c r="M108" s="5">
        <f t="shared" si="88"/>
        <v>245632</v>
      </c>
      <c r="N108" s="5">
        <f t="shared" si="88"/>
        <v>251184</v>
      </c>
      <c r="O108" s="5">
        <f t="shared" si="88"/>
        <v>254129</v>
      </c>
      <c r="P108" s="5">
        <f t="shared" si="88"/>
        <v>248629</v>
      </c>
      <c r="Q108" s="5">
        <f t="shared" ref="Q108" si="89">SUM(Q97:Q107)</f>
        <v>257843</v>
      </c>
    </row>
    <row r="109" spans="2:17" x14ac:dyDescent="0.3">
      <c r="B109" t="s">
        <v>50</v>
      </c>
      <c r="D109" s="4">
        <v>1395</v>
      </c>
      <c r="E109" s="4">
        <v>1322</v>
      </c>
      <c r="F109" s="4">
        <v>930</v>
      </c>
      <c r="G109" s="4">
        <v>971</v>
      </c>
      <c r="H109" s="4">
        <v>1087</v>
      </c>
      <c r="I109" s="4">
        <v>1136</v>
      </c>
      <c r="J109" s="4">
        <v>1122</v>
      </c>
      <c r="K109" s="4">
        <v>1464</v>
      </c>
      <c r="L109" s="4">
        <v>1766</v>
      </c>
      <c r="M109" s="4">
        <v>1867</v>
      </c>
      <c r="N109" s="4">
        <v>2414</v>
      </c>
      <c r="O109" s="4">
        <v>2939</v>
      </c>
      <c r="P109" s="4">
        <v>3109</v>
      </c>
      <c r="Q109" s="4">
        <v>3432</v>
      </c>
    </row>
    <row r="110" spans="2:17" x14ac:dyDescent="0.3">
      <c r="B110" t="s">
        <v>51</v>
      </c>
      <c r="D110" s="4"/>
      <c r="E110" s="4">
        <v>700</v>
      </c>
      <c r="F110" s="4">
        <v>701</v>
      </c>
      <c r="G110" s="4">
        <v>705</v>
      </c>
      <c r="H110" s="4">
        <v>699</v>
      </c>
      <c r="I110" s="4"/>
      <c r="J110" s="4"/>
      <c r="K110" s="4">
        <v>2248</v>
      </c>
      <c r="L110" s="4">
        <v>2251</v>
      </c>
      <c r="M110" s="4">
        <v>2249</v>
      </c>
      <c r="N110" s="4">
        <v>2249</v>
      </c>
      <c r="O110" s="4"/>
      <c r="P110" s="4"/>
      <c r="Q110" s="4"/>
    </row>
    <row r="111" spans="2:17" x14ac:dyDescent="0.3">
      <c r="B111" t="s">
        <v>52</v>
      </c>
      <c r="D111" s="4">
        <v>3431</v>
      </c>
      <c r="E111" s="4">
        <v>2607</v>
      </c>
      <c r="F111" s="4">
        <v>2356</v>
      </c>
      <c r="G111" s="4">
        <v>2729</v>
      </c>
      <c r="H111" s="4">
        <v>1826</v>
      </c>
      <c r="I111" s="4">
        <v>1174</v>
      </c>
      <c r="J111" s="4">
        <v>1166</v>
      </c>
      <c r="K111" s="4">
        <v>1552</v>
      </c>
      <c r="L111" s="4">
        <v>1256</v>
      </c>
      <c r="M111" s="4">
        <v>945</v>
      </c>
      <c r="N111" s="4">
        <v>1156</v>
      </c>
      <c r="O111" s="4">
        <v>1974</v>
      </c>
      <c r="P111" s="4">
        <v>1604</v>
      </c>
      <c r="Q111" s="4">
        <v>1248</v>
      </c>
    </row>
    <row r="112" spans="2:17" x14ac:dyDescent="0.3">
      <c r="B112" t="s">
        <v>53</v>
      </c>
      <c r="D112" s="4">
        <v>42822</v>
      </c>
      <c r="E112" s="4">
        <v>39648</v>
      </c>
      <c r="F112" s="4">
        <v>38218</v>
      </c>
      <c r="G112" s="4">
        <v>42578</v>
      </c>
      <c r="H112" s="4">
        <v>40182</v>
      </c>
      <c r="I112" s="4">
        <v>38524</v>
      </c>
      <c r="J112" s="4">
        <v>39283</v>
      </c>
      <c r="K112" s="4">
        <v>44401</v>
      </c>
      <c r="L112" s="4">
        <v>41256</v>
      </c>
      <c r="M112" s="4">
        <v>46686</v>
      </c>
      <c r="N112" s="4">
        <v>45991</v>
      </c>
      <c r="O112" s="4">
        <v>46626</v>
      </c>
      <c r="P112" s="4">
        <v>45825</v>
      </c>
      <c r="Q112" s="4">
        <v>51877</v>
      </c>
    </row>
    <row r="113" spans="2:17" x14ac:dyDescent="0.3">
      <c r="B113" t="s">
        <v>54</v>
      </c>
      <c r="D113" s="4">
        <v>2326</v>
      </c>
      <c r="E113" s="4">
        <v>2118</v>
      </c>
      <c r="F113" s="4">
        <v>1902</v>
      </c>
      <c r="G113" s="4">
        <v>3696</v>
      </c>
      <c r="H113" s="4">
        <v>1936</v>
      </c>
      <c r="I113" s="4">
        <v>1812</v>
      </c>
      <c r="J113" s="4">
        <v>1727</v>
      </c>
      <c r="K113" s="4">
        <v>3366</v>
      </c>
      <c r="L113" s="4">
        <v>1764</v>
      </c>
      <c r="M113" s="4">
        <v>1713</v>
      </c>
      <c r="N113" s="4">
        <v>543</v>
      </c>
      <c r="O113" s="4">
        <v>411</v>
      </c>
      <c r="P113" s="4">
        <v>37</v>
      </c>
      <c r="Q113" s="4">
        <v>35</v>
      </c>
    </row>
    <row r="114" spans="2:17" x14ac:dyDescent="0.3">
      <c r="B114" t="s">
        <v>55</v>
      </c>
      <c r="D114" s="4">
        <v>10566</v>
      </c>
      <c r="E114" s="4">
        <v>9678</v>
      </c>
      <c r="F114" s="4">
        <v>9715</v>
      </c>
      <c r="G114" s="4">
        <v>9901</v>
      </c>
      <c r="H114" s="4">
        <v>10381</v>
      </c>
      <c r="I114" s="4">
        <v>9791</v>
      </c>
      <c r="J114" s="4">
        <v>10130</v>
      </c>
      <c r="K114" s="4">
        <v>10175</v>
      </c>
      <c r="L114" s="4">
        <v>10085</v>
      </c>
      <c r="M114" s="4">
        <v>10236</v>
      </c>
      <c r="N114" s="4">
        <v>11040</v>
      </c>
      <c r="O114" s="4">
        <v>10708</v>
      </c>
      <c r="P114" s="4">
        <v>9417</v>
      </c>
      <c r="Q114" s="4">
        <v>9524</v>
      </c>
    </row>
    <row r="115" spans="2:17" x14ac:dyDescent="0.3">
      <c r="B115" t="s">
        <v>56</v>
      </c>
      <c r="D115" s="4">
        <v>551</v>
      </c>
      <c r="E115" s="4">
        <v>516</v>
      </c>
      <c r="F115" s="4">
        <v>490</v>
      </c>
      <c r="G115" s="4">
        <v>514</v>
      </c>
      <c r="H115" s="4">
        <v>518</v>
      </c>
      <c r="I115" s="4">
        <v>507</v>
      </c>
      <c r="J115" s="4">
        <v>517</v>
      </c>
      <c r="K115" s="4">
        <v>570</v>
      </c>
      <c r="L115" s="4">
        <v>564</v>
      </c>
      <c r="M115" s="4">
        <v>593</v>
      </c>
      <c r="N115" s="4">
        <v>615</v>
      </c>
      <c r="O115" s="4">
        <v>624</v>
      </c>
      <c r="P115" s="4">
        <v>625</v>
      </c>
      <c r="Q115" s="4">
        <v>622</v>
      </c>
    </row>
    <row r="116" spans="2:17" x14ac:dyDescent="0.3">
      <c r="B116" t="s">
        <v>57</v>
      </c>
      <c r="D116" s="4">
        <v>9734</v>
      </c>
      <c r="E116" s="4">
        <v>9365</v>
      </c>
      <c r="F116" s="4">
        <v>8762</v>
      </c>
      <c r="G116" s="4">
        <v>8900</v>
      </c>
      <c r="H116" s="4">
        <v>8991</v>
      </c>
      <c r="I116" s="4">
        <v>7966</v>
      </c>
      <c r="J116" s="4">
        <v>7907</v>
      </c>
      <c r="K116" s="4">
        <v>7547</v>
      </c>
      <c r="L116" s="4">
        <v>7342</v>
      </c>
      <c r="M116" s="4">
        <v>7469</v>
      </c>
      <c r="N116" s="4">
        <v>7801</v>
      </c>
      <c r="O116" s="4">
        <v>7591</v>
      </c>
      <c r="P116" s="4">
        <v>6677</v>
      </c>
      <c r="Q116" s="4">
        <v>6561</v>
      </c>
    </row>
    <row r="117" spans="2:17" x14ac:dyDescent="0.3">
      <c r="B117" t="s">
        <v>58</v>
      </c>
      <c r="D117" s="4">
        <v>6033</v>
      </c>
      <c r="E117" s="4">
        <v>6534</v>
      </c>
      <c r="F117" s="4">
        <v>6895</v>
      </c>
      <c r="G117" s="4">
        <v>7229</v>
      </c>
      <c r="H117" s="4">
        <v>7575</v>
      </c>
      <c r="I117" s="4">
        <v>7543</v>
      </c>
      <c r="J117" s="4">
        <v>7554</v>
      </c>
      <c r="K117" s="4">
        <v>7751</v>
      </c>
      <c r="L117" s="4">
        <v>7712</v>
      </c>
      <c r="M117" s="4">
        <v>7655</v>
      </c>
      <c r="N117" s="4">
        <v>7311</v>
      </c>
      <c r="O117" s="4">
        <v>6982</v>
      </c>
      <c r="P117" s="4">
        <v>6878</v>
      </c>
      <c r="Q117" s="4">
        <v>7108</v>
      </c>
    </row>
    <row r="118" spans="2:17" x14ac:dyDescent="0.3">
      <c r="B118" t="s">
        <v>59</v>
      </c>
      <c r="D118" s="4">
        <v>14869</v>
      </c>
      <c r="E118" s="4">
        <v>14138</v>
      </c>
      <c r="F118" s="4">
        <v>14169</v>
      </c>
      <c r="G118" s="4">
        <v>14267</v>
      </c>
      <c r="H118" s="4">
        <v>14134</v>
      </c>
      <c r="I118" s="4">
        <v>14151</v>
      </c>
      <c r="J118" s="4">
        <v>14178</v>
      </c>
      <c r="K118" s="4">
        <v>11907</v>
      </c>
      <c r="L118" s="4">
        <v>11923</v>
      </c>
      <c r="M118" s="4">
        <v>11913</v>
      </c>
      <c r="N118" s="4">
        <v>11914</v>
      </c>
      <c r="O118" s="4">
        <v>16860</v>
      </c>
      <c r="P118" s="4">
        <v>16867</v>
      </c>
      <c r="Q118" s="4">
        <v>16914</v>
      </c>
    </row>
    <row r="119" spans="2:17" x14ac:dyDescent="0.3">
      <c r="B119" t="s">
        <v>60</v>
      </c>
      <c r="M119" s="4">
        <v>4929</v>
      </c>
      <c r="N119" s="4">
        <v>4934</v>
      </c>
      <c r="O119" s="4">
        <v>4938</v>
      </c>
      <c r="P119" s="4">
        <v>4938</v>
      </c>
      <c r="Q119" s="4">
        <v>4946</v>
      </c>
    </row>
    <row r="120" spans="2:17" x14ac:dyDescent="0.3">
      <c r="B120" t="s">
        <v>61</v>
      </c>
      <c r="D120" s="4">
        <v>5028</v>
      </c>
      <c r="E120" s="4">
        <v>4749</v>
      </c>
      <c r="F120" s="4">
        <v>4436</v>
      </c>
      <c r="G120" s="4">
        <v>4540</v>
      </c>
      <c r="H120" s="4">
        <v>4424</v>
      </c>
      <c r="I120" s="4">
        <v>4244</v>
      </c>
      <c r="J120" s="4">
        <v>4347</v>
      </c>
      <c r="K120" s="4">
        <v>4589</v>
      </c>
      <c r="L120" s="4">
        <v>4414</v>
      </c>
      <c r="M120" s="4">
        <v>4429</v>
      </c>
      <c r="N120" s="4">
        <v>4470</v>
      </c>
      <c r="O120" s="4">
        <v>4490</v>
      </c>
      <c r="P120" s="4">
        <v>2432</v>
      </c>
      <c r="Q120" s="4">
        <v>2955</v>
      </c>
    </row>
    <row r="121" spans="2:17" s="2" customFormat="1" x14ac:dyDescent="0.3">
      <c r="B121" s="2" t="s">
        <v>62</v>
      </c>
      <c r="D121" s="5">
        <f t="shared" ref="D121:P121" si="90">SUM(D109:D120)</f>
        <v>96755</v>
      </c>
      <c r="E121" s="5">
        <f t="shared" si="90"/>
        <v>91375</v>
      </c>
      <c r="F121" s="5">
        <f t="shared" si="90"/>
        <v>88574</v>
      </c>
      <c r="G121" s="5">
        <f t="shared" si="90"/>
        <v>96030</v>
      </c>
      <c r="H121" s="5">
        <f t="shared" si="90"/>
        <v>91753</v>
      </c>
      <c r="I121" s="5">
        <f t="shared" si="90"/>
        <v>86848</v>
      </c>
      <c r="J121" s="5">
        <f t="shared" si="90"/>
        <v>87931</v>
      </c>
      <c r="K121" s="5">
        <f t="shared" si="90"/>
        <v>95570</v>
      </c>
      <c r="L121" s="5">
        <f t="shared" si="90"/>
        <v>90333</v>
      </c>
      <c r="M121" s="5">
        <f t="shared" si="90"/>
        <v>100684</v>
      </c>
      <c r="N121" s="5">
        <f t="shared" si="90"/>
        <v>100438</v>
      </c>
      <c r="O121" s="5">
        <f t="shared" si="90"/>
        <v>104143</v>
      </c>
      <c r="P121" s="5">
        <f t="shared" si="90"/>
        <v>98409</v>
      </c>
      <c r="Q121" s="5">
        <f t="shared" ref="Q121" si="91">SUM(Q109:Q120)</f>
        <v>105222</v>
      </c>
    </row>
    <row r="122" spans="2:17" x14ac:dyDescent="0.3">
      <c r="B122" t="s">
        <v>63</v>
      </c>
      <c r="D122" s="4">
        <f>1523+169189</f>
        <v>170712</v>
      </c>
      <c r="E122" s="4">
        <f>1382+162296</f>
        <v>163678</v>
      </c>
      <c r="F122" s="4">
        <f>1367+150805</f>
        <v>152172</v>
      </c>
      <c r="G122" s="4">
        <f>1400+159504</f>
        <v>160904</v>
      </c>
      <c r="H122" s="4">
        <f>1435+162075</f>
        <v>163510</v>
      </c>
      <c r="I122" s="4">
        <f>1373+156811</f>
        <v>158184</v>
      </c>
      <c r="J122" s="4">
        <f>1415+158953</f>
        <v>160368</v>
      </c>
      <c r="K122" s="4">
        <f>1487+159421</f>
        <v>160908</v>
      </c>
      <c r="L122" s="4">
        <f>1486+152607</f>
        <v>154093</v>
      </c>
      <c r="M122" s="4">
        <f>1501+143447</f>
        <v>144948</v>
      </c>
      <c r="N122" s="4">
        <f>1651+149095</f>
        <v>150746</v>
      </c>
      <c r="O122" s="4">
        <f>1572+148414</f>
        <v>149986</v>
      </c>
      <c r="P122" s="4">
        <f>148607+1613</f>
        <v>150220</v>
      </c>
      <c r="Q122" s="4">
        <f>1384+151237</f>
        <v>152621</v>
      </c>
    </row>
    <row r="123" spans="2:17" s="2" customFormat="1" x14ac:dyDescent="0.3">
      <c r="B123" s="2" t="s">
        <v>64</v>
      </c>
      <c r="D123" s="5">
        <f t="shared" ref="D123:P123" si="92">D121+D122</f>
        <v>267467</v>
      </c>
      <c r="E123" s="5">
        <f t="shared" si="92"/>
        <v>255053</v>
      </c>
      <c r="F123" s="5">
        <f t="shared" si="92"/>
        <v>240746</v>
      </c>
      <c r="G123" s="5">
        <f t="shared" si="92"/>
        <v>256934</v>
      </c>
      <c r="H123" s="5">
        <f t="shared" si="92"/>
        <v>255263</v>
      </c>
      <c r="I123" s="5">
        <f t="shared" si="92"/>
        <v>245032</v>
      </c>
      <c r="J123" s="5">
        <f t="shared" si="92"/>
        <v>248299</v>
      </c>
      <c r="K123" s="5">
        <f t="shared" si="92"/>
        <v>256478</v>
      </c>
      <c r="L123" s="5">
        <f t="shared" si="92"/>
        <v>244426</v>
      </c>
      <c r="M123" s="5">
        <f t="shared" si="92"/>
        <v>245632</v>
      </c>
      <c r="N123" s="5">
        <f t="shared" si="92"/>
        <v>251184</v>
      </c>
      <c r="O123" s="5">
        <f t="shared" si="92"/>
        <v>254129</v>
      </c>
      <c r="P123" s="5">
        <f t="shared" si="92"/>
        <v>248629</v>
      </c>
      <c r="Q123" s="5">
        <f t="shared" ref="Q123" si="93">Q121+Q122</f>
        <v>257843</v>
      </c>
    </row>
    <row r="128" spans="2:17" x14ac:dyDescent="0.3">
      <c r="B128" t="s">
        <v>66</v>
      </c>
      <c r="D128" s="4">
        <v>-1111</v>
      </c>
      <c r="E128" s="4">
        <v>5057</v>
      </c>
      <c r="F128" s="4">
        <v>6623</v>
      </c>
      <c r="G128" s="4">
        <v>12668</v>
      </c>
      <c r="H128" s="4">
        <v>4572</v>
      </c>
      <c r="I128" s="4">
        <v>6248</v>
      </c>
      <c r="J128" s="4">
        <v>6748</v>
      </c>
      <c r="K128" s="4">
        <v>9115</v>
      </c>
      <c r="L128" s="4">
        <v>3233</v>
      </c>
      <c r="M128" s="4">
        <v>4628</v>
      </c>
      <c r="N128" s="4">
        <v>4480</v>
      </c>
      <c r="O128" s="4">
        <v>9715</v>
      </c>
      <c r="P128" s="4">
        <v>3792</v>
      </c>
      <c r="Q128" s="4">
        <v>2886</v>
      </c>
    </row>
    <row r="129" spans="2:17" x14ac:dyDescent="0.3">
      <c r="B129" t="s">
        <v>67</v>
      </c>
      <c r="D129" s="4">
        <v>-13764</v>
      </c>
      <c r="E129" s="4">
        <v>-4122</v>
      </c>
      <c r="F129" s="4">
        <v>-1145</v>
      </c>
      <c r="G129" s="4">
        <v>-10576</v>
      </c>
      <c r="H129" s="4">
        <v>-3904</v>
      </c>
      <c r="I129" s="4">
        <v>1737</v>
      </c>
      <c r="J129" s="4">
        <v>-3257</v>
      </c>
      <c r="K129" s="4">
        <v>-4356</v>
      </c>
      <c r="L129" s="4">
        <v>2807</v>
      </c>
      <c r="M129" s="4">
        <v>-4930</v>
      </c>
      <c r="N129" s="4">
        <v>137</v>
      </c>
      <c r="O129" s="4">
        <v>-15207</v>
      </c>
      <c r="P129" s="4">
        <v>-5450</v>
      </c>
      <c r="Q129" s="4">
        <v>2558</v>
      </c>
    </row>
    <row r="130" spans="2:17" x14ac:dyDescent="0.3">
      <c r="B130" t="s">
        <v>68</v>
      </c>
      <c r="D130" s="4">
        <v>-1675</v>
      </c>
      <c r="E130" s="4">
        <v>-3139</v>
      </c>
      <c r="F130" s="4">
        <v>-1613</v>
      </c>
      <c r="G130" s="4">
        <v>-3452</v>
      </c>
      <c r="H130" s="4">
        <v>-1357</v>
      </c>
      <c r="I130" s="4">
        <v>-3397</v>
      </c>
      <c r="J130" s="4">
        <v>-1697</v>
      </c>
      <c r="K130" s="4">
        <v>-2424</v>
      </c>
      <c r="L130" s="4">
        <v>-7481</v>
      </c>
      <c r="M130" s="4">
        <v>-2695</v>
      </c>
      <c r="N130" s="4">
        <v>-9516</v>
      </c>
      <c r="O130" s="4">
        <v>1952</v>
      </c>
      <c r="P130" s="4">
        <v>-565</v>
      </c>
      <c r="Q130" s="4">
        <v>-381</v>
      </c>
    </row>
    <row r="131" spans="2:17" x14ac:dyDescent="0.3">
      <c r="B131" t="s">
        <v>69</v>
      </c>
      <c r="D131" s="4">
        <v>-143</v>
      </c>
      <c r="E131" s="4">
        <v>497</v>
      </c>
      <c r="F131" s="4">
        <v>483</v>
      </c>
      <c r="G131" s="4">
        <v>-295</v>
      </c>
      <c r="H131" s="4">
        <v>-174</v>
      </c>
      <c r="I131" s="4">
        <v>595</v>
      </c>
      <c r="J131" s="4">
        <v>112</v>
      </c>
      <c r="K131" s="4">
        <v>-372</v>
      </c>
      <c r="L131" s="4">
        <v>263</v>
      </c>
      <c r="M131" s="4">
        <v>91</v>
      </c>
      <c r="N131" s="4">
        <v>-350</v>
      </c>
      <c r="O131" s="4">
        <v>456</v>
      </c>
      <c r="P131" s="4">
        <v>-78</v>
      </c>
      <c r="Q131" s="4">
        <v>-134</v>
      </c>
    </row>
    <row r="132" spans="2:17" x14ac:dyDescent="0.3">
      <c r="B132" t="s">
        <v>70</v>
      </c>
      <c r="D132" s="4">
        <f t="shared" ref="D132:Q132" si="94">SUM(D128:D131)</f>
        <v>-16693</v>
      </c>
      <c r="E132" s="4">
        <f t="shared" si="94"/>
        <v>-1707</v>
      </c>
      <c r="F132" s="4">
        <f t="shared" si="94"/>
        <v>4348</v>
      </c>
      <c r="G132" s="4">
        <f t="shared" si="94"/>
        <v>-1655</v>
      </c>
      <c r="H132" s="4">
        <f t="shared" si="94"/>
        <v>-863</v>
      </c>
      <c r="I132" s="4">
        <f t="shared" si="94"/>
        <v>5183</v>
      </c>
      <c r="J132" s="4">
        <f t="shared" si="94"/>
        <v>1906</v>
      </c>
      <c r="K132" s="4">
        <f t="shared" si="94"/>
        <v>1963</v>
      </c>
      <c r="L132" s="4">
        <f t="shared" si="94"/>
        <v>-1178</v>
      </c>
      <c r="M132" s="4">
        <f t="shared" si="94"/>
        <v>-2906</v>
      </c>
      <c r="N132" s="4">
        <f t="shared" si="94"/>
        <v>-5249</v>
      </c>
      <c r="O132" s="4">
        <f t="shared" si="94"/>
        <v>-3084</v>
      </c>
      <c r="P132" s="4">
        <f t="shared" si="94"/>
        <v>-2301</v>
      </c>
      <c r="Q132" s="4">
        <f t="shared" si="94"/>
        <v>4929</v>
      </c>
    </row>
    <row r="133" spans="2:17" x14ac:dyDescent="0.3">
      <c r="B133" t="s">
        <v>71</v>
      </c>
      <c r="D133" s="4">
        <v>52557</v>
      </c>
      <c r="E133" s="4">
        <v>33943</v>
      </c>
      <c r="F133" s="4">
        <v>30354</v>
      </c>
      <c r="G133" s="4">
        <v>35790</v>
      </c>
      <c r="H133" s="4">
        <v>34282</v>
      </c>
      <c r="I133" s="4">
        <v>31651</v>
      </c>
      <c r="J133" s="4">
        <v>36608</v>
      </c>
      <c r="K133" s="4">
        <v>39577</v>
      </c>
      <c r="L133" s="4">
        <v>40847</v>
      </c>
      <c r="M133" s="4">
        <v>39413</v>
      </c>
      <c r="N133" s="4">
        <v>37806</v>
      </c>
      <c r="O133" s="4">
        <v>31301</v>
      </c>
      <c r="P133" s="4">
        <v>28383</v>
      </c>
      <c r="Q133" s="4">
        <v>26421</v>
      </c>
    </row>
    <row r="134" spans="2:17" x14ac:dyDescent="0.3">
      <c r="B134" t="s">
        <v>72</v>
      </c>
      <c r="D134" s="4">
        <f t="shared" ref="D134:P134" si="95">+D133+D132</f>
        <v>35864</v>
      </c>
      <c r="E134" s="4">
        <f t="shared" si="95"/>
        <v>32236</v>
      </c>
      <c r="F134" s="4">
        <f t="shared" si="95"/>
        <v>34702</v>
      </c>
      <c r="G134" s="4">
        <f t="shared" si="95"/>
        <v>34135</v>
      </c>
      <c r="H134" s="4">
        <f t="shared" si="95"/>
        <v>33419</v>
      </c>
      <c r="I134" s="4">
        <f t="shared" si="95"/>
        <v>36834</v>
      </c>
      <c r="J134" s="4">
        <f t="shared" si="95"/>
        <v>38514</v>
      </c>
      <c r="K134" s="4">
        <f t="shared" si="95"/>
        <v>41540</v>
      </c>
      <c r="L134" s="4">
        <f t="shared" si="95"/>
        <v>39669</v>
      </c>
      <c r="M134" s="4">
        <f t="shared" si="95"/>
        <v>36507</v>
      </c>
      <c r="N134" s="4">
        <f t="shared" si="95"/>
        <v>32557</v>
      </c>
      <c r="O134" s="4">
        <f t="shared" si="95"/>
        <v>28217</v>
      </c>
      <c r="P134" s="4">
        <f t="shared" si="95"/>
        <v>26082</v>
      </c>
      <c r="Q134" s="4">
        <f t="shared" ref="Q134" si="96">+Q133+Q132</f>
        <v>31350</v>
      </c>
    </row>
    <row r="136" spans="2:17" x14ac:dyDescent="0.3">
      <c r="B136" t="s">
        <v>98</v>
      </c>
      <c r="D136">
        <v>1451</v>
      </c>
      <c r="E136">
        <v>1659</v>
      </c>
      <c r="F136">
        <v>1540</v>
      </c>
      <c r="G136">
        <v>840</v>
      </c>
      <c r="H136">
        <v>366</v>
      </c>
      <c r="I136">
        <v>828</v>
      </c>
      <c r="J136">
        <v>564</v>
      </c>
      <c r="K136">
        <v>1026</v>
      </c>
      <c r="L136">
        <v>1410</v>
      </c>
      <c r="M136">
        <v>1643</v>
      </c>
      <c r="N136">
        <v>2419</v>
      </c>
      <c r="O136">
        <v>4297</v>
      </c>
      <c r="P136">
        <v>3306</v>
      </c>
      <c r="Q136">
        <v>5392</v>
      </c>
    </row>
    <row r="137" spans="2:17" x14ac:dyDescent="0.3">
      <c r="B137" t="s">
        <v>101</v>
      </c>
      <c r="E137">
        <v>4</v>
      </c>
      <c r="G137" s="4"/>
      <c r="H137" s="4"/>
      <c r="I137" s="4"/>
      <c r="J137" s="4"/>
      <c r="K137" s="4">
        <v>119</v>
      </c>
    </row>
    <row r="138" spans="2:17" x14ac:dyDescent="0.3">
      <c r="B138" t="s">
        <v>99</v>
      </c>
      <c r="D138" s="4">
        <v>-185</v>
      </c>
      <c r="E138" s="4">
        <v>84</v>
      </c>
      <c r="F138" s="4">
        <v>63</v>
      </c>
      <c r="G138">
        <v>10</v>
      </c>
      <c r="H138">
        <v>-492</v>
      </c>
      <c r="I138">
        <v>29</v>
      </c>
      <c r="J138">
        <v>-14</v>
      </c>
      <c r="K138">
        <v>7</v>
      </c>
      <c r="L138">
        <v>-304</v>
      </c>
      <c r="M138">
        <v>595</v>
      </c>
      <c r="N138">
        <v>104</v>
      </c>
      <c r="O138">
        <v>72</v>
      </c>
      <c r="P138">
        <v>-30</v>
      </c>
      <c r="Q138">
        <v>120</v>
      </c>
    </row>
    <row r="139" spans="2:17" x14ac:dyDescent="0.3">
      <c r="B139" t="s">
        <v>97</v>
      </c>
      <c r="D139" s="4">
        <f t="shared" ref="D139:K139" si="97">D128-SUM(D136:D138)</f>
        <v>-2377</v>
      </c>
      <c r="E139" s="4">
        <f t="shared" si="97"/>
        <v>3310</v>
      </c>
      <c r="F139" s="4">
        <f t="shared" si="97"/>
        <v>5020</v>
      </c>
      <c r="G139" s="4">
        <f t="shared" si="97"/>
        <v>11818</v>
      </c>
      <c r="H139" s="4">
        <f t="shared" si="97"/>
        <v>4698</v>
      </c>
      <c r="I139" s="4">
        <f t="shared" si="97"/>
        <v>5391</v>
      </c>
      <c r="J139" s="4">
        <f t="shared" si="97"/>
        <v>6198</v>
      </c>
      <c r="K139" s="4">
        <f t="shared" si="97"/>
        <v>7963</v>
      </c>
      <c r="L139" s="4">
        <f>+L128-L136-L138</f>
        <v>2127</v>
      </c>
      <c r="M139" s="4">
        <f>+M128-M136-M138</f>
        <v>2390</v>
      </c>
      <c r="N139" s="4">
        <f t="shared" ref="N139:Q139" si="98">+N128-N136-N138</f>
        <v>1957</v>
      </c>
      <c r="O139" s="4">
        <f t="shared" si="98"/>
        <v>5346</v>
      </c>
      <c r="P139" s="4">
        <f t="shared" si="98"/>
        <v>516</v>
      </c>
      <c r="Q139" s="4">
        <f t="shared" si="98"/>
        <v>-2626</v>
      </c>
    </row>
  </sheetData>
  <phoneticPr fontId="4" type="noConversion"/>
  <hyperlinks>
    <hyperlink ref="A1" r:id="rId1" xr:uid="{72C00E97-2141-4BB7-A05D-4E3CEC9C14EC}"/>
  </hyperlinks>
  <pageMargins left="0.7" right="0.7" top="0.75" bottom="0.75" header="0.3" footer="0.3"/>
  <ignoredErrors>
    <ignoredError sqref="P47:Q47 E122 D47:O47" formula="1"/>
    <ignoredError sqref="AE3:AJ14 AE34:AJ47 AE48:AG48 AI48:AJ48 H18:P19 D25:P31 Q27 Q18:Q19" formulaRange="1"/>
  </ignoredErrors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88361A4-C5E7-4BB8-B51D-7E9A3BD872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Model!D25:Q25</xm:f>
              <xm:sqref>R25</xm:sqref>
            </x14:sparkline>
            <x14:sparkline>
              <xm:f>Model!D26:Q26</xm:f>
              <xm:sqref>R26</xm:sqref>
            </x14:sparkline>
            <x14:sparkline>
              <xm:f>Model!D27:Q27</xm:f>
              <xm:sqref>R27</xm:sqref>
            </x14:sparkline>
            <x14:sparkline>
              <xm:f>Model!D28:Q28</xm:f>
              <xm:sqref>R28</xm:sqref>
            </x14:sparkline>
            <x14:sparkline>
              <xm:f>Model!D29:Q29</xm:f>
              <xm:sqref>R29</xm:sqref>
            </x14:sparkline>
            <x14:sparkline>
              <xm:f>Model!D30:Q30</xm:f>
              <xm:sqref>R30</xm:sqref>
            </x14:sparkline>
            <x14:sparkline>
              <xm:f>Model!D31:Q31</xm:f>
              <xm:sqref>R31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2025-08-30T12:38:36Z</dcterms:modified>
</cp:coreProperties>
</file>