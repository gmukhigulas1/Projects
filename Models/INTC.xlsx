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GegaMukhigulashvili\Desktop\Excel\"/>
    </mc:Choice>
  </mc:AlternateContent>
  <xr:revisionPtr revIDLastSave="0" documentId="13_ncr:1_{072A974B-94D6-402C-AF0C-B7F6620494C9}" xr6:coauthVersionLast="47" xr6:coauthVersionMax="47" xr10:uidLastSave="{00000000-0000-0000-0000-000000000000}"/>
  <bookViews>
    <workbookView xWindow="-108" yWindow="-108" windowWidth="23256" windowHeight="12456" activeTab="1" xr2:uid="{00000000-000D-0000-FFFF-FFFF00000000}"/>
  </bookViews>
  <sheets>
    <sheet name="Main" sheetId="1" r:id="rId1"/>
    <sheet name="Model"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0" i="2" l="1"/>
  <c r="K30" i="2"/>
  <c r="J30" i="2"/>
  <c r="I30" i="2"/>
  <c r="H30" i="2"/>
  <c r="G30" i="2"/>
  <c r="L30" i="2"/>
  <c r="R28" i="2"/>
  <c r="Q28" i="2"/>
  <c r="R27" i="2"/>
  <c r="Q27" i="2"/>
  <c r="R26" i="2"/>
  <c r="Q26" i="2"/>
  <c r="R25" i="2"/>
  <c r="Q25" i="2"/>
  <c r="R23" i="2"/>
  <c r="Q23" i="2"/>
  <c r="R22" i="2"/>
  <c r="Q22" i="2"/>
  <c r="R21" i="2"/>
  <c r="Q21" i="2"/>
  <c r="K28" i="2"/>
  <c r="J28" i="2"/>
  <c r="I28" i="2"/>
  <c r="H28" i="2"/>
  <c r="G28" i="2"/>
  <c r="F28" i="2"/>
  <c r="E28" i="2"/>
  <c r="D28" i="2"/>
  <c r="C28" i="2"/>
  <c r="K27" i="2"/>
  <c r="J27" i="2"/>
  <c r="I27" i="2"/>
  <c r="H27" i="2"/>
  <c r="G27" i="2"/>
  <c r="F27" i="2"/>
  <c r="E27" i="2"/>
  <c r="D27" i="2"/>
  <c r="C27" i="2"/>
  <c r="K26" i="2"/>
  <c r="J26" i="2"/>
  <c r="I26" i="2"/>
  <c r="H26" i="2"/>
  <c r="G26" i="2"/>
  <c r="F26" i="2"/>
  <c r="E26" i="2"/>
  <c r="D26" i="2"/>
  <c r="C26" i="2"/>
  <c r="K25" i="2"/>
  <c r="J25" i="2"/>
  <c r="I25" i="2"/>
  <c r="H25" i="2"/>
  <c r="G25" i="2"/>
  <c r="F25" i="2"/>
  <c r="E25" i="2"/>
  <c r="D25" i="2"/>
  <c r="C25" i="2"/>
  <c r="K23" i="2"/>
  <c r="J23" i="2"/>
  <c r="I23" i="2"/>
  <c r="H23" i="2"/>
  <c r="G23" i="2"/>
  <c r="F23" i="2"/>
  <c r="E23" i="2"/>
  <c r="D23" i="2"/>
  <c r="C23" i="2"/>
  <c r="K22" i="2"/>
  <c r="J22" i="2"/>
  <c r="I22" i="2"/>
  <c r="H22" i="2"/>
  <c r="G22" i="2"/>
  <c r="F22" i="2"/>
  <c r="E22" i="2"/>
  <c r="D22" i="2"/>
  <c r="C22" i="2"/>
  <c r="K21" i="2"/>
  <c r="J21" i="2"/>
  <c r="I21" i="2"/>
  <c r="H21" i="2"/>
  <c r="G21" i="2"/>
  <c r="F21" i="2"/>
  <c r="E21" i="2"/>
  <c r="D21" i="2"/>
  <c r="C21" i="2"/>
  <c r="L28" i="2"/>
  <c r="L27" i="2"/>
  <c r="R18" i="2"/>
  <c r="R19" i="2" s="1"/>
  <c r="Q18" i="2"/>
  <c r="Q19" i="2" s="1"/>
  <c r="R13" i="2"/>
  <c r="Q13" i="2"/>
  <c r="R8" i="2"/>
  <c r="Q8" i="2"/>
  <c r="R7" i="2"/>
  <c r="Q7" i="2"/>
  <c r="R6" i="2"/>
  <c r="Q6" i="2"/>
  <c r="S16" i="2"/>
  <c r="R4" i="2"/>
  <c r="Q4" i="2"/>
  <c r="R3" i="2"/>
  <c r="Q3" i="2"/>
  <c r="Q60" i="2"/>
  <c r="Q62" i="2" s="1"/>
  <c r="Q41" i="2"/>
  <c r="Q52" i="2" s="1"/>
  <c r="R60" i="2"/>
  <c r="R62" i="2" s="1"/>
  <c r="R41" i="2"/>
  <c r="R52" i="2" s="1"/>
  <c r="S60" i="2"/>
  <c r="S62" i="2" s="1"/>
  <c r="S41" i="2"/>
  <c r="S52" i="2" s="1"/>
  <c r="J87" i="2"/>
  <c r="J81" i="2"/>
  <c r="Q92" i="2"/>
  <c r="Q91" i="2"/>
  <c r="Q89" i="2"/>
  <c r="R91" i="2"/>
  <c r="R92" i="2"/>
  <c r="R88" i="2"/>
  <c r="R84" i="2"/>
  <c r="R87" i="2" s="1"/>
  <c r="Q84" i="2"/>
  <c r="R81" i="2"/>
  <c r="Q81" i="2"/>
  <c r="J41" i="2"/>
  <c r="J52" i="2" s="1"/>
  <c r="F11" i="2"/>
  <c r="J11" i="2"/>
  <c r="E87" i="2"/>
  <c r="E81" i="2"/>
  <c r="I41" i="2"/>
  <c r="I52" i="2"/>
  <c r="E11" i="2"/>
  <c r="I11" i="2"/>
  <c r="I107" i="2"/>
  <c r="I112" i="2" s="1"/>
  <c r="J19" i="2"/>
  <c r="I19" i="2"/>
  <c r="H19" i="2"/>
  <c r="G19" i="2"/>
  <c r="F19" i="2"/>
  <c r="E19" i="2"/>
  <c r="D19" i="2"/>
  <c r="D87" i="2"/>
  <c r="D11" i="2"/>
  <c r="C19" i="2"/>
  <c r="C84" i="2"/>
  <c r="C87" i="2" s="1"/>
  <c r="F41" i="2"/>
  <c r="F52" i="2" s="1"/>
  <c r="G41" i="2"/>
  <c r="G52" i="2" s="1"/>
  <c r="C11" i="2"/>
  <c r="K19" i="2"/>
  <c r="G118" i="2"/>
  <c r="G117" i="2"/>
  <c r="G116" i="2"/>
  <c r="G115" i="2"/>
  <c r="G114" i="2"/>
  <c r="G113" i="2"/>
  <c r="K118" i="2"/>
  <c r="K117" i="2"/>
  <c r="K116" i="2"/>
  <c r="K115" i="2"/>
  <c r="K114" i="2"/>
  <c r="K113" i="2"/>
  <c r="H95" i="2"/>
  <c r="H81" i="2"/>
  <c r="L95" i="2"/>
  <c r="L81" i="2"/>
  <c r="G84" i="2"/>
  <c r="G87" i="2" s="1"/>
  <c r="K83" i="2"/>
  <c r="K87" i="2" s="1"/>
  <c r="K41" i="2"/>
  <c r="K52" i="2" s="1"/>
  <c r="H41" i="2"/>
  <c r="H52" i="2" s="1"/>
  <c r="K11" i="2"/>
  <c r="G11" i="2"/>
  <c r="G9" i="2"/>
  <c r="G5" i="2"/>
  <c r="L19" i="2"/>
  <c r="H11" i="2"/>
  <c r="J119" i="2"/>
  <c r="I119" i="2"/>
  <c r="H119" i="2"/>
  <c r="F119" i="2"/>
  <c r="E119" i="2"/>
  <c r="D119" i="2"/>
  <c r="C119" i="2"/>
  <c r="K112" i="2"/>
  <c r="J112" i="2"/>
  <c r="H112" i="2"/>
  <c r="G112" i="2"/>
  <c r="F112" i="2"/>
  <c r="E112" i="2"/>
  <c r="D112" i="2"/>
  <c r="C112" i="2"/>
  <c r="L119" i="2"/>
  <c r="L112" i="2"/>
  <c r="K95" i="2"/>
  <c r="J95" i="2"/>
  <c r="I95" i="2"/>
  <c r="G95" i="2"/>
  <c r="F95" i="2"/>
  <c r="E95" i="2"/>
  <c r="D95" i="2"/>
  <c r="C95" i="2"/>
  <c r="L87" i="2"/>
  <c r="I87" i="2"/>
  <c r="H87" i="2"/>
  <c r="F87" i="2"/>
  <c r="K81" i="2"/>
  <c r="I81" i="2"/>
  <c r="G81" i="2"/>
  <c r="F81" i="2"/>
  <c r="D81" i="2"/>
  <c r="C81" i="2"/>
  <c r="K60" i="2"/>
  <c r="K62" i="2" s="1"/>
  <c r="J60" i="2"/>
  <c r="J62" i="2" s="1"/>
  <c r="I60" i="2"/>
  <c r="I62" i="2" s="1"/>
  <c r="H60" i="2"/>
  <c r="H62" i="2" s="1"/>
  <c r="G60" i="2"/>
  <c r="G62" i="2" s="1"/>
  <c r="F60" i="2"/>
  <c r="F62" i="2" s="1"/>
  <c r="L60" i="2"/>
  <c r="L62" i="2" s="1"/>
  <c r="L41" i="2"/>
  <c r="L52" i="2" s="1"/>
  <c r="J37" i="2"/>
  <c r="I37" i="2"/>
  <c r="H37" i="2"/>
  <c r="G37" i="2"/>
  <c r="F37" i="2"/>
  <c r="E37" i="2"/>
  <c r="D37" i="2"/>
  <c r="K37" i="2"/>
  <c r="L37" i="2"/>
  <c r="L11" i="2"/>
  <c r="K9" i="2"/>
  <c r="J9" i="2"/>
  <c r="I9" i="2"/>
  <c r="H9" i="2"/>
  <c r="F9" i="2"/>
  <c r="E9" i="2"/>
  <c r="D9" i="2"/>
  <c r="C9" i="2"/>
  <c r="L9" i="2"/>
  <c r="C5" i="2"/>
  <c r="D5" i="2"/>
  <c r="E5" i="2"/>
  <c r="F5" i="2"/>
  <c r="H5" i="2"/>
  <c r="I5" i="2"/>
  <c r="J5" i="2"/>
  <c r="J10" i="2" s="1"/>
  <c r="K5" i="2"/>
  <c r="L5" i="2"/>
  <c r="L26" i="2" s="1"/>
  <c r="L11" i="1"/>
  <c r="L9" i="1"/>
  <c r="L8" i="1"/>
  <c r="L7" i="1"/>
  <c r="L21" i="2" l="1"/>
  <c r="I10" i="2"/>
  <c r="R5" i="2"/>
  <c r="R9" i="2"/>
  <c r="Q11" i="2"/>
  <c r="H120" i="2"/>
  <c r="Q95" i="2"/>
  <c r="Q5" i="2"/>
  <c r="Q9" i="2"/>
  <c r="R11" i="2"/>
  <c r="S40" i="2"/>
  <c r="Q40" i="2"/>
  <c r="R40" i="2"/>
  <c r="L120" i="2"/>
  <c r="R95" i="2"/>
  <c r="R96" i="2" s="1"/>
  <c r="R97" i="2" s="1"/>
  <c r="G10" i="2"/>
  <c r="G12" i="2" s="1"/>
  <c r="G14" i="2" s="1"/>
  <c r="Q87" i="2"/>
  <c r="J12" i="2"/>
  <c r="J14" i="2" s="1"/>
  <c r="J16" i="2" s="1"/>
  <c r="I12" i="2"/>
  <c r="I14" i="2" s="1"/>
  <c r="I16" i="2" s="1"/>
  <c r="I120" i="2"/>
  <c r="G119" i="2"/>
  <c r="G120" i="2" s="1"/>
  <c r="K119" i="2"/>
  <c r="K120" i="2" s="1"/>
  <c r="L96" i="2"/>
  <c r="J96" i="2"/>
  <c r="I96" i="2"/>
  <c r="K10" i="2"/>
  <c r="K12" i="2" s="1"/>
  <c r="K14" i="2" s="1"/>
  <c r="K16" i="2" s="1"/>
  <c r="C96" i="2"/>
  <c r="C97" i="2" s="1"/>
  <c r="D66" i="2" s="1"/>
  <c r="D96" i="2"/>
  <c r="E96" i="2"/>
  <c r="C120" i="2"/>
  <c r="F96" i="2"/>
  <c r="D120" i="2"/>
  <c r="G96" i="2"/>
  <c r="E120" i="2"/>
  <c r="H96" i="2"/>
  <c r="F120" i="2"/>
  <c r="J120" i="2"/>
  <c r="C10" i="2"/>
  <c r="C12" i="2" s="1"/>
  <c r="C14" i="2" s="1"/>
  <c r="C16" i="2" s="1"/>
  <c r="K96" i="2"/>
  <c r="L10" i="2"/>
  <c r="H10" i="2"/>
  <c r="H12" i="2" s="1"/>
  <c r="H14" i="2" s="1"/>
  <c r="F10" i="2"/>
  <c r="F12" i="2" s="1"/>
  <c r="F14" i="2" s="1"/>
  <c r="E10" i="2"/>
  <c r="E12" i="2" s="1"/>
  <c r="E14" i="2" s="1"/>
  <c r="D10" i="2"/>
  <c r="D12" i="2" s="1"/>
  <c r="D14" i="2" s="1"/>
  <c r="L12" i="2" l="1"/>
  <c r="L22" i="2"/>
  <c r="I65" i="2"/>
  <c r="Q10" i="2"/>
  <c r="Q12" i="2" s="1"/>
  <c r="Q14" i="2" s="1"/>
  <c r="Q16" i="2" s="1"/>
  <c r="R10" i="2"/>
  <c r="R12" i="2" s="1"/>
  <c r="R14" i="2" s="1"/>
  <c r="R16" i="2" s="1"/>
  <c r="Q96" i="2"/>
  <c r="Q97" i="2" s="1"/>
  <c r="D97" i="2"/>
  <c r="E66" i="2" s="1"/>
  <c r="E97" i="2"/>
  <c r="F66" i="2" s="1"/>
  <c r="F97" i="2" s="1"/>
  <c r="G66" i="2" s="1"/>
  <c r="G97" i="2" s="1"/>
  <c r="H66" i="2" s="1"/>
  <c r="H97" i="2" s="1"/>
  <c r="I66" i="2" s="1"/>
  <c r="I97" i="2" s="1"/>
  <c r="J66" i="2" s="1"/>
  <c r="J97" i="2" s="1"/>
  <c r="K66" i="2" s="1"/>
  <c r="K97" i="2" s="1"/>
  <c r="L66" i="2" s="1"/>
  <c r="L97" i="2" s="1"/>
  <c r="J65" i="2"/>
  <c r="C65" i="2"/>
  <c r="K65" i="2"/>
  <c r="D16" i="2"/>
  <c r="D65" i="2"/>
  <c r="E16" i="2"/>
  <c r="E65" i="2"/>
  <c r="F16" i="2"/>
  <c r="F65" i="2"/>
  <c r="G16" i="2"/>
  <c r="G65" i="2"/>
  <c r="H16" i="2"/>
  <c r="H65" i="2"/>
  <c r="L14" i="2" l="1"/>
  <c r="L25" i="2"/>
  <c r="L23" i="2" l="1"/>
  <c r="L16" i="2"/>
  <c r="L6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Gega Mukhigulashvili</author>
  </authors>
  <commentList>
    <comment ref="B36" authorId="0" shapeId="0" xr:uid="{0EA7DD20-AD92-49A8-94AB-CF64F86C2500}">
      <text>
        <r>
          <rPr>
            <b/>
            <sz val="9"/>
            <color indexed="81"/>
            <rFont val="Tahoma"/>
            <family val="2"/>
          </rPr>
          <t>Gega Mukhigulashvili:</t>
        </r>
        <r>
          <rPr>
            <sz val="9"/>
            <color indexed="81"/>
            <rFont val="Tahoma"/>
            <family val="2"/>
          </rPr>
          <t xml:space="preserve">
Employees of the NAND memory business, which we divested to SK hynix upon the first closing on Dec. 29, 2021, and fully deconsolidated in
Q1 2022. Employees are excluded from Intel's total employee count following the completion of the second closing of the divestiture on March
27, 2025
</t>
        </r>
      </text>
    </comment>
    <comment ref="B85" authorId="0" shapeId="0" xr:uid="{1D211F56-C331-4FC7-966E-93C055B65268}">
      <text>
        <r>
          <rPr>
            <b/>
            <sz val="9"/>
            <color indexed="81"/>
            <rFont val="Tahoma"/>
            <family val="2"/>
          </rPr>
          <t>Gega Mukhigulashvili:</t>
        </r>
        <r>
          <rPr>
            <sz val="9"/>
            <color indexed="81"/>
            <rFont val="Tahoma"/>
            <family val="2"/>
          </rPr>
          <t xml:space="preserve">
Process of selling off subsidiary business interests or investments.
</t>
        </r>
      </text>
    </comment>
  </commentList>
</comments>
</file>

<file path=xl/sharedStrings.xml><?xml version="1.0" encoding="utf-8"?>
<sst xmlns="http://schemas.openxmlformats.org/spreadsheetml/2006/main" count="136" uniqueCount="117">
  <si>
    <t>Main</t>
  </si>
  <si>
    <t>Price</t>
  </si>
  <si>
    <t>S/O</t>
  </si>
  <si>
    <t>MC</t>
  </si>
  <si>
    <t>Cash</t>
  </si>
  <si>
    <t>Debt</t>
  </si>
  <si>
    <t>EV</t>
  </si>
  <si>
    <t>Revenue</t>
  </si>
  <si>
    <t>COGS</t>
  </si>
  <si>
    <t>Gross Profit</t>
  </si>
  <si>
    <t>R&amp;D</t>
  </si>
  <si>
    <t>MG&amp;A</t>
  </si>
  <si>
    <t>Restructuring</t>
  </si>
  <si>
    <t>Operating expenses</t>
  </si>
  <si>
    <t>Operating profit</t>
  </si>
  <si>
    <t>Interest income</t>
  </si>
  <si>
    <t>Pretax income</t>
  </si>
  <si>
    <t>Taxes</t>
  </si>
  <si>
    <t>Net Income</t>
  </si>
  <si>
    <t>EPS</t>
  </si>
  <si>
    <t>Q225</t>
  </si>
  <si>
    <t>Q123</t>
  </si>
  <si>
    <t>Q223</t>
  </si>
  <si>
    <t>Q323</t>
  </si>
  <si>
    <t>Q423</t>
  </si>
  <si>
    <t>Q124</t>
  </si>
  <si>
    <t>Q224</t>
  </si>
  <si>
    <t>Q324</t>
  </si>
  <si>
    <t>Q424</t>
  </si>
  <si>
    <t>Q125</t>
  </si>
  <si>
    <t>Employees</t>
  </si>
  <si>
    <t>Intel</t>
  </si>
  <si>
    <t xml:space="preserve">Mobileye </t>
  </si>
  <si>
    <t>NAND</t>
  </si>
  <si>
    <t>Total</t>
  </si>
  <si>
    <t>Net Cash</t>
  </si>
  <si>
    <t>A/R</t>
  </si>
  <si>
    <t>Raw materials</t>
  </si>
  <si>
    <t>Finished goods</t>
  </si>
  <si>
    <t>In process</t>
  </si>
  <si>
    <t>PP&amp;A</t>
  </si>
  <si>
    <t>Equity investments</t>
  </si>
  <si>
    <t>Goodwill</t>
  </si>
  <si>
    <t>Intangibles</t>
  </si>
  <si>
    <t>ONCA</t>
  </si>
  <si>
    <t>Total Assets</t>
  </si>
  <si>
    <t>A/P</t>
  </si>
  <si>
    <t>Accrued compensation</t>
  </si>
  <si>
    <t>Short-term debt</t>
  </si>
  <si>
    <t>Income taxes</t>
  </si>
  <si>
    <t>Other accrued liabilities</t>
  </si>
  <si>
    <t>ONCL</t>
  </si>
  <si>
    <t>Total Liabilitiies</t>
  </si>
  <si>
    <t>SE</t>
  </si>
  <si>
    <t>L+SE</t>
  </si>
  <si>
    <t>OCA</t>
  </si>
  <si>
    <t>BOP Cash</t>
  </si>
  <si>
    <t>Model NI</t>
  </si>
  <si>
    <t>GAAP NI</t>
  </si>
  <si>
    <t>Depreciation</t>
  </si>
  <si>
    <t>Share-based compensation</t>
  </si>
  <si>
    <t>Amortization</t>
  </si>
  <si>
    <t>Equity investment</t>
  </si>
  <si>
    <t>Deferred taxes</t>
  </si>
  <si>
    <t>Impairments</t>
  </si>
  <si>
    <t>Inventories</t>
  </si>
  <si>
    <t>Other assets and liabilities</t>
  </si>
  <si>
    <t>CFFO</t>
  </si>
  <si>
    <t>CapEx</t>
  </si>
  <si>
    <t>Proceeds from gov. incentives</t>
  </si>
  <si>
    <t>Short-term investment</t>
  </si>
  <si>
    <t>Divestitures</t>
  </si>
  <si>
    <t>Other investing</t>
  </si>
  <si>
    <t>CFFI</t>
  </si>
  <si>
    <t>Commercial paper</t>
  </si>
  <si>
    <t>Partner contributions</t>
  </si>
  <si>
    <t>Additions to PP&amp;A</t>
  </si>
  <si>
    <t>Proceeds from sales of common stock</t>
  </si>
  <si>
    <t>Dividends</t>
  </si>
  <si>
    <t>Other financing</t>
  </si>
  <si>
    <t>CFFF</t>
  </si>
  <si>
    <t>CF</t>
  </si>
  <si>
    <t>EOP Cash</t>
  </si>
  <si>
    <t xml:space="preserve">FCF </t>
  </si>
  <si>
    <t>CapEx margin</t>
  </si>
  <si>
    <t>Products</t>
  </si>
  <si>
    <t>Client Computing Group (CCG)</t>
  </si>
  <si>
    <t>Data Center and AI (DCAI)</t>
  </si>
  <si>
    <t>Intel Foundry</t>
  </si>
  <si>
    <t>Altera</t>
  </si>
  <si>
    <t>Mobileye</t>
  </si>
  <si>
    <t>Other</t>
  </si>
  <si>
    <t>Consists of revenues from external customers. Our Intel Products operating segments represent most of Intel consolidated revenue and are derived from
our principal products that incorporate various components and technologies, including a microprocessor and chipset, a stand-alone SoC, or a multichip package, which are
based on Intel architecture.</t>
  </si>
  <si>
    <t>Consists of intersegment charges for product manufacturing and related services from Intel Foundry, external foundry and other manufacturing
expenses, product development costs, allocated expenses as described below, and direct operating expenses.</t>
  </si>
  <si>
    <t>Consists substantially of intersegment product and services revenue for wafer fabrication, substrates and other related products, and services sold to Intel
Products, Altera, and certain other Intel internal businesses.</t>
  </si>
  <si>
    <t>Description</t>
  </si>
  <si>
    <t>CCG</t>
  </si>
  <si>
    <t>DCAI</t>
  </si>
  <si>
    <t>All Others</t>
  </si>
  <si>
    <t>Corporate Unallocated</t>
  </si>
  <si>
    <t>Inersegment eliminations</t>
  </si>
  <si>
    <t>Total Revenue</t>
  </si>
  <si>
    <t>Non-Controlling Interest</t>
  </si>
  <si>
    <t>Ireland SCIP</t>
  </si>
  <si>
    <t>Arizona SCIP</t>
  </si>
  <si>
    <t>IMS</t>
  </si>
  <si>
    <t>Non-GAAP EPS</t>
  </si>
  <si>
    <t>COGS + Operating</t>
  </si>
  <si>
    <t>Non-GAAP NI att. to Intel</t>
  </si>
  <si>
    <t>Gross Margin</t>
  </si>
  <si>
    <t>Operating Margin</t>
  </si>
  <si>
    <t>Net Margin</t>
  </si>
  <si>
    <t>Tax Margin</t>
  </si>
  <si>
    <t>R&amp;D Margin</t>
  </si>
  <si>
    <t>Interest Margin</t>
  </si>
  <si>
    <t>Revenue y/y</t>
  </si>
  <si>
    <t>SG&amp;A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</si>
</sst>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6"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2" fillId="0" borderId="0" xfId="1"/>
    <xf numFmtId="4" fontId="0" fillId="0" borderId="0" xfId="0" applyNumberFormat="1"/>
    <xf numFmtId="3" fontId="0" fillId="0" borderId="0" xfId="0" applyNumberFormat="1"/>
    <xf numFmtId="0" fontId="1" fillId="0" borderId="0" xfId="0" applyFont="1"/>
    <xf numFmtId="3" fontId="1" fillId="0" borderId="0" xfId="0" applyNumberFormat="1" applyFont="1"/>
    <xf numFmtId="4" fontId="1" fillId="0" borderId="0" xfId="0" applyNumberFormat="1" applyFont="1"/>
    <xf numFmtId="0" fontId="0" fillId="0" borderId="0" xfId="0" applyAlignment="1"/>
    <xf numFmtId="9" fontId="0" fillId="0" borderId="0" xfId="0" applyNumberFormat="1"/>
    <xf numFmtId="170" fontId="0" fillId="0" borderId="0" xfId="0" applyNumberFormat="1"/>
    <xf numFmtId="3" fontId="0"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Tech.xls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Tech.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workbookViewId="0">
      <selection activeCell="B15" sqref="B15:C15"/>
    </sheetView>
  </sheetViews>
  <sheetFormatPr defaultRowHeight="14.4" x14ac:dyDescent="0.3"/>
  <sheetData>
    <row r="1" spans="1:12" x14ac:dyDescent="0.3">
      <c r="A1" s="1" t="s">
        <v>0</v>
      </c>
    </row>
    <row r="4" spans="1:12" x14ac:dyDescent="0.3">
      <c r="D4" t="s">
        <v>85</v>
      </c>
      <c r="E4" t="s">
        <v>95</v>
      </c>
    </row>
    <row r="5" spans="1:12" x14ac:dyDescent="0.3">
      <c r="D5" t="s">
        <v>86</v>
      </c>
      <c r="E5" s="7" t="s">
        <v>92</v>
      </c>
      <c r="K5" t="s">
        <v>1</v>
      </c>
      <c r="L5" s="2">
        <v>20.7</v>
      </c>
    </row>
    <row r="6" spans="1:12" x14ac:dyDescent="0.3">
      <c r="D6" t="s">
        <v>87</v>
      </c>
      <c r="E6" s="7" t="s">
        <v>93</v>
      </c>
      <c r="K6" t="s">
        <v>2</v>
      </c>
      <c r="L6" s="3">
        <v>4369</v>
      </c>
    </row>
    <row r="7" spans="1:12" x14ac:dyDescent="0.3">
      <c r="D7" t="s">
        <v>88</v>
      </c>
      <c r="E7" s="7" t="s">
        <v>94</v>
      </c>
      <c r="K7" t="s">
        <v>3</v>
      </c>
      <c r="L7" s="3">
        <f>L5*L6</f>
        <v>90438.3</v>
      </c>
    </row>
    <row r="8" spans="1:12" x14ac:dyDescent="0.3">
      <c r="D8" t="s">
        <v>89</v>
      </c>
      <c r="K8" t="s">
        <v>4</v>
      </c>
      <c r="L8" s="3">
        <f>9643+11563</f>
        <v>21206</v>
      </c>
    </row>
    <row r="9" spans="1:12" x14ac:dyDescent="0.3">
      <c r="D9" t="s">
        <v>90</v>
      </c>
      <c r="K9" t="s">
        <v>5</v>
      </c>
      <c r="L9" s="3">
        <f>6731+44026</f>
        <v>50757</v>
      </c>
    </row>
    <row r="10" spans="1:12" x14ac:dyDescent="0.3">
      <c r="D10" t="s">
        <v>91</v>
      </c>
      <c r="L10" s="3"/>
    </row>
    <row r="11" spans="1:12" x14ac:dyDescent="0.3">
      <c r="K11" t="s">
        <v>6</v>
      </c>
      <c r="L11" s="3">
        <f>+L7-L8+L9</f>
        <v>119989.3</v>
      </c>
    </row>
  </sheetData>
  <hyperlinks>
    <hyperlink ref="A1" r:id="rId1" xr:uid="{EA9438B7-921E-4841-B508-D155EE8665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A6E48-3878-4640-BE16-9CBAA0E38F43}">
  <dimension ref="A1:T127"/>
  <sheetViews>
    <sheetView tabSelected="1" zoomScaleNormal="100" workbookViewId="0">
      <pane xSplit="2" ySplit="2" topLeftCell="H3" activePane="bottomRight" state="frozen"/>
      <selection pane="topRight" activeCell="C1" sqref="C1"/>
      <selection pane="bottomLeft" activeCell="A3" sqref="A3"/>
      <selection pane="bottomRight" activeCell="U23" sqref="U23"/>
    </sheetView>
  </sheetViews>
  <sheetFormatPr defaultRowHeight="14.4" x14ac:dyDescent="0.3"/>
  <sheetData>
    <row r="1" spans="1:20" x14ac:dyDescent="0.3">
      <c r="A1" s="1" t="s">
        <v>0</v>
      </c>
    </row>
    <row r="2" spans="1:20" x14ac:dyDescent="0.3">
      <c r="C2" t="s">
        <v>21</v>
      </c>
      <c r="D2" t="s">
        <v>22</v>
      </c>
      <c r="E2" t="s">
        <v>23</v>
      </c>
      <c r="F2" t="s">
        <v>24</v>
      </c>
      <c r="G2" t="s">
        <v>25</v>
      </c>
      <c r="H2" t="s">
        <v>26</v>
      </c>
      <c r="I2" t="s">
        <v>27</v>
      </c>
      <c r="J2" t="s">
        <v>28</v>
      </c>
      <c r="K2" t="s">
        <v>29</v>
      </c>
      <c r="L2" t="s">
        <v>20</v>
      </c>
      <c r="Q2">
        <v>2023</v>
      </c>
      <c r="R2">
        <v>2024</v>
      </c>
      <c r="S2">
        <v>2025</v>
      </c>
      <c r="T2">
        <v>2025</v>
      </c>
    </row>
    <row r="3" spans="1:20" s="3" customFormat="1" x14ac:dyDescent="0.3">
      <c r="A3"/>
      <c r="B3" t="s">
        <v>7</v>
      </c>
      <c r="C3" s="3">
        <v>11715</v>
      </c>
      <c r="D3" s="3">
        <v>12949</v>
      </c>
      <c r="E3" s="3">
        <v>14158</v>
      </c>
      <c r="F3" s="3">
        <v>15406</v>
      </c>
      <c r="G3" s="3">
        <v>12724</v>
      </c>
      <c r="H3" s="3">
        <v>12833</v>
      </c>
      <c r="I3" s="3">
        <v>13284</v>
      </c>
      <c r="J3" s="3">
        <v>14260</v>
      </c>
      <c r="K3" s="3">
        <v>12667</v>
      </c>
      <c r="L3" s="3">
        <v>12859</v>
      </c>
      <c r="Q3" s="3">
        <f>C3+D3+E3+F3</f>
        <v>54228</v>
      </c>
      <c r="R3" s="3">
        <f>+G3+H3+I3+J3</f>
        <v>53101</v>
      </c>
      <c r="S3" s="3">
        <v>52000</v>
      </c>
      <c r="T3" s="10">
        <v>54000</v>
      </c>
    </row>
    <row r="4" spans="1:20" s="3" customFormat="1" x14ac:dyDescent="0.3">
      <c r="A4"/>
      <c r="B4" t="s">
        <v>8</v>
      </c>
      <c r="C4" s="3">
        <v>7707</v>
      </c>
      <c r="D4" s="3">
        <v>8311</v>
      </c>
      <c r="E4" s="3">
        <v>8140</v>
      </c>
      <c r="F4" s="3">
        <v>8359</v>
      </c>
      <c r="G4" s="3">
        <v>7507</v>
      </c>
      <c r="H4" s="3">
        <v>8286</v>
      </c>
      <c r="I4" s="3">
        <v>11287</v>
      </c>
      <c r="J4" s="3">
        <v>8676</v>
      </c>
      <c r="K4" s="3">
        <v>7995</v>
      </c>
      <c r="L4" s="3">
        <v>9317</v>
      </c>
      <c r="Q4" s="3">
        <f t="shared" ref="Q4" si="0">C4+D4+E4+F4</f>
        <v>32517</v>
      </c>
      <c r="R4" s="3">
        <f t="shared" ref="R4" si="1">+G4+H4+I4+J4</f>
        <v>35756</v>
      </c>
    </row>
    <row r="5" spans="1:20" s="5" customFormat="1" x14ac:dyDescent="0.3">
      <c r="A5" s="4"/>
      <c r="B5" s="4" t="s">
        <v>9</v>
      </c>
      <c r="C5" s="5">
        <f t="shared" ref="C5:K5" si="2">C3-C4</f>
        <v>4008</v>
      </c>
      <c r="D5" s="5">
        <f t="shared" si="2"/>
        <v>4638</v>
      </c>
      <c r="E5" s="5">
        <f t="shared" si="2"/>
        <v>6018</v>
      </c>
      <c r="F5" s="5">
        <f t="shared" si="2"/>
        <v>7047</v>
      </c>
      <c r="G5" s="5">
        <f t="shared" si="2"/>
        <v>5217</v>
      </c>
      <c r="H5" s="5">
        <f t="shared" si="2"/>
        <v>4547</v>
      </c>
      <c r="I5" s="5">
        <f t="shared" si="2"/>
        <v>1997</v>
      </c>
      <c r="J5" s="5">
        <f t="shared" si="2"/>
        <v>5584</v>
      </c>
      <c r="K5" s="5">
        <f t="shared" si="2"/>
        <v>4672</v>
      </c>
      <c r="L5" s="5">
        <f>L3-L4</f>
        <v>3542</v>
      </c>
      <c r="Q5" s="5">
        <f t="shared" ref="Q5:S5" si="3">Q3-Q4</f>
        <v>21711</v>
      </c>
      <c r="R5" s="5">
        <f t="shared" si="3"/>
        <v>17345</v>
      </c>
    </row>
    <row r="6" spans="1:20" s="3" customFormat="1" x14ac:dyDescent="0.3">
      <c r="A6"/>
      <c r="B6" t="s">
        <v>10</v>
      </c>
      <c r="C6" s="3">
        <v>4109</v>
      </c>
      <c r="D6" s="3">
        <v>4080</v>
      </c>
      <c r="E6" s="3">
        <v>3870</v>
      </c>
      <c r="F6" s="3">
        <v>3987</v>
      </c>
      <c r="G6" s="3">
        <v>4382</v>
      </c>
      <c r="H6" s="3">
        <v>4239</v>
      </c>
      <c r="I6" s="3">
        <v>4049</v>
      </c>
      <c r="J6" s="3">
        <v>3876</v>
      </c>
      <c r="K6" s="3">
        <v>3640</v>
      </c>
      <c r="L6" s="3">
        <v>3684</v>
      </c>
      <c r="Q6" s="3">
        <f t="shared" ref="Q6:Q8" si="4">C6+D6+E6+F6</f>
        <v>16046</v>
      </c>
      <c r="R6" s="3">
        <f t="shared" ref="R6:R8" si="5">+G6+H6+I6+J6</f>
        <v>16546</v>
      </c>
    </row>
    <row r="7" spans="1:20" s="3" customFormat="1" x14ac:dyDescent="0.3">
      <c r="A7"/>
      <c r="B7" t="s">
        <v>11</v>
      </c>
      <c r="C7" s="3">
        <v>1303</v>
      </c>
      <c r="D7" s="3">
        <v>1374</v>
      </c>
      <c r="E7" s="3">
        <v>1340</v>
      </c>
      <c r="F7" s="3">
        <v>1617</v>
      </c>
      <c r="G7" s="3">
        <v>1556</v>
      </c>
      <c r="H7" s="3">
        <v>1329</v>
      </c>
      <c r="I7" s="3">
        <v>1383</v>
      </c>
      <c r="J7" s="3">
        <v>1239</v>
      </c>
      <c r="K7" s="3">
        <v>1177</v>
      </c>
      <c r="L7" s="3">
        <v>1144</v>
      </c>
      <c r="Q7" s="3">
        <f t="shared" si="4"/>
        <v>5634</v>
      </c>
      <c r="R7" s="3">
        <f t="shared" si="5"/>
        <v>5507</v>
      </c>
    </row>
    <row r="8" spans="1:20" s="3" customFormat="1" x14ac:dyDescent="0.3">
      <c r="A8"/>
      <c r="B8" t="s">
        <v>12</v>
      </c>
      <c r="C8" s="3">
        <v>64</v>
      </c>
      <c r="D8" s="3">
        <v>200</v>
      </c>
      <c r="E8" s="3">
        <v>816</v>
      </c>
      <c r="F8" s="3">
        <v>-1142</v>
      </c>
      <c r="G8" s="3">
        <v>348</v>
      </c>
      <c r="H8" s="3">
        <v>943</v>
      </c>
      <c r="I8" s="3">
        <v>5622</v>
      </c>
      <c r="J8" s="3">
        <v>57</v>
      </c>
      <c r="K8" s="3">
        <v>156</v>
      </c>
      <c r="L8" s="3">
        <v>1890</v>
      </c>
      <c r="Q8" s="3">
        <f t="shared" si="4"/>
        <v>-62</v>
      </c>
      <c r="R8" s="3">
        <f t="shared" si="5"/>
        <v>6970</v>
      </c>
    </row>
    <row r="9" spans="1:20" s="5" customFormat="1" x14ac:dyDescent="0.3">
      <c r="A9" s="4"/>
      <c r="B9" s="4" t="s">
        <v>13</v>
      </c>
      <c r="C9" s="5">
        <f t="shared" ref="C9:K9" si="6">SUM(C6:C8)</f>
        <v>5476</v>
      </c>
      <c r="D9" s="5">
        <f t="shared" si="6"/>
        <v>5654</v>
      </c>
      <c r="E9" s="5">
        <f t="shared" si="6"/>
        <v>6026</v>
      </c>
      <c r="F9" s="5">
        <f t="shared" si="6"/>
        <v>4462</v>
      </c>
      <c r="G9" s="5">
        <f t="shared" si="6"/>
        <v>6286</v>
      </c>
      <c r="H9" s="5">
        <f t="shared" si="6"/>
        <v>6511</v>
      </c>
      <c r="I9" s="5">
        <f t="shared" si="6"/>
        <v>11054</v>
      </c>
      <c r="J9" s="5">
        <f t="shared" si="6"/>
        <v>5172</v>
      </c>
      <c r="K9" s="5">
        <f t="shared" si="6"/>
        <v>4973</v>
      </c>
      <c r="L9" s="5">
        <f>SUM(L6:L8)</f>
        <v>6718</v>
      </c>
      <c r="Q9" s="5">
        <f t="shared" ref="Q9:S9" si="7">SUM(Q6:Q8)</f>
        <v>21618</v>
      </c>
      <c r="R9" s="5">
        <f t="shared" si="7"/>
        <v>29023</v>
      </c>
    </row>
    <row r="10" spans="1:20" s="5" customFormat="1" x14ac:dyDescent="0.3">
      <c r="A10" s="4"/>
      <c r="B10" s="4" t="s">
        <v>14</v>
      </c>
      <c r="C10" s="5">
        <f t="shared" ref="C10:K10" si="8">C5-C9</f>
        <v>-1468</v>
      </c>
      <c r="D10" s="5">
        <f t="shared" si="8"/>
        <v>-1016</v>
      </c>
      <c r="E10" s="5">
        <f t="shared" si="8"/>
        <v>-8</v>
      </c>
      <c r="F10" s="5">
        <f t="shared" si="8"/>
        <v>2585</v>
      </c>
      <c r="G10" s="5">
        <f t="shared" si="8"/>
        <v>-1069</v>
      </c>
      <c r="H10" s="5">
        <f t="shared" si="8"/>
        <v>-1964</v>
      </c>
      <c r="I10" s="5">
        <f t="shared" si="8"/>
        <v>-9057</v>
      </c>
      <c r="J10" s="5">
        <f t="shared" si="8"/>
        <v>412</v>
      </c>
      <c r="K10" s="5">
        <f t="shared" si="8"/>
        <v>-301</v>
      </c>
      <c r="L10" s="5">
        <f>L5-L9</f>
        <v>-3176</v>
      </c>
      <c r="Q10" s="5">
        <f t="shared" ref="Q10:S10" si="9">Q5-Q9</f>
        <v>93</v>
      </c>
      <c r="R10" s="5">
        <f t="shared" si="9"/>
        <v>-11678</v>
      </c>
    </row>
    <row r="11" spans="1:20" s="3" customFormat="1" x14ac:dyDescent="0.3">
      <c r="A11"/>
      <c r="B11" t="s">
        <v>15</v>
      </c>
      <c r="C11" s="3">
        <f>169+141</f>
        <v>310</v>
      </c>
      <c r="D11" s="3">
        <f>-24+224</f>
        <v>200</v>
      </c>
      <c r="E11" s="3">
        <f>-191+147</f>
        <v>-44</v>
      </c>
      <c r="F11" s="3">
        <f>86+117</f>
        <v>203</v>
      </c>
      <c r="G11" s="3">
        <f>205+145</f>
        <v>350</v>
      </c>
      <c r="H11" s="3">
        <f>-120+80</f>
        <v>-40</v>
      </c>
      <c r="I11" s="3">
        <f>-159+130</f>
        <v>-29</v>
      </c>
      <c r="J11" s="3">
        <f>316-129</f>
        <v>187</v>
      </c>
      <c r="K11" s="3">
        <f>-112-173</f>
        <v>-285</v>
      </c>
      <c r="L11" s="3">
        <f>502-95</f>
        <v>407</v>
      </c>
      <c r="Q11" s="3">
        <f t="shared" ref="Q11" si="10">C11+D11+E11+F11</f>
        <v>669</v>
      </c>
      <c r="R11" s="3">
        <f t="shared" ref="R11" si="11">+G11+H11+I11+J11</f>
        <v>468</v>
      </c>
    </row>
    <row r="12" spans="1:20" s="5" customFormat="1" x14ac:dyDescent="0.3">
      <c r="A12" s="4"/>
      <c r="B12" s="4" t="s">
        <v>16</v>
      </c>
      <c r="C12" s="5">
        <f t="shared" ref="C12:K12" si="12">C10+C11</f>
        <v>-1158</v>
      </c>
      <c r="D12" s="5">
        <f t="shared" si="12"/>
        <v>-816</v>
      </c>
      <c r="E12" s="5">
        <f t="shared" si="12"/>
        <v>-52</v>
      </c>
      <c r="F12" s="5">
        <f t="shared" si="12"/>
        <v>2788</v>
      </c>
      <c r="G12" s="5">
        <f t="shared" si="12"/>
        <v>-719</v>
      </c>
      <c r="H12" s="5">
        <f t="shared" si="12"/>
        <v>-2004</v>
      </c>
      <c r="I12" s="5">
        <f t="shared" si="12"/>
        <v>-9086</v>
      </c>
      <c r="J12" s="5">
        <f t="shared" si="12"/>
        <v>599</v>
      </c>
      <c r="K12" s="5">
        <f t="shared" si="12"/>
        <v>-586</v>
      </c>
      <c r="L12" s="5">
        <f>L10+L11</f>
        <v>-2769</v>
      </c>
      <c r="Q12" s="5">
        <f t="shared" ref="Q12:S12" si="13">Q10+Q11</f>
        <v>762</v>
      </c>
      <c r="R12" s="5">
        <f t="shared" si="13"/>
        <v>-11210</v>
      </c>
    </row>
    <row r="13" spans="1:20" s="3" customFormat="1" x14ac:dyDescent="0.3">
      <c r="A13"/>
      <c r="B13" t="s">
        <v>17</v>
      </c>
      <c r="C13" s="3">
        <v>1610</v>
      </c>
      <c r="D13" s="3">
        <v>-2289</v>
      </c>
      <c r="E13" s="3">
        <v>-362</v>
      </c>
      <c r="F13" s="3">
        <v>128</v>
      </c>
      <c r="G13" s="3">
        <v>-282</v>
      </c>
      <c r="H13" s="3">
        <v>-350</v>
      </c>
      <c r="I13" s="3">
        <v>7903</v>
      </c>
      <c r="J13" s="3">
        <v>752</v>
      </c>
      <c r="K13" s="3">
        <v>301</v>
      </c>
      <c r="L13" s="3">
        <v>255</v>
      </c>
      <c r="Q13" s="3">
        <f t="shared" ref="Q13" si="14">C13+D13+E13+F13</f>
        <v>-913</v>
      </c>
      <c r="R13" s="3">
        <f t="shared" ref="R13" si="15">+G13+H13+I13+J13</f>
        <v>8023</v>
      </c>
    </row>
    <row r="14" spans="1:20" s="5" customFormat="1" x14ac:dyDescent="0.3">
      <c r="A14" s="4"/>
      <c r="B14" s="4" t="s">
        <v>18</v>
      </c>
      <c r="C14" s="5">
        <f t="shared" ref="C14:K14" si="16">+C12-C13</f>
        <v>-2768</v>
      </c>
      <c r="D14" s="5">
        <f t="shared" si="16"/>
        <v>1473</v>
      </c>
      <c r="E14" s="5">
        <f t="shared" si="16"/>
        <v>310</v>
      </c>
      <c r="F14" s="5">
        <f t="shared" si="16"/>
        <v>2660</v>
      </c>
      <c r="G14" s="5">
        <f t="shared" si="16"/>
        <v>-437</v>
      </c>
      <c r="H14" s="5">
        <f t="shared" si="16"/>
        <v>-1654</v>
      </c>
      <c r="I14" s="5">
        <f t="shared" si="16"/>
        <v>-16989</v>
      </c>
      <c r="J14" s="5">
        <f t="shared" si="16"/>
        <v>-153</v>
      </c>
      <c r="K14" s="5">
        <f t="shared" si="16"/>
        <v>-887</v>
      </c>
      <c r="L14" s="5">
        <f>+L12-L13</f>
        <v>-3024</v>
      </c>
      <c r="Q14" s="5">
        <f t="shared" ref="Q14:S14" si="17">+Q12-Q13</f>
        <v>1675</v>
      </c>
      <c r="R14" s="5">
        <f t="shared" si="17"/>
        <v>-19233</v>
      </c>
      <c r="S14" s="5">
        <v>-5006</v>
      </c>
      <c r="T14" s="5">
        <v>-392</v>
      </c>
    </row>
    <row r="15" spans="1:20" s="3" customFormat="1" x14ac:dyDescent="0.3">
      <c r="A15"/>
      <c r="B15" t="s">
        <v>2</v>
      </c>
      <c r="C15" s="3">
        <v>4154</v>
      </c>
      <c r="D15" s="3">
        <v>4182</v>
      </c>
      <c r="E15" s="3">
        <v>4202</v>
      </c>
      <c r="F15" s="3">
        <v>4222</v>
      </c>
      <c r="G15" s="3">
        <v>4242</v>
      </c>
      <c r="H15" s="3">
        <v>4267</v>
      </c>
      <c r="I15" s="3">
        <v>4292</v>
      </c>
      <c r="J15" s="3">
        <v>4319</v>
      </c>
      <c r="K15" s="3">
        <v>4343</v>
      </c>
      <c r="L15" s="3">
        <v>4369</v>
      </c>
      <c r="Q15" s="3">
        <v>4222</v>
      </c>
      <c r="R15" s="3">
        <v>4319</v>
      </c>
      <c r="S15" s="3">
        <v>4369</v>
      </c>
    </row>
    <row r="16" spans="1:20" s="4" customFormat="1" x14ac:dyDescent="0.3">
      <c r="B16" s="4" t="s">
        <v>19</v>
      </c>
      <c r="C16" s="6">
        <f t="shared" ref="C16:K16" si="18">C14/C15</f>
        <v>-0.66634569090033702</v>
      </c>
      <c r="D16" s="6">
        <f t="shared" si="18"/>
        <v>0.35222381635581063</v>
      </c>
      <c r="E16" s="6">
        <f t="shared" si="18"/>
        <v>7.3774393146120901E-2</v>
      </c>
      <c r="F16" s="6">
        <f t="shared" si="18"/>
        <v>0.63003315963998108</v>
      </c>
      <c r="G16" s="6">
        <f t="shared" si="18"/>
        <v>-0.10301744460160302</v>
      </c>
      <c r="H16" s="6">
        <f t="shared" si="18"/>
        <v>-0.38762596672134991</v>
      </c>
      <c r="I16" s="6">
        <f t="shared" si="18"/>
        <v>-3.9582945013979498</v>
      </c>
      <c r="J16" s="6">
        <f t="shared" si="18"/>
        <v>-3.5424866867330401E-2</v>
      </c>
      <c r="K16" s="6">
        <f t="shared" si="18"/>
        <v>-0.20423670274004144</v>
      </c>
      <c r="L16" s="6">
        <f>L14/L15</f>
        <v>-0.69214923323414967</v>
      </c>
      <c r="Q16" s="6">
        <f t="shared" ref="Q16:S16" si="19">Q14/Q15</f>
        <v>0.3967314069161535</v>
      </c>
      <c r="R16" s="6">
        <f t="shared" si="19"/>
        <v>-4.4531141467932391</v>
      </c>
      <c r="S16" s="6">
        <f t="shared" si="19"/>
        <v>-1.1457999542229342</v>
      </c>
    </row>
    <row r="18" spans="2:18" x14ac:dyDescent="0.3">
      <c r="B18" s="4" t="s">
        <v>108</v>
      </c>
      <c r="C18">
        <v>-169</v>
      </c>
      <c r="D18">
        <v>547</v>
      </c>
      <c r="E18">
        <v>1739</v>
      </c>
      <c r="F18">
        <v>2303</v>
      </c>
      <c r="G18">
        <v>-381</v>
      </c>
      <c r="H18">
        <v>83</v>
      </c>
      <c r="I18">
        <v>-1976</v>
      </c>
      <c r="J18">
        <v>568</v>
      </c>
      <c r="K18">
        <v>-821</v>
      </c>
      <c r="L18">
        <v>-441</v>
      </c>
      <c r="Q18" s="3">
        <f>C18+D18+E18+F18</f>
        <v>4420</v>
      </c>
      <c r="R18" s="3">
        <f>+G18+H18+I18+J18</f>
        <v>-1706</v>
      </c>
    </row>
    <row r="19" spans="2:18" x14ac:dyDescent="0.3">
      <c r="B19" s="4" t="s">
        <v>106</v>
      </c>
      <c r="C19" s="2">
        <f>C18/C15</f>
        <v>-4.0683678382282137E-2</v>
      </c>
      <c r="D19" s="2">
        <f>D18/D15</f>
        <v>0.13079866092778575</v>
      </c>
      <c r="E19" s="2">
        <f t="shared" ref="E19:J19" si="20">E18/E15</f>
        <v>0.41385054735840077</v>
      </c>
      <c r="F19" s="2">
        <f t="shared" si="20"/>
        <v>0.54547607768829942</v>
      </c>
      <c r="G19" s="2">
        <f t="shared" si="20"/>
        <v>-8.9816124469589823E-2</v>
      </c>
      <c r="H19" s="2">
        <f t="shared" si="20"/>
        <v>1.9451605343332554E-2</v>
      </c>
      <c r="I19" s="2">
        <f t="shared" si="20"/>
        <v>-0.46039142590866727</v>
      </c>
      <c r="J19" s="2">
        <f t="shared" si="20"/>
        <v>0.13151192405649456</v>
      </c>
      <c r="K19" s="2">
        <f t="shared" ref="K19" si="21">K18/K15</f>
        <v>-0.18903983421597972</v>
      </c>
      <c r="L19" s="2">
        <f>L18/L15</f>
        <v>-0.10093842984664683</v>
      </c>
      <c r="Q19" s="2">
        <f t="shared" ref="Q19" si="22">Q18/Q15</f>
        <v>1.0468972051160588</v>
      </c>
      <c r="R19" s="2">
        <f>R18/R15</f>
        <v>-0.39499884232461219</v>
      </c>
    </row>
    <row r="20" spans="2:18" x14ac:dyDescent="0.3">
      <c r="B20" s="4"/>
      <c r="C20" s="2"/>
      <c r="D20" s="2"/>
      <c r="E20" s="2"/>
      <c r="F20" s="2"/>
      <c r="G20" s="2"/>
      <c r="H20" s="2"/>
      <c r="I20" s="2"/>
      <c r="J20" s="2"/>
      <c r="K20" s="2"/>
      <c r="L20" s="2"/>
      <c r="Q20" s="2"/>
      <c r="R20" s="2"/>
    </row>
    <row r="21" spans="2:18" x14ac:dyDescent="0.3">
      <c r="B21" t="s">
        <v>109</v>
      </c>
      <c r="C21" s="9">
        <f t="shared" ref="C21:L21" si="23">C5/C3</f>
        <v>0.34212548015364919</v>
      </c>
      <c r="D21" s="9">
        <f t="shared" si="23"/>
        <v>0.35817437639972199</v>
      </c>
      <c r="E21" s="9">
        <f t="shared" si="23"/>
        <v>0.42506003672835146</v>
      </c>
      <c r="F21" s="9">
        <f t="shared" si="23"/>
        <v>0.45741918732961184</v>
      </c>
      <c r="G21" s="9">
        <f t="shared" si="23"/>
        <v>0.41001257466205598</v>
      </c>
      <c r="H21" s="9">
        <f t="shared" si="23"/>
        <v>0.35432089145172602</v>
      </c>
      <c r="I21" s="9">
        <f t="shared" si="23"/>
        <v>0.15033122553447756</v>
      </c>
      <c r="J21" s="9">
        <f t="shared" si="23"/>
        <v>0.39158485273492288</v>
      </c>
      <c r="K21" s="9">
        <f t="shared" si="23"/>
        <v>0.36883239914739085</v>
      </c>
      <c r="L21" s="9">
        <f>L5/L3</f>
        <v>0.27544910179640719</v>
      </c>
      <c r="Q21" s="9">
        <f t="shared" ref="Q21:R21" si="24">Q5/Q3</f>
        <v>0.40036512502766097</v>
      </c>
      <c r="R21" s="9">
        <f t="shared" si="24"/>
        <v>0.32664168283083184</v>
      </c>
    </row>
    <row r="22" spans="2:18" x14ac:dyDescent="0.3">
      <c r="B22" t="s">
        <v>110</v>
      </c>
      <c r="C22" s="9">
        <f t="shared" ref="C22:L22" si="25">C10/C3</f>
        <v>-0.12530943235168587</v>
      </c>
      <c r="D22" s="9">
        <f t="shared" si="25"/>
        <v>-7.8461657270831722E-2</v>
      </c>
      <c r="E22" s="9">
        <f t="shared" si="25"/>
        <v>-5.6505156095493713E-4</v>
      </c>
      <c r="F22" s="9">
        <f t="shared" si="25"/>
        <v>0.16779176944047774</v>
      </c>
      <c r="G22" s="9">
        <f t="shared" si="25"/>
        <v>-8.4014460861364354E-2</v>
      </c>
      <c r="H22" s="9">
        <f t="shared" si="25"/>
        <v>-0.15304293618016052</v>
      </c>
      <c r="I22" s="9">
        <f t="shared" si="25"/>
        <v>-0.68179765130984649</v>
      </c>
      <c r="J22" s="9">
        <f t="shared" si="25"/>
        <v>2.8892005610098175E-2</v>
      </c>
      <c r="K22" s="9">
        <f t="shared" si="25"/>
        <v>-2.3762532564932503E-2</v>
      </c>
      <c r="L22" s="9">
        <f>L10/L3</f>
        <v>-0.246986546387744</v>
      </c>
      <c r="Q22" s="9">
        <f t="shared" ref="Q22:R22" si="26">Q10/Q3</f>
        <v>1.714981190528878E-3</v>
      </c>
      <c r="R22" s="9">
        <f t="shared" si="26"/>
        <v>-0.21992052880360069</v>
      </c>
    </row>
    <row r="23" spans="2:18" x14ac:dyDescent="0.3">
      <c r="B23" t="s">
        <v>111</v>
      </c>
      <c r="C23" s="9">
        <f t="shared" ref="C23:L23" si="27">C14/C3</f>
        <v>-0.23627827571489543</v>
      </c>
      <c r="D23" s="9">
        <f t="shared" si="27"/>
        <v>0.11375395783458182</v>
      </c>
      <c r="E23" s="9">
        <f t="shared" si="27"/>
        <v>2.1895747987003816E-2</v>
      </c>
      <c r="F23" s="9">
        <f t="shared" si="27"/>
        <v>0.17266000259639103</v>
      </c>
      <c r="G23" s="9">
        <f t="shared" si="27"/>
        <v>-3.4344545740333229E-2</v>
      </c>
      <c r="H23" s="9">
        <f t="shared" si="27"/>
        <v>-0.12888646458349567</v>
      </c>
      <c r="I23" s="9">
        <f t="shared" si="27"/>
        <v>-1.278906955736224</v>
      </c>
      <c r="J23" s="9">
        <f t="shared" si="27"/>
        <v>-1.0729312762973352E-2</v>
      </c>
      <c r="K23" s="9">
        <f t="shared" si="27"/>
        <v>-7.0024473040183152E-2</v>
      </c>
      <c r="L23" s="9">
        <f>L14/L3</f>
        <v>-0.23516603157321719</v>
      </c>
      <c r="Q23" s="9">
        <f t="shared" ref="Q23:R23" si="28">Q14/Q3</f>
        <v>3.088810208748248E-2</v>
      </c>
      <c r="R23" s="9">
        <f t="shared" si="28"/>
        <v>-0.3621965688028474</v>
      </c>
    </row>
    <row r="24" spans="2:18" x14ac:dyDescent="0.3">
      <c r="C24" s="9"/>
      <c r="D24" s="9"/>
      <c r="E24" s="9"/>
      <c r="F24" s="9"/>
      <c r="G24" s="9"/>
      <c r="H24" s="9"/>
      <c r="I24" s="9"/>
      <c r="J24" s="9"/>
      <c r="K24" s="9"/>
      <c r="L24" s="9"/>
      <c r="Q24" s="9"/>
      <c r="R24" s="9"/>
    </row>
    <row r="25" spans="2:18" x14ac:dyDescent="0.3">
      <c r="B25" t="s">
        <v>112</v>
      </c>
      <c r="C25" s="9">
        <f t="shared" ref="C25:L25" si="29">C13/C12</f>
        <v>-1.390328151986183</v>
      </c>
      <c r="D25" s="9">
        <f t="shared" si="29"/>
        <v>2.8051470588235294</v>
      </c>
      <c r="E25" s="9">
        <f t="shared" si="29"/>
        <v>6.9615384615384617</v>
      </c>
      <c r="F25" s="9">
        <f t="shared" si="29"/>
        <v>4.5911047345767578E-2</v>
      </c>
      <c r="G25" s="9">
        <f t="shared" si="29"/>
        <v>0.39221140472878996</v>
      </c>
      <c r="H25" s="9">
        <f t="shared" si="29"/>
        <v>0.17465069860279442</v>
      </c>
      <c r="I25" s="9">
        <f t="shared" si="29"/>
        <v>-0.86979969183359018</v>
      </c>
      <c r="J25" s="9">
        <f t="shared" si="29"/>
        <v>1.2554257095158599</v>
      </c>
      <c r="K25" s="9">
        <f t="shared" si="29"/>
        <v>-0.51365187713310578</v>
      </c>
      <c r="L25" s="9">
        <f>L13/L12</f>
        <v>-9.2091007583965337E-2</v>
      </c>
      <c r="Q25" s="9">
        <f t="shared" ref="Q25:R25" si="30">Q13/Q12</f>
        <v>-1.1981627296587927</v>
      </c>
      <c r="R25" s="9">
        <f t="shared" si="30"/>
        <v>-0.71570026761819805</v>
      </c>
    </row>
    <row r="26" spans="2:18" x14ac:dyDescent="0.3">
      <c r="B26" t="s">
        <v>113</v>
      </c>
      <c r="C26" s="9">
        <f t="shared" ref="C26:L26" si="31">C6/C5</f>
        <v>1.0251996007984032</v>
      </c>
      <c r="D26" s="9">
        <f t="shared" si="31"/>
        <v>0.87968952134540745</v>
      </c>
      <c r="E26" s="9">
        <f t="shared" si="31"/>
        <v>0.64307078763708869</v>
      </c>
      <c r="F26" s="9">
        <f t="shared" si="31"/>
        <v>0.56577266922094505</v>
      </c>
      <c r="G26" s="9">
        <f t="shared" si="31"/>
        <v>0.83994632930803148</v>
      </c>
      <c r="H26" s="9">
        <f t="shared" si="31"/>
        <v>0.93226303056960635</v>
      </c>
      <c r="I26" s="9">
        <f t="shared" si="31"/>
        <v>2.0275413119679517</v>
      </c>
      <c r="J26" s="9">
        <f t="shared" si="31"/>
        <v>0.69412607449856734</v>
      </c>
      <c r="K26" s="9">
        <f t="shared" si="31"/>
        <v>0.77910958904109584</v>
      </c>
      <c r="L26" s="9">
        <f>L6/L5</f>
        <v>1.0400903444381706</v>
      </c>
      <c r="Q26" s="9">
        <f t="shared" ref="Q26:R26" si="32">Q6/Q5</f>
        <v>0.73907235963336559</v>
      </c>
      <c r="R26" s="9">
        <f t="shared" si="32"/>
        <v>0.95393485154223123</v>
      </c>
    </row>
    <row r="27" spans="2:18" x14ac:dyDescent="0.3">
      <c r="B27" t="s">
        <v>116</v>
      </c>
      <c r="C27" s="9">
        <f t="shared" ref="C27:L27" si="33">C7/C5</f>
        <v>0.32509980039920161</v>
      </c>
      <c r="D27" s="9">
        <f t="shared" si="33"/>
        <v>0.296248382923674</v>
      </c>
      <c r="E27" s="9">
        <f t="shared" si="33"/>
        <v>0.22266533732136923</v>
      </c>
      <c r="F27" s="9">
        <f t="shared" si="33"/>
        <v>0.22945934440187313</v>
      </c>
      <c r="G27" s="9">
        <f t="shared" si="33"/>
        <v>0.29825570251102168</v>
      </c>
      <c r="H27" s="9">
        <f t="shared" si="33"/>
        <v>0.2922806245876402</v>
      </c>
      <c r="I27" s="9">
        <f t="shared" si="33"/>
        <v>0.6925388082123185</v>
      </c>
      <c r="J27" s="9">
        <f t="shared" si="33"/>
        <v>0.22188395415472778</v>
      </c>
      <c r="K27" s="9">
        <f t="shared" si="33"/>
        <v>0.2519263698630137</v>
      </c>
      <c r="L27" s="9">
        <f>L7/L5</f>
        <v>0.32298136645962733</v>
      </c>
      <c r="Q27" s="9">
        <f t="shared" ref="Q27:R27" si="34">Q7/Q5</f>
        <v>0.25949979273179496</v>
      </c>
      <c r="R27" s="9">
        <f t="shared" si="34"/>
        <v>0.31749783799365811</v>
      </c>
    </row>
    <row r="28" spans="2:18" x14ac:dyDescent="0.3">
      <c r="B28" t="s">
        <v>114</v>
      </c>
      <c r="C28" s="9">
        <f t="shared" ref="C28:L28" si="35">C11/C10</f>
        <v>-0.21117166212534061</v>
      </c>
      <c r="D28" s="9">
        <f t="shared" si="35"/>
        <v>-0.19685039370078741</v>
      </c>
      <c r="E28" s="9">
        <f t="shared" si="35"/>
        <v>5.5</v>
      </c>
      <c r="F28" s="9">
        <f t="shared" si="35"/>
        <v>7.8529980657640233E-2</v>
      </c>
      <c r="G28" s="9">
        <f t="shared" si="35"/>
        <v>-0.32740879326473338</v>
      </c>
      <c r="H28" s="9">
        <f t="shared" si="35"/>
        <v>2.0366598778004074E-2</v>
      </c>
      <c r="I28" s="9">
        <f t="shared" si="35"/>
        <v>3.2019432483162196E-3</v>
      </c>
      <c r="J28" s="9">
        <f t="shared" si="35"/>
        <v>0.45388349514563109</v>
      </c>
      <c r="K28" s="9">
        <f t="shared" si="35"/>
        <v>0.94684385382059799</v>
      </c>
      <c r="L28" s="9">
        <f>L11/L10</f>
        <v>-0.12814861460957178</v>
      </c>
      <c r="Q28" s="9">
        <f t="shared" ref="Q28:R28" si="36">Q11/Q10</f>
        <v>7.193548387096774</v>
      </c>
      <c r="R28" s="9">
        <f t="shared" si="36"/>
        <v>-4.0075355369070045E-2</v>
      </c>
    </row>
    <row r="29" spans="2:18" x14ac:dyDescent="0.3">
      <c r="C29" s="2"/>
      <c r="D29" s="2"/>
      <c r="E29" s="2"/>
      <c r="F29" s="2"/>
      <c r="G29" s="2"/>
      <c r="H29" s="2"/>
      <c r="I29" s="2"/>
      <c r="J29" s="2"/>
      <c r="K29" s="2"/>
      <c r="L29" s="2"/>
      <c r="Q29" s="2"/>
      <c r="R29" s="2"/>
    </row>
    <row r="30" spans="2:18" x14ac:dyDescent="0.3">
      <c r="B30" s="9" t="s">
        <v>115</v>
      </c>
      <c r="C30" s="2"/>
      <c r="D30" s="2"/>
      <c r="E30" s="2"/>
      <c r="F30" s="2"/>
      <c r="G30" s="9">
        <f t="shared" ref="G30:K30" si="37">G3/C3-1</f>
        <v>8.6128894579598825E-2</v>
      </c>
      <c r="H30" s="9">
        <f t="shared" si="37"/>
        <v>-8.9582207120241231E-3</v>
      </c>
      <c r="I30" s="9">
        <f t="shared" si="37"/>
        <v>-6.1731883034326862E-2</v>
      </c>
      <c r="J30" s="9">
        <f t="shared" si="37"/>
        <v>-7.4386602622354969E-2</v>
      </c>
      <c r="K30" s="9">
        <f t="shared" si="37"/>
        <v>-4.4797233574347395E-3</v>
      </c>
      <c r="L30" s="9">
        <f>L3/H3-1</f>
        <v>2.0260266500429225E-3</v>
      </c>
      <c r="Q30" s="2"/>
      <c r="R30" s="9">
        <f>R3/Q3-1</f>
        <v>-2.0782621523935951E-2</v>
      </c>
    </row>
    <row r="31" spans="2:18" x14ac:dyDescent="0.3">
      <c r="B31" s="4"/>
      <c r="C31" s="2"/>
      <c r="D31" s="2"/>
      <c r="E31" s="2"/>
      <c r="F31" s="2"/>
      <c r="G31" s="2"/>
      <c r="H31" s="2"/>
      <c r="I31" s="2"/>
      <c r="J31" s="2"/>
      <c r="K31" s="2"/>
      <c r="L31" s="2"/>
      <c r="Q31" s="2"/>
      <c r="R31" s="2"/>
    </row>
    <row r="32" spans="2:18" x14ac:dyDescent="0.3">
      <c r="B32" s="4"/>
    </row>
    <row r="33" spans="1:19" x14ac:dyDescent="0.3">
      <c r="B33" t="s">
        <v>30</v>
      </c>
    </row>
    <row r="34" spans="1:19" x14ac:dyDescent="0.3">
      <c r="B34" t="s">
        <v>31</v>
      </c>
      <c r="C34" s="3"/>
      <c r="D34" s="3">
        <v>118100</v>
      </c>
      <c r="E34" s="3">
        <v>116600</v>
      </c>
      <c r="F34" s="3">
        <v>116200</v>
      </c>
      <c r="G34" s="3">
        <v>116400</v>
      </c>
      <c r="H34" s="3">
        <v>116500</v>
      </c>
      <c r="I34" s="3">
        <v>115000</v>
      </c>
      <c r="J34" s="3">
        <v>99500</v>
      </c>
      <c r="K34" s="3">
        <v>97600</v>
      </c>
      <c r="L34" s="3">
        <v>96400</v>
      </c>
    </row>
    <row r="35" spans="1:19" x14ac:dyDescent="0.3">
      <c r="B35" t="s">
        <v>32</v>
      </c>
      <c r="C35" s="3"/>
      <c r="D35" s="3">
        <v>4700</v>
      </c>
      <c r="E35" s="3">
        <v>4800</v>
      </c>
      <c r="F35" s="3">
        <v>5000</v>
      </c>
      <c r="G35" s="3">
        <v>5200</v>
      </c>
      <c r="H35" s="3">
        <v>5300</v>
      </c>
      <c r="I35" s="3">
        <v>5400</v>
      </c>
      <c r="J35" s="3">
        <v>5400</v>
      </c>
      <c r="K35" s="3">
        <v>5000</v>
      </c>
      <c r="L35" s="3">
        <v>5000</v>
      </c>
    </row>
    <row r="36" spans="1:19" x14ac:dyDescent="0.3">
      <c r="B36" t="s">
        <v>33</v>
      </c>
      <c r="C36" s="3"/>
      <c r="D36" s="3">
        <v>4000</v>
      </c>
      <c r="E36" s="3">
        <v>3800</v>
      </c>
      <c r="F36" s="3">
        <v>3600</v>
      </c>
      <c r="G36" s="3">
        <v>3600</v>
      </c>
      <c r="H36" s="3">
        <v>3500</v>
      </c>
      <c r="I36" s="3">
        <v>3700</v>
      </c>
      <c r="J36" s="3">
        <v>4000</v>
      </c>
      <c r="K36" s="3">
        <v>0</v>
      </c>
      <c r="L36" s="3">
        <v>0</v>
      </c>
    </row>
    <row r="37" spans="1:19" x14ac:dyDescent="0.3">
      <c r="B37" t="s">
        <v>34</v>
      </c>
      <c r="C37" s="3">
        <v>130100</v>
      </c>
      <c r="D37" s="3">
        <f t="shared" ref="D37" si="38">SUM(D34:D36)</f>
        <v>126800</v>
      </c>
      <c r="E37" s="3">
        <f t="shared" ref="E37" si="39">SUM(E34:E36)</f>
        <v>125200</v>
      </c>
      <c r="F37" s="3">
        <f t="shared" ref="F37" si="40">SUM(F34:F36)</f>
        <v>124800</v>
      </c>
      <c r="G37" s="3">
        <f t="shared" ref="G37" si="41">SUM(G34:G36)</f>
        <v>125200</v>
      </c>
      <c r="H37" s="3">
        <f t="shared" ref="H37" si="42">SUM(H34:H36)</f>
        <v>125300</v>
      </c>
      <c r="I37" s="3">
        <f t="shared" ref="I37" si="43">SUM(I34:I36)</f>
        <v>124100</v>
      </c>
      <c r="J37" s="3">
        <f t="shared" ref="J37" si="44">SUM(J34:J36)</f>
        <v>108900</v>
      </c>
      <c r="K37" s="3">
        <f t="shared" ref="K37" si="45">SUM(K34:K36)</f>
        <v>102600</v>
      </c>
      <c r="L37" s="3">
        <f>SUM(L34:L36)</f>
        <v>101400</v>
      </c>
    </row>
    <row r="40" spans="1:19" s="3" customFormat="1" x14ac:dyDescent="0.3">
      <c r="A40"/>
      <c r="B40" t="s">
        <v>35</v>
      </c>
      <c r="Q40" s="3">
        <f t="shared" ref="Q40:R40" si="46">Q41-Q55-Q58</f>
        <v>-25599</v>
      </c>
      <c r="R40" s="3">
        <f t="shared" si="46"/>
        <v>-27949</v>
      </c>
      <c r="S40" s="3">
        <f>S41-S55-S58</f>
        <v>-29551</v>
      </c>
    </row>
    <row r="41" spans="1:19" s="3" customFormat="1" x14ac:dyDescent="0.3">
      <c r="A41"/>
      <c r="B41" t="s">
        <v>4</v>
      </c>
      <c r="F41" s="3">
        <f>7079+17955</f>
        <v>25034</v>
      </c>
      <c r="G41" s="3">
        <f>6923+14388</f>
        <v>21311</v>
      </c>
      <c r="H41" s="3">
        <f>8249+13813</f>
        <v>22062</v>
      </c>
      <c r="I41" s="3">
        <f>8785+15301</f>
        <v>24086</v>
      </c>
      <c r="J41" s="3">
        <f>8249+13813</f>
        <v>22062</v>
      </c>
      <c r="K41" s="3">
        <f>8947+12101</f>
        <v>21048</v>
      </c>
      <c r="L41" s="3">
        <f>9643+11563</f>
        <v>21206</v>
      </c>
      <c r="Q41" s="3">
        <f>7079+17955</f>
        <v>25034</v>
      </c>
      <c r="R41" s="3">
        <f>8249+13813</f>
        <v>22062</v>
      </c>
      <c r="S41" s="3">
        <f>9643+11563</f>
        <v>21206</v>
      </c>
    </row>
    <row r="42" spans="1:19" s="3" customFormat="1" x14ac:dyDescent="0.3">
      <c r="A42"/>
      <c r="B42" t="s">
        <v>36</v>
      </c>
      <c r="F42" s="3">
        <v>3402</v>
      </c>
      <c r="G42" s="3">
        <v>3323</v>
      </c>
      <c r="H42" s="3">
        <v>3478</v>
      </c>
      <c r="I42" s="3">
        <v>3121</v>
      </c>
      <c r="J42" s="3">
        <v>3478</v>
      </c>
      <c r="K42" s="3">
        <v>3064</v>
      </c>
      <c r="L42" s="3">
        <v>2360</v>
      </c>
      <c r="Q42" s="3">
        <v>3402</v>
      </c>
      <c r="R42" s="3">
        <v>3478</v>
      </c>
      <c r="S42" s="3">
        <v>2360</v>
      </c>
    </row>
    <row r="43" spans="1:19" s="3" customFormat="1" x14ac:dyDescent="0.3">
      <c r="A43"/>
      <c r="B43" t="s">
        <v>37</v>
      </c>
      <c r="F43" s="3">
        <v>1166</v>
      </c>
      <c r="G43" s="3">
        <v>1209</v>
      </c>
      <c r="H43" s="3">
        <v>1344</v>
      </c>
      <c r="I43" s="3">
        <v>1434</v>
      </c>
      <c r="J43" s="3">
        <v>1344</v>
      </c>
      <c r="K43" s="3">
        <v>1322</v>
      </c>
      <c r="L43" s="3">
        <v>1194</v>
      </c>
      <c r="Q43" s="3">
        <v>1166</v>
      </c>
      <c r="R43" s="3">
        <v>1344</v>
      </c>
      <c r="S43" s="3">
        <v>1194</v>
      </c>
    </row>
    <row r="44" spans="1:19" s="3" customFormat="1" x14ac:dyDescent="0.3">
      <c r="A44"/>
      <c r="B44" t="s">
        <v>39</v>
      </c>
      <c r="F44" s="3">
        <v>6203</v>
      </c>
      <c r="G44" s="3">
        <v>6560</v>
      </c>
      <c r="H44" s="3">
        <v>7432</v>
      </c>
      <c r="I44" s="3">
        <v>6971</v>
      </c>
      <c r="J44" s="3">
        <v>7432</v>
      </c>
      <c r="K44" s="3">
        <v>7240</v>
      </c>
      <c r="L44" s="3">
        <v>6484</v>
      </c>
      <c r="Q44" s="3">
        <v>6203</v>
      </c>
      <c r="R44" s="3">
        <v>7432</v>
      </c>
      <c r="S44" s="3">
        <v>6484</v>
      </c>
    </row>
    <row r="45" spans="1:19" s="3" customFormat="1" x14ac:dyDescent="0.3">
      <c r="A45"/>
      <c r="B45" t="s">
        <v>38</v>
      </c>
      <c r="F45" s="3">
        <v>3758</v>
      </c>
      <c r="G45" s="3">
        <v>3725</v>
      </c>
      <c r="H45" s="3">
        <v>3422</v>
      </c>
      <c r="I45" s="3">
        <v>3657</v>
      </c>
      <c r="J45" s="3">
        <v>3422</v>
      </c>
      <c r="K45" s="3">
        <v>3719</v>
      </c>
      <c r="L45" s="3">
        <v>3699</v>
      </c>
      <c r="Q45" s="3">
        <v>3758</v>
      </c>
      <c r="R45" s="3">
        <v>3422</v>
      </c>
      <c r="S45" s="3">
        <v>3699</v>
      </c>
    </row>
    <row r="46" spans="1:19" s="3" customFormat="1" x14ac:dyDescent="0.3">
      <c r="A46"/>
      <c r="B46" t="s">
        <v>55</v>
      </c>
      <c r="F46" s="3">
        <v>3706</v>
      </c>
      <c r="G46" s="3">
        <v>6480</v>
      </c>
      <c r="H46" s="3">
        <v>9586</v>
      </c>
      <c r="I46" s="3">
        <v>6868</v>
      </c>
      <c r="J46" s="3">
        <v>9586</v>
      </c>
      <c r="K46" s="3">
        <v>5741</v>
      </c>
      <c r="L46" s="3">
        <v>8432</v>
      </c>
      <c r="Q46" s="3">
        <v>3706</v>
      </c>
      <c r="R46" s="3">
        <v>9586</v>
      </c>
      <c r="S46" s="3">
        <v>8432</v>
      </c>
    </row>
    <row r="47" spans="1:19" s="3" customFormat="1" x14ac:dyDescent="0.3">
      <c r="A47"/>
      <c r="B47" t="s">
        <v>40</v>
      </c>
      <c r="F47" s="3">
        <v>96647</v>
      </c>
      <c r="G47" s="3">
        <v>99924</v>
      </c>
      <c r="H47" s="3">
        <v>107919</v>
      </c>
      <c r="I47" s="3">
        <v>104248</v>
      </c>
      <c r="J47" s="3">
        <v>107919</v>
      </c>
      <c r="K47" s="3">
        <v>109763</v>
      </c>
      <c r="L47" s="3">
        <v>109510</v>
      </c>
      <c r="Q47" s="3">
        <v>96647</v>
      </c>
      <c r="R47" s="3">
        <v>107919</v>
      </c>
      <c r="S47" s="3">
        <v>109510</v>
      </c>
    </row>
    <row r="48" spans="1:19" s="3" customFormat="1" x14ac:dyDescent="0.3">
      <c r="A48"/>
      <c r="B48" t="s">
        <v>41</v>
      </c>
      <c r="F48" s="3">
        <v>5829</v>
      </c>
      <c r="G48" s="3">
        <v>6139</v>
      </c>
      <c r="H48" s="3">
        <v>5383</v>
      </c>
      <c r="I48" s="3">
        <v>5496</v>
      </c>
      <c r="J48" s="3">
        <v>5383</v>
      </c>
      <c r="K48" s="3">
        <v>5027</v>
      </c>
      <c r="L48" s="3">
        <v>5383</v>
      </c>
      <c r="Q48" s="3">
        <v>5829</v>
      </c>
      <c r="R48" s="3">
        <v>5383</v>
      </c>
      <c r="S48" s="3">
        <v>5383</v>
      </c>
    </row>
    <row r="49" spans="1:19" s="3" customFormat="1" x14ac:dyDescent="0.3">
      <c r="A49"/>
      <c r="B49" t="s">
        <v>42</v>
      </c>
      <c r="F49" s="3">
        <v>27591</v>
      </c>
      <c r="G49" s="3">
        <v>27440</v>
      </c>
      <c r="H49" s="3">
        <v>24693</v>
      </c>
      <c r="I49" s="3">
        <v>24680</v>
      </c>
      <c r="J49" s="3">
        <v>24693</v>
      </c>
      <c r="K49" s="3">
        <v>24693</v>
      </c>
      <c r="L49" s="3">
        <v>23912</v>
      </c>
      <c r="Q49" s="3">
        <v>27591</v>
      </c>
      <c r="R49" s="3">
        <v>24693</v>
      </c>
      <c r="S49" s="3">
        <v>23912</v>
      </c>
    </row>
    <row r="50" spans="1:19" s="3" customFormat="1" x14ac:dyDescent="0.3">
      <c r="A50"/>
      <c r="B50" t="s">
        <v>43</v>
      </c>
      <c r="F50" s="3">
        <v>4589</v>
      </c>
      <c r="G50" s="3">
        <v>4675</v>
      </c>
      <c r="H50" s="3">
        <v>3691</v>
      </c>
      <c r="I50" s="3">
        <v>3975</v>
      </c>
      <c r="J50" s="3">
        <v>3691</v>
      </c>
      <c r="K50" s="3">
        <v>3568</v>
      </c>
      <c r="L50" s="3">
        <v>3057</v>
      </c>
      <c r="Q50" s="3">
        <v>4589</v>
      </c>
      <c r="R50" s="3">
        <v>3691</v>
      </c>
      <c r="S50" s="3">
        <v>3057</v>
      </c>
    </row>
    <row r="51" spans="1:19" s="3" customFormat="1" x14ac:dyDescent="0.3">
      <c r="A51"/>
      <c r="B51" t="s">
        <v>44</v>
      </c>
      <c r="F51" s="3">
        <v>13647</v>
      </c>
      <c r="G51" s="3">
        <v>11947</v>
      </c>
      <c r="H51" s="3">
        <v>7475</v>
      </c>
      <c r="I51" s="3">
        <v>9006</v>
      </c>
      <c r="J51" s="3">
        <v>7475</v>
      </c>
      <c r="K51" s="3">
        <v>7057</v>
      </c>
      <c r="L51" s="3">
        <v>7283</v>
      </c>
      <c r="Q51" s="3">
        <v>13647</v>
      </c>
      <c r="R51" s="3">
        <v>7475</v>
      </c>
      <c r="S51" s="3">
        <v>7283</v>
      </c>
    </row>
    <row r="52" spans="1:19" s="5" customFormat="1" x14ac:dyDescent="0.3">
      <c r="A52" s="4"/>
      <c r="B52" s="4" t="s">
        <v>45</v>
      </c>
      <c r="F52" s="5">
        <f>SUM(F41:F51)</f>
        <v>191572</v>
      </c>
      <c r="G52" s="5">
        <f t="shared" ref="G52:K52" si="47">SUM(G41:G51)</f>
        <v>192733</v>
      </c>
      <c r="H52" s="5">
        <f t="shared" si="47"/>
        <v>196485</v>
      </c>
      <c r="I52" s="5">
        <f t="shared" si="47"/>
        <v>193542</v>
      </c>
      <c r="J52" s="5">
        <f t="shared" si="47"/>
        <v>196485</v>
      </c>
      <c r="K52" s="5">
        <f t="shared" si="47"/>
        <v>192242</v>
      </c>
      <c r="L52" s="5">
        <f>SUM(L41:L51)</f>
        <v>192520</v>
      </c>
      <c r="Q52" s="5">
        <f>SUM(Q41:Q51)</f>
        <v>191572</v>
      </c>
      <c r="R52" s="5">
        <f t="shared" ref="R52" si="48">SUM(R41:R51)</f>
        <v>196485</v>
      </c>
      <c r="S52" s="5">
        <f>SUM(S41:S51)</f>
        <v>192520</v>
      </c>
    </row>
    <row r="53" spans="1:19" s="3" customFormat="1" x14ac:dyDescent="0.3">
      <c r="A53"/>
      <c r="B53" t="s">
        <v>46</v>
      </c>
      <c r="F53" s="3">
        <v>2288</v>
      </c>
      <c r="G53" s="3">
        <v>4581</v>
      </c>
      <c r="H53" s="3">
        <v>12556</v>
      </c>
      <c r="I53" s="3">
        <v>11074</v>
      </c>
      <c r="J53" s="3">
        <v>12556</v>
      </c>
      <c r="K53" s="3">
        <v>10896</v>
      </c>
      <c r="L53" s="3">
        <v>10666</v>
      </c>
      <c r="Q53" s="3">
        <v>2288</v>
      </c>
      <c r="R53" s="3">
        <v>12556</v>
      </c>
      <c r="S53" s="3">
        <v>10666</v>
      </c>
    </row>
    <row r="54" spans="1:19" s="3" customFormat="1" x14ac:dyDescent="0.3">
      <c r="A54"/>
      <c r="B54" t="s">
        <v>47</v>
      </c>
      <c r="F54" s="3">
        <v>8578</v>
      </c>
      <c r="G54" s="3">
        <v>8559</v>
      </c>
      <c r="H54" s="3">
        <v>3343</v>
      </c>
      <c r="I54" s="3">
        <v>5015</v>
      </c>
      <c r="J54" s="3">
        <v>3343</v>
      </c>
      <c r="K54" s="3">
        <v>2652</v>
      </c>
      <c r="L54" s="3">
        <v>4249</v>
      </c>
      <c r="Q54" s="3">
        <v>8578</v>
      </c>
      <c r="R54" s="3">
        <v>3343</v>
      </c>
      <c r="S54" s="3">
        <v>4249</v>
      </c>
    </row>
    <row r="55" spans="1:19" s="3" customFormat="1" x14ac:dyDescent="0.3">
      <c r="A55"/>
      <c r="B55" t="s">
        <v>48</v>
      </c>
      <c r="F55" s="3">
        <v>3655</v>
      </c>
      <c r="G55" s="3">
        <v>2506</v>
      </c>
      <c r="H55" s="3">
        <v>3729</v>
      </c>
      <c r="I55" s="3">
        <v>3765</v>
      </c>
      <c r="J55" s="3">
        <v>3729</v>
      </c>
      <c r="K55" s="3">
        <v>5240</v>
      </c>
      <c r="L55" s="3">
        <v>6731</v>
      </c>
      <c r="Q55" s="3">
        <v>3655</v>
      </c>
      <c r="R55" s="3">
        <v>3729</v>
      </c>
      <c r="S55" s="3">
        <v>6731</v>
      </c>
    </row>
    <row r="56" spans="1:19" s="3" customFormat="1" x14ac:dyDescent="0.3">
      <c r="A56"/>
      <c r="B56" t="s">
        <v>49</v>
      </c>
      <c r="F56" s="3">
        <v>1107</v>
      </c>
      <c r="G56" s="3">
        <v>346</v>
      </c>
      <c r="H56" s="3">
        <v>1756</v>
      </c>
      <c r="I56" s="3">
        <v>2440</v>
      </c>
      <c r="J56" s="3">
        <v>1756</v>
      </c>
      <c r="K56" s="3">
        <v>1873</v>
      </c>
      <c r="L56" s="3">
        <v>887</v>
      </c>
      <c r="Q56" s="3">
        <v>1107</v>
      </c>
      <c r="R56" s="3">
        <v>1756</v>
      </c>
      <c r="S56" s="3">
        <v>887</v>
      </c>
    </row>
    <row r="57" spans="1:19" s="3" customFormat="1" x14ac:dyDescent="0.3">
      <c r="A57"/>
      <c r="B57" t="s">
        <v>50</v>
      </c>
      <c r="F57" s="3">
        <v>12425</v>
      </c>
      <c r="G57" s="3">
        <v>11221</v>
      </c>
      <c r="H57" s="3">
        <v>14282</v>
      </c>
      <c r="I57" s="3">
        <v>12865</v>
      </c>
      <c r="J57" s="3">
        <v>14282</v>
      </c>
      <c r="K57" s="3">
        <v>11513</v>
      </c>
      <c r="L57" s="3">
        <v>12433</v>
      </c>
      <c r="Q57" s="3">
        <v>12425</v>
      </c>
      <c r="R57" s="3">
        <v>14282</v>
      </c>
      <c r="S57" s="3">
        <v>12433</v>
      </c>
    </row>
    <row r="58" spans="1:19" s="3" customFormat="1" x14ac:dyDescent="0.3">
      <c r="A58"/>
      <c r="B58" t="s">
        <v>5</v>
      </c>
      <c r="F58" s="3">
        <v>46978</v>
      </c>
      <c r="G58" s="3">
        <v>47869</v>
      </c>
      <c r="H58" s="3">
        <v>46282</v>
      </c>
      <c r="I58" s="3">
        <v>46471</v>
      </c>
      <c r="J58" s="3">
        <v>46282</v>
      </c>
      <c r="K58" s="3">
        <v>44911</v>
      </c>
      <c r="L58" s="3">
        <v>44026</v>
      </c>
      <c r="Q58" s="3">
        <v>46978</v>
      </c>
      <c r="R58" s="3">
        <v>46282</v>
      </c>
      <c r="S58" s="3">
        <v>44026</v>
      </c>
    </row>
    <row r="59" spans="1:19" s="3" customFormat="1" x14ac:dyDescent="0.3">
      <c r="A59"/>
      <c r="B59" t="s">
        <v>51</v>
      </c>
      <c r="F59" s="3">
        <v>6576</v>
      </c>
      <c r="G59" s="3">
        <v>6895</v>
      </c>
      <c r="H59" s="3">
        <v>9505</v>
      </c>
      <c r="I59" s="3">
        <v>7048</v>
      </c>
      <c r="J59" s="3">
        <v>9505</v>
      </c>
      <c r="K59" s="3">
        <v>8744</v>
      </c>
      <c r="L59" s="3">
        <v>7777</v>
      </c>
      <c r="Q59" s="3">
        <v>6576</v>
      </c>
      <c r="R59" s="3">
        <v>9505</v>
      </c>
      <c r="S59" s="3">
        <v>7777</v>
      </c>
    </row>
    <row r="60" spans="1:19" s="5" customFormat="1" x14ac:dyDescent="0.3">
      <c r="A60" s="4"/>
      <c r="B60" s="4" t="s">
        <v>52</v>
      </c>
      <c r="F60" s="5">
        <f>SUM(F53:F59)</f>
        <v>81607</v>
      </c>
      <c r="G60" s="5">
        <f t="shared" ref="G60:K60" si="49">SUM(G53:G59)</f>
        <v>81977</v>
      </c>
      <c r="H60" s="5">
        <f t="shared" si="49"/>
        <v>91453</v>
      </c>
      <c r="I60" s="5">
        <f t="shared" si="49"/>
        <v>88678</v>
      </c>
      <c r="J60" s="5">
        <f t="shared" si="49"/>
        <v>91453</v>
      </c>
      <c r="K60" s="5">
        <f t="shared" si="49"/>
        <v>85829</v>
      </c>
      <c r="L60" s="5">
        <f>SUM(L53:L59)</f>
        <v>86769</v>
      </c>
      <c r="Q60" s="5">
        <f>SUM(Q53:Q59)</f>
        <v>81607</v>
      </c>
      <c r="R60" s="5">
        <f t="shared" ref="R60" si="50">SUM(R53:R59)</f>
        <v>91453</v>
      </c>
      <c r="S60" s="5">
        <f>SUM(S53:S59)</f>
        <v>86769</v>
      </c>
    </row>
    <row r="61" spans="1:19" s="3" customFormat="1" x14ac:dyDescent="0.3">
      <c r="A61"/>
      <c r="B61" t="s">
        <v>53</v>
      </c>
      <c r="F61" s="3">
        <v>109965</v>
      </c>
      <c r="G61" s="3">
        <v>110756</v>
      </c>
      <c r="H61" s="3">
        <v>105032</v>
      </c>
      <c r="I61" s="3">
        <v>104864</v>
      </c>
      <c r="J61" s="3">
        <v>105032</v>
      </c>
      <c r="K61" s="3">
        <v>106413</v>
      </c>
      <c r="L61" s="3">
        <v>105751</v>
      </c>
      <c r="Q61" s="3">
        <v>109965</v>
      </c>
      <c r="R61" s="3">
        <v>105032</v>
      </c>
      <c r="S61" s="3">
        <v>105751</v>
      </c>
    </row>
    <row r="62" spans="1:19" s="5" customFormat="1" x14ac:dyDescent="0.3">
      <c r="A62" s="4"/>
      <c r="B62" s="4" t="s">
        <v>54</v>
      </c>
      <c r="F62" s="5">
        <f>F60+F61</f>
        <v>191572</v>
      </c>
      <c r="G62" s="5">
        <f t="shared" ref="C62:K62" si="51">G60+G61</f>
        <v>192733</v>
      </c>
      <c r="H62" s="5">
        <f t="shared" si="51"/>
        <v>196485</v>
      </c>
      <c r="I62" s="5">
        <f t="shared" si="51"/>
        <v>193542</v>
      </c>
      <c r="J62" s="5">
        <f t="shared" si="51"/>
        <v>196485</v>
      </c>
      <c r="K62" s="5">
        <f t="shared" si="51"/>
        <v>192242</v>
      </c>
      <c r="L62" s="5">
        <f>L60+L61</f>
        <v>192520</v>
      </c>
      <c r="Q62" s="5">
        <f>Q60+Q61</f>
        <v>191572</v>
      </c>
      <c r="R62" s="5">
        <f t="shared" ref="R62" si="52">R60+R61</f>
        <v>196485</v>
      </c>
      <c r="S62" s="5">
        <f>S60+S61</f>
        <v>192520</v>
      </c>
    </row>
    <row r="65" spans="1:18" x14ac:dyDescent="0.3">
      <c r="B65" t="s">
        <v>57</v>
      </c>
      <c r="C65" s="3">
        <f t="shared" ref="C65:L65" si="53">C14</f>
        <v>-2768</v>
      </c>
      <c r="D65" s="3">
        <f t="shared" si="53"/>
        <v>1473</v>
      </c>
      <c r="E65" s="3">
        <f t="shared" si="53"/>
        <v>310</v>
      </c>
      <c r="F65" s="3">
        <f t="shared" si="53"/>
        <v>2660</v>
      </c>
      <c r="G65" s="3">
        <f t="shared" si="53"/>
        <v>-437</v>
      </c>
      <c r="H65" s="3">
        <f t="shared" si="53"/>
        <v>-1654</v>
      </c>
      <c r="I65" s="3">
        <f t="shared" si="53"/>
        <v>-16989</v>
      </c>
      <c r="J65" s="3">
        <f t="shared" si="53"/>
        <v>-153</v>
      </c>
      <c r="K65" s="3">
        <f t="shared" si="53"/>
        <v>-887</v>
      </c>
      <c r="L65" s="3">
        <f>L14</f>
        <v>-3024</v>
      </c>
    </row>
    <row r="66" spans="1:18" s="3" customFormat="1" x14ac:dyDescent="0.3">
      <c r="A66"/>
      <c r="B66" t="s">
        <v>56</v>
      </c>
      <c r="C66" s="3">
        <v>11144</v>
      </c>
      <c r="D66" s="3">
        <f>+C97</f>
        <v>8232</v>
      </c>
      <c r="E66" s="3">
        <f>+D97</f>
        <v>8349</v>
      </c>
      <c r="F66" s="3">
        <f t="shared" ref="F66:L66" si="54">+E97</f>
        <v>7621</v>
      </c>
      <c r="G66" s="3">
        <f t="shared" si="54"/>
        <v>7079</v>
      </c>
      <c r="H66" s="3">
        <f t="shared" si="54"/>
        <v>6923</v>
      </c>
      <c r="I66" s="3">
        <f t="shared" si="54"/>
        <v>11287</v>
      </c>
      <c r="J66" s="3">
        <f t="shared" si="54"/>
        <v>8785</v>
      </c>
      <c r="K66" s="3">
        <f t="shared" si="54"/>
        <v>8249</v>
      </c>
      <c r="L66" s="3">
        <f t="shared" si="54"/>
        <v>8947</v>
      </c>
      <c r="Q66" s="3">
        <v>11144</v>
      </c>
      <c r="R66" s="3">
        <v>7079</v>
      </c>
    </row>
    <row r="67" spans="1:18" s="3" customFormat="1" x14ac:dyDescent="0.3">
      <c r="A67"/>
      <c r="B67" t="s">
        <v>58</v>
      </c>
      <c r="C67" s="3">
        <v>-2768</v>
      </c>
      <c r="D67" s="3">
        <v>1473</v>
      </c>
      <c r="E67" s="3">
        <v>310</v>
      </c>
      <c r="F67" s="3">
        <v>2660</v>
      </c>
      <c r="G67" s="3">
        <v>-437</v>
      </c>
      <c r="H67" s="3">
        <v>-1654</v>
      </c>
      <c r="I67" s="3">
        <v>-16989</v>
      </c>
      <c r="J67" s="3">
        <v>-153</v>
      </c>
      <c r="K67" s="3">
        <v>-887</v>
      </c>
      <c r="L67" s="3">
        <v>-3024</v>
      </c>
      <c r="Q67" s="3">
        <v>1675</v>
      </c>
      <c r="R67" s="3">
        <v>-19233</v>
      </c>
    </row>
    <row r="68" spans="1:18" s="3" customFormat="1" x14ac:dyDescent="0.3">
      <c r="A68"/>
      <c r="B68" t="s">
        <v>59</v>
      </c>
      <c r="C68" s="3">
        <v>1901</v>
      </c>
      <c r="D68" s="3">
        <v>1832</v>
      </c>
      <c r="E68" s="3">
        <v>2020</v>
      </c>
      <c r="F68" s="3">
        <v>2094</v>
      </c>
      <c r="G68" s="3">
        <v>2200</v>
      </c>
      <c r="H68" s="3">
        <v>2203</v>
      </c>
      <c r="I68" s="3">
        <v>3248</v>
      </c>
      <c r="J68" s="3">
        <v>2300</v>
      </c>
      <c r="K68" s="3">
        <v>2425</v>
      </c>
      <c r="L68" s="3">
        <v>2788</v>
      </c>
      <c r="Q68" s="3">
        <v>7847</v>
      </c>
      <c r="R68" s="3">
        <v>9951</v>
      </c>
    </row>
    <row r="69" spans="1:18" s="3" customFormat="1" x14ac:dyDescent="0.3">
      <c r="A69"/>
      <c r="B69" t="s">
        <v>60</v>
      </c>
      <c r="C69" s="3">
        <v>739</v>
      </c>
      <c r="D69" s="3">
        <v>922</v>
      </c>
      <c r="E69" s="3">
        <v>772</v>
      </c>
      <c r="F69" s="3">
        <v>796</v>
      </c>
      <c r="G69" s="3">
        <v>1179</v>
      </c>
      <c r="H69" s="3">
        <v>780</v>
      </c>
      <c r="I69" s="3">
        <v>800</v>
      </c>
      <c r="J69" s="3">
        <v>651</v>
      </c>
      <c r="K69" s="3">
        <v>684</v>
      </c>
      <c r="L69" s="3">
        <v>664</v>
      </c>
      <c r="Q69" s="3">
        <v>3229</v>
      </c>
      <c r="R69" s="3">
        <v>3410</v>
      </c>
    </row>
    <row r="70" spans="1:18" s="3" customFormat="1" x14ac:dyDescent="0.3">
      <c r="A70"/>
      <c r="B70" t="s">
        <v>12</v>
      </c>
      <c r="C70" s="3">
        <v>55</v>
      </c>
      <c r="D70" s="3">
        <v>200</v>
      </c>
      <c r="E70" s="3">
        <v>463</v>
      </c>
      <c r="F70" s="3">
        <v>-1142</v>
      </c>
      <c r="H70" s="3">
        <v>219</v>
      </c>
      <c r="I70" s="3">
        <v>3407</v>
      </c>
      <c r="J70" s="3">
        <v>-135</v>
      </c>
      <c r="L70" s="3">
        <v>382</v>
      </c>
      <c r="Q70" s="3">
        <v>-424</v>
      </c>
      <c r="R70" s="3">
        <v>3491</v>
      </c>
    </row>
    <row r="71" spans="1:18" s="3" customFormat="1" x14ac:dyDescent="0.3">
      <c r="A71"/>
      <c r="B71" t="s">
        <v>61</v>
      </c>
      <c r="C71" s="3">
        <v>465</v>
      </c>
      <c r="D71" s="3">
        <v>444</v>
      </c>
      <c r="E71" s="3">
        <v>427</v>
      </c>
      <c r="F71" s="3">
        <v>419</v>
      </c>
      <c r="G71" s="3">
        <v>351</v>
      </c>
      <c r="H71" s="3">
        <v>366</v>
      </c>
      <c r="I71" s="3">
        <v>364</v>
      </c>
      <c r="J71" s="3">
        <v>347</v>
      </c>
      <c r="K71" s="3">
        <v>249</v>
      </c>
      <c r="L71" s="3">
        <v>225</v>
      </c>
      <c r="Q71" s="3">
        <v>1755</v>
      </c>
      <c r="R71" s="3">
        <v>1428</v>
      </c>
    </row>
    <row r="72" spans="1:18" s="3" customFormat="1" x14ac:dyDescent="0.3">
      <c r="A72"/>
      <c r="B72" t="s">
        <v>62</v>
      </c>
      <c r="C72" s="3">
        <v>-167</v>
      </c>
      <c r="D72" s="3">
        <v>21</v>
      </c>
      <c r="E72" s="3">
        <v>193</v>
      </c>
      <c r="F72" s="3">
        <v>-89</v>
      </c>
      <c r="G72" s="3">
        <v>-208</v>
      </c>
      <c r="H72" s="3">
        <v>124</v>
      </c>
      <c r="I72" s="3">
        <v>159</v>
      </c>
      <c r="J72" s="3">
        <v>-321</v>
      </c>
      <c r="K72" s="3">
        <v>112</v>
      </c>
      <c r="L72" s="3">
        <v>-502</v>
      </c>
      <c r="Q72" s="3">
        <v>-42</v>
      </c>
      <c r="R72" s="3">
        <v>-246</v>
      </c>
    </row>
    <row r="73" spans="1:18" s="3" customFormat="1" x14ac:dyDescent="0.3">
      <c r="A73"/>
      <c r="B73" t="s">
        <v>63</v>
      </c>
      <c r="D73" s="3">
        <v>0</v>
      </c>
      <c r="E73" s="3">
        <v>-1376</v>
      </c>
      <c r="F73" s="3">
        <v>-657</v>
      </c>
      <c r="G73" s="3">
        <v>-346</v>
      </c>
      <c r="H73" s="3">
        <v>-993</v>
      </c>
      <c r="I73" s="3">
        <v>7707</v>
      </c>
      <c r="J73" s="3">
        <v>-236</v>
      </c>
      <c r="K73" s="3">
        <v>19</v>
      </c>
      <c r="L73" s="3">
        <v>87</v>
      </c>
      <c r="Q73" s="3">
        <v>-2033</v>
      </c>
      <c r="R73" s="3">
        <v>6132</v>
      </c>
    </row>
    <row r="74" spans="1:18" s="3" customFormat="1" x14ac:dyDescent="0.3">
      <c r="A74"/>
      <c r="B74" t="s">
        <v>64</v>
      </c>
      <c r="D74" s="3">
        <v>0</v>
      </c>
      <c r="E74" s="3">
        <v>-87</v>
      </c>
      <c r="F74" s="3">
        <v>120</v>
      </c>
      <c r="H74" s="3">
        <v>126</v>
      </c>
      <c r="I74" s="3">
        <v>2164</v>
      </c>
      <c r="J74" s="3">
        <v>-38</v>
      </c>
      <c r="L74" s="3">
        <v>482</v>
      </c>
      <c r="Q74" s="3">
        <v>33</v>
      </c>
      <c r="R74" s="3">
        <v>2252</v>
      </c>
    </row>
    <row r="75" spans="1:18" s="3" customFormat="1" x14ac:dyDescent="0.3">
      <c r="A75"/>
      <c r="B75" t="s">
        <v>36</v>
      </c>
      <c r="C75" s="3">
        <v>286</v>
      </c>
      <c r="D75" s="3">
        <v>851</v>
      </c>
      <c r="E75" s="3">
        <v>153</v>
      </c>
      <c r="F75" s="3">
        <v>-559</v>
      </c>
      <c r="G75" s="3">
        <v>80</v>
      </c>
      <c r="H75" s="3">
        <v>192</v>
      </c>
      <c r="I75" s="3">
        <v>10</v>
      </c>
      <c r="J75" s="3">
        <v>-357</v>
      </c>
      <c r="K75" s="3">
        <v>414</v>
      </c>
      <c r="L75" s="3">
        <v>590</v>
      </c>
      <c r="Q75" s="3">
        <v>731</v>
      </c>
      <c r="R75" s="3">
        <v>-75</v>
      </c>
    </row>
    <row r="76" spans="1:18" s="3" customFormat="1" x14ac:dyDescent="0.3">
      <c r="A76"/>
      <c r="B76" t="s">
        <v>65</v>
      </c>
      <c r="C76" s="3">
        <v>231</v>
      </c>
      <c r="D76" s="3">
        <v>1009</v>
      </c>
      <c r="E76" s="3">
        <v>518</v>
      </c>
      <c r="F76" s="3">
        <v>339</v>
      </c>
      <c r="G76" s="3">
        <v>-366</v>
      </c>
      <c r="H76" s="3">
        <v>250</v>
      </c>
      <c r="I76" s="3">
        <v>-853</v>
      </c>
      <c r="J76" s="3">
        <v>-136</v>
      </c>
      <c r="K76" s="3">
        <v>-83</v>
      </c>
      <c r="L76" s="3">
        <v>182</v>
      </c>
      <c r="Q76" s="3">
        <v>2097</v>
      </c>
      <c r="R76" s="3">
        <v>-1105</v>
      </c>
    </row>
    <row r="77" spans="1:18" s="3" customFormat="1" x14ac:dyDescent="0.3">
      <c r="A77"/>
      <c r="B77" t="s">
        <v>46</v>
      </c>
      <c r="C77" s="3">
        <v>-771</v>
      </c>
      <c r="D77" s="3">
        <v>-331</v>
      </c>
      <c r="E77" s="3">
        <v>20</v>
      </c>
      <c r="F77" s="3">
        <v>281</v>
      </c>
      <c r="G77" s="3">
        <v>-386</v>
      </c>
      <c r="H77" s="3">
        <v>567</v>
      </c>
      <c r="I77" s="3">
        <v>385</v>
      </c>
      <c r="J77" s="3">
        <v>68</v>
      </c>
      <c r="K77" s="3">
        <v>-240</v>
      </c>
      <c r="L77" s="3">
        <v>354</v>
      </c>
      <c r="Q77" s="3">
        <v>-801</v>
      </c>
      <c r="R77" s="3">
        <v>634</v>
      </c>
    </row>
    <row r="78" spans="1:18" s="3" customFormat="1" x14ac:dyDescent="0.3">
      <c r="A78"/>
      <c r="B78" t="s">
        <v>47</v>
      </c>
      <c r="C78" s="3">
        <v>-1560</v>
      </c>
      <c r="D78" s="3">
        <v>220</v>
      </c>
      <c r="E78" s="3">
        <v>169</v>
      </c>
      <c r="F78" s="3">
        <v>557</v>
      </c>
      <c r="G78" s="3">
        <v>-1160</v>
      </c>
      <c r="H78" s="3">
        <v>145</v>
      </c>
      <c r="I78" s="3">
        <v>2399</v>
      </c>
      <c r="J78" s="3">
        <v>-1602</v>
      </c>
      <c r="K78" s="3">
        <v>-741</v>
      </c>
      <c r="L78" s="3">
        <v>1763</v>
      </c>
      <c r="Q78" s="3">
        <v>-614</v>
      </c>
      <c r="R78" s="3">
        <v>-218</v>
      </c>
    </row>
    <row r="79" spans="1:18" s="3" customFormat="1" x14ac:dyDescent="0.3">
      <c r="A79"/>
      <c r="B79" t="s">
        <v>49</v>
      </c>
      <c r="C79" s="3">
        <v>1344</v>
      </c>
      <c r="D79" s="3">
        <v>-3530</v>
      </c>
      <c r="E79" s="3">
        <v>886</v>
      </c>
      <c r="F79" s="3">
        <v>-198</v>
      </c>
      <c r="G79" s="3">
        <v>-245</v>
      </c>
      <c r="H79" s="3">
        <v>-590</v>
      </c>
      <c r="I79" s="3">
        <v>-95</v>
      </c>
      <c r="J79" s="3">
        <v>574</v>
      </c>
      <c r="K79" s="3">
        <v>67</v>
      </c>
      <c r="L79" s="3">
        <v>-1405</v>
      </c>
      <c r="Q79" s="3">
        <v>-1498</v>
      </c>
      <c r="R79" s="3">
        <v>-356</v>
      </c>
    </row>
    <row r="80" spans="1:18" s="3" customFormat="1" x14ac:dyDescent="0.3">
      <c r="A80"/>
      <c r="B80" t="s">
        <v>66</v>
      </c>
      <c r="C80" s="3">
        <v>-1540</v>
      </c>
      <c r="D80" s="3">
        <v>-303</v>
      </c>
      <c r="E80" s="3">
        <v>1356</v>
      </c>
      <c r="F80" s="3">
        <v>3</v>
      </c>
      <c r="G80" s="3">
        <v>-1885</v>
      </c>
      <c r="H80" s="3">
        <v>557</v>
      </c>
      <c r="I80" s="3">
        <v>1348</v>
      </c>
      <c r="J80" s="3">
        <v>2203</v>
      </c>
      <c r="K80" s="3">
        <v>-1206</v>
      </c>
      <c r="L80" s="3">
        <v>-536</v>
      </c>
      <c r="Q80" s="3">
        <v>-484</v>
      </c>
      <c r="R80" s="3">
        <v>2223</v>
      </c>
    </row>
    <row r="81" spans="1:18" s="5" customFormat="1" x14ac:dyDescent="0.3">
      <c r="A81" s="4"/>
      <c r="B81" s="4" t="s">
        <v>67</v>
      </c>
      <c r="C81" s="5">
        <f>SUM(C67:C80)</f>
        <v>-1785</v>
      </c>
      <c r="D81" s="5">
        <f t="shared" ref="C81:N81" si="55">SUM(D67:D80)</f>
        <v>2808</v>
      </c>
      <c r="E81" s="5">
        <f t="shared" si="55"/>
        <v>5824</v>
      </c>
      <c r="F81" s="5">
        <f t="shared" si="55"/>
        <v>4624</v>
      </c>
      <c r="G81" s="5">
        <f t="shared" si="55"/>
        <v>-1223</v>
      </c>
      <c r="H81" s="5">
        <f t="shared" si="55"/>
        <v>2292</v>
      </c>
      <c r="I81" s="5">
        <f t="shared" si="55"/>
        <v>4054</v>
      </c>
      <c r="J81" s="5">
        <f t="shared" si="55"/>
        <v>3165</v>
      </c>
      <c r="K81" s="5">
        <f>SUM(K67:K80)</f>
        <v>813</v>
      </c>
      <c r="L81" s="5">
        <f t="shared" si="55"/>
        <v>2050</v>
      </c>
      <c r="M81" s="3"/>
      <c r="N81" s="3"/>
      <c r="O81" s="3"/>
      <c r="P81" s="3"/>
      <c r="Q81" s="5">
        <f t="shared" ref="Q81" si="56">SUM(Q67:Q80)</f>
        <v>11471</v>
      </c>
      <c r="R81" s="5">
        <f t="shared" ref="R81" si="57">SUM(R67:R80)</f>
        <v>8288</v>
      </c>
    </row>
    <row r="82" spans="1:18" s="3" customFormat="1" x14ac:dyDescent="0.3">
      <c r="A82"/>
      <c r="B82" t="s">
        <v>68</v>
      </c>
      <c r="C82" s="3">
        <v>-7413</v>
      </c>
      <c r="D82" s="3">
        <v>-5888</v>
      </c>
      <c r="E82" s="3">
        <v>-5753</v>
      </c>
      <c r="F82" s="3">
        <v>-6696</v>
      </c>
      <c r="G82" s="3">
        <v>-5970</v>
      </c>
      <c r="H82" s="3">
        <v>-5682</v>
      </c>
      <c r="I82" s="3">
        <v>-6458</v>
      </c>
      <c r="J82" s="3">
        <v>-5834</v>
      </c>
      <c r="K82" s="3">
        <v>-5183</v>
      </c>
      <c r="L82" s="3">
        <v>-3550</v>
      </c>
      <c r="Q82" s="3">
        <v>-25750</v>
      </c>
      <c r="R82" s="3">
        <v>-23944</v>
      </c>
    </row>
    <row r="83" spans="1:18" s="3" customFormat="1" x14ac:dyDescent="0.3">
      <c r="A83"/>
      <c r="B83" t="s">
        <v>69</v>
      </c>
      <c r="D83" s="3">
        <v>49</v>
      </c>
      <c r="E83" s="3">
        <v>600</v>
      </c>
      <c r="F83" s="3">
        <v>362</v>
      </c>
      <c r="G83" s="3">
        <v>592</v>
      </c>
      <c r="H83" s="3">
        <v>107</v>
      </c>
      <c r="I83" s="3">
        <v>26</v>
      </c>
      <c r="J83" s="3">
        <v>1211</v>
      </c>
      <c r="K83" s="3">
        <f>803-3386</f>
        <v>-2583</v>
      </c>
      <c r="L83" s="3">
        <v>3547</v>
      </c>
      <c r="Q83" s="3">
        <v>1011</v>
      </c>
      <c r="R83" s="3">
        <v>1936</v>
      </c>
    </row>
    <row r="84" spans="1:18" s="3" customFormat="1" x14ac:dyDescent="0.3">
      <c r="A84"/>
      <c r="B84" t="s">
        <v>70</v>
      </c>
      <c r="C84" s="3">
        <f>-16132+14173</f>
        <v>-1959</v>
      </c>
      <c r="D84" s="3">
        <v>3220</v>
      </c>
      <c r="E84" s="3">
        <v>-1823</v>
      </c>
      <c r="F84" s="3">
        <v>212</v>
      </c>
      <c r="G84" s="3">
        <f>-6460+9598</f>
        <v>3138</v>
      </c>
      <c r="H84" s="3">
        <v>-3558</v>
      </c>
      <c r="I84" s="3">
        <v>3169</v>
      </c>
      <c r="J84" s="3">
        <v>692</v>
      </c>
      <c r="K84" s="3">
        <v>5327</v>
      </c>
      <c r="L84" s="3">
        <v>-2482</v>
      </c>
      <c r="Q84" s="3">
        <f>-13-44414+44077</f>
        <v>-350</v>
      </c>
      <c r="R84" s="3">
        <f>-82-37940+41463</f>
        <v>3441</v>
      </c>
    </row>
    <row r="85" spans="1:18" s="3" customFormat="1" x14ac:dyDescent="0.3">
      <c r="A85"/>
      <c r="B85" t="s">
        <v>71</v>
      </c>
      <c r="D85" s="3">
        <v>0</v>
      </c>
      <c r="E85" s="3">
        <v>0</v>
      </c>
      <c r="F85" s="3">
        <v>472</v>
      </c>
      <c r="H85" s="3">
        <v>0</v>
      </c>
      <c r="I85" s="3">
        <v>0</v>
      </c>
      <c r="J85" s="3">
        <v>1047</v>
      </c>
      <c r="K85" s="3">
        <v>1935</v>
      </c>
      <c r="L85" s="3">
        <v>0</v>
      </c>
      <c r="Q85" s="3">
        <v>472</v>
      </c>
      <c r="R85" s="3">
        <v>1047</v>
      </c>
    </row>
    <row r="86" spans="1:18" s="3" customFormat="1" x14ac:dyDescent="0.3">
      <c r="A86"/>
      <c r="B86" t="s">
        <v>72</v>
      </c>
      <c r="C86" s="3">
        <v>851</v>
      </c>
      <c r="D86" s="3">
        <v>-189</v>
      </c>
      <c r="E86" s="3">
        <v>-418</v>
      </c>
      <c r="F86" s="3">
        <v>332</v>
      </c>
      <c r="G86" s="3">
        <v>-323</v>
      </c>
      <c r="H86" s="3">
        <v>-32</v>
      </c>
      <c r="I86" s="3">
        <v>499</v>
      </c>
      <c r="J86" s="3">
        <v>-880</v>
      </c>
      <c r="K86" s="3">
        <v>585</v>
      </c>
      <c r="L86" s="3">
        <v>399</v>
      </c>
      <c r="Q86" s="3">
        <v>576</v>
      </c>
      <c r="R86" s="3">
        <v>-736</v>
      </c>
    </row>
    <row r="87" spans="1:18" s="5" customFormat="1" x14ac:dyDescent="0.3">
      <c r="A87" s="4"/>
      <c r="B87" s="4" t="s">
        <v>73</v>
      </c>
      <c r="C87" s="5">
        <f t="shared" ref="C87:N87" si="58">SUM(C82:C86)</f>
        <v>-8521</v>
      </c>
      <c r="D87" s="5">
        <f t="shared" si="58"/>
        <v>-2808</v>
      </c>
      <c r="E87" s="5">
        <f t="shared" si="58"/>
        <v>-7394</v>
      </c>
      <c r="F87" s="5">
        <f t="shared" si="58"/>
        <v>-5318</v>
      </c>
      <c r="G87" s="5">
        <f t="shared" si="58"/>
        <v>-2563</v>
      </c>
      <c r="H87" s="5">
        <f t="shared" si="58"/>
        <v>-9165</v>
      </c>
      <c r="I87" s="5">
        <f t="shared" si="58"/>
        <v>-2764</v>
      </c>
      <c r="J87" s="5">
        <f t="shared" si="58"/>
        <v>-3764</v>
      </c>
      <c r="K87" s="5">
        <f t="shared" si="58"/>
        <v>81</v>
      </c>
      <c r="L87" s="5">
        <f t="shared" si="58"/>
        <v>-2086</v>
      </c>
      <c r="M87" s="3"/>
      <c r="N87" s="3"/>
      <c r="O87" s="3"/>
      <c r="P87" s="3"/>
      <c r="Q87" s="5">
        <f t="shared" ref="Q87" si="59">SUM(Q82:Q86)</f>
        <v>-24041</v>
      </c>
      <c r="R87" s="5">
        <f t="shared" ref="R87" si="60">SUM(R82:R86)</f>
        <v>-18256</v>
      </c>
    </row>
    <row r="88" spans="1:18" s="3" customFormat="1" x14ac:dyDescent="0.3">
      <c r="A88"/>
      <c r="B88" t="s">
        <v>74</v>
      </c>
      <c r="C88" s="3">
        <v>-2930</v>
      </c>
      <c r="D88" s="3">
        <v>-1110</v>
      </c>
      <c r="E88" s="3">
        <v>0</v>
      </c>
      <c r="F88" s="3">
        <v>96</v>
      </c>
      <c r="G88" s="3">
        <v>793</v>
      </c>
      <c r="H88" s="3">
        <v>2402</v>
      </c>
      <c r="I88" s="3">
        <v>-3195</v>
      </c>
      <c r="J88" s="3">
        <v>0</v>
      </c>
      <c r="K88" s="3">
        <v>1496</v>
      </c>
      <c r="L88" s="3">
        <v>501</v>
      </c>
      <c r="Q88" s="3">
        <v>-3944</v>
      </c>
      <c r="R88" s="3">
        <f>7349-7349</f>
        <v>0</v>
      </c>
    </row>
    <row r="89" spans="1:18" s="3" customFormat="1" x14ac:dyDescent="0.3">
      <c r="A89"/>
      <c r="B89" t="s">
        <v>75</v>
      </c>
      <c r="C89" s="3">
        <v>-15</v>
      </c>
      <c r="D89" s="3">
        <v>849</v>
      </c>
      <c r="E89" s="3">
        <v>272</v>
      </c>
      <c r="F89" s="3">
        <v>3364</v>
      </c>
      <c r="G89" s="3">
        <v>423</v>
      </c>
      <c r="H89" s="3">
        <v>11438</v>
      </c>
      <c r="I89" s="3">
        <v>417</v>
      </c>
      <c r="J89" s="3">
        <v>436</v>
      </c>
      <c r="K89" s="3">
        <v>955</v>
      </c>
      <c r="L89" s="3">
        <v>1283</v>
      </c>
      <c r="Q89" s="3">
        <f>1511+2959</f>
        <v>4470</v>
      </c>
      <c r="R89" s="3">
        <v>12714</v>
      </c>
    </row>
    <row r="90" spans="1:18" s="3" customFormat="1" x14ac:dyDescent="0.3">
      <c r="A90"/>
      <c r="B90" t="s">
        <v>76</v>
      </c>
      <c r="C90" s="3">
        <v>449</v>
      </c>
      <c r="D90" s="3">
        <v>1124</v>
      </c>
      <c r="E90" s="3">
        <v>850</v>
      </c>
      <c r="F90" s="3">
        <v>-2423</v>
      </c>
      <c r="H90" s="3">
        <v>0</v>
      </c>
      <c r="I90" s="3">
        <v>0</v>
      </c>
      <c r="J90" s="3">
        <v>-1178</v>
      </c>
      <c r="K90" s="3">
        <v>-1020</v>
      </c>
      <c r="L90" s="3">
        <v>-942</v>
      </c>
      <c r="R90" s="3">
        <v>-1178</v>
      </c>
    </row>
    <row r="91" spans="1:18" s="3" customFormat="1" x14ac:dyDescent="0.3">
      <c r="A91"/>
      <c r="B91" t="s">
        <v>5</v>
      </c>
      <c r="C91" s="3">
        <v>10968</v>
      </c>
      <c r="D91" s="3">
        <v>0</v>
      </c>
      <c r="E91" s="3">
        <v>0</v>
      </c>
      <c r="F91" s="3">
        <v>0</v>
      </c>
      <c r="G91" s="3">
        <v>2537</v>
      </c>
      <c r="H91" s="3">
        <v>-1850</v>
      </c>
      <c r="I91" s="3">
        <v>0</v>
      </c>
      <c r="J91" s="3">
        <v>0</v>
      </c>
      <c r="K91" s="3">
        <v>-1500</v>
      </c>
      <c r="L91" s="3">
        <v>0</v>
      </c>
      <c r="Q91" s="3">
        <f>11391-423</f>
        <v>10968</v>
      </c>
      <c r="R91" s="3">
        <f>2975-2288</f>
        <v>687</v>
      </c>
    </row>
    <row r="92" spans="1:18" s="3" customFormat="1" x14ac:dyDescent="0.3">
      <c r="A92"/>
      <c r="B92" t="s">
        <v>77</v>
      </c>
      <c r="C92" s="3">
        <v>659</v>
      </c>
      <c r="D92" s="3">
        <v>6</v>
      </c>
      <c r="E92" s="3">
        <v>372</v>
      </c>
      <c r="F92" s="3">
        <v>-529</v>
      </c>
      <c r="G92" s="3">
        <v>626</v>
      </c>
      <c r="H92" s="3">
        <v>5</v>
      </c>
      <c r="I92" s="3">
        <v>355</v>
      </c>
      <c r="J92" s="3">
        <v>-630</v>
      </c>
      <c r="K92" s="3">
        <v>491</v>
      </c>
      <c r="L92" s="3">
        <v>0</v>
      </c>
      <c r="Q92" s="3">
        <f>1042-534</f>
        <v>508</v>
      </c>
      <c r="R92" s="3">
        <f>987-631</f>
        <v>356</v>
      </c>
    </row>
    <row r="93" spans="1:18" s="3" customFormat="1" x14ac:dyDescent="0.3">
      <c r="A93"/>
      <c r="B93" t="s">
        <v>78</v>
      </c>
      <c r="C93" s="3">
        <v>-1512</v>
      </c>
      <c r="D93" s="3">
        <v>-524</v>
      </c>
      <c r="E93" s="3">
        <v>-525</v>
      </c>
      <c r="F93" s="3">
        <v>-527</v>
      </c>
      <c r="G93" s="3">
        <v>-529</v>
      </c>
      <c r="H93" s="3">
        <v>-534</v>
      </c>
      <c r="I93" s="3">
        <v>-536</v>
      </c>
      <c r="J93" s="3">
        <v>0</v>
      </c>
      <c r="L93" s="3">
        <v>0</v>
      </c>
      <c r="Q93" s="3">
        <v>-3088</v>
      </c>
      <c r="R93" s="3">
        <v>-1599</v>
      </c>
    </row>
    <row r="94" spans="1:18" s="3" customFormat="1" x14ac:dyDescent="0.3">
      <c r="A94"/>
      <c r="B94" t="s">
        <v>79</v>
      </c>
      <c r="C94" s="3">
        <v>-225</v>
      </c>
      <c r="D94" s="3">
        <v>-228</v>
      </c>
      <c r="E94" s="3">
        <v>-127</v>
      </c>
      <c r="F94" s="3">
        <v>171</v>
      </c>
      <c r="G94" s="3">
        <v>-220</v>
      </c>
      <c r="H94" s="3">
        <v>-224</v>
      </c>
      <c r="I94" s="3">
        <v>-833</v>
      </c>
      <c r="J94" s="3">
        <v>1435</v>
      </c>
      <c r="K94" s="3">
        <v>-618</v>
      </c>
      <c r="L94" s="3">
        <v>-60</v>
      </c>
      <c r="Q94" s="3">
        <v>-409</v>
      </c>
      <c r="R94" s="3">
        <v>158</v>
      </c>
    </row>
    <row r="95" spans="1:18" s="5" customFormat="1" x14ac:dyDescent="0.3">
      <c r="A95" s="4"/>
      <c r="B95" s="4" t="s">
        <v>80</v>
      </c>
      <c r="C95" s="5">
        <f t="shared" ref="C95:N95" si="61">SUM(C88:C94)</f>
        <v>7394</v>
      </c>
      <c r="D95" s="5">
        <f t="shared" si="61"/>
        <v>117</v>
      </c>
      <c r="E95" s="5">
        <f t="shared" si="61"/>
        <v>842</v>
      </c>
      <c r="F95" s="5">
        <f t="shared" si="61"/>
        <v>152</v>
      </c>
      <c r="G95" s="5">
        <f t="shared" si="61"/>
        <v>3630</v>
      </c>
      <c r="H95" s="5">
        <f t="shared" si="61"/>
        <v>11237</v>
      </c>
      <c r="I95" s="5">
        <f t="shared" si="61"/>
        <v>-3792</v>
      </c>
      <c r="J95" s="5">
        <f t="shared" si="61"/>
        <v>63</v>
      </c>
      <c r="K95" s="5">
        <f t="shared" si="61"/>
        <v>-196</v>
      </c>
      <c r="L95" s="5">
        <f t="shared" si="61"/>
        <v>782</v>
      </c>
      <c r="M95" s="3"/>
      <c r="N95" s="3"/>
      <c r="O95" s="3"/>
      <c r="P95" s="3"/>
      <c r="Q95" s="5">
        <f>SUM(Q88:Q94)</f>
        <v>8505</v>
      </c>
      <c r="R95" s="5">
        <f>SUM(R88:R94)</f>
        <v>11138</v>
      </c>
    </row>
    <row r="96" spans="1:18" s="5" customFormat="1" x14ac:dyDescent="0.3">
      <c r="A96" s="4"/>
      <c r="B96" s="4" t="s">
        <v>81</v>
      </c>
      <c r="C96" s="5">
        <f t="shared" ref="C96:N96" si="62">SUM(C81+C87+C95)</f>
        <v>-2912</v>
      </c>
      <c r="D96" s="5">
        <f t="shared" si="62"/>
        <v>117</v>
      </c>
      <c r="E96" s="5">
        <f t="shared" si="62"/>
        <v>-728</v>
      </c>
      <c r="F96" s="5">
        <f t="shared" si="62"/>
        <v>-542</v>
      </c>
      <c r="G96" s="5">
        <f t="shared" si="62"/>
        <v>-156</v>
      </c>
      <c r="H96" s="5">
        <f t="shared" si="62"/>
        <v>4364</v>
      </c>
      <c r="I96" s="5">
        <f t="shared" si="62"/>
        <v>-2502</v>
      </c>
      <c r="J96" s="5">
        <f t="shared" si="62"/>
        <v>-536</v>
      </c>
      <c r="K96" s="5">
        <f t="shared" si="62"/>
        <v>698</v>
      </c>
      <c r="L96" s="5">
        <f t="shared" si="62"/>
        <v>746</v>
      </c>
      <c r="M96" s="3"/>
      <c r="N96" s="3"/>
      <c r="O96" s="3"/>
      <c r="P96" s="3"/>
      <c r="Q96" s="5">
        <f>SUM(Q81+Q87+Q95)</f>
        <v>-4065</v>
      </c>
      <c r="R96" s="5">
        <f>SUM(R81+R87+R95)</f>
        <v>1170</v>
      </c>
    </row>
    <row r="97" spans="1:18" s="3" customFormat="1" x14ac:dyDescent="0.3">
      <c r="A97"/>
      <c r="B97" t="s">
        <v>82</v>
      </c>
      <c r="C97" s="3">
        <f t="shared" ref="C97:K97" si="63">C66+C96</f>
        <v>8232</v>
      </c>
      <c r="D97" s="3">
        <f>D66+D96</f>
        <v>8349</v>
      </c>
      <c r="E97" s="3">
        <f t="shared" si="63"/>
        <v>7621</v>
      </c>
      <c r="F97" s="3">
        <f t="shared" si="63"/>
        <v>7079</v>
      </c>
      <c r="G97" s="3">
        <f t="shared" si="63"/>
        <v>6923</v>
      </c>
      <c r="H97" s="3">
        <f t="shared" si="63"/>
        <v>11287</v>
      </c>
      <c r="I97" s="3">
        <f t="shared" si="63"/>
        <v>8785</v>
      </c>
      <c r="J97" s="3">
        <f t="shared" si="63"/>
        <v>8249</v>
      </c>
      <c r="K97" s="3">
        <f t="shared" si="63"/>
        <v>8947</v>
      </c>
      <c r="L97" s="3">
        <f>L66+L96</f>
        <v>9693</v>
      </c>
      <c r="Q97" s="3">
        <f>Q66+Q96</f>
        <v>7079</v>
      </c>
      <c r="R97" s="3">
        <f>R66+R96</f>
        <v>8249</v>
      </c>
    </row>
    <row r="98" spans="1:18" s="3" customFormat="1" x14ac:dyDescent="0.3">
      <c r="A98"/>
      <c r="B98"/>
    </row>
    <row r="99" spans="1:18" s="5" customFormat="1" x14ac:dyDescent="0.3">
      <c r="A99" s="4"/>
      <c r="B99" s="4" t="s">
        <v>83</v>
      </c>
    </row>
    <row r="100" spans="1:18" x14ac:dyDescent="0.3">
      <c r="B100" t="s">
        <v>84</v>
      </c>
    </row>
    <row r="106" spans="1:18" s="3" customFormat="1" x14ac:dyDescent="0.3">
      <c r="A106"/>
      <c r="B106" t="s">
        <v>96</v>
      </c>
      <c r="G106" s="3">
        <v>8273</v>
      </c>
      <c r="H106" s="3">
        <v>8143</v>
      </c>
      <c r="I106" s="3">
        <v>7300</v>
      </c>
      <c r="K106" s="3">
        <v>7629</v>
      </c>
      <c r="L106" s="3">
        <v>7871</v>
      </c>
    </row>
    <row r="107" spans="1:18" s="3" customFormat="1" x14ac:dyDescent="0.3">
      <c r="A107"/>
      <c r="B107" t="s">
        <v>97</v>
      </c>
      <c r="G107" s="3">
        <v>3828</v>
      </c>
      <c r="H107" s="3">
        <v>3805</v>
      </c>
      <c r="I107" s="3">
        <f>3300+1500</f>
        <v>4800</v>
      </c>
      <c r="K107" s="3">
        <v>4126</v>
      </c>
      <c r="L107" s="3">
        <v>3939</v>
      </c>
    </row>
    <row r="108" spans="1:18" s="3" customFormat="1" x14ac:dyDescent="0.3">
      <c r="A108"/>
      <c r="B108" t="s">
        <v>88</v>
      </c>
      <c r="G108" s="3">
        <v>4356</v>
      </c>
      <c r="H108" s="3">
        <v>4282</v>
      </c>
      <c r="I108" s="3">
        <v>4400</v>
      </c>
      <c r="K108" s="3">
        <v>4667</v>
      </c>
      <c r="L108" s="3">
        <v>4417</v>
      </c>
    </row>
    <row r="109" spans="1:18" s="3" customFormat="1" x14ac:dyDescent="0.3">
      <c r="A109"/>
      <c r="B109" t="s">
        <v>98</v>
      </c>
      <c r="G109" s="3">
        <v>643</v>
      </c>
      <c r="H109" s="3">
        <v>881</v>
      </c>
      <c r="I109" s="3">
        <v>1039</v>
      </c>
      <c r="K109" s="3">
        <v>943</v>
      </c>
      <c r="L109" s="3">
        <v>1053</v>
      </c>
    </row>
    <row r="110" spans="1:18" s="3" customFormat="1" x14ac:dyDescent="0.3">
      <c r="A110"/>
      <c r="B110" t="s">
        <v>99</v>
      </c>
    </row>
    <row r="111" spans="1:18" s="3" customFormat="1" x14ac:dyDescent="0.3">
      <c r="A111"/>
      <c r="B111" t="s">
        <v>100</v>
      </c>
      <c r="G111" s="3">
        <v>-4376</v>
      </c>
      <c r="H111" s="3">
        <v>-4278</v>
      </c>
      <c r="I111" s="3">
        <v>-4300</v>
      </c>
      <c r="K111" s="3">
        <v>-4698</v>
      </c>
      <c r="L111" s="3">
        <v>-4421</v>
      </c>
    </row>
    <row r="112" spans="1:18" s="5" customFormat="1" x14ac:dyDescent="0.3">
      <c r="A112" s="4"/>
      <c r="B112" s="4" t="s">
        <v>101</v>
      </c>
      <c r="C112" s="5">
        <f t="shared" ref="C112:K112" si="64">SUM(C106:C111)</f>
        <v>0</v>
      </c>
      <c r="D112" s="5">
        <f t="shared" si="64"/>
        <v>0</v>
      </c>
      <c r="E112" s="5">
        <f t="shared" si="64"/>
        <v>0</v>
      </c>
      <c r="F112" s="5">
        <f t="shared" si="64"/>
        <v>0</v>
      </c>
      <c r="G112" s="5">
        <f t="shared" si="64"/>
        <v>12724</v>
      </c>
      <c r="H112" s="5">
        <f t="shared" si="64"/>
        <v>12833</v>
      </c>
      <c r="I112" s="5">
        <f t="shared" si="64"/>
        <v>13239</v>
      </c>
      <c r="J112" s="5">
        <f t="shared" si="64"/>
        <v>0</v>
      </c>
      <c r="K112" s="5">
        <f t="shared" si="64"/>
        <v>12667</v>
      </c>
      <c r="L112" s="5">
        <f>SUM(L106:L111)</f>
        <v>12859</v>
      </c>
    </row>
    <row r="113" spans="1:12" s="3" customFormat="1" x14ac:dyDescent="0.3">
      <c r="A113"/>
      <c r="B113" t="s">
        <v>96</v>
      </c>
      <c r="G113" s="3">
        <f>4004+1447</f>
        <v>5451</v>
      </c>
      <c r="H113" s="3">
        <v>5502</v>
      </c>
      <c r="K113" s="3">
        <f>3984+1284</f>
        <v>5268</v>
      </c>
      <c r="L113" s="3">
        <v>5818</v>
      </c>
    </row>
    <row r="114" spans="1:12" s="3" customFormat="1" x14ac:dyDescent="0.3">
      <c r="A114"/>
      <c r="B114" t="s">
        <v>97</v>
      </c>
      <c r="G114" s="3">
        <f>1745+1666</f>
        <v>3411</v>
      </c>
      <c r="H114" s="3">
        <v>3563</v>
      </c>
      <c r="K114" s="3">
        <f>2359+1192</f>
        <v>3551</v>
      </c>
      <c r="L114" s="3">
        <v>3306</v>
      </c>
    </row>
    <row r="115" spans="1:12" s="3" customFormat="1" x14ac:dyDescent="0.3">
      <c r="A115"/>
      <c r="B115" t="s">
        <v>88</v>
      </c>
      <c r="G115" s="3">
        <f>5617+1180</f>
        <v>6797</v>
      </c>
      <c r="H115" s="3">
        <v>7084</v>
      </c>
      <c r="K115" s="3">
        <f>5946+1041</f>
        <v>6987</v>
      </c>
      <c r="L115" s="3">
        <v>7585</v>
      </c>
    </row>
    <row r="116" spans="1:12" s="3" customFormat="1" x14ac:dyDescent="0.3">
      <c r="A116"/>
      <c r="B116" t="s">
        <v>98</v>
      </c>
      <c r="G116" s="3">
        <f>341+472</f>
        <v>813</v>
      </c>
      <c r="H116" s="3">
        <v>927</v>
      </c>
      <c r="K116" s="3">
        <f>396+444</f>
        <v>840</v>
      </c>
      <c r="L116" s="3">
        <v>984</v>
      </c>
    </row>
    <row r="117" spans="1:12" s="3" customFormat="1" x14ac:dyDescent="0.3">
      <c r="A117"/>
      <c r="B117" t="s">
        <v>99</v>
      </c>
      <c r="G117" s="3">
        <f>701+1486</f>
        <v>2187</v>
      </c>
      <c r="H117" s="3">
        <v>1708</v>
      </c>
      <c r="K117" s="3">
        <f>377+883</f>
        <v>1260</v>
      </c>
      <c r="L117" s="3">
        <v>2755</v>
      </c>
    </row>
    <row r="118" spans="1:12" s="3" customFormat="1" x14ac:dyDescent="0.3">
      <c r="A118"/>
      <c r="B118" t="s">
        <v>100</v>
      </c>
      <c r="G118" s="3">
        <f>-4901+35</f>
        <v>-4866</v>
      </c>
      <c r="H118" s="3">
        <v>-3987</v>
      </c>
      <c r="K118" s="3">
        <f>-5067+129</f>
        <v>-4938</v>
      </c>
      <c r="L118" s="3">
        <v>-4413</v>
      </c>
    </row>
    <row r="119" spans="1:12" s="5" customFormat="1" x14ac:dyDescent="0.3">
      <c r="A119" s="4"/>
      <c r="B119" s="4" t="s">
        <v>107</v>
      </c>
      <c r="C119" s="5">
        <f t="shared" ref="C119:K119" si="65">SUM(C113:C118)</f>
        <v>0</v>
      </c>
      <c r="D119" s="5">
        <f t="shared" si="65"/>
        <v>0</v>
      </c>
      <c r="E119" s="5">
        <f t="shared" si="65"/>
        <v>0</v>
      </c>
      <c r="F119" s="5">
        <f t="shared" si="65"/>
        <v>0</v>
      </c>
      <c r="G119" s="5">
        <f t="shared" si="65"/>
        <v>13793</v>
      </c>
      <c r="H119" s="5">
        <f t="shared" si="65"/>
        <v>14797</v>
      </c>
      <c r="I119" s="5">
        <f t="shared" si="65"/>
        <v>0</v>
      </c>
      <c r="J119" s="5">
        <f t="shared" si="65"/>
        <v>0</v>
      </c>
      <c r="K119" s="5">
        <f t="shared" si="65"/>
        <v>12968</v>
      </c>
      <c r="L119" s="5">
        <f>SUM(L113:L118)</f>
        <v>16035</v>
      </c>
    </row>
    <row r="120" spans="1:12" s="5" customFormat="1" x14ac:dyDescent="0.3">
      <c r="A120" s="4"/>
      <c r="B120" s="4" t="s">
        <v>14</v>
      </c>
      <c r="C120" s="5">
        <f t="shared" ref="C120:K120" si="66">C112-C119</f>
        <v>0</v>
      </c>
      <c r="D120" s="5">
        <f t="shared" si="66"/>
        <v>0</v>
      </c>
      <c r="E120" s="5">
        <f t="shared" si="66"/>
        <v>0</v>
      </c>
      <c r="F120" s="5">
        <f t="shared" si="66"/>
        <v>0</v>
      </c>
      <c r="G120" s="5">
        <f t="shared" si="66"/>
        <v>-1069</v>
      </c>
      <c r="H120" s="5">
        <f t="shared" si="66"/>
        <v>-1964</v>
      </c>
      <c r="I120" s="5">
        <f t="shared" si="66"/>
        <v>13239</v>
      </c>
      <c r="J120" s="5">
        <f t="shared" si="66"/>
        <v>0</v>
      </c>
      <c r="K120" s="5">
        <f t="shared" si="66"/>
        <v>-301</v>
      </c>
      <c r="L120" s="5">
        <f>L112-L119</f>
        <v>-3176</v>
      </c>
    </row>
    <row r="123" spans="1:12" x14ac:dyDescent="0.3">
      <c r="B123" t="s">
        <v>102</v>
      </c>
    </row>
    <row r="124" spans="1:12" x14ac:dyDescent="0.3">
      <c r="B124" t="s">
        <v>103</v>
      </c>
      <c r="H124" s="8">
        <v>0.49</v>
      </c>
      <c r="L124" s="8">
        <v>0.49</v>
      </c>
    </row>
    <row r="125" spans="1:12" x14ac:dyDescent="0.3">
      <c r="B125" t="s">
        <v>104</v>
      </c>
      <c r="H125" s="8">
        <v>0.49</v>
      </c>
      <c r="L125" s="8">
        <v>0.49</v>
      </c>
    </row>
    <row r="126" spans="1:12" x14ac:dyDescent="0.3">
      <c r="B126" t="s">
        <v>32</v>
      </c>
      <c r="H126" s="8">
        <v>0.13</v>
      </c>
      <c r="L126" s="8">
        <v>0.12</v>
      </c>
    </row>
    <row r="127" spans="1:12" x14ac:dyDescent="0.3">
      <c r="B127" t="s">
        <v>105</v>
      </c>
      <c r="H127" s="8">
        <v>0.32</v>
      </c>
      <c r="L127" s="8">
        <v>0.32</v>
      </c>
    </row>
  </sheetData>
  <phoneticPr fontId="3" type="noConversion"/>
  <hyperlinks>
    <hyperlink ref="A1" r:id="rId1" xr:uid="{96DD575A-E013-4F8A-A629-8E0E306CEB57}"/>
  </hyperlinks>
  <pageMargins left="0.7" right="0.7" top="0.75" bottom="0.75" header="0.3" footer="0.3"/>
  <ignoredErrors>
    <ignoredError sqref="A81:L81 S81:XFD81 Q81:R81" formulaRange="1"/>
    <ignoredError sqref="I41 Q12:R12 Q5:R5"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Gega Mukhigulashvili</dc:creator>
  <cp:lastModifiedBy>Gega Mukhigulashvili</cp:lastModifiedBy>
  <dcterms:created xsi:type="dcterms:W3CDTF">2015-06-05T18:17:20Z</dcterms:created>
  <dcterms:modified xsi:type="dcterms:W3CDTF">2025-07-27T17:24:04Z</dcterms:modified>
</cp:coreProperties>
</file>