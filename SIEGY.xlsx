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FD9A21DA-DAC5-4725-848A-5B02954BB2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in" sheetId="1" r:id="rId1"/>
    <sheet name="Model" sheetId="2" r:id="rId2"/>
    <sheet name="Valuation" sheetId="3" r:id="rId3"/>
    <sheet name="Norge Ownershi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4" l="1"/>
  <c r="I10" i="4"/>
  <c r="I18" i="4"/>
  <c r="I17" i="4"/>
  <c r="I16" i="4"/>
  <c r="I15" i="4"/>
  <c r="I14" i="4"/>
  <c r="I13" i="4"/>
  <c r="I12" i="4"/>
  <c r="I11" i="4"/>
  <c r="I9" i="4"/>
  <c r="I8" i="4"/>
  <c r="I7" i="4"/>
  <c r="I5" i="4"/>
  <c r="I4" i="4"/>
  <c r="I3" i="4"/>
  <c r="AL51" i="3"/>
  <c r="AK51" i="3"/>
  <c r="AJ51" i="3"/>
  <c r="AI52" i="3"/>
  <c r="AH52" i="3"/>
  <c r="AB52" i="3"/>
  <c r="AA52" i="3"/>
  <c r="Q52" i="3"/>
  <c r="P52" i="3"/>
  <c r="O50" i="3"/>
  <c r="AM46" i="3"/>
  <c r="AL46" i="3"/>
  <c r="AL47" i="3" s="1"/>
  <c r="AD46" i="3"/>
  <c r="AD47" i="3" s="1"/>
  <c r="Z46" i="3"/>
  <c r="Q46" i="3"/>
  <c r="P46" i="3"/>
  <c r="O46" i="3"/>
  <c r="P48" i="3" s="1"/>
  <c r="N46" i="3"/>
  <c r="G46" i="3"/>
  <c r="F46" i="3"/>
  <c r="AQ45" i="3"/>
  <c r="AP45" i="3"/>
  <c r="AP52" i="3" s="1"/>
  <c r="AO45" i="3"/>
  <c r="AO52" i="3" s="1"/>
  <c r="AN45" i="3"/>
  <c r="AN52" i="3" s="1"/>
  <c r="AM45" i="3"/>
  <c r="AM52" i="3" s="1"/>
  <c r="AL45" i="3"/>
  <c r="AL52" i="3" s="1"/>
  <c r="AK45" i="3"/>
  <c r="AK52" i="3" s="1"/>
  <c r="AJ45" i="3"/>
  <c r="AI45" i="3"/>
  <c r="AH45" i="3"/>
  <c r="AQ44" i="3"/>
  <c r="AP44" i="3"/>
  <c r="AP51" i="3" s="1"/>
  <c r="AO44" i="3"/>
  <c r="AN44" i="3"/>
  <c r="AM44" i="3"/>
  <c r="AL44" i="3"/>
  <c r="AK44" i="3"/>
  <c r="AJ44" i="3"/>
  <c r="AI44" i="3"/>
  <c r="AH44" i="3"/>
  <c r="AQ43" i="3"/>
  <c r="AP43" i="3"/>
  <c r="AO43" i="3"/>
  <c r="AO46" i="3" s="1"/>
  <c r="AN43" i="3"/>
  <c r="AN50" i="3" s="1"/>
  <c r="AM43" i="3"/>
  <c r="AL43" i="3"/>
  <c r="AL50" i="3" s="1"/>
  <c r="AK43" i="3"/>
  <c r="AK50" i="3" s="1"/>
  <c r="AJ43" i="3"/>
  <c r="AJ50" i="3" s="1"/>
  <c r="AI43" i="3"/>
  <c r="AH43" i="3"/>
  <c r="AH50" i="3" s="1"/>
  <c r="G43" i="3"/>
  <c r="H43" i="3"/>
  <c r="H50" i="3" s="1"/>
  <c r="I43" i="3"/>
  <c r="I50" i="3" s="1"/>
  <c r="J43" i="3"/>
  <c r="J50" i="3" s="1"/>
  <c r="K43" i="3"/>
  <c r="L43" i="3"/>
  <c r="M43" i="3"/>
  <c r="N43" i="3"/>
  <c r="O43" i="3"/>
  <c r="P43" i="3"/>
  <c r="P50" i="3" s="1"/>
  <c r="Q43" i="3"/>
  <c r="Q50" i="3" s="1"/>
  <c r="R43" i="3"/>
  <c r="R46" i="3" s="1"/>
  <c r="S43" i="3"/>
  <c r="S50" i="3" s="1"/>
  <c r="T43" i="3"/>
  <c r="T50" i="3" s="1"/>
  <c r="U43" i="3"/>
  <c r="V43" i="3"/>
  <c r="W43" i="3"/>
  <c r="X43" i="3"/>
  <c r="Y43" i="3"/>
  <c r="Z43" i="3"/>
  <c r="AA43" i="3"/>
  <c r="AA50" i="3" s="1"/>
  <c r="AB43" i="3"/>
  <c r="AB50" i="3" s="1"/>
  <c r="AC43" i="3"/>
  <c r="AD50" i="3" s="1"/>
  <c r="AD43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T51" i="3" s="1"/>
  <c r="U44" i="3"/>
  <c r="U51" i="3" s="1"/>
  <c r="V44" i="3"/>
  <c r="W44" i="3"/>
  <c r="X44" i="3"/>
  <c r="Y44" i="3"/>
  <c r="Z44" i="3"/>
  <c r="AA44" i="3"/>
  <c r="AB44" i="3"/>
  <c r="AC44" i="3"/>
  <c r="AD44" i="3"/>
  <c r="G45" i="3"/>
  <c r="H45" i="3"/>
  <c r="H52" i="3" s="1"/>
  <c r="I45" i="3"/>
  <c r="I52" i="3" s="1"/>
  <c r="J45" i="3"/>
  <c r="J52" i="3" s="1"/>
  <c r="K45" i="3"/>
  <c r="K52" i="3" s="1"/>
  <c r="L45" i="3"/>
  <c r="L52" i="3" s="1"/>
  <c r="M45" i="3"/>
  <c r="N45" i="3"/>
  <c r="O45" i="3"/>
  <c r="O52" i="3" s="1"/>
  <c r="P45" i="3"/>
  <c r="Q45" i="3"/>
  <c r="R45" i="3"/>
  <c r="S45" i="3"/>
  <c r="S52" i="3" s="1"/>
  <c r="T45" i="3"/>
  <c r="T52" i="3" s="1"/>
  <c r="U45" i="3"/>
  <c r="U52" i="3" s="1"/>
  <c r="V45" i="3"/>
  <c r="V52" i="3" s="1"/>
  <c r="W45" i="3"/>
  <c r="W52" i="3" s="1"/>
  <c r="X45" i="3"/>
  <c r="X52" i="3" s="1"/>
  <c r="Y45" i="3"/>
  <c r="Z45" i="3"/>
  <c r="AA45" i="3"/>
  <c r="AB45" i="3"/>
  <c r="AC45" i="3"/>
  <c r="AC52" i="3" s="1"/>
  <c r="AD45" i="3"/>
  <c r="F45" i="3"/>
  <c r="F52" i="3" s="1"/>
  <c r="F44" i="3"/>
  <c r="F43" i="3"/>
  <c r="F50" i="3" s="1"/>
  <c r="C207" i="2"/>
  <c r="AO207" i="2"/>
  <c r="AN207" i="2"/>
  <c r="AM207" i="2"/>
  <c r="AL207" i="2"/>
  <c r="AK207" i="2"/>
  <c r="AJ207" i="2"/>
  <c r="AI207" i="2"/>
  <c r="AH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AO206" i="2"/>
  <c r="AN206" i="2"/>
  <c r="AM206" i="2"/>
  <c r="AL206" i="2"/>
  <c r="AK206" i="2"/>
  <c r="AJ206" i="2"/>
  <c r="AI206" i="2"/>
  <c r="AH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O205" i="2"/>
  <c r="AN205" i="2"/>
  <c r="AM205" i="2"/>
  <c r="AL205" i="2"/>
  <c r="AK205" i="2"/>
  <c r="AJ205" i="2"/>
  <c r="AI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N9" i="1"/>
  <c r="N8" i="1"/>
  <c r="AO24" i="3"/>
  <c r="AN24" i="3"/>
  <c r="AM24" i="3"/>
  <c r="AL24" i="3"/>
  <c r="AK24" i="3"/>
  <c r="AJ24" i="3"/>
  <c r="AI24" i="3"/>
  <c r="AH24" i="3"/>
  <c r="AO22" i="3"/>
  <c r="AN22" i="3"/>
  <c r="AM22" i="3"/>
  <c r="AL22" i="3"/>
  <c r="AK22" i="3"/>
  <c r="AJ22" i="3"/>
  <c r="AI22" i="3"/>
  <c r="AH22" i="3"/>
  <c r="AO19" i="3"/>
  <c r="AN19" i="3"/>
  <c r="AM19" i="3"/>
  <c r="AL19" i="3"/>
  <c r="AK19" i="3"/>
  <c r="AJ19" i="3"/>
  <c r="AI19" i="3"/>
  <c r="AH19" i="3"/>
  <c r="AO17" i="3"/>
  <c r="AN17" i="3"/>
  <c r="AM17" i="3"/>
  <c r="AL17" i="3"/>
  <c r="AK17" i="3"/>
  <c r="AJ17" i="3"/>
  <c r="AI17" i="3"/>
  <c r="AH17" i="3"/>
  <c r="AO16" i="3"/>
  <c r="AN16" i="3"/>
  <c r="AM16" i="3"/>
  <c r="AL16" i="3"/>
  <c r="AK16" i="3"/>
  <c r="AJ16" i="3"/>
  <c r="AI16" i="3"/>
  <c r="AH16" i="3"/>
  <c r="AO15" i="3"/>
  <c r="AN15" i="3"/>
  <c r="AM15" i="3"/>
  <c r="AL15" i="3"/>
  <c r="AK15" i="3"/>
  <c r="AJ15" i="3"/>
  <c r="AI15" i="3"/>
  <c r="AH15" i="3"/>
  <c r="AO14" i="3"/>
  <c r="AN14" i="3"/>
  <c r="AM14" i="3"/>
  <c r="AL14" i="3"/>
  <c r="AK14" i="3"/>
  <c r="AJ14" i="3"/>
  <c r="AI14" i="3"/>
  <c r="AH14" i="3"/>
  <c r="AO12" i="3"/>
  <c r="AN12" i="3"/>
  <c r="AM12" i="3"/>
  <c r="AL12" i="3"/>
  <c r="AK12" i="3"/>
  <c r="AJ12" i="3"/>
  <c r="AI12" i="3"/>
  <c r="AH12" i="3"/>
  <c r="AO11" i="3"/>
  <c r="AN11" i="3"/>
  <c r="AM11" i="3"/>
  <c r="AL11" i="3"/>
  <c r="AK11" i="3"/>
  <c r="AJ11" i="3"/>
  <c r="AI11" i="3"/>
  <c r="AH11" i="3"/>
  <c r="AO10" i="3"/>
  <c r="AN10" i="3"/>
  <c r="AM10" i="3"/>
  <c r="AL10" i="3"/>
  <c r="AK10" i="3"/>
  <c r="AJ10" i="3"/>
  <c r="AI10" i="3"/>
  <c r="AH10" i="3"/>
  <c r="AO9" i="3"/>
  <c r="AN9" i="3"/>
  <c r="AM9" i="3"/>
  <c r="AL9" i="3"/>
  <c r="AK9" i="3"/>
  <c r="AJ9" i="3"/>
  <c r="AI9" i="3"/>
  <c r="AH9" i="3"/>
  <c r="AO8" i="3"/>
  <c r="AN8" i="3"/>
  <c r="AM8" i="3"/>
  <c r="AL8" i="3"/>
  <c r="AK8" i="3"/>
  <c r="AJ8" i="3"/>
  <c r="AI8" i="3"/>
  <c r="AH8" i="3"/>
  <c r="AO6" i="3"/>
  <c r="AO27" i="3" s="1"/>
  <c r="AN6" i="3"/>
  <c r="AN27" i="3" s="1"/>
  <c r="AM6" i="3"/>
  <c r="AM27" i="3" s="1"/>
  <c r="AL6" i="3"/>
  <c r="AL27" i="3" s="1"/>
  <c r="AK6" i="3"/>
  <c r="AK26" i="3" s="1"/>
  <c r="AJ6" i="3"/>
  <c r="AJ26" i="3" s="1"/>
  <c r="AI6" i="3"/>
  <c r="AI26" i="3" s="1"/>
  <c r="AH6" i="3"/>
  <c r="AH26" i="3" s="1"/>
  <c r="AO4" i="3"/>
  <c r="AO5" i="3" s="1"/>
  <c r="AN4" i="3"/>
  <c r="AN5" i="3" s="1"/>
  <c r="AM4" i="3"/>
  <c r="AM5" i="3" s="1"/>
  <c r="AL4" i="3"/>
  <c r="AL5" i="3" s="1"/>
  <c r="AK4" i="3"/>
  <c r="AK5" i="3" s="1"/>
  <c r="AJ4" i="3"/>
  <c r="AJ5" i="3" s="1"/>
  <c r="AI4" i="3"/>
  <c r="AI5" i="3" s="1"/>
  <c r="AH4" i="3"/>
  <c r="AH5" i="3" s="1"/>
  <c r="AO3" i="3"/>
  <c r="AO51" i="3" s="1"/>
  <c r="AN3" i="3"/>
  <c r="AN51" i="3" s="1"/>
  <c r="AM3" i="3"/>
  <c r="AL3" i="3"/>
  <c r="AK3" i="3"/>
  <c r="AJ3" i="3"/>
  <c r="AI3" i="3"/>
  <c r="AI51" i="3" s="1"/>
  <c r="AH3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AD6" i="3"/>
  <c r="AD27" i="3" s="1"/>
  <c r="AC6" i="3"/>
  <c r="AC26" i="3" s="1"/>
  <c r="AC31" i="3" s="1"/>
  <c r="AB6" i="3"/>
  <c r="AB26" i="3" s="1"/>
  <c r="AB31" i="3" s="1"/>
  <c r="AA6" i="3"/>
  <c r="AA26" i="3" s="1"/>
  <c r="AA31" i="3" s="1"/>
  <c r="Z6" i="3"/>
  <c r="Z26" i="3" s="1"/>
  <c r="Z31" i="3" s="1"/>
  <c r="Y6" i="3"/>
  <c r="Y27" i="3" s="1"/>
  <c r="X6" i="3"/>
  <c r="X26" i="3" s="1"/>
  <c r="X31" i="3" s="1"/>
  <c r="W6" i="3"/>
  <c r="W26" i="3" s="1"/>
  <c r="W31" i="3" s="1"/>
  <c r="V6" i="3"/>
  <c r="V26" i="3" s="1"/>
  <c r="V31" i="3" s="1"/>
  <c r="U6" i="3"/>
  <c r="U26" i="3" s="1"/>
  <c r="U31" i="3" s="1"/>
  <c r="T6" i="3"/>
  <c r="T26" i="3" s="1"/>
  <c r="T31" i="3" s="1"/>
  <c r="S6" i="3"/>
  <c r="S26" i="3" s="1"/>
  <c r="S31" i="3" s="1"/>
  <c r="R6" i="3"/>
  <c r="R27" i="3" s="1"/>
  <c r="Q6" i="3"/>
  <c r="Q26" i="3" s="1"/>
  <c r="Q31" i="3" s="1"/>
  <c r="P6" i="3"/>
  <c r="P26" i="3" s="1"/>
  <c r="P31" i="3" s="1"/>
  <c r="O6" i="3"/>
  <c r="O26" i="3" s="1"/>
  <c r="O31" i="3" s="1"/>
  <c r="N6" i="3"/>
  <c r="N26" i="3" s="1"/>
  <c r="N31" i="3" s="1"/>
  <c r="M6" i="3"/>
  <c r="L6" i="3"/>
  <c r="L26" i="3" s="1"/>
  <c r="L31" i="3" s="1"/>
  <c r="K6" i="3"/>
  <c r="K26" i="3" s="1"/>
  <c r="K31" i="3" s="1"/>
  <c r="J6" i="3"/>
  <c r="J26" i="3" s="1"/>
  <c r="J31" i="3" s="1"/>
  <c r="I6" i="3"/>
  <c r="I26" i="3" s="1"/>
  <c r="I31" i="3" s="1"/>
  <c r="H6" i="3"/>
  <c r="H27" i="3" s="1"/>
  <c r="AD4" i="3"/>
  <c r="AD5" i="3" s="1"/>
  <c r="AC4" i="3"/>
  <c r="AC5" i="3" s="1"/>
  <c r="AB4" i="3"/>
  <c r="AB5" i="3" s="1"/>
  <c r="AA4" i="3"/>
  <c r="AA5" i="3" s="1"/>
  <c r="Z4" i="3"/>
  <c r="Z5" i="3" s="1"/>
  <c r="Y4" i="3"/>
  <c r="Y5" i="3" s="1"/>
  <c r="X4" i="3"/>
  <c r="X5" i="3" s="1"/>
  <c r="W4" i="3"/>
  <c r="W5" i="3" s="1"/>
  <c r="V4" i="3"/>
  <c r="V5" i="3" s="1"/>
  <c r="U4" i="3"/>
  <c r="U5" i="3" s="1"/>
  <c r="T4" i="3"/>
  <c r="T5" i="3" s="1"/>
  <c r="S4" i="3"/>
  <c r="S5" i="3" s="1"/>
  <c r="R4" i="3"/>
  <c r="R5" i="3" s="1"/>
  <c r="Q4" i="3"/>
  <c r="Q5" i="3" s="1"/>
  <c r="P4" i="3"/>
  <c r="P5" i="3" s="1"/>
  <c r="O4" i="3"/>
  <c r="O5" i="3" s="1"/>
  <c r="N4" i="3"/>
  <c r="N5" i="3" s="1"/>
  <c r="M4" i="3"/>
  <c r="M5" i="3" s="1"/>
  <c r="L4" i="3"/>
  <c r="L5" i="3" s="1"/>
  <c r="K4" i="3"/>
  <c r="K5" i="3" s="1"/>
  <c r="J4" i="3"/>
  <c r="J5" i="3" s="1"/>
  <c r="I4" i="3"/>
  <c r="I5" i="3" s="1"/>
  <c r="H4" i="3"/>
  <c r="H5" i="3" s="1"/>
  <c r="AD3" i="3"/>
  <c r="AC3" i="3"/>
  <c r="AB3" i="3"/>
  <c r="AA3" i="3"/>
  <c r="Z3" i="3"/>
  <c r="Y3" i="3"/>
  <c r="AB51" i="3" s="1"/>
  <c r="X3" i="3"/>
  <c r="AA51" i="3" s="1"/>
  <c r="W3" i="3"/>
  <c r="W51" i="3" s="1"/>
  <c r="V3" i="3"/>
  <c r="U3" i="3"/>
  <c r="T3" i="3"/>
  <c r="S3" i="3"/>
  <c r="R3" i="3"/>
  <c r="Q3" i="3"/>
  <c r="P3" i="3"/>
  <c r="O3" i="3"/>
  <c r="N3" i="3"/>
  <c r="M3" i="3"/>
  <c r="P51" i="3" s="1"/>
  <c r="L3" i="3"/>
  <c r="O51" i="3" s="1"/>
  <c r="K3" i="3"/>
  <c r="K51" i="3" s="1"/>
  <c r="J3" i="3"/>
  <c r="I3" i="3"/>
  <c r="H3" i="3"/>
  <c r="G6" i="3"/>
  <c r="G26" i="3" s="1"/>
  <c r="G31" i="3" s="1"/>
  <c r="F6" i="3"/>
  <c r="F26" i="3" s="1"/>
  <c r="F31" i="3" s="1"/>
  <c r="E6" i="3"/>
  <c r="E27" i="3" s="1"/>
  <c r="D6" i="3"/>
  <c r="D27" i="3" s="1"/>
  <c r="G4" i="3"/>
  <c r="G5" i="3" s="1"/>
  <c r="F4" i="3"/>
  <c r="F5" i="3" s="1"/>
  <c r="E4" i="3"/>
  <c r="E5" i="3" s="1"/>
  <c r="D4" i="3"/>
  <c r="D5" i="3" s="1"/>
  <c r="G3" i="3"/>
  <c r="J51" i="3" s="1"/>
  <c r="F3" i="3"/>
  <c r="E3" i="3"/>
  <c r="D3" i="3"/>
  <c r="G24" i="3"/>
  <c r="F24" i="3"/>
  <c r="E24" i="3"/>
  <c r="D24" i="3"/>
  <c r="G22" i="3"/>
  <c r="F22" i="3"/>
  <c r="E22" i="3"/>
  <c r="D22" i="3"/>
  <c r="G19" i="3"/>
  <c r="F19" i="3"/>
  <c r="E19" i="3"/>
  <c r="D19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C24" i="3"/>
  <c r="C22" i="3"/>
  <c r="C19" i="3"/>
  <c r="C17" i="3"/>
  <c r="C16" i="3"/>
  <c r="C15" i="3"/>
  <c r="C14" i="3"/>
  <c r="F12" i="3"/>
  <c r="F11" i="3"/>
  <c r="G10" i="3"/>
  <c r="F10" i="3"/>
  <c r="F9" i="3"/>
  <c r="G8" i="3"/>
  <c r="F8" i="3"/>
  <c r="C6" i="3"/>
  <c r="C26" i="3" s="1"/>
  <c r="C31" i="3" s="1"/>
  <c r="C33" i="3" s="1"/>
  <c r="C4" i="3"/>
  <c r="C5" i="3" s="1"/>
  <c r="C3" i="3"/>
  <c r="F51" i="3" s="1"/>
  <c r="AN274" i="2"/>
  <c r="AM274" i="2"/>
  <c r="AL274" i="2"/>
  <c r="AK274" i="2"/>
  <c r="AJ274" i="2"/>
  <c r="AI274" i="2"/>
  <c r="AN273" i="2"/>
  <c r="AM273" i="2"/>
  <c r="AL273" i="2"/>
  <c r="AK273" i="2"/>
  <c r="AJ273" i="2"/>
  <c r="AI273" i="2"/>
  <c r="AN272" i="2"/>
  <c r="AM272" i="2"/>
  <c r="AL272" i="2"/>
  <c r="AK272" i="2"/>
  <c r="AJ272" i="2"/>
  <c r="AI272" i="2"/>
  <c r="AN271" i="2"/>
  <c r="AM271" i="2"/>
  <c r="AL271" i="2"/>
  <c r="AK271" i="2"/>
  <c r="AJ271" i="2"/>
  <c r="AI271" i="2"/>
  <c r="AN270" i="2"/>
  <c r="AM270" i="2"/>
  <c r="AL270" i="2"/>
  <c r="AK270" i="2"/>
  <c r="AJ270" i="2"/>
  <c r="AI270" i="2"/>
  <c r="AN269" i="2"/>
  <c r="AM269" i="2"/>
  <c r="AL269" i="2"/>
  <c r="AK269" i="2"/>
  <c r="AJ269" i="2"/>
  <c r="AI269" i="2"/>
  <c r="AN268" i="2"/>
  <c r="AM268" i="2"/>
  <c r="AL268" i="2"/>
  <c r="AK268" i="2"/>
  <c r="AJ268" i="2"/>
  <c r="AI268" i="2"/>
  <c r="AN267" i="2"/>
  <c r="AM267" i="2"/>
  <c r="AL267" i="2"/>
  <c r="AK267" i="2"/>
  <c r="AJ267" i="2"/>
  <c r="AI267" i="2"/>
  <c r="AN266" i="2"/>
  <c r="AM266" i="2"/>
  <c r="AL266" i="2"/>
  <c r="AK266" i="2"/>
  <c r="AJ266" i="2"/>
  <c r="AI266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7" i="2"/>
  <c r="C268" i="2"/>
  <c r="C269" i="2"/>
  <c r="C270" i="2"/>
  <c r="C271" i="2"/>
  <c r="C272" i="2"/>
  <c r="C273" i="2"/>
  <c r="C274" i="2"/>
  <c r="C266" i="2"/>
  <c r="AN241" i="2"/>
  <c r="AM241" i="2"/>
  <c r="AL241" i="2"/>
  <c r="AK241" i="2"/>
  <c r="AJ241" i="2"/>
  <c r="AN240" i="2"/>
  <c r="AM240" i="2"/>
  <c r="AL240" i="2"/>
  <c r="AK240" i="2"/>
  <c r="AJ240" i="2"/>
  <c r="AN239" i="2"/>
  <c r="AM239" i="2"/>
  <c r="AL239" i="2"/>
  <c r="AK239" i="2"/>
  <c r="AJ239" i="2"/>
  <c r="AN238" i="2"/>
  <c r="AM238" i="2"/>
  <c r="AL238" i="2"/>
  <c r="AK238" i="2"/>
  <c r="AJ238" i="2"/>
  <c r="AN237" i="2"/>
  <c r="AM237" i="2"/>
  <c r="AL237" i="2"/>
  <c r="AK237" i="2"/>
  <c r="AJ237" i="2"/>
  <c r="AN236" i="2"/>
  <c r="AM236" i="2"/>
  <c r="AL236" i="2"/>
  <c r="AK236" i="2"/>
  <c r="AJ236" i="2"/>
  <c r="AN235" i="2"/>
  <c r="AM235" i="2"/>
  <c r="AL235" i="2"/>
  <c r="AK235" i="2"/>
  <c r="AJ235" i="2"/>
  <c r="AN234" i="2"/>
  <c r="AM234" i="2"/>
  <c r="AL234" i="2"/>
  <c r="AK234" i="2"/>
  <c r="AJ234" i="2"/>
  <c r="AN233" i="2"/>
  <c r="AM233" i="2"/>
  <c r="AL233" i="2"/>
  <c r="AK233" i="2"/>
  <c r="AJ233" i="2"/>
  <c r="AI241" i="2"/>
  <c r="AI240" i="2"/>
  <c r="AI239" i="2"/>
  <c r="AI238" i="2"/>
  <c r="AI237" i="2"/>
  <c r="AI236" i="2"/>
  <c r="AI235" i="2"/>
  <c r="AI234" i="2"/>
  <c r="AI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C241" i="2"/>
  <c r="C240" i="2"/>
  <c r="C234" i="2"/>
  <c r="C235" i="2"/>
  <c r="C236" i="2"/>
  <c r="C237" i="2"/>
  <c r="C238" i="2"/>
  <c r="C239" i="2"/>
  <c r="C233" i="2"/>
  <c r="G230" i="2"/>
  <c r="G223" i="2"/>
  <c r="AO203" i="2"/>
  <c r="AN203" i="2"/>
  <c r="AM203" i="2"/>
  <c r="AL203" i="2"/>
  <c r="AK203" i="2"/>
  <c r="AJ203" i="2"/>
  <c r="AO202" i="2"/>
  <c r="AN202" i="2"/>
  <c r="AM202" i="2"/>
  <c r="AL202" i="2"/>
  <c r="AK202" i="2"/>
  <c r="AJ202" i="2"/>
  <c r="AI203" i="2"/>
  <c r="AI202" i="2"/>
  <c r="AO199" i="2"/>
  <c r="AO20" i="3" s="1"/>
  <c r="AN199" i="2"/>
  <c r="AN20" i="3" s="1"/>
  <c r="AM199" i="2"/>
  <c r="AM20" i="3" s="1"/>
  <c r="AL199" i="2"/>
  <c r="AL20" i="3" s="1"/>
  <c r="AK199" i="2"/>
  <c r="AK20" i="3" s="1"/>
  <c r="AJ199" i="2"/>
  <c r="AJ20" i="3" s="1"/>
  <c r="AI199" i="2"/>
  <c r="AI20" i="3" s="1"/>
  <c r="AH202" i="2"/>
  <c r="AH199" i="2"/>
  <c r="AH20" i="3" s="1"/>
  <c r="AD203" i="2"/>
  <c r="AC203" i="2"/>
  <c r="AB203" i="2"/>
  <c r="AD202" i="2"/>
  <c r="AC202" i="2"/>
  <c r="AB202" i="2"/>
  <c r="AD199" i="2"/>
  <c r="AD20" i="3" s="1"/>
  <c r="AC199" i="2"/>
  <c r="AC20" i="3" s="1"/>
  <c r="AB199" i="2"/>
  <c r="AB20" i="3" s="1"/>
  <c r="G199" i="2"/>
  <c r="G20" i="3" s="1"/>
  <c r="H199" i="2"/>
  <c r="H20" i="3" s="1"/>
  <c r="I199" i="2"/>
  <c r="I20" i="3" s="1"/>
  <c r="J199" i="2"/>
  <c r="J20" i="3" s="1"/>
  <c r="K199" i="2"/>
  <c r="K20" i="3" s="1"/>
  <c r="L199" i="2"/>
  <c r="L20" i="3" s="1"/>
  <c r="M199" i="2"/>
  <c r="M20" i="3" s="1"/>
  <c r="N199" i="2"/>
  <c r="N20" i="3" s="1"/>
  <c r="O199" i="2"/>
  <c r="O20" i="3" s="1"/>
  <c r="P199" i="2"/>
  <c r="P20" i="3" s="1"/>
  <c r="Q199" i="2"/>
  <c r="Q20" i="3" s="1"/>
  <c r="R199" i="2"/>
  <c r="R20" i="3" s="1"/>
  <c r="S199" i="2"/>
  <c r="S20" i="3" s="1"/>
  <c r="T199" i="2"/>
  <c r="T20" i="3" s="1"/>
  <c r="U199" i="2"/>
  <c r="U20" i="3" s="1"/>
  <c r="V199" i="2"/>
  <c r="V20" i="3" s="1"/>
  <c r="W199" i="2"/>
  <c r="W20" i="3" s="1"/>
  <c r="X199" i="2"/>
  <c r="X20" i="3" s="1"/>
  <c r="Y199" i="2"/>
  <c r="Y20" i="3" s="1"/>
  <c r="Z199" i="2"/>
  <c r="Z20" i="3" s="1"/>
  <c r="AA199" i="2"/>
  <c r="AA20" i="3" s="1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F202" i="2"/>
  <c r="E202" i="2"/>
  <c r="D202" i="2"/>
  <c r="F199" i="2"/>
  <c r="F20" i="3" s="1"/>
  <c r="E199" i="2"/>
  <c r="E20" i="3" s="1"/>
  <c r="D199" i="2"/>
  <c r="D20" i="3" s="1"/>
  <c r="F203" i="2"/>
  <c r="AO140" i="2"/>
  <c r="AN140" i="2"/>
  <c r="AM140" i="2"/>
  <c r="AL140" i="2"/>
  <c r="AK140" i="2"/>
  <c r="AJ140" i="2"/>
  <c r="AI140" i="2"/>
  <c r="AH140" i="2"/>
  <c r="AO139" i="2"/>
  <c r="AN139" i="2"/>
  <c r="AM139" i="2"/>
  <c r="AL139" i="2"/>
  <c r="AK139" i="2"/>
  <c r="AJ139" i="2"/>
  <c r="AI139" i="2"/>
  <c r="AH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C140" i="2"/>
  <c r="C139" i="2"/>
  <c r="AO124" i="2"/>
  <c r="AN124" i="2"/>
  <c r="AM124" i="2"/>
  <c r="AL124" i="2"/>
  <c r="AK124" i="2"/>
  <c r="AJ124" i="2"/>
  <c r="AI124" i="2"/>
  <c r="AO123" i="2"/>
  <c r="AN123" i="2"/>
  <c r="AM123" i="2"/>
  <c r="AL123" i="2"/>
  <c r="AK123" i="2"/>
  <c r="AJ123" i="2"/>
  <c r="AI123" i="2"/>
  <c r="AO122" i="2"/>
  <c r="AN122" i="2"/>
  <c r="AM122" i="2"/>
  <c r="AL122" i="2"/>
  <c r="AK122" i="2"/>
  <c r="AJ122" i="2"/>
  <c r="AI122" i="2"/>
  <c r="AH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G123" i="2"/>
  <c r="F122" i="2"/>
  <c r="AO133" i="2"/>
  <c r="AN133" i="2"/>
  <c r="AM133" i="2"/>
  <c r="AL133" i="2"/>
  <c r="AK133" i="2"/>
  <c r="AJ133" i="2"/>
  <c r="AI133" i="2"/>
  <c r="AH133" i="2"/>
  <c r="AI132" i="2"/>
  <c r="AJ132" i="2"/>
  <c r="AK132" i="2"/>
  <c r="AL132" i="2"/>
  <c r="AM132" i="2"/>
  <c r="AN132" i="2"/>
  <c r="AO132" i="2"/>
  <c r="AC133" i="2"/>
  <c r="AB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F133" i="2"/>
  <c r="C202" i="2"/>
  <c r="C199" i="2"/>
  <c r="C20" i="3" s="1"/>
  <c r="F126" i="2"/>
  <c r="AA136" i="2"/>
  <c r="AO136" i="2"/>
  <c r="AN136" i="2"/>
  <c r="AM136" i="2"/>
  <c r="AL136" i="2"/>
  <c r="AK136" i="2"/>
  <c r="AJ136" i="2"/>
  <c r="AI136" i="2"/>
  <c r="AO135" i="2"/>
  <c r="AN135" i="2"/>
  <c r="AM135" i="2"/>
  <c r="AL135" i="2"/>
  <c r="AK135" i="2"/>
  <c r="AJ135" i="2"/>
  <c r="AI135" i="2"/>
  <c r="AC136" i="2"/>
  <c r="AH136" i="2"/>
  <c r="AH135" i="2"/>
  <c r="AH132" i="2"/>
  <c r="AO131" i="2"/>
  <c r="AN131" i="2"/>
  <c r="AM131" i="2"/>
  <c r="AL131" i="2"/>
  <c r="AK131" i="2"/>
  <c r="AJ131" i="2"/>
  <c r="AI131" i="2"/>
  <c r="AH131" i="2"/>
  <c r="AO130" i="2"/>
  <c r="AN130" i="2"/>
  <c r="AM130" i="2"/>
  <c r="AL130" i="2"/>
  <c r="AK130" i="2"/>
  <c r="AJ130" i="2"/>
  <c r="AI130" i="2"/>
  <c r="AH130" i="2"/>
  <c r="AO128" i="2"/>
  <c r="AN128" i="2"/>
  <c r="AM128" i="2"/>
  <c r="AL128" i="2"/>
  <c r="AK128" i="2"/>
  <c r="AJ128" i="2"/>
  <c r="AI128" i="2"/>
  <c r="AH128" i="2"/>
  <c r="AO127" i="2"/>
  <c r="AN127" i="2"/>
  <c r="AM127" i="2"/>
  <c r="AL127" i="2"/>
  <c r="AK127" i="2"/>
  <c r="AJ127" i="2"/>
  <c r="AI127" i="2"/>
  <c r="AH127" i="2"/>
  <c r="AO126" i="2"/>
  <c r="AN126" i="2"/>
  <c r="AM126" i="2"/>
  <c r="AL126" i="2"/>
  <c r="AK126" i="2"/>
  <c r="AJ126" i="2"/>
  <c r="AI126" i="2"/>
  <c r="AH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B136" i="2"/>
  <c r="F136" i="2"/>
  <c r="F135" i="2"/>
  <c r="F131" i="2"/>
  <c r="F132" i="2"/>
  <c r="F130" i="2"/>
  <c r="F128" i="2"/>
  <c r="F127" i="2"/>
  <c r="L9" i="1"/>
  <c r="L11" i="1"/>
  <c r="L10" i="1"/>
  <c r="AO71" i="2"/>
  <c r="AN71" i="2"/>
  <c r="AM71" i="2"/>
  <c r="AL71" i="2"/>
  <c r="AK71" i="2"/>
  <c r="AJ71" i="2"/>
  <c r="AI71" i="2"/>
  <c r="AH71" i="2"/>
  <c r="AB71" i="2"/>
  <c r="AC71" i="2"/>
  <c r="AD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F71" i="2"/>
  <c r="AJ65" i="2"/>
  <c r="AK65" i="2"/>
  <c r="AL65" i="2"/>
  <c r="AM65" i="2"/>
  <c r="AN65" i="2"/>
  <c r="AO65" i="2"/>
  <c r="AI65" i="2"/>
  <c r="AO68" i="2"/>
  <c r="AN68" i="2"/>
  <c r="AM68" i="2"/>
  <c r="AL68" i="2"/>
  <c r="AK68" i="2"/>
  <c r="AJ68" i="2"/>
  <c r="AI68" i="2"/>
  <c r="AH68" i="2"/>
  <c r="AO67" i="2"/>
  <c r="AN67" i="2"/>
  <c r="AM67" i="2"/>
  <c r="AL67" i="2"/>
  <c r="AK67" i="2"/>
  <c r="AJ67" i="2"/>
  <c r="AI67" i="2"/>
  <c r="AH67" i="2"/>
  <c r="AO63" i="2"/>
  <c r="AN63" i="2"/>
  <c r="AM63" i="2"/>
  <c r="AL63" i="2"/>
  <c r="AK63" i="2"/>
  <c r="AJ63" i="2"/>
  <c r="AI63" i="2"/>
  <c r="AH63" i="2"/>
  <c r="AO62" i="2"/>
  <c r="AN62" i="2"/>
  <c r="AM62" i="2"/>
  <c r="AL62" i="2"/>
  <c r="AK62" i="2"/>
  <c r="AJ62" i="2"/>
  <c r="AI62" i="2"/>
  <c r="AH62" i="2"/>
  <c r="AO61" i="2"/>
  <c r="AO137" i="2" s="1"/>
  <c r="AN61" i="2"/>
  <c r="AN137" i="2" s="1"/>
  <c r="AM61" i="2"/>
  <c r="AM137" i="2" s="1"/>
  <c r="AL61" i="2"/>
  <c r="AL137" i="2" s="1"/>
  <c r="AK61" i="2"/>
  <c r="AK137" i="2" s="1"/>
  <c r="AJ61" i="2"/>
  <c r="AI61" i="2"/>
  <c r="AI137" i="2" s="1"/>
  <c r="AH61" i="2"/>
  <c r="AH137" i="2" s="1"/>
  <c r="AO60" i="2"/>
  <c r="AN60" i="2"/>
  <c r="AM60" i="2"/>
  <c r="AL60" i="2"/>
  <c r="AK60" i="2"/>
  <c r="AJ60" i="2"/>
  <c r="AI60" i="2"/>
  <c r="AH60" i="2"/>
  <c r="AO59" i="2"/>
  <c r="AN59" i="2"/>
  <c r="AM59" i="2"/>
  <c r="AL59" i="2"/>
  <c r="AK59" i="2"/>
  <c r="AJ59" i="2"/>
  <c r="AI59" i="2"/>
  <c r="AH59" i="2"/>
  <c r="AO58" i="2"/>
  <c r="AN58" i="2"/>
  <c r="AM58" i="2"/>
  <c r="AL58" i="2"/>
  <c r="AK58" i="2"/>
  <c r="AJ58" i="2"/>
  <c r="AI58" i="2"/>
  <c r="AH5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L61" i="2"/>
  <c r="K61" i="2"/>
  <c r="J61" i="2"/>
  <c r="I61" i="2"/>
  <c r="H61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68" i="2"/>
  <c r="F68" i="2"/>
  <c r="E68" i="2"/>
  <c r="D68" i="2"/>
  <c r="G67" i="2"/>
  <c r="F67" i="2"/>
  <c r="E67" i="2"/>
  <c r="D67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C68" i="2"/>
  <c r="C67" i="2"/>
  <c r="G65" i="2"/>
  <c r="C63" i="2"/>
  <c r="C62" i="2"/>
  <c r="C61" i="2"/>
  <c r="C60" i="2"/>
  <c r="C59" i="2"/>
  <c r="C58" i="2"/>
  <c r="AK263" i="2"/>
  <c r="AJ263" i="2"/>
  <c r="AI263" i="2"/>
  <c r="AK262" i="2"/>
  <c r="AJ262" i="2"/>
  <c r="AI262" i="2"/>
  <c r="AK261" i="2"/>
  <c r="AJ261" i="2"/>
  <c r="AI261" i="2"/>
  <c r="AK260" i="2"/>
  <c r="AJ260" i="2"/>
  <c r="AI260" i="2"/>
  <c r="AK259" i="2"/>
  <c r="AJ259" i="2"/>
  <c r="AI259" i="2"/>
  <c r="AK258" i="2"/>
  <c r="AJ258" i="2"/>
  <c r="AI258" i="2"/>
  <c r="AK257" i="2"/>
  <c r="AJ257" i="2"/>
  <c r="AI257" i="2"/>
  <c r="AK256" i="2"/>
  <c r="AJ256" i="2"/>
  <c r="AI256" i="2"/>
  <c r="AK230" i="2"/>
  <c r="AJ230" i="2"/>
  <c r="AI230" i="2"/>
  <c r="AK229" i="2"/>
  <c r="AJ229" i="2"/>
  <c r="AI229" i="2"/>
  <c r="AK228" i="2"/>
  <c r="AJ228" i="2"/>
  <c r="AI228" i="2"/>
  <c r="AK227" i="2"/>
  <c r="AJ227" i="2"/>
  <c r="AI227" i="2"/>
  <c r="AK226" i="2"/>
  <c r="AJ226" i="2"/>
  <c r="AI226" i="2"/>
  <c r="AK225" i="2"/>
  <c r="AJ225" i="2"/>
  <c r="AI225" i="2"/>
  <c r="AK224" i="2"/>
  <c r="AJ224" i="2"/>
  <c r="AI224" i="2"/>
  <c r="AK223" i="2"/>
  <c r="AJ223" i="2"/>
  <c r="AI223" i="2"/>
  <c r="AC263" i="2"/>
  <c r="AB263" i="2"/>
  <c r="AC262" i="2"/>
  <c r="AB262" i="2"/>
  <c r="AC261" i="2"/>
  <c r="AB261" i="2"/>
  <c r="AC260" i="2"/>
  <c r="AB260" i="2"/>
  <c r="AC259" i="2"/>
  <c r="AB259" i="2"/>
  <c r="AC258" i="2"/>
  <c r="AB258" i="2"/>
  <c r="AC257" i="2"/>
  <c r="AB257" i="2"/>
  <c r="AC256" i="2"/>
  <c r="AB256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AC230" i="2"/>
  <c r="AB230" i="2"/>
  <c r="AC229" i="2"/>
  <c r="AB229" i="2"/>
  <c r="AC228" i="2"/>
  <c r="AB228" i="2"/>
  <c r="AC227" i="2"/>
  <c r="AB227" i="2"/>
  <c r="AC226" i="2"/>
  <c r="AB226" i="2"/>
  <c r="AC225" i="2"/>
  <c r="AB225" i="2"/>
  <c r="AC224" i="2"/>
  <c r="AB224" i="2"/>
  <c r="AC223" i="2"/>
  <c r="AB223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V223" i="2"/>
  <c r="G116" i="2"/>
  <c r="G118" i="2" s="1"/>
  <c r="G136" i="2" s="1"/>
  <c r="G108" i="2"/>
  <c r="G101" i="2"/>
  <c r="G128" i="2" s="1"/>
  <c r="G89" i="2"/>
  <c r="G81" i="2"/>
  <c r="O53" i="3" l="1"/>
  <c r="G47" i="3"/>
  <c r="AQ50" i="3"/>
  <c r="H51" i="3"/>
  <c r="H53" i="3" s="1"/>
  <c r="AH46" i="3"/>
  <c r="AH47" i="3" s="1"/>
  <c r="AJ52" i="3"/>
  <c r="P47" i="3"/>
  <c r="K46" i="3"/>
  <c r="K47" i="3" s="1"/>
  <c r="V46" i="3"/>
  <c r="V47" i="3" s="1"/>
  <c r="G52" i="3"/>
  <c r="S51" i="3"/>
  <c r="G50" i="3"/>
  <c r="G53" i="3" s="1"/>
  <c r="Q47" i="3"/>
  <c r="W46" i="3"/>
  <c r="W47" i="3" s="1"/>
  <c r="AQ51" i="3"/>
  <c r="AM48" i="3"/>
  <c r="AH51" i="3"/>
  <c r="AD52" i="3"/>
  <c r="R52" i="3"/>
  <c r="X46" i="3"/>
  <c r="Y48" i="3" s="1"/>
  <c r="I51" i="3"/>
  <c r="I53" i="3" s="1"/>
  <c r="R51" i="3"/>
  <c r="AI46" i="3"/>
  <c r="AI47" i="3" s="1"/>
  <c r="S46" i="3"/>
  <c r="S47" i="3" s="1"/>
  <c r="AA46" i="3"/>
  <c r="L51" i="3"/>
  <c r="L46" i="3"/>
  <c r="J46" i="3"/>
  <c r="J47" i="3" s="1"/>
  <c r="U46" i="3"/>
  <c r="I46" i="3"/>
  <c r="I47" i="3" s="1"/>
  <c r="U50" i="3"/>
  <c r="U53" i="3" s="1"/>
  <c r="V50" i="3"/>
  <c r="V53" i="3" s="1"/>
  <c r="AK46" i="3"/>
  <c r="AB46" i="3"/>
  <c r="AB47" i="3" s="1"/>
  <c r="X51" i="3"/>
  <c r="F47" i="3"/>
  <c r="AA53" i="3"/>
  <c r="AP46" i="3"/>
  <c r="AD51" i="3"/>
  <c r="AD53" i="3" s="1"/>
  <c r="AI50" i="3"/>
  <c r="AI53" i="3" s="1"/>
  <c r="AJ46" i="3"/>
  <c r="AJ47" i="3" s="1"/>
  <c r="G51" i="3"/>
  <c r="V51" i="3"/>
  <c r="AM51" i="3"/>
  <c r="AM53" i="3" s="1"/>
  <c r="Z52" i="3"/>
  <c r="N52" i="3"/>
  <c r="Z51" i="3"/>
  <c r="N51" i="3"/>
  <c r="Y46" i="3"/>
  <c r="Y47" i="3" s="1"/>
  <c r="M46" i="3"/>
  <c r="M47" i="3" s="1"/>
  <c r="AM50" i="3"/>
  <c r="AQ46" i="3"/>
  <c r="AQ48" i="3" s="1"/>
  <c r="AC46" i="3"/>
  <c r="AC47" i="3" s="1"/>
  <c r="AP48" i="3"/>
  <c r="AP47" i="3"/>
  <c r="F53" i="3"/>
  <c r="T53" i="3"/>
  <c r="S53" i="3"/>
  <c r="J53" i="3"/>
  <c r="AO47" i="3"/>
  <c r="AK47" i="3"/>
  <c r="AK48" i="3"/>
  <c r="AB53" i="3"/>
  <c r="P53" i="3"/>
  <c r="AQ47" i="3"/>
  <c r="AN46" i="3"/>
  <c r="W50" i="3"/>
  <c r="W53" i="3" s="1"/>
  <c r="M52" i="3"/>
  <c r="L50" i="3"/>
  <c r="M51" i="3"/>
  <c r="AN53" i="3"/>
  <c r="R48" i="3"/>
  <c r="Y50" i="3"/>
  <c r="AK53" i="3"/>
  <c r="G48" i="3"/>
  <c r="N50" i="3"/>
  <c r="Z50" i="3"/>
  <c r="Z53" i="3" s="1"/>
  <c r="H46" i="3"/>
  <c r="T46" i="3"/>
  <c r="T47" i="3" s="1"/>
  <c r="S48" i="3"/>
  <c r="AQ52" i="3"/>
  <c r="AQ53" i="3" s="1"/>
  <c r="Q51" i="3"/>
  <c r="Q53" i="3" s="1"/>
  <c r="AC51" i="3"/>
  <c r="K50" i="3"/>
  <c r="K53" i="3" s="1"/>
  <c r="Y52" i="3"/>
  <c r="X50" i="3"/>
  <c r="X53" i="3" s="1"/>
  <c r="Y51" i="3"/>
  <c r="AJ53" i="3"/>
  <c r="AD48" i="3"/>
  <c r="AC50" i="3"/>
  <c r="AO50" i="3"/>
  <c r="AO53" i="3" s="1"/>
  <c r="R47" i="3"/>
  <c r="R50" i="3"/>
  <c r="AH53" i="3"/>
  <c r="M50" i="3"/>
  <c r="AP50" i="3"/>
  <c r="N47" i="3"/>
  <c r="Z47" i="3"/>
  <c r="AL48" i="3"/>
  <c r="AM47" i="3"/>
  <c r="AL53" i="3"/>
  <c r="AP53" i="3"/>
  <c r="U48" i="3"/>
  <c r="U47" i="3"/>
  <c r="L47" i="3"/>
  <c r="O48" i="3"/>
  <c r="AA48" i="3"/>
  <c r="O47" i="3"/>
  <c r="AA47" i="3"/>
  <c r="Q48" i="3"/>
  <c r="AC48" i="3"/>
  <c r="AJ137" i="2"/>
  <c r="G27" i="3"/>
  <c r="AD26" i="3"/>
  <c r="AD31" i="3" s="1"/>
  <c r="AD33" i="3" s="1"/>
  <c r="AA27" i="3"/>
  <c r="P36" i="3"/>
  <c r="T27" i="3"/>
  <c r="I36" i="3"/>
  <c r="F27" i="3"/>
  <c r="J36" i="3"/>
  <c r="C27" i="3"/>
  <c r="H26" i="3"/>
  <c r="H31" i="3" s="1"/>
  <c r="H36" i="3" s="1"/>
  <c r="V36" i="3"/>
  <c r="Y26" i="3"/>
  <c r="Y31" i="3" s="1"/>
  <c r="Y33" i="3" s="1"/>
  <c r="U33" i="3"/>
  <c r="U38" i="3" s="1"/>
  <c r="D26" i="3"/>
  <c r="D31" i="3" s="1"/>
  <c r="D33" i="3" s="1"/>
  <c r="E26" i="3"/>
  <c r="E31" i="3" s="1"/>
  <c r="E33" i="3" s="1"/>
  <c r="I27" i="3"/>
  <c r="P33" i="3"/>
  <c r="P37" i="3" s="1"/>
  <c r="O27" i="3"/>
  <c r="N33" i="3"/>
  <c r="N36" i="3"/>
  <c r="Z33" i="3"/>
  <c r="Z36" i="3"/>
  <c r="O36" i="3"/>
  <c r="O33" i="3"/>
  <c r="AA36" i="3"/>
  <c r="AA33" i="3"/>
  <c r="AB36" i="3"/>
  <c r="AB33" i="3"/>
  <c r="Q36" i="3"/>
  <c r="Q33" i="3"/>
  <c r="AC33" i="3"/>
  <c r="AC36" i="3"/>
  <c r="S33" i="3"/>
  <c r="S36" i="3"/>
  <c r="F36" i="3"/>
  <c r="F33" i="3"/>
  <c r="G33" i="3"/>
  <c r="G36" i="3"/>
  <c r="K36" i="3"/>
  <c r="K33" i="3"/>
  <c r="W36" i="3"/>
  <c r="W33" i="3"/>
  <c r="T36" i="3"/>
  <c r="T33" i="3"/>
  <c r="L36" i="3"/>
  <c r="L33" i="3"/>
  <c r="X36" i="3"/>
  <c r="X33" i="3"/>
  <c r="AN26" i="3"/>
  <c r="M27" i="3"/>
  <c r="AO26" i="3"/>
  <c r="N27" i="3"/>
  <c r="V33" i="3"/>
  <c r="J33" i="3"/>
  <c r="AM26" i="3"/>
  <c r="I33" i="3"/>
  <c r="S27" i="3"/>
  <c r="U36" i="3"/>
  <c r="AL26" i="3"/>
  <c r="G12" i="3"/>
  <c r="M26" i="3"/>
  <c r="M31" i="3" s="1"/>
  <c r="R26" i="3"/>
  <c r="R31" i="3" s="1"/>
  <c r="U27" i="3"/>
  <c r="Z27" i="3"/>
  <c r="AH27" i="3"/>
  <c r="AI27" i="3"/>
  <c r="AJ27" i="3"/>
  <c r="AK27" i="3"/>
  <c r="J27" i="3"/>
  <c r="V27" i="3"/>
  <c r="K27" i="3"/>
  <c r="W27" i="3"/>
  <c r="L27" i="3"/>
  <c r="X27" i="3"/>
  <c r="P27" i="3"/>
  <c r="AB27" i="3"/>
  <c r="Q27" i="3"/>
  <c r="AC27" i="3"/>
  <c r="Y200" i="2"/>
  <c r="M200" i="2"/>
  <c r="AD200" i="2"/>
  <c r="AM200" i="2"/>
  <c r="AJ200" i="2"/>
  <c r="AK200" i="2"/>
  <c r="S200" i="2"/>
  <c r="V200" i="2"/>
  <c r="J200" i="2"/>
  <c r="AI200" i="2"/>
  <c r="F200" i="2"/>
  <c r="U200" i="2"/>
  <c r="T200" i="2"/>
  <c r="H200" i="2"/>
  <c r="AO200" i="2"/>
  <c r="L200" i="2"/>
  <c r="W200" i="2"/>
  <c r="K200" i="2"/>
  <c r="AN200" i="2"/>
  <c r="X200" i="2"/>
  <c r="G200" i="2"/>
  <c r="AL200" i="2"/>
  <c r="R200" i="2"/>
  <c r="I200" i="2"/>
  <c r="AB200" i="2"/>
  <c r="Q200" i="2"/>
  <c r="AC200" i="2"/>
  <c r="P200" i="2"/>
  <c r="AA200" i="2"/>
  <c r="O200" i="2"/>
  <c r="Z200" i="2"/>
  <c r="N200" i="2"/>
  <c r="G126" i="2"/>
  <c r="Q137" i="2"/>
  <c r="AC137" i="2"/>
  <c r="G127" i="2"/>
  <c r="F137" i="2"/>
  <c r="O137" i="2"/>
  <c r="AB137" i="2"/>
  <c r="G137" i="2"/>
  <c r="W137" i="2"/>
  <c r="X137" i="2"/>
  <c r="N137" i="2"/>
  <c r="R137" i="2"/>
  <c r="Z137" i="2"/>
  <c r="S137" i="2"/>
  <c r="H137" i="2"/>
  <c r="I137" i="2"/>
  <c r="J137" i="2"/>
  <c r="K137" i="2"/>
  <c r="Y137" i="2"/>
  <c r="M137" i="2"/>
  <c r="AA137" i="2"/>
  <c r="L137" i="2"/>
  <c r="G135" i="2"/>
  <c r="U137" i="2"/>
  <c r="T137" i="2"/>
  <c r="V137" i="2"/>
  <c r="P137" i="2"/>
  <c r="G109" i="2"/>
  <c r="L13" i="1"/>
  <c r="G90" i="2"/>
  <c r="G9" i="3" s="1"/>
  <c r="W256" i="2"/>
  <c r="X263" i="2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W257" i="2"/>
  <c r="V257" i="2"/>
  <c r="X256" i="2"/>
  <c r="V256" i="2"/>
  <c r="Y256" i="2"/>
  <c r="W223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W225" i="2"/>
  <c r="V225" i="2"/>
  <c r="X224" i="2"/>
  <c r="W224" i="2"/>
  <c r="V224" i="2"/>
  <c r="X223" i="2"/>
  <c r="Y223" i="2"/>
  <c r="AN263" i="2"/>
  <c r="AN262" i="2"/>
  <c r="AN261" i="2"/>
  <c r="AN260" i="2"/>
  <c r="AN259" i="2"/>
  <c r="AN258" i="2"/>
  <c r="AN257" i="2"/>
  <c r="AN256" i="2"/>
  <c r="AM263" i="2"/>
  <c r="AM262" i="2"/>
  <c r="AM261" i="2"/>
  <c r="AM260" i="2"/>
  <c r="AM259" i="2"/>
  <c r="AM258" i="2"/>
  <c r="AM257" i="2"/>
  <c r="AM256" i="2"/>
  <c r="AL263" i="2"/>
  <c r="AL262" i="2"/>
  <c r="AL261" i="2"/>
  <c r="AL260" i="2"/>
  <c r="AL259" i="2"/>
  <c r="AL258" i="2"/>
  <c r="AL257" i="2"/>
  <c r="AL256" i="2"/>
  <c r="AL230" i="2"/>
  <c r="AL229" i="2"/>
  <c r="AL228" i="2"/>
  <c r="AL227" i="2"/>
  <c r="AL226" i="2"/>
  <c r="AL225" i="2"/>
  <c r="AL224" i="2"/>
  <c r="AL223" i="2"/>
  <c r="AN230" i="2"/>
  <c r="AN229" i="2"/>
  <c r="AN228" i="2"/>
  <c r="AN227" i="2"/>
  <c r="AN226" i="2"/>
  <c r="AN225" i="2"/>
  <c r="AN224" i="2"/>
  <c r="AN223" i="2"/>
  <c r="AM224" i="2"/>
  <c r="AM225" i="2"/>
  <c r="AM226" i="2"/>
  <c r="AM227" i="2"/>
  <c r="AM228" i="2"/>
  <c r="AM229" i="2"/>
  <c r="AM230" i="2"/>
  <c r="AM223" i="2"/>
  <c r="Z291" i="2"/>
  <c r="Z223" i="2"/>
  <c r="Y224" i="2"/>
  <c r="Z224" i="2"/>
  <c r="Y225" i="2"/>
  <c r="Z225" i="2"/>
  <c r="Y226" i="2"/>
  <c r="Z226" i="2"/>
  <c r="Y227" i="2"/>
  <c r="Z227" i="2"/>
  <c r="Y228" i="2"/>
  <c r="Z228" i="2"/>
  <c r="Y229" i="2"/>
  <c r="Z229" i="2"/>
  <c r="Y230" i="2"/>
  <c r="Z230" i="2"/>
  <c r="Z256" i="2"/>
  <c r="Y257" i="2"/>
  <c r="Z257" i="2"/>
  <c r="Y258" i="2"/>
  <c r="Z258" i="2"/>
  <c r="Y259" i="2"/>
  <c r="Z259" i="2"/>
  <c r="Y260" i="2"/>
  <c r="Z260" i="2"/>
  <c r="Y261" i="2"/>
  <c r="Z261" i="2"/>
  <c r="Y262" i="2"/>
  <c r="Z262" i="2"/>
  <c r="Y263" i="2"/>
  <c r="Z263" i="2"/>
  <c r="AA263" i="2"/>
  <c r="AA262" i="2"/>
  <c r="AA261" i="2"/>
  <c r="AA260" i="2"/>
  <c r="AA259" i="2"/>
  <c r="AA258" i="2"/>
  <c r="AA257" i="2"/>
  <c r="AA256" i="2"/>
  <c r="AA228" i="2"/>
  <c r="AA229" i="2"/>
  <c r="AA224" i="2"/>
  <c r="AA225" i="2"/>
  <c r="AA226" i="2"/>
  <c r="AA227" i="2"/>
  <c r="AA230" i="2"/>
  <c r="AA223" i="2"/>
  <c r="AJ48" i="3" l="1"/>
  <c r="J48" i="3"/>
  <c r="R53" i="3"/>
  <c r="L53" i="3"/>
  <c r="V48" i="3"/>
  <c r="X47" i="3"/>
  <c r="M48" i="3"/>
  <c r="N53" i="3"/>
  <c r="N48" i="3"/>
  <c r="X48" i="3"/>
  <c r="AI48" i="3"/>
  <c r="L48" i="3"/>
  <c r="AB48" i="3"/>
  <c r="W48" i="3"/>
  <c r="Z48" i="3"/>
  <c r="K48" i="3"/>
  <c r="M53" i="3"/>
  <c r="AN48" i="3"/>
  <c r="AN47" i="3"/>
  <c r="T48" i="3"/>
  <c r="Y53" i="3"/>
  <c r="AC53" i="3"/>
  <c r="I48" i="3"/>
  <c r="H48" i="3"/>
  <c r="H47" i="3"/>
  <c r="AO48" i="3"/>
  <c r="Y36" i="3"/>
  <c r="AD36" i="3"/>
  <c r="H33" i="3"/>
  <c r="H37" i="3" s="1"/>
  <c r="P38" i="3"/>
  <c r="U37" i="3"/>
  <c r="L38" i="3"/>
  <c r="L37" i="3"/>
  <c r="Q37" i="3"/>
  <c r="Q38" i="3"/>
  <c r="I38" i="3"/>
  <c r="I37" i="3"/>
  <c r="Y38" i="3"/>
  <c r="Y37" i="3"/>
  <c r="F37" i="3"/>
  <c r="F38" i="3"/>
  <c r="AB37" i="3"/>
  <c r="AB38" i="3"/>
  <c r="T38" i="3"/>
  <c r="T37" i="3"/>
  <c r="AA37" i="3"/>
  <c r="AA38" i="3"/>
  <c r="V38" i="3"/>
  <c r="V37" i="3"/>
  <c r="AD38" i="3"/>
  <c r="AD37" i="3"/>
  <c r="W38" i="3"/>
  <c r="W37" i="3"/>
  <c r="O37" i="3"/>
  <c r="O38" i="3"/>
  <c r="R33" i="3"/>
  <c r="R36" i="3"/>
  <c r="M36" i="3"/>
  <c r="M33" i="3"/>
  <c r="K38" i="3"/>
  <c r="K37" i="3"/>
  <c r="G119" i="2"/>
  <c r="G130" i="2" s="1"/>
  <c r="G11" i="3"/>
  <c r="J38" i="3"/>
  <c r="J37" i="3"/>
  <c r="S38" i="3"/>
  <c r="S37" i="3"/>
  <c r="Z37" i="3"/>
  <c r="Z38" i="3"/>
  <c r="X38" i="3"/>
  <c r="X37" i="3"/>
  <c r="G38" i="3"/>
  <c r="G37" i="3"/>
  <c r="AC37" i="3"/>
  <c r="AC38" i="3"/>
  <c r="N37" i="3"/>
  <c r="N38" i="3"/>
  <c r="G132" i="2"/>
  <c r="G122" i="2"/>
  <c r="G124" i="2"/>
  <c r="H124" i="2"/>
  <c r="G131" i="2"/>
  <c r="H38" i="3" l="1"/>
  <c r="R38" i="3"/>
  <c r="R37" i="3"/>
  <c r="M38" i="3"/>
  <c r="M37" i="3"/>
</calcChain>
</file>

<file path=xl/sharedStrings.xml><?xml version="1.0" encoding="utf-8"?>
<sst xmlns="http://schemas.openxmlformats.org/spreadsheetml/2006/main" count="949" uniqueCount="294">
  <si>
    <t>Main</t>
  </si>
  <si>
    <t>S/O</t>
  </si>
  <si>
    <t>MC</t>
  </si>
  <si>
    <t>C</t>
  </si>
  <si>
    <t>D</t>
  </si>
  <si>
    <t>EV</t>
  </si>
  <si>
    <t>Revenue</t>
  </si>
  <si>
    <t>Cost of sales</t>
  </si>
  <si>
    <t>Gross profit</t>
  </si>
  <si>
    <t>Other operating income</t>
  </si>
  <si>
    <t>Other operating expenses</t>
  </si>
  <si>
    <t>Income (loss) from investments accounted for using the equity method, net</t>
  </si>
  <si>
    <t>Interest income</t>
  </si>
  <si>
    <t>Interest expenses</t>
  </si>
  <si>
    <t>Other financial income (expenses), net</t>
  </si>
  <si>
    <t>Income from continuing operations before income taxes</t>
  </si>
  <si>
    <t>Income tax expenses</t>
  </si>
  <si>
    <t>Income from continuing operations</t>
  </si>
  <si>
    <t>Income (loss) from discontinued operations, net of income taxes</t>
  </si>
  <si>
    <t>Net income</t>
  </si>
  <si>
    <t>R&amp;D</t>
  </si>
  <si>
    <t>SG&amp;A</t>
  </si>
  <si>
    <t>Q1 FY26</t>
  </si>
  <si>
    <t>Q4 FY25</t>
  </si>
  <si>
    <t>Q3 FY25</t>
  </si>
  <si>
    <t>Q2 FY25</t>
  </si>
  <si>
    <t>Q1 FY25</t>
  </si>
  <si>
    <t>Q4 FY24</t>
  </si>
  <si>
    <t>Non-controlling interests</t>
  </si>
  <si>
    <t>Shareholders of Siemens AG</t>
  </si>
  <si>
    <t>Attributable to:</t>
  </si>
  <si>
    <t/>
  </si>
  <si>
    <t>Basic earnings per share</t>
  </si>
  <si>
    <t>Income from discontinued operations</t>
  </si>
  <si>
    <t>Diluted earnings per share</t>
  </si>
  <si>
    <t>Remeasurements of defined benefit plans</t>
  </si>
  <si>
    <t>therein: Income tax effects</t>
  </si>
  <si>
    <t>Remeasurements of equity instruments</t>
  </si>
  <si>
    <t>Items that will not be reclassified to profit or loss</t>
  </si>
  <si>
    <t>Currency translation differences</t>
  </si>
  <si>
    <t>Derivative financial instruments</t>
  </si>
  <si>
    <t>Items that may be reclassified subsequently to profit or loss</t>
  </si>
  <si>
    <t>Other comprehensive income, net of income taxes</t>
  </si>
  <si>
    <t>Total comprehensive income</t>
  </si>
  <si>
    <t>Consolidated Statements of Comprehensive Income</t>
  </si>
  <si>
    <t>Assets</t>
  </si>
  <si>
    <t>Cash and cash equivalents</t>
  </si>
  <si>
    <t>Trade and other receivables</t>
  </si>
  <si>
    <t>Other current financial assets</t>
  </si>
  <si>
    <t>Contract assets</t>
  </si>
  <si>
    <t>Inventories</t>
  </si>
  <si>
    <t>Current income tax assets</t>
  </si>
  <si>
    <t>Other current assets</t>
  </si>
  <si>
    <t>Assets classified as held for disposal</t>
  </si>
  <si>
    <t>Total current assets</t>
  </si>
  <si>
    <t>Goodwill</t>
  </si>
  <si>
    <t>Other intangible assets</t>
  </si>
  <si>
    <t>Property, plant and equipment</t>
  </si>
  <si>
    <t>Investments accounted for using the equity method</t>
  </si>
  <si>
    <t>Other financial assets</t>
  </si>
  <si>
    <t>Deferred tax assets</t>
  </si>
  <si>
    <t>Other assets</t>
  </si>
  <si>
    <t>Total non-current assets</t>
  </si>
  <si>
    <t>Total assets</t>
  </si>
  <si>
    <t>Liabilities and equity</t>
  </si>
  <si>
    <t>Short-term debt and current maturities of long-term debt</t>
  </si>
  <si>
    <t>Trade payables</t>
  </si>
  <si>
    <t>Other current financial liabilities</t>
  </si>
  <si>
    <t>Contract liabilities</t>
  </si>
  <si>
    <t>Current provisions</t>
  </si>
  <si>
    <t>Current income tax liabilities</t>
  </si>
  <si>
    <t>Other current liabilities</t>
  </si>
  <si>
    <t>Liabilities associated with assets classified as held for disposal</t>
  </si>
  <si>
    <t>Total current liabilities</t>
  </si>
  <si>
    <t>Long-term debt</t>
  </si>
  <si>
    <t>Provisions for pensions and similar obligations</t>
  </si>
  <si>
    <t>Deferred tax liabilities</t>
  </si>
  <si>
    <t>Provisions</t>
  </si>
  <si>
    <t>Other financial liabilities</t>
  </si>
  <si>
    <t>Other liabilities</t>
  </si>
  <si>
    <t>Total non-current liabilities</t>
  </si>
  <si>
    <t>Total liabilities</t>
  </si>
  <si>
    <t>Equity</t>
  </si>
  <si>
    <t>Issued capital</t>
  </si>
  <si>
    <t>Capital reserve</t>
  </si>
  <si>
    <t>Retained earnings</t>
  </si>
  <si>
    <t>Other components of equity</t>
  </si>
  <si>
    <t xml:space="preserve">Treasury shares, at cost </t>
  </si>
  <si>
    <t>Total equity attributable to shareholders of Siemens AG</t>
  </si>
  <si>
    <t>Total equity</t>
  </si>
  <si>
    <t>Total liabilities and equity</t>
  </si>
  <si>
    <t>Cash flows from operating activities</t>
  </si>
  <si>
    <t>(Income) loss from discontinued operations, net of income taxes</t>
  </si>
  <si>
    <t>Amortization, depreciation and impairments</t>
  </si>
  <si>
    <t>Interest (income) expenses, net</t>
  </si>
  <si>
    <t>(Income) loss related to investing activities</t>
  </si>
  <si>
    <t>Other non-cash (income) expenses</t>
  </si>
  <si>
    <t>Change in operating net working capital from</t>
  </si>
  <si>
    <t>Additions to assets leased to others in operating leases</t>
  </si>
  <si>
    <t>Change in other assets and liabilities</t>
  </si>
  <si>
    <t>Income taxes paid</t>
  </si>
  <si>
    <t>Dividends received</t>
  </si>
  <si>
    <t>Interest received</t>
  </si>
  <si>
    <t>Cash flows from operating activities – continuing operations</t>
  </si>
  <si>
    <t>Cash flows from operating activities – discontinued operations</t>
  </si>
  <si>
    <t>Cash flows from operating activities – continuing and discontinued operations</t>
  </si>
  <si>
    <t>Cash flows from investing activities</t>
  </si>
  <si>
    <t>Acquisitions of businesses, net of cash acquired</t>
  </si>
  <si>
    <t>Purchase of investments and financial assets for investment purposes</t>
  </si>
  <si>
    <t>Change in receivables from financing activities</t>
  </si>
  <si>
    <t>Disposal of intangibles and property, plant and equipment</t>
  </si>
  <si>
    <t>Disposal of businesses, net of cash disposed</t>
  </si>
  <si>
    <t>Disposal of investments and financial assets for investment purposes</t>
  </si>
  <si>
    <t>Cash flows from investing activities – continuing operations</t>
  </si>
  <si>
    <t>Cash flows from investing activities – discontinued operations</t>
  </si>
  <si>
    <t>Cash flows from investing activities – continuing and discontinued operations</t>
  </si>
  <si>
    <t>Cash flows from financing activities</t>
  </si>
  <si>
    <t>Purchase of treasury shares</t>
  </si>
  <si>
    <t>Re-issuance of treasury shares and other transactions with owners</t>
  </si>
  <si>
    <t>Repayment of long-term debt (including current maturities of long-term debt)</t>
  </si>
  <si>
    <t>Change in short-term debt and other financing activities</t>
  </si>
  <si>
    <t>Interest paid</t>
  </si>
  <si>
    <t>Dividends attributable to non-controlling interests</t>
  </si>
  <si>
    <t>Cash flows from financing activities – continuing operations</t>
  </si>
  <si>
    <t>Cash flows from financing activities – discontinued operations</t>
  </si>
  <si>
    <t>Cash flows from financing activities – continuing and discontinued operations</t>
  </si>
  <si>
    <t>Effect of changes in exchange rates on cash and cash equivalents</t>
  </si>
  <si>
    <t>Change in cash and cash equivalents</t>
  </si>
  <si>
    <t>Cash and cash equivalents at beginning of period</t>
  </si>
  <si>
    <t>Cash and cash equivalents at end of period</t>
  </si>
  <si>
    <t xml:space="preserve">Less: Cash and cash equivalents of assets classified as held for disposal and discontinued operations
at end of period </t>
  </si>
  <si>
    <t>Cash and cash equivalents at end of period (Consolidated Statements of Financial Position)</t>
  </si>
  <si>
    <t>Overview of Segment figures</t>
  </si>
  <si>
    <t>Orders</t>
  </si>
  <si>
    <t>Digital Industries</t>
  </si>
  <si>
    <t>Smart Infrastructure</t>
  </si>
  <si>
    <t>Mobility</t>
  </si>
  <si>
    <t>Siemens Healthineers</t>
  </si>
  <si>
    <t>Industrial Business</t>
  </si>
  <si>
    <t>Siemens Financial Services (SFS)</t>
  </si>
  <si>
    <t>Reconciliation to 
Consolidated Financial Statements</t>
  </si>
  <si>
    <t>Siemens (continuing operations)</t>
  </si>
  <si>
    <t>% Change</t>
  </si>
  <si>
    <t>Profit (SFS: EBT)</t>
  </si>
  <si>
    <t>Profit margin (SFS: ROE)</t>
  </si>
  <si>
    <t>FCF</t>
  </si>
  <si>
    <t>Net capital employed (SFS: Total assets)</t>
  </si>
  <si>
    <t>EBITDA</t>
  </si>
  <si>
    <t>Europe, C.I.S., Africa, Middle East</t>
  </si>
  <si>
    <t>therein: Germany</t>
  </si>
  <si>
    <t>Americas</t>
  </si>
  <si>
    <t>therein: U.S.</t>
  </si>
  <si>
    <t>Asia, Australia</t>
  </si>
  <si>
    <t>therein: China</t>
  </si>
  <si>
    <t>Orders &amp; Revenue by region</t>
  </si>
  <si>
    <t>FY2025</t>
  </si>
  <si>
    <t>FY2026</t>
  </si>
  <si>
    <t>FY2023</t>
  </si>
  <si>
    <t>FY2024</t>
  </si>
  <si>
    <t>Issuance of long-term debt</t>
  </si>
  <si>
    <t>Dividends paid to shareholders of Siemens AG</t>
  </si>
  <si>
    <t>Q1 FY24</t>
  </si>
  <si>
    <t>Q2 FY24</t>
  </si>
  <si>
    <t>Q3 FY24</t>
  </si>
  <si>
    <t>FY2021</t>
  </si>
  <si>
    <t>FY2022</t>
  </si>
  <si>
    <t>Q4 FY23</t>
  </si>
  <si>
    <t>Q3 FY23</t>
  </si>
  <si>
    <t>Q2 FY23</t>
  </si>
  <si>
    <t>Q1 FY23</t>
  </si>
  <si>
    <t>Q4 FY22</t>
  </si>
  <si>
    <t>Q3 FY22</t>
  </si>
  <si>
    <t>Q2 FY22</t>
  </si>
  <si>
    <t>Q1 FY22</t>
  </si>
  <si>
    <t>Portfolio Companies</t>
  </si>
  <si>
    <t>Adjustments to reconcile net income to cash flows from operating activities</t>
  </si>
  <si>
    <t>Q4 FY21</t>
  </si>
  <si>
    <t>Q3 FY21</t>
  </si>
  <si>
    <t>Q2 FY21</t>
  </si>
  <si>
    <t>Q1 FY21</t>
  </si>
  <si>
    <t>Q4 FY20</t>
  </si>
  <si>
    <t>Q3 FY20</t>
  </si>
  <si>
    <t>Q2 FY20</t>
  </si>
  <si>
    <t>Q1 FY20</t>
  </si>
  <si>
    <t>therein: emerging markets</t>
  </si>
  <si>
    <t>FY2020</t>
  </si>
  <si>
    <t>Effect of deconsolidation of Siemens Energy on cash and cash equivalents</t>
  </si>
  <si>
    <t>FY2027</t>
  </si>
  <si>
    <t>FY2028</t>
  </si>
  <si>
    <t>FY2029</t>
  </si>
  <si>
    <t>FY2030</t>
  </si>
  <si>
    <t>Q2 FY26</t>
  </si>
  <si>
    <t>Q3 FY26</t>
  </si>
  <si>
    <t>Q4 FY26</t>
  </si>
  <si>
    <t>(in million of €)</t>
  </si>
  <si>
    <t>Gross Margin</t>
  </si>
  <si>
    <t>Op Margin</t>
  </si>
  <si>
    <t>Net Margin</t>
  </si>
  <si>
    <t>Revenue y/y</t>
  </si>
  <si>
    <t>Interest Margin</t>
  </si>
  <si>
    <t>Net Cash</t>
  </si>
  <si>
    <t>Net Margin (Comperhensive)</t>
  </si>
  <si>
    <t>R&amp;D Gross Margin Share</t>
  </si>
  <si>
    <t>SG&amp;A Gross Margin Share</t>
  </si>
  <si>
    <t>Current Ratio</t>
  </si>
  <si>
    <t>Quick Ratio</t>
  </si>
  <si>
    <t>Cash Ratio</t>
  </si>
  <si>
    <t>Debt-to-Equity</t>
  </si>
  <si>
    <t>Trl Asset Turnover</t>
  </si>
  <si>
    <t>Trl ROE</t>
  </si>
  <si>
    <t>Trl ROA</t>
  </si>
  <si>
    <t>Trl ROIC</t>
  </si>
  <si>
    <t>Debt-to-Capital</t>
  </si>
  <si>
    <t>Tax Rate</t>
  </si>
  <si>
    <t>CapEx Margin</t>
  </si>
  <si>
    <t>PP&amp;A Share</t>
  </si>
  <si>
    <t>PP&amp;A q/q</t>
  </si>
  <si>
    <t>Trl Inventory Turnover</t>
  </si>
  <si>
    <t>Assets q/q</t>
  </si>
  <si>
    <t>`</t>
  </si>
  <si>
    <t>Interest Coverage EBIT</t>
  </si>
  <si>
    <t>Interest Coverage EBITDA</t>
  </si>
  <si>
    <t>FCF y/y</t>
  </si>
  <si>
    <t>CapEx y/y</t>
  </si>
  <si>
    <t>Order Share</t>
  </si>
  <si>
    <t>Revenue Share</t>
  </si>
  <si>
    <t>Net Income</t>
  </si>
  <si>
    <t>Gross Profit</t>
  </si>
  <si>
    <t>EBIT</t>
  </si>
  <si>
    <t>Cash</t>
  </si>
  <si>
    <t>Total Assets</t>
  </si>
  <si>
    <t>Total Debt</t>
  </si>
  <si>
    <t>Total Liabilities</t>
  </si>
  <si>
    <t>CFFO</t>
  </si>
  <si>
    <t>CFFI</t>
  </si>
  <si>
    <t>CFFF</t>
  </si>
  <si>
    <t>CF</t>
  </si>
  <si>
    <t>CapEx</t>
  </si>
  <si>
    <t>Model FCF</t>
  </si>
  <si>
    <t>Reported FCF</t>
  </si>
  <si>
    <t>Price (€)</t>
  </si>
  <si>
    <t>Implied Basic S/O</t>
  </si>
  <si>
    <t>Implied Diluted S/O</t>
  </si>
  <si>
    <t>Price</t>
  </si>
  <si>
    <t>Trl P/E</t>
  </si>
  <si>
    <t>Trl EV/FCF</t>
  </si>
  <si>
    <t>Trl EV/EBITDA</t>
  </si>
  <si>
    <t>D&amp;A as % of prior year fixed assets</t>
  </si>
  <si>
    <t>Capex as % of sales</t>
  </si>
  <si>
    <t>Capex/D&amp;A ratio</t>
  </si>
  <si>
    <t>A/R</t>
  </si>
  <si>
    <t>A/P</t>
  </si>
  <si>
    <t>Working capital, net</t>
  </si>
  <si>
    <t>Change in working capital</t>
  </si>
  <si>
    <t>% of sales TTM</t>
  </si>
  <si>
    <t>Days inventories on hand TTM</t>
  </si>
  <si>
    <t>Days sales outstanding TTM</t>
  </si>
  <si>
    <t>Days payable outstanding TTM</t>
  </si>
  <si>
    <t>Cash Conversion Cycle</t>
  </si>
  <si>
    <t>NOK</t>
  </si>
  <si>
    <t>Currency</t>
  </si>
  <si>
    <t>Rate</t>
  </si>
  <si>
    <t>Value</t>
  </si>
  <si>
    <t>Company</t>
  </si>
  <si>
    <t>Siemens AG</t>
  </si>
  <si>
    <t>Ownership %</t>
  </si>
  <si>
    <t>Siemens Energy AG</t>
  </si>
  <si>
    <t>Siemens Healthcare AG</t>
  </si>
  <si>
    <t>General Electric Co</t>
  </si>
  <si>
    <t>GE Vernova Inc</t>
  </si>
  <si>
    <t>Schneider Electric SE</t>
  </si>
  <si>
    <t>ABB Ltd</t>
  </si>
  <si>
    <t>Country</t>
  </si>
  <si>
    <t>Switzerland</t>
  </si>
  <si>
    <t>United States</t>
  </si>
  <si>
    <t>Germany</t>
  </si>
  <si>
    <t>France</t>
  </si>
  <si>
    <t>Rockwell Automation Inc</t>
  </si>
  <si>
    <t>Emerson Electric Co</t>
  </si>
  <si>
    <t>Mitsubishi Electric Corp</t>
  </si>
  <si>
    <t>Japan</t>
  </si>
  <si>
    <t>Panasonic Holdings Corp</t>
  </si>
  <si>
    <t>Sector</t>
  </si>
  <si>
    <t>Consumer Discretionary</t>
  </si>
  <si>
    <t>Hitachi Ltd</t>
  </si>
  <si>
    <t>Toshiba TEC Corp</t>
  </si>
  <si>
    <t>Technology</t>
  </si>
  <si>
    <t>Alstom SA</t>
  </si>
  <si>
    <t>Fujitsu Ltd</t>
  </si>
  <si>
    <t>thyssenkrupp AG</t>
  </si>
  <si>
    <t>USD</t>
  </si>
  <si>
    <t>Industrials</t>
  </si>
  <si>
    <t>Energy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</si>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</sst>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&quot;— &quot;"/>
    <numFmt numFmtId="165" formatCode="#,##0;\(#,##0\);&quot;—   &quot;"/>
    <numFmt numFmtId="166" formatCode="#,##0.00;\(#,##0.00\);&quot;— &quot;"/>
    <numFmt numFmtId="167" formatCode="0.0%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AF8E"/>
      <name val="Arial"/>
      <family val="2"/>
    </font>
    <font>
      <b/>
      <sz val="10"/>
      <color rgb="FF00AF8E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5"/>
      <color rgb="FF00AF8E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164" fontId="5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165" fontId="5" fillId="0" borderId="0" xfId="0" quotePrefix="1" applyNumberFormat="1" applyFont="1"/>
    <xf numFmtId="49" fontId="8" fillId="0" borderId="0" xfId="0" applyNumberFormat="1" applyFont="1"/>
    <xf numFmtId="4" fontId="5" fillId="0" borderId="0" xfId="0" quotePrefix="1" applyNumberFormat="1" applyFont="1"/>
    <xf numFmtId="164" fontId="14" fillId="0" borderId="0" xfId="0" applyNumberFormat="1" applyFont="1"/>
    <xf numFmtId="164" fontId="5" fillId="0" borderId="0" xfId="0" quotePrefix="1" applyNumberFormat="1" applyFont="1"/>
    <xf numFmtId="10" fontId="5" fillId="0" borderId="0" xfId="0" applyNumberFormat="1" applyFont="1"/>
    <xf numFmtId="166" fontId="5" fillId="0" borderId="0" xfId="0" applyNumberFormat="1" applyFont="1"/>
    <xf numFmtId="164" fontId="15" fillId="0" borderId="0" xfId="0" applyNumberFormat="1" applyFont="1"/>
    <xf numFmtId="164" fontId="8" fillId="0" borderId="0" xfId="0" applyNumberFormat="1" applyFont="1"/>
    <xf numFmtId="10" fontId="9" fillId="0" borderId="0" xfId="0" applyNumberFormat="1" applyFont="1"/>
    <xf numFmtId="10" fontId="5" fillId="0" borderId="0" xfId="0" applyNumberFormat="1" applyFont="1" applyAlignment="1">
      <alignment wrapText="1"/>
    </xf>
    <xf numFmtId="10" fontId="10" fillId="0" borderId="0" xfId="0" applyNumberFormat="1" applyFont="1"/>
    <xf numFmtId="164" fontId="11" fillId="0" borderId="0" xfId="1" applyNumberFormat="1" applyFont="1" applyFill="1" applyBorder="1"/>
    <xf numFmtId="164" fontId="13" fillId="0" borderId="0" xfId="0" applyNumberFormat="1" applyFont="1"/>
    <xf numFmtId="164" fontId="5" fillId="0" borderId="0" xfId="0" applyNumberFormat="1" applyFont="1" applyAlignment="1">
      <alignment horizontal="left" indent="1"/>
    </xf>
    <xf numFmtId="164" fontId="14" fillId="0" borderId="0" xfId="0" applyNumberFormat="1" applyFont="1" applyAlignment="1">
      <alignment horizontal="left" indent="1"/>
    </xf>
    <xf numFmtId="2" fontId="5" fillId="0" borderId="0" xfId="0" applyNumberFormat="1" applyFont="1"/>
    <xf numFmtId="2" fontId="8" fillId="0" borderId="0" xfId="0" applyNumberFormat="1" applyFont="1"/>
    <xf numFmtId="2" fontId="10" fillId="0" borderId="0" xfId="0" applyNumberFormat="1" applyFont="1"/>
    <xf numFmtId="2" fontId="5" fillId="0" borderId="0" xfId="0" quotePrefix="1" applyNumberFormat="1" applyFont="1"/>
    <xf numFmtId="0" fontId="10" fillId="0" borderId="0" xfId="0" applyFont="1"/>
    <xf numFmtId="2" fontId="9" fillId="0" borderId="0" xfId="0" applyNumberFormat="1" applyFont="1"/>
    <xf numFmtId="0" fontId="9" fillId="0" borderId="0" xfId="0" applyFont="1"/>
    <xf numFmtId="164" fontId="9" fillId="0" borderId="0" xfId="0" quotePrefix="1" applyNumberFormat="1" applyFont="1"/>
    <xf numFmtId="164" fontId="5" fillId="0" borderId="0" xfId="0" applyNumberFormat="1" applyFont="1" applyAlignment="1">
      <alignment horizontal="left" indent="2"/>
    </xf>
    <xf numFmtId="164" fontId="5" fillId="0" borderId="0" xfId="0" applyNumberFormat="1" applyFont="1" applyAlignment="1">
      <alignment horizontal="left" indent="3"/>
    </xf>
    <xf numFmtId="164" fontId="9" fillId="0" borderId="0" xfId="0" applyNumberFormat="1" applyFont="1" applyAlignment="1">
      <alignment horizontal="left" indent="1"/>
    </xf>
    <xf numFmtId="164" fontId="10" fillId="0" borderId="0" xfId="0" applyNumberFormat="1" applyFont="1" applyAlignment="1">
      <alignment horizontal="left"/>
    </xf>
    <xf numFmtId="164" fontId="5" fillId="0" borderId="0" xfId="0" applyNumberFormat="1" applyFont="1" applyAlignment="1">
      <alignment wrapText="1"/>
    </xf>
    <xf numFmtId="49" fontId="16" fillId="0" borderId="0" xfId="0" applyNumberFormat="1" applyFont="1"/>
    <xf numFmtId="0" fontId="17" fillId="0" borderId="0" xfId="0" applyFont="1" applyAlignment="1">
      <alignment horizontal="left" indent="1"/>
    </xf>
    <xf numFmtId="164" fontId="1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" fontId="6" fillId="0" borderId="0" xfId="0" applyNumberFormat="1" applyFont="1"/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2" fontId="3" fillId="0" borderId="0" xfId="0" applyNumberFormat="1" applyFont="1"/>
    <xf numFmtId="167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 applyAlignment="1">
      <alignment horizontal="left" indent="1"/>
    </xf>
    <xf numFmtId="3" fontId="2" fillId="0" borderId="0" xfId="0" applyNumberFormat="1" applyFont="1"/>
    <xf numFmtId="3" fontId="5" fillId="0" borderId="0" xfId="0" applyNumberFormat="1" applyFont="1"/>
    <xf numFmtId="0" fontId="5" fillId="0" borderId="1" xfId="0" applyFont="1" applyBorder="1"/>
    <xf numFmtId="3" fontId="5" fillId="0" borderId="1" xfId="0" applyNumberFormat="1" applyFont="1" applyBorder="1"/>
    <xf numFmtId="9" fontId="2" fillId="0" borderId="0" xfId="0" applyNumberFormat="1" applyFont="1"/>
    <xf numFmtId="9" fontId="5" fillId="0" borderId="0" xfId="0" applyNumberFormat="1" applyFont="1"/>
    <xf numFmtId="1" fontId="2" fillId="0" borderId="1" xfId="0" applyNumberFormat="1" applyFont="1" applyBorder="1"/>
    <xf numFmtId="1" fontId="5" fillId="0" borderId="1" xfId="0" applyNumberFormat="1" applyFont="1" applyBorder="1"/>
    <xf numFmtId="1" fontId="2" fillId="0" borderId="0" xfId="0" applyNumberFormat="1" applyFont="1"/>
    <xf numFmtId="1" fontId="5" fillId="0" borderId="0" xfId="0" applyNumberFormat="1" applyFont="1"/>
    <xf numFmtId="3" fontId="2" fillId="0" borderId="2" xfId="0" applyNumberFormat="1" applyFont="1" applyBorder="1"/>
    <xf numFmtId="3" fontId="5" fillId="0" borderId="2" xfId="0" applyNumberFormat="1" applyFont="1" applyBorder="1"/>
    <xf numFmtId="0" fontId="2" fillId="0" borderId="3" xfId="0" applyFont="1" applyBorder="1"/>
    <xf numFmtId="0" fontId="5" fillId="0" borderId="3" xfId="0" applyFont="1" applyBorder="1"/>
    <xf numFmtId="1" fontId="5" fillId="0" borderId="3" xfId="0" applyNumberFormat="1" applyFont="1" applyBorder="1"/>
    <xf numFmtId="0" fontId="1" fillId="0" borderId="0" xfId="0" applyFont="1"/>
    <xf numFmtId="0" fontId="1" fillId="0" borderId="0" xfId="0" applyFont="1" applyBorder="1"/>
    <xf numFmtId="3" fontId="1" fillId="0" borderId="0" xfId="0" applyNumberFormat="1" applyFont="1" applyBorder="1"/>
    <xf numFmtId="10" fontId="1" fillId="0" borderId="0" xfId="0" applyNumberFormat="1" applyFont="1" applyBorder="1"/>
    <xf numFmtId="10" fontId="1" fillId="0" borderId="0" xfId="0" applyNumberFormat="1" applyFont="1"/>
    <xf numFmtId="37" fontId="1" fillId="0" borderId="0" xfId="0" applyNumberFormat="1" applyFont="1" applyBorder="1"/>
    <xf numFmtId="0" fontId="8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9FF77"/>
      <color rgb="FF00AF8E"/>
      <color rgb="FF94B7BE"/>
      <color rgb="FF4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145600283039811E-2"/>
          <c:y val="2.7124285530963688E-2"/>
          <c:w val="0.89001817395933636"/>
          <c:h val="0.94751781196799933"/>
        </c:manualLayout>
      </c:layout>
      <c:areaChart>
        <c:grouping val="percentStacked"/>
        <c:varyColors val="0"/>
        <c:ser>
          <c:idx val="0"/>
          <c:order val="0"/>
          <c:tx>
            <c:strRef>
              <c:f>Model!$B$233</c:f>
              <c:strCache>
                <c:ptCount val="1"/>
                <c:pt idx="0">
                  <c:v>Digital Industries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Model!$C$233:$AA$233</c:f>
              <c:numCache>
                <c:formatCode>0.00%</c:formatCode>
                <c:ptCount val="25"/>
                <c:pt idx="0">
                  <c:v>0.29442896935933149</c:v>
                </c:pt>
                <c:pt idx="1">
                  <c:v>0.28443807965084561</c:v>
                </c:pt>
                <c:pt idx="2">
                  <c:v>0.25686753919171579</c:v>
                </c:pt>
                <c:pt idx="3">
                  <c:v>0.25993377483443708</c:v>
                </c:pt>
                <c:pt idx="4">
                  <c:v>0.25842273668360627</c:v>
                </c:pt>
                <c:pt idx="5">
                  <c:v>0.27212041060520181</c:v>
                </c:pt>
                <c:pt idx="6">
                  <c:v>0.23123108464317094</c:v>
                </c:pt>
                <c:pt idx="7">
                  <c:v>0.27530152071316205</c:v>
                </c:pt>
                <c:pt idx="8">
                  <c:v>0.29369242843570575</c:v>
                </c:pt>
                <c:pt idx="9">
                  <c:v>0.28243874535227381</c:v>
                </c:pt>
                <c:pt idx="10">
                  <c:v>0.2973734436062892</c:v>
                </c:pt>
                <c:pt idx="11">
                  <c:v>0.26144749507264975</c:v>
                </c:pt>
                <c:pt idx="12">
                  <c:v>0.27939876215738285</c:v>
                </c:pt>
                <c:pt idx="13">
                  <c:v>0.22294610373128015</c:v>
                </c:pt>
                <c:pt idx="14">
                  <c:v>0.16923774954627949</c:v>
                </c:pt>
                <c:pt idx="15">
                  <c:v>0.225978076411503</c:v>
                </c:pt>
                <c:pt idx="16">
                  <c:v>0.18388095568187068</c:v>
                </c:pt>
                <c:pt idx="17">
                  <c:v>0.21582660778640678</c:v>
                </c:pt>
                <c:pt idx="18">
                  <c:v>0.22950156708118491</c:v>
                </c:pt>
                <c:pt idx="19">
                  <c:v>0.18540967165220426</c:v>
                </c:pt>
                <c:pt idx="20">
                  <c:v>0.20996760528283079</c:v>
                </c:pt>
                <c:pt idx="21">
                  <c:v>0.19729242711269232</c:v>
                </c:pt>
                <c:pt idx="22">
                  <c:v>0.17731299809862858</c:v>
                </c:pt>
                <c:pt idx="23">
                  <c:v>0.25119649938465743</c:v>
                </c:pt>
                <c:pt idx="24">
                  <c:v>0.22684946890646202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E-49A2-A777-0AB674F0B384}"/>
            </c:ext>
          </c:extLst>
        </c:ser>
        <c:ser>
          <c:idx val="1"/>
          <c:order val="1"/>
          <c:tx>
            <c:strRef>
              <c:f>Model!$B$234</c:f>
              <c:strCache>
                <c:ptCount val="1"/>
                <c:pt idx="0">
                  <c:v>Smart Infrastructure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Model!$C$234:$AA$234</c:f>
              <c:numCache>
                <c:formatCode>0.00%</c:formatCode>
                <c:ptCount val="25"/>
                <c:pt idx="0">
                  <c:v>0.26162952646239557</c:v>
                </c:pt>
                <c:pt idx="1">
                  <c:v>0.25886524822695034</c:v>
                </c:pt>
                <c:pt idx="2">
                  <c:v>0.24442686610096362</c:v>
                </c:pt>
                <c:pt idx="3">
                  <c:v>0.25046357615894038</c:v>
                </c:pt>
                <c:pt idx="4">
                  <c:v>0.23878536922015184</c:v>
                </c:pt>
                <c:pt idx="5">
                  <c:v>0.25196800806096104</c:v>
                </c:pt>
                <c:pt idx="6">
                  <c:v>0.19896514692961045</c:v>
                </c:pt>
                <c:pt idx="7">
                  <c:v>0.2196119559517567</c:v>
                </c:pt>
                <c:pt idx="8">
                  <c:v>0.20397372877855344</c:v>
                </c:pt>
                <c:pt idx="9">
                  <c:v>0.24010868528935075</c:v>
                </c:pt>
                <c:pt idx="10">
                  <c:v>0.24788693992547486</c:v>
                </c:pt>
                <c:pt idx="11">
                  <c:v>0.24604666086079663</c:v>
                </c:pt>
                <c:pt idx="12">
                  <c:v>0.26511936339522546</c:v>
                </c:pt>
                <c:pt idx="13">
                  <c:v>0.2341568660631187</c:v>
                </c:pt>
                <c:pt idx="14">
                  <c:v>0.22112687675301104</c:v>
                </c:pt>
                <c:pt idx="15">
                  <c:v>0.24950694858505709</c:v>
                </c:pt>
                <c:pt idx="16">
                  <c:v>0.26946716576551599</c:v>
                </c:pt>
                <c:pt idx="17">
                  <c:v>0.30927364093193238</c:v>
                </c:pt>
                <c:pt idx="18">
                  <c:v>0.30295217874835711</c:v>
                </c:pt>
                <c:pt idx="19">
                  <c:v>0.26625386996904027</c:v>
                </c:pt>
                <c:pt idx="20">
                  <c:v>0.3087964116620982</c:v>
                </c:pt>
                <c:pt idx="21">
                  <c:v>0.27565494617197245</c:v>
                </c:pt>
                <c:pt idx="22">
                  <c:v>0.23184594846069825</c:v>
                </c:pt>
                <c:pt idx="23">
                  <c:v>0.28187246456082776</c:v>
                </c:pt>
                <c:pt idx="24">
                  <c:v>0.33564175752187542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E-49A2-A777-0AB674F0B384}"/>
            </c:ext>
          </c:extLst>
        </c:ser>
        <c:ser>
          <c:idx val="2"/>
          <c:order val="2"/>
          <c:tx>
            <c:strRef>
              <c:f>Model!$B$235</c:f>
              <c:strCache>
                <c:ptCount val="1"/>
                <c:pt idx="0">
                  <c:v>Mobility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Model!$C$235:$AA$235</c:f>
              <c:numCache>
                <c:formatCode>0.00%</c:formatCode>
                <c:ptCount val="25"/>
                <c:pt idx="0">
                  <c:v>0.11594707520891365</c:v>
                </c:pt>
                <c:pt idx="1">
                  <c:v>0.16257501363884341</c:v>
                </c:pt>
                <c:pt idx="2">
                  <c:v>0.2186106716525241</c:v>
                </c:pt>
                <c:pt idx="3">
                  <c:v>0.13774834437086092</c:v>
                </c:pt>
                <c:pt idx="4">
                  <c:v>0.17209360687621558</c:v>
                </c:pt>
                <c:pt idx="5">
                  <c:v>0.13395050066125072</c:v>
                </c:pt>
                <c:pt idx="6">
                  <c:v>0.24733964658791369</c:v>
                </c:pt>
                <c:pt idx="7">
                  <c:v>0.14467750393287887</c:v>
                </c:pt>
                <c:pt idx="8">
                  <c:v>0.22264447106448015</c:v>
                </c:pt>
                <c:pt idx="9">
                  <c:v>0.11840976260844695</c:v>
                </c:pt>
                <c:pt idx="10">
                  <c:v>0.12555666636371898</c:v>
                </c:pt>
                <c:pt idx="11">
                  <c:v>0.11747719668148691</c:v>
                </c:pt>
                <c:pt idx="12">
                  <c:v>0.13134394341290892</c:v>
                </c:pt>
                <c:pt idx="13">
                  <c:v>0.26123191471359675</c:v>
                </c:pt>
                <c:pt idx="14">
                  <c:v>0.34359016663916847</c:v>
                </c:pt>
                <c:pt idx="15">
                  <c:v>0.14465899188185113</c:v>
                </c:pt>
                <c:pt idx="16">
                  <c:v>0.26045565876426824</c:v>
                </c:pt>
                <c:pt idx="17">
                  <c:v>0.16014415511902949</c:v>
                </c:pt>
                <c:pt idx="18">
                  <c:v>0.12127186331007987</c:v>
                </c:pt>
                <c:pt idx="19">
                  <c:v>0.20075873195831334</c:v>
                </c:pt>
                <c:pt idx="20">
                  <c:v>0.13256915026164964</c:v>
                </c:pt>
                <c:pt idx="21">
                  <c:v>0.17885690523494893</c:v>
                </c:pt>
                <c:pt idx="22">
                  <c:v>0.32121040495165665</c:v>
                </c:pt>
                <c:pt idx="23">
                  <c:v>0.11495510278499475</c:v>
                </c:pt>
                <c:pt idx="24">
                  <c:v>0.13438772167891067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E-49A2-A777-0AB674F0B384}"/>
            </c:ext>
          </c:extLst>
        </c:ser>
        <c:ser>
          <c:idx val="3"/>
          <c:order val="3"/>
          <c:tx>
            <c:strRef>
              <c:f>Model!$B$236</c:f>
              <c:strCache>
                <c:ptCount val="1"/>
                <c:pt idx="0">
                  <c:v>Siemens Healthineers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Model!$C$236:$AA$236</c:f>
              <c:numCache>
                <c:formatCode>0.00%</c:formatCode>
                <c:ptCount val="25"/>
                <c:pt idx="0">
                  <c:v>0.2871866295264624</c:v>
                </c:pt>
                <c:pt idx="1">
                  <c:v>0.2602291325695581</c:v>
                </c:pt>
                <c:pt idx="2">
                  <c:v>0.24514598015245218</c:v>
                </c:pt>
                <c:pt idx="3">
                  <c:v>0.31880794701986753</c:v>
                </c:pt>
                <c:pt idx="4">
                  <c:v>0.27523684045423175</c:v>
                </c:pt>
                <c:pt idx="5">
                  <c:v>0.28282637445682979</c:v>
                </c:pt>
                <c:pt idx="6">
                  <c:v>0.27033095772722837</c:v>
                </c:pt>
                <c:pt idx="7">
                  <c:v>0.30959622443628737</c:v>
                </c:pt>
                <c:pt idx="8">
                  <c:v>0.2427609566690074</c:v>
                </c:pt>
                <c:pt idx="9">
                  <c:v>0.31113547525979596</c:v>
                </c:pt>
                <c:pt idx="10">
                  <c:v>0.27683359083886211</c:v>
                </c:pt>
                <c:pt idx="11">
                  <c:v>0.32364669752944952</c:v>
                </c:pt>
                <c:pt idx="12">
                  <c:v>0.26909814323607428</c:v>
                </c:pt>
                <c:pt idx="13">
                  <c:v>0.23639901852948642</c:v>
                </c:pt>
                <c:pt idx="14">
                  <c:v>0.2316036957597756</c:v>
                </c:pt>
                <c:pt idx="15">
                  <c:v>0.33064257212310233</c:v>
                </c:pt>
                <c:pt idx="16">
                  <c:v>0.25883820878968528</c:v>
                </c:pt>
                <c:pt idx="17">
                  <c:v>0.29028983300340083</c:v>
                </c:pt>
                <c:pt idx="18">
                  <c:v>0.30729956526134872</c:v>
                </c:pt>
                <c:pt idx="19">
                  <c:v>0.32158897658396196</c:v>
                </c:pt>
                <c:pt idx="20">
                  <c:v>0.31577373536007974</c:v>
                </c:pt>
                <c:pt idx="21">
                  <c:v>0.301898997366354</c:v>
                </c:pt>
                <c:pt idx="22">
                  <c:v>0.2436991787693677</c:v>
                </c:pt>
                <c:pt idx="23">
                  <c:v>0.33032499202333743</c:v>
                </c:pt>
                <c:pt idx="24">
                  <c:v>0.27350147396003932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E-49A2-A777-0AB674F0B384}"/>
            </c:ext>
          </c:extLst>
        </c:ser>
        <c:ser>
          <c:idx val="4"/>
          <c:order val="4"/>
          <c:tx>
            <c:strRef>
              <c:f>Model!$B$238</c:f>
              <c:strCache>
                <c:ptCount val="1"/>
                <c:pt idx="0">
                  <c:v>Siemens Financial Services (SFS)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Model!$C$238:$AA$238</c:f>
              <c:numCache>
                <c:formatCode>0.00%</c:formatCode>
                <c:ptCount val="25"/>
                <c:pt idx="0">
                  <c:v>1.309192200557103E-2</c:v>
                </c:pt>
                <c:pt idx="1">
                  <c:v>1.3025095471903983E-2</c:v>
                </c:pt>
                <c:pt idx="2">
                  <c:v>1.1793470444412485E-2</c:v>
                </c:pt>
                <c:pt idx="3">
                  <c:v>1.1456953642384107E-2</c:v>
                </c:pt>
                <c:pt idx="4">
                  <c:v>1.0351966873706004E-2</c:v>
                </c:pt>
                <c:pt idx="5">
                  <c:v>1.1083821399332451E-2</c:v>
                </c:pt>
                <c:pt idx="6">
                  <c:v>8.6400468612711119E-3</c:v>
                </c:pt>
                <c:pt idx="7">
                  <c:v>9.3864708966963813E-3</c:v>
                </c:pt>
                <c:pt idx="8">
                  <c:v>6.9808748812425128E-3</c:v>
                </c:pt>
                <c:pt idx="9">
                  <c:v>7.5316998760606348E-3</c:v>
                </c:pt>
                <c:pt idx="10">
                  <c:v>7.7251658638553119E-3</c:v>
                </c:pt>
                <c:pt idx="11">
                  <c:v>7.5629096576064533E-3</c:v>
                </c:pt>
                <c:pt idx="12">
                  <c:v>6.6312997347480109E-3</c:v>
                </c:pt>
                <c:pt idx="13">
                  <c:v>6.5149335815212796E-3</c:v>
                </c:pt>
                <c:pt idx="14">
                  <c:v>5.6096353737007092E-3</c:v>
                </c:pt>
                <c:pt idx="15">
                  <c:v>1.2842269412466174E-3</c:v>
                </c:pt>
                <c:pt idx="16">
                  <c:v>5.1758399186653727E-3</c:v>
                </c:pt>
                <c:pt idx="17">
                  <c:v>5.5327140754276435E-3</c:v>
                </c:pt>
                <c:pt idx="18">
                  <c:v>4.4484885249216457E-3</c:v>
                </c:pt>
                <c:pt idx="19">
                  <c:v>4.5785549208564079E-3</c:v>
                </c:pt>
                <c:pt idx="20">
                  <c:v>4.7346125093446299E-3</c:v>
                </c:pt>
                <c:pt idx="21">
                  <c:v>4.2970013399251487E-3</c:v>
                </c:pt>
                <c:pt idx="22">
                  <c:v>3.7218334075003034E-3</c:v>
                </c:pt>
                <c:pt idx="23">
                  <c:v>4.1478645334791925E-3</c:v>
                </c:pt>
                <c:pt idx="24">
                  <c:v>3.2286743718122689E-3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E-49A2-A777-0AB674F0B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97536"/>
        <c:axId val="1742282656"/>
      </c:areaChart>
      <c:catAx>
        <c:axId val="174229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2282656"/>
        <c:crosses val="autoZero"/>
        <c:auto val="1"/>
        <c:lblAlgn val="ctr"/>
        <c:lblOffset val="100"/>
        <c:noMultiLvlLbl val="0"/>
      </c:catAx>
      <c:valAx>
        <c:axId val="17422826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9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145600283039811E-2"/>
          <c:y val="2.7124285530963688E-2"/>
          <c:w val="0.89001817395933636"/>
          <c:h val="0.94751781196799933"/>
        </c:manualLayout>
      </c:layout>
      <c:areaChart>
        <c:grouping val="percentStacked"/>
        <c:varyColors val="0"/>
        <c:ser>
          <c:idx val="0"/>
          <c:order val="0"/>
          <c:tx>
            <c:strRef>
              <c:f>Model!$B$233</c:f>
              <c:strCache>
                <c:ptCount val="1"/>
                <c:pt idx="0">
                  <c:v>Digital Industries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Model!$C$266:$AA$266</c:f>
              <c:numCache>
                <c:formatCode>0.00%</c:formatCode>
                <c:ptCount val="25"/>
                <c:pt idx="0">
                  <c:v>0.27510054844606946</c:v>
                </c:pt>
                <c:pt idx="1">
                  <c:v>0.26726639582124201</c:v>
                </c:pt>
                <c:pt idx="2">
                  <c:v>0.28276446567532165</c:v>
                </c:pt>
                <c:pt idx="3">
                  <c:v>0.26194654427645786</c:v>
                </c:pt>
                <c:pt idx="4">
                  <c:v>0.26757160116551776</c:v>
                </c:pt>
                <c:pt idx="5">
                  <c:v>0.27487214456188203</c:v>
                </c:pt>
                <c:pt idx="6">
                  <c:v>0.25962076468759715</c:v>
                </c:pt>
                <c:pt idx="7">
                  <c:v>0.26037606053657419</c:v>
                </c:pt>
                <c:pt idx="8">
                  <c:v>0.26350245499181668</c:v>
                </c:pt>
                <c:pt idx="9">
                  <c:v>0.26789906103286387</c:v>
                </c:pt>
                <c:pt idx="10">
                  <c:v>0.2759276879162702</c:v>
                </c:pt>
                <c:pt idx="11">
                  <c:v>0.27589559130899721</c:v>
                </c:pt>
                <c:pt idx="12">
                  <c:v>0.28301051466519095</c:v>
                </c:pt>
                <c:pt idx="13">
                  <c:v>0.28517717346518334</c:v>
                </c:pt>
                <c:pt idx="14">
                  <c:v>0.28063952564984912</c:v>
                </c:pt>
                <c:pt idx="15">
                  <c:v>0.2789230122002524</c:v>
                </c:pt>
                <c:pt idx="16">
                  <c:v>0.25708650324034937</c:v>
                </c:pt>
                <c:pt idx="17">
                  <c:v>0.2438562303778283</c:v>
                </c:pt>
                <c:pt idx="18">
                  <c:v>0.25888888888888889</c:v>
                </c:pt>
                <c:pt idx="19">
                  <c:v>0.21988371534284754</c:v>
                </c:pt>
                <c:pt idx="20">
                  <c:v>0.22078134364953958</c:v>
                </c:pt>
                <c:pt idx="21">
                  <c:v>0.2168345396568305</c:v>
                </c:pt>
                <c:pt idx="22">
                  <c:v>0.22815709346132013</c:v>
                </c:pt>
                <c:pt idx="23">
                  <c:v>0.23475054837354739</c:v>
                </c:pt>
                <c:pt idx="24">
                  <c:v>0.23648048487381787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1-41CD-8D21-BB807223A0FA}"/>
            </c:ext>
          </c:extLst>
        </c:ser>
        <c:ser>
          <c:idx val="1"/>
          <c:order val="1"/>
          <c:tx>
            <c:strRef>
              <c:f>Model!$B$234</c:f>
              <c:strCache>
                <c:ptCount val="1"/>
                <c:pt idx="0">
                  <c:v>Smart Infrastructure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Model!$C$267:$AA$267</c:f>
              <c:numCache>
                <c:formatCode>0.00%</c:formatCode>
                <c:ptCount val="25"/>
                <c:pt idx="0">
                  <c:v>0.25806215722120657</c:v>
                </c:pt>
                <c:pt idx="1">
                  <c:v>0.25515089959373188</c:v>
                </c:pt>
                <c:pt idx="2">
                  <c:v>0.25980429925263887</c:v>
                </c:pt>
                <c:pt idx="3">
                  <c:v>0.26356641468682507</c:v>
                </c:pt>
                <c:pt idx="4">
                  <c:v>0.2470329045554687</c:v>
                </c:pt>
                <c:pt idx="5">
                  <c:v>0.24289123764064099</c:v>
                </c:pt>
                <c:pt idx="6">
                  <c:v>0.23437985700963632</c:v>
                </c:pt>
                <c:pt idx="7">
                  <c:v>0.2411717495987159</c:v>
                </c:pt>
                <c:pt idx="8">
                  <c:v>0.23089046493301812</c:v>
                </c:pt>
                <c:pt idx="9">
                  <c:v>0.23526995305164319</c:v>
                </c:pt>
                <c:pt idx="10">
                  <c:v>0.24452901998097051</c:v>
                </c:pt>
                <c:pt idx="11">
                  <c:v>0.25105721090750011</c:v>
                </c:pt>
                <c:pt idx="12">
                  <c:v>0.25373547315993361</c:v>
                </c:pt>
                <c:pt idx="13">
                  <c:v>0.25278121137206427</c:v>
                </c:pt>
                <c:pt idx="14">
                  <c:v>0.26068081952459105</c:v>
                </c:pt>
                <c:pt idx="15">
                  <c:v>0.25840228111999253</c:v>
                </c:pt>
                <c:pt idx="16">
                  <c:v>0.27202028740490281</c:v>
                </c:pt>
                <c:pt idx="17">
                  <c:v>0.27871603334415934</c:v>
                </c:pt>
                <c:pt idx="18">
                  <c:v>0.28656084656084657</c:v>
                </c:pt>
                <c:pt idx="19">
                  <c:v>0.28715583105088655</c:v>
                </c:pt>
                <c:pt idx="20">
                  <c:v>0.2880183076336294</c:v>
                </c:pt>
                <c:pt idx="21">
                  <c:v>0.29073239864351874</c:v>
                </c:pt>
                <c:pt idx="22">
                  <c:v>0.29473086649120089</c:v>
                </c:pt>
                <c:pt idx="23">
                  <c:v>0.29159471694590938</c:v>
                </c:pt>
                <c:pt idx="24">
                  <c:v>0.28914781336537959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1-41CD-8D21-BB807223A0FA}"/>
            </c:ext>
          </c:extLst>
        </c:ser>
        <c:ser>
          <c:idx val="2"/>
          <c:order val="2"/>
          <c:tx>
            <c:strRef>
              <c:f>Model!$B$235</c:f>
              <c:strCache>
                <c:ptCount val="1"/>
                <c:pt idx="0">
                  <c:v>Mobility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Model!$C$268:$AA$268</c:f>
              <c:numCache>
                <c:formatCode>0.00%</c:formatCode>
                <c:ptCount val="25"/>
                <c:pt idx="0">
                  <c:v>0.15948811700182816</c:v>
                </c:pt>
                <c:pt idx="1">
                  <c:v>0.1641758560650029</c:v>
                </c:pt>
                <c:pt idx="2">
                  <c:v>0.166576777871947</c:v>
                </c:pt>
                <c:pt idx="3">
                  <c:v>0.16509179265658747</c:v>
                </c:pt>
                <c:pt idx="4">
                  <c:v>0.15585246251154858</c:v>
                </c:pt>
                <c:pt idx="5">
                  <c:v>0.15485850664848277</c:v>
                </c:pt>
                <c:pt idx="6">
                  <c:v>0.14037923531240287</c:v>
                </c:pt>
                <c:pt idx="7">
                  <c:v>0.14388901628066958</c:v>
                </c:pt>
                <c:pt idx="8">
                  <c:v>0.14608716736376312</c:v>
                </c:pt>
                <c:pt idx="9">
                  <c:v>0.12535211267605634</c:v>
                </c:pt>
                <c:pt idx="10">
                  <c:v>0.13746012201264901</c:v>
                </c:pt>
                <c:pt idx="11">
                  <c:v>0.13080250814173916</c:v>
                </c:pt>
                <c:pt idx="12">
                  <c:v>0.13536247924737133</c:v>
                </c:pt>
                <c:pt idx="13">
                  <c:v>0.13730943551709929</c:v>
                </c:pt>
                <c:pt idx="14">
                  <c:v>0.13552861453756154</c:v>
                </c:pt>
                <c:pt idx="15">
                  <c:v>0.13452998644416397</c:v>
                </c:pt>
                <c:pt idx="16">
                  <c:v>0.15215553677092139</c:v>
                </c:pt>
                <c:pt idx="17">
                  <c:v>0.15275522355743207</c:v>
                </c:pt>
                <c:pt idx="18">
                  <c:v>0.137989417989418</c:v>
                </c:pt>
                <c:pt idx="19">
                  <c:v>0.15813752342511173</c:v>
                </c:pt>
                <c:pt idx="20">
                  <c:v>0.16193537841224867</c:v>
                </c:pt>
                <c:pt idx="21">
                  <c:v>0.16110745558536216</c:v>
                </c:pt>
                <c:pt idx="22">
                  <c:v>0.1585900810238943</c:v>
                </c:pt>
                <c:pt idx="23">
                  <c:v>0.15009100667382275</c:v>
                </c:pt>
                <c:pt idx="24">
                  <c:v>0.16583938554783426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1-41CD-8D21-BB807223A0FA}"/>
            </c:ext>
          </c:extLst>
        </c:ser>
        <c:ser>
          <c:idx val="3"/>
          <c:order val="3"/>
          <c:tx>
            <c:strRef>
              <c:f>Model!$B$236</c:f>
              <c:strCache>
                <c:ptCount val="1"/>
                <c:pt idx="0">
                  <c:v>Siemens Healthineers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Model!$C$269:$AA$269</c:f>
              <c:numCache>
                <c:formatCode>0.00%</c:formatCode>
                <c:ptCount val="25"/>
                <c:pt idx="0">
                  <c:v>0.2623034734917733</c:v>
                </c:pt>
                <c:pt idx="1">
                  <c:v>0.26733894370284389</c:v>
                </c:pt>
                <c:pt idx="2">
                  <c:v>0.25518144695276984</c:v>
                </c:pt>
                <c:pt idx="3">
                  <c:v>0.26160907127429806</c:v>
                </c:pt>
                <c:pt idx="4">
                  <c:v>0.27489162106460097</c:v>
                </c:pt>
                <c:pt idx="5">
                  <c:v>0.27037163314012957</c:v>
                </c:pt>
                <c:pt idx="6">
                  <c:v>0.3108486167236556</c:v>
                </c:pt>
                <c:pt idx="7">
                  <c:v>0.29603301994955283</c:v>
                </c:pt>
                <c:pt idx="8">
                  <c:v>0.30720737103715828</c:v>
                </c:pt>
                <c:pt idx="9">
                  <c:v>0.32042253521126762</c:v>
                </c:pt>
                <c:pt idx="10">
                  <c:v>0.29025577881009684</c:v>
                </c:pt>
                <c:pt idx="11">
                  <c:v>0.29169299567394158</c:v>
                </c:pt>
                <c:pt idx="12">
                  <c:v>0.28107360265633646</c:v>
                </c:pt>
                <c:pt idx="13">
                  <c:v>0.27528842192006592</c:v>
                </c:pt>
                <c:pt idx="14">
                  <c:v>0.27534543914447562</c:v>
                </c:pt>
                <c:pt idx="15">
                  <c:v>0.2830832515308746</c:v>
                </c:pt>
                <c:pt idx="16">
                  <c:v>0.29163144547759934</c:v>
                </c:pt>
                <c:pt idx="17">
                  <c:v>0.29419725018945547</c:v>
                </c:pt>
                <c:pt idx="18">
                  <c:v>0.28693121693121693</c:v>
                </c:pt>
                <c:pt idx="19">
                  <c:v>0.30406996300033634</c:v>
                </c:pt>
                <c:pt idx="20">
                  <c:v>0.29869776058410069</c:v>
                </c:pt>
                <c:pt idx="21">
                  <c:v>0.29908386900845269</c:v>
                </c:pt>
                <c:pt idx="22">
                  <c:v>0.29220209526758528</c:v>
                </c:pt>
                <c:pt idx="23">
                  <c:v>0.29504830354225975</c:v>
                </c:pt>
                <c:pt idx="24">
                  <c:v>0.28225090130100844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1-41CD-8D21-BB807223A0FA}"/>
            </c:ext>
          </c:extLst>
        </c:ser>
        <c:ser>
          <c:idx val="4"/>
          <c:order val="4"/>
          <c:tx>
            <c:strRef>
              <c:f>Model!$B$238</c:f>
              <c:strCache>
                <c:ptCount val="1"/>
                <c:pt idx="0">
                  <c:v>Siemens Financial Services (SFS)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Model!$C$2:$AA$2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Model!$C$271:$AA$271</c:f>
              <c:numCache>
                <c:formatCode>0.00%</c:formatCode>
                <c:ptCount val="25"/>
                <c:pt idx="0">
                  <c:v>1.3747714808043876E-2</c:v>
                </c:pt>
                <c:pt idx="1">
                  <c:v>1.3856645385954731E-2</c:v>
                </c:pt>
                <c:pt idx="2">
                  <c:v>1.2635796286308652E-2</c:v>
                </c:pt>
                <c:pt idx="3">
                  <c:v>1.1676565874730021E-2</c:v>
                </c:pt>
                <c:pt idx="4">
                  <c:v>1.172624546940516E-2</c:v>
                </c:pt>
                <c:pt idx="5">
                  <c:v>1.2001363791339925E-2</c:v>
                </c:pt>
                <c:pt idx="6">
                  <c:v>1.1004041032017407E-2</c:v>
                </c:pt>
                <c:pt idx="7">
                  <c:v>1.02614079339601E-2</c:v>
                </c:pt>
                <c:pt idx="8">
                  <c:v>1.024428684003152E-2</c:v>
                </c:pt>
                <c:pt idx="9">
                  <c:v>9.2723004694835673E-3</c:v>
                </c:pt>
                <c:pt idx="10">
                  <c:v>9.5147478591817315E-3</c:v>
                </c:pt>
                <c:pt idx="11">
                  <c:v>7.9716132795411461E-3</c:v>
                </c:pt>
                <c:pt idx="12">
                  <c:v>8.3010514665190927E-3</c:v>
                </c:pt>
                <c:pt idx="13">
                  <c:v>7.9316028018129384E-3</c:v>
                </c:pt>
                <c:pt idx="14">
                  <c:v>7.1999576473079571E-3</c:v>
                </c:pt>
                <c:pt idx="15">
                  <c:v>1.3088393399710186E-3</c:v>
                </c:pt>
                <c:pt idx="16">
                  <c:v>6.3116370808678499E-3</c:v>
                </c:pt>
                <c:pt idx="17">
                  <c:v>5.9001840424380211E-3</c:v>
                </c:pt>
                <c:pt idx="18">
                  <c:v>4.6560846560846558E-3</c:v>
                </c:pt>
                <c:pt idx="19">
                  <c:v>5.0454086781029266E-3</c:v>
                </c:pt>
                <c:pt idx="20">
                  <c:v>5.1762654606876263E-3</c:v>
                </c:pt>
                <c:pt idx="21">
                  <c:v>4.707192387508225E-3</c:v>
                </c:pt>
                <c:pt idx="22">
                  <c:v>4.7478969912783196E-3</c:v>
                </c:pt>
                <c:pt idx="23">
                  <c:v>4.2469781117281937E-3</c:v>
                </c:pt>
                <c:pt idx="24">
                  <c:v>3.6052040336485708E-3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1-41CD-8D21-BB807223A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97536"/>
        <c:axId val="1742282656"/>
      </c:areaChart>
      <c:catAx>
        <c:axId val="174229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2282656"/>
        <c:crosses val="autoZero"/>
        <c:auto val="1"/>
        <c:lblAlgn val="ctr"/>
        <c:lblOffset val="100"/>
        <c:noMultiLvlLbl val="0"/>
      </c:catAx>
      <c:valAx>
        <c:axId val="17422826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9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Valuation!$B$6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Valuation!$C$6:$AA$6</c:f>
              <c:numCache>
                <c:formatCode>#,##0;\(#,##0\);"— "</c:formatCode>
                <c:ptCount val="25"/>
                <c:pt idx="0">
                  <c:v>1089</c:v>
                </c:pt>
                <c:pt idx="1">
                  <c:v>697</c:v>
                </c:pt>
                <c:pt idx="2">
                  <c:v>535</c:v>
                </c:pt>
                <c:pt idx="3">
                  <c:v>1879</c:v>
                </c:pt>
                <c:pt idx="4">
                  <c:v>1497</c:v>
                </c:pt>
                <c:pt idx="5">
                  <c:v>2390</c:v>
                </c:pt>
                <c:pt idx="6">
                  <c:v>1480</c:v>
                </c:pt>
                <c:pt idx="7">
                  <c:v>1330</c:v>
                </c:pt>
                <c:pt idx="8">
                  <c:v>1796</c:v>
                </c:pt>
                <c:pt idx="9">
                  <c:v>1213</c:v>
                </c:pt>
                <c:pt idx="10">
                  <c:v>-1531</c:v>
                </c:pt>
                <c:pt idx="11">
                  <c:v>2913</c:v>
                </c:pt>
                <c:pt idx="12">
                  <c:v>1636</c:v>
                </c:pt>
                <c:pt idx="13">
                  <c:v>3551</c:v>
                </c:pt>
                <c:pt idx="14">
                  <c:v>1440</c:v>
                </c:pt>
                <c:pt idx="15">
                  <c:v>1902</c:v>
                </c:pt>
                <c:pt idx="16">
                  <c:v>2548</c:v>
                </c:pt>
                <c:pt idx="17">
                  <c:v>2196</c:v>
                </c:pt>
                <c:pt idx="18">
                  <c:v>2133</c:v>
                </c:pt>
                <c:pt idx="19">
                  <c:v>2115</c:v>
                </c:pt>
                <c:pt idx="20">
                  <c:v>3868</c:v>
                </c:pt>
                <c:pt idx="21">
                  <c:v>2439</c:v>
                </c:pt>
                <c:pt idx="22">
                  <c:v>2243</c:v>
                </c:pt>
                <c:pt idx="23">
                  <c:v>1837</c:v>
                </c:pt>
                <c:pt idx="24">
                  <c:v>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C-4620-B8EE-A03C6B10A761}"/>
            </c:ext>
          </c:extLst>
        </c:ser>
        <c:ser>
          <c:idx val="4"/>
          <c:order val="4"/>
          <c:tx>
            <c:v>FCF</c:v>
          </c:tx>
          <c:spPr>
            <a:solidFill>
              <a:srgbClr val="F9FF77"/>
            </a:solidFill>
            <a:ln>
              <a:noFill/>
            </a:ln>
            <a:effectLst/>
          </c:spPr>
          <c:invertIfNegative val="0"/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Valuation!$C$20:$AA$20</c:f>
              <c:numCache>
                <c:formatCode>#,##0;\(#,##0\);"— "</c:formatCode>
                <c:ptCount val="25"/>
                <c:pt idx="0">
                  <c:v>201</c:v>
                </c:pt>
                <c:pt idx="1">
                  <c:v>359</c:v>
                </c:pt>
                <c:pt idx="2">
                  <c:v>2694</c:v>
                </c:pt>
                <c:pt idx="3">
                  <c:v>4157</c:v>
                </c:pt>
                <c:pt idx="4">
                  <c:v>1032</c:v>
                </c:pt>
                <c:pt idx="5">
                  <c:v>1232</c:v>
                </c:pt>
                <c:pt idx="6">
                  <c:v>2287</c:v>
                </c:pt>
                <c:pt idx="7">
                  <c:v>3813</c:v>
                </c:pt>
                <c:pt idx="8">
                  <c:v>1128</c:v>
                </c:pt>
                <c:pt idx="9">
                  <c:v>1338</c:v>
                </c:pt>
                <c:pt idx="10">
                  <c:v>2300</c:v>
                </c:pt>
                <c:pt idx="11">
                  <c:v>3666</c:v>
                </c:pt>
                <c:pt idx="12">
                  <c:v>94</c:v>
                </c:pt>
                <c:pt idx="13">
                  <c:v>2375</c:v>
                </c:pt>
                <c:pt idx="14">
                  <c:v>3002</c:v>
                </c:pt>
                <c:pt idx="15">
                  <c:v>4787</c:v>
                </c:pt>
                <c:pt idx="16">
                  <c:v>1060</c:v>
                </c:pt>
                <c:pt idx="17">
                  <c:v>1395</c:v>
                </c:pt>
                <c:pt idx="18">
                  <c:v>2139</c:v>
                </c:pt>
                <c:pt idx="19">
                  <c:v>5220</c:v>
                </c:pt>
                <c:pt idx="20">
                  <c:v>1621</c:v>
                </c:pt>
                <c:pt idx="21">
                  <c:v>1029</c:v>
                </c:pt>
                <c:pt idx="22">
                  <c:v>2942</c:v>
                </c:pt>
                <c:pt idx="23">
                  <c:v>5406</c:v>
                </c:pt>
                <c:pt idx="24">
                  <c:v>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6C-4620-B8EE-A03C6B10A761}"/>
            </c:ext>
          </c:extLst>
        </c:ser>
        <c:ser>
          <c:idx val="5"/>
          <c:order val="5"/>
          <c:tx>
            <c:strRef>
              <c:f>Valuation!$B$24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00AF8E"/>
            </a:solidFill>
            <a:ln>
              <a:noFill/>
            </a:ln>
            <a:effectLst/>
          </c:spPr>
          <c:invertIfNegative val="0"/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Valuation!$C$24:$AA$24</c:f>
              <c:numCache>
                <c:formatCode>#,##0;\(#,##0\);"— "</c:formatCode>
                <c:ptCount val="25"/>
                <c:pt idx="0">
                  <c:v>1950</c:v>
                </c:pt>
                <c:pt idx="1">
                  <c:v>1952</c:v>
                </c:pt>
                <c:pt idx="2">
                  <c:v>1798</c:v>
                </c:pt>
                <c:pt idx="3">
                  <c:v>1673</c:v>
                </c:pt>
                <c:pt idx="4">
                  <c:v>2454</c:v>
                </c:pt>
                <c:pt idx="5">
                  <c:v>2141</c:v>
                </c:pt>
                <c:pt idx="6">
                  <c:v>2366</c:v>
                </c:pt>
                <c:pt idx="7">
                  <c:v>2178</c:v>
                </c:pt>
                <c:pt idx="8">
                  <c:v>3025</c:v>
                </c:pt>
                <c:pt idx="9">
                  <c:v>2385</c:v>
                </c:pt>
                <c:pt idx="10">
                  <c:v>496</c:v>
                </c:pt>
                <c:pt idx="11">
                  <c:v>4853</c:v>
                </c:pt>
                <c:pt idx="12">
                  <c:v>2910</c:v>
                </c:pt>
                <c:pt idx="13">
                  <c:v>5116</c:v>
                </c:pt>
                <c:pt idx="14">
                  <c:v>2558</c:v>
                </c:pt>
                <c:pt idx="15">
                  <c:v>3579</c:v>
                </c:pt>
                <c:pt idx="16">
                  <c:v>3712</c:v>
                </c:pt>
                <c:pt idx="17">
                  <c:v>2920</c:v>
                </c:pt>
                <c:pt idx="18">
                  <c:v>3429</c:v>
                </c:pt>
                <c:pt idx="19">
                  <c:v>3517</c:v>
                </c:pt>
                <c:pt idx="20">
                  <c:v>2927</c:v>
                </c:pt>
                <c:pt idx="21">
                  <c:v>3725</c:v>
                </c:pt>
                <c:pt idx="22">
                  <c:v>3540</c:v>
                </c:pt>
                <c:pt idx="23">
                  <c:v>3188</c:v>
                </c:pt>
                <c:pt idx="24">
                  <c:v>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6C-4620-B8EE-A03C6B10A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514288"/>
        <c:axId val="836521968"/>
      </c:barChart>
      <c:lineChart>
        <c:grouping val="standard"/>
        <c:varyColors val="0"/>
        <c:ser>
          <c:idx val="0"/>
          <c:order val="0"/>
          <c:tx>
            <c:strRef>
              <c:f>Valuation!$B$36</c:f>
              <c:strCache>
                <c:ptCount val="1"/>
                <c:pt idx="0">
                  <c:v>Trl P/E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Valuation!$C$36:$AA$36</c:f>
              <c:numCache>
                <c:formatCode>0.00</c:formatCode>
                <c:ptCount val="25"/>
                <c:pt idx="0">
                  <c:v>29.551545454545451</c:v>
                </c:pt>
                <c:pt idx="1">
                  <c:v>29.551545454545451</c:v>
                </c:pt>
                <c:pt idx="2">
                  <c:v>29.551545454545451</c:v>
                </c:pt>
                <c:pt idx="3">
                  <c:v>29.551545454545451</c:v>
                </c:pt>
                <c:pt idx="4">
                  <c:v>30.665454901252417</c:v>
                </c:pt>
                <c:pt idx="5">
                  <c:v>23.611055770726477</c:v>
                </c:pt>
                <c:pt idx="6">
                  <c:v>20.344820787823824</c:v>
                </c:pt>
                <c:pt idx="7">
                  <c:v>23.724735213399722</c:v>
                </c:pt>
                <c:pt idx="8">
                  <c:v>20.562495642109081</c:v>
                </c:pt>
                <c:pt idx="9">
                  <c:v>19.042127433387819</c:v>
                </c:pt>
                <c:pt idx="10">
                  <c:v>29.924013913091581</c:v>
                </c:pt>
                <c:pt idx="11">
                  <c:v>26.35214426935223</c:v>
                </c:pt>
                <c:pt idx="12">
                  <c:v>32.864866777806277</c:v>
                </c:pt>
                <c:pt idx="13">
                  <c:v>20.608128675066954</c:v>
                </c:pt>
                <c:pt idx="14">
                  <c:v>15.349349583968124</c:v>
                </c:pt>
                <c:pt idx="15">
                  <c:v>16.385132210895545</c:v>
                </c:pt>
                <c:pt idx="16">
                  <c:v>16.349075009185064</c:v>
                </c:pt>
                <c:pt idx="17">
                  <c:v>20.077936501673165</c:v>
                </c:pt>
                <c:pt idx="18">
                  <c:v>16.88566476774302</c:v>
                </c:pt>
                <c:pt idx="19">
                  <c:v>19.545679722655215</c:v>
                </c:pt>
                <c:pt idx="20">
                  <c:v>18.992171221786833</c:v>
                </c:pt>
                <c:pt idx="21">
                  <c:v>20.137486956435325</c:v>
                </c:pt>
                <c:pt idx="22">
                  <c:v>21.87750241147593</c:v>
                </c:pt>
                <c:pt idx="23">
                  <c:v>22.897257766931819</c:v>
                </c:pt>
                <c:pt idx="24">
                  <c:v>27.375850325169626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C-4620-B8EE-A03C6B10A761}"/>
            </c:ext>
          </c:extLst>
        </c:ser>
        <c:ser>
          <c:idx val="1"/>
          <c:order val="1"/>
          <c:tx>
            <c:strRef>
              <c:f>Valuation!$B$37</c:f>
              <c:strCache>
                <c:ptCount val="1"/>
                <c:pt idx="0">
                  <c:v>Trl EV/FCF</c:v>
                </c:pt>
              </c:strCache>
            </c:strRef>
          </c:tx>
          <c:spPr>
            <a:ln w="28575" cap="rnd">
              <a:solidFill>
                <a:srgbClr val="F9FF77"/>
              </a:solidFill>
              <a:round/>
            </a:ln>
            <a:effectLst/>
          </c:spPr>
          <c:marker>
            <c:symbol val="none"/>
          </c:marker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Valuation!$C$37:$AA$37</c:f>
              <c:numCache>
                <c:formatCode>0.00</c:formatCode>
                <c:ptCount val="25"/>
                <c:pt idx="0">
                  <c:v>20.866615963984739</c:v>
                </c:pt>
                <c:pt idx="1">
                  <c:v>20.866615963984739</c:v>
                </c:pt>
                <c:pt idx="2">
                  <c:v>20.866615963984739</c:v>
                </c:pt>
                <c:pt idx="3">
                  <c:v>20.866615963984739</c:v>
                </c:pt>
                <c:pt idx="4">
                  <c:v>20.719536057385483</c:v>
                </c:pt>
                <c:pt idx="5">
                  <c:v>19.444022206401264</c:v>
                </c:pt>
                <c:pt idx="6">
                  <c:v>21.572298051053217</c:v>
                </c:pt>
                <c:pt idx="7">
                  <c:v>23.677612592555946</c:v>
                </c:pt>
                <c:pt idx="8">
                  <c:v>21.645770627919045</c:v>
                </c:pt>
                <c:pt idx="9">
                  <c:v>17.868799852309564</c:v>
                </c:pt>
                <c:pt idx="10">
                  <c:v>14.627069713015638</c:v>
                </c:pt>
                <c:pt idx="11">
                  <c:v>18.487104540645834</c:v>
                </c:pt>
                <c:pt idx="12">
                  <c:v>24.082083176114946</c:v>
                </c:pt>
                <c:pt idx="13">
                  <c:v>20.891380825905728</c:v>
                </c:pt>
                <c:pt idx="14">
                  <c:v>20.304344427170395</c:v>
                </c:pt>
                <c:pt idx="15">
                  <c:v>17.182763952693321</c:v>
                </c:pt>
                <c:pt idx="16">
                  <c:v>17.18670858532753</c:v>
                </c:pt>
                <c:pt idx="17">
                  <c:v>20.020128324143812</c:v>
                </c:pt>
                <c:pt idx="18">
                  <c:v>20.294558255624771</c:v>
                </c:pt>
                <c:pt idx="19">
                  <c:v>21.858340336877493</c:v>
                </c:pt>
                <c:pt idx="20">
                  <c:v>22.342676591717186</c:v>
                </c:pt>
                <c:pt idx="21">
                  <c:v>25.715573466397728</c:v>
                </c:pt>
                <c:pt idx="22">
                  <c:v>25.468975510395005</c:v>
                </c:pt>
                <c:pt idx="23">
                  <c:v>25.400419751329405</c:v>
                </c:pt>
                <c:pt idx="24">
                  <c:v>27.857215978975834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C-4620-B8EE-A03C6B10A761}"/>
            </c:ext>
          </c:extLst>
        </c:ser>
        <c:ser>
          <c:idx val="2"/>
          <c:order val="2"/>
          <c:tx>
            <c:strRef>
              <c:f>Valuation!$B$38</c:f>
              <c:strCache>
                <c:ptCount val="1"/>
                <c:pt idx="0">
                  <c:v>Trl EV/EBITDA</c:v>
                </c:pt>
              </c:strCache>
            </c:strRef>
          </c:tx>
          <c:spPr>
            <a:ln w="28575" cap="rnd">
              <a:solidFill>
                <a:srgbClr val="00AF8E"/>
              </a:solidFill>
              <a:round/>
            </a:ln>
            <a:effectLst/>
          </c:spPr>
          <c:marker>
            <c:symbol val="none"/>
          </c:marker>
          <c:cat>
            <c:strRef>
              <c:f>Valuation!$C$2:$AA$2</c:f>
              <c:strCache>
                <c:ptCount val="25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</c:strCache>
            </c:strRef>
          </c:cat>
          <c:val>
            <c:numRef>
              <c:f>Valuation!$C$38:$AA$38</c:f>
              <c:numCache>
                <c:formatCode>0.00</c:formatCode>
                <c:ptCount val="25"/>
                <c:pt idx="0">
                  <c:v>20.974161251741613</c:v>
                </c:pt>
                <c:pt idx="1">
                  <c:v>20.974161251741613</c:v>
                </c:pt>
                <c:pt idx="2">
                  <c:v>20.974161251741613</c:v>
                </c:pt>
                <c:pt idx="3">
                  <c:v>20.974161251741613</c:v>
                </c:pt>
                <c:pt idx="4">
                  <c:v>21.6796262771323</c:v>
                </c:pt>
                <c:pt idx="5">
                  <c:v>21.972757551617597</c:v>
                </c:pt>
                <c:pt idx="6">
                  <c:v>21.757189185611701</c:v>
                </c:pt>
                <c:pt idx="7">
                  <c:v>21.669717882059082</c:v>
                </c:pt>
                <c:pt idx="8">
                  <c:v>18.859239908567982</c:v>
                </c:pt>
                <c:pt idx="9">
                  <c:v>15.377148838143833</c:v>
                </c:pt>
                <c:pt idx="10">
                  <c:v>15.52271537208822</c:v>
                </c:pt>
                <c:pt idx="11">
                  <c:v>14.488638859255104</c:v>
                </c:pt>
                <c:pt idx="12">
                  <c:v>16.737998058708978</c:v>
                </c:pt>
                <c:pt idx="13">
                  <c:v>13.175237178804847</c:v>
                </c:pt>
                <c:pt idx="14">
                  <c:v>12.017930623246478</c:v>
                </c:pt>
                <c:pt idx="15">
                  <c:v>12.445159403143974</c:v>
                </c:pt>
                <c:pt idx="16">
                  <c:v>12.890318554073918</c:v>
                </c:pt>
                <c:pt idx="17">
                  <c:v>16.06125730695663</c:v>
                </c:pt>
                <c:pt idx="18">
                  <c:v>13.957716348681522</c:v>
                </c:pt>
                <c:pt idx="19">
                  <c:v>15.798921200921763</c:v>
                </c:pt>
                <c:pt idx="20">
                  <c:v>18.119695899246917</c:v>
                </c:pt>
                <c:pt idx="21">
                  <c:v>18.928311135841657</c:v>
                </c:pt>
                <c:pt idx="22">
                  <c:v>20.086845372995171</c:v>
                </c:pt>
                <c:pt idx="23">
                  <c:v>20.878461616227266</c:v>
                </c:pt>
                <c:pt idx="24">
                  <c:v>19.908744956512717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C-4620-B8EE-A03C6B10A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948256"/>
        <c:axId val="1622938176"/>
      </c:lineChart>
      <c:dateAx>
        <c:axId val="836514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21968"/>
        <c:crosses val="autoZero"/>
        <c:auto val="0"/>
        <c:lblOffset val="100"/>
        <c:baseTimeUnit val="days"/>
      </c:dateAx>
      <c:valAx>
        <c:axId val="836521968"/>
        <c:scaling>
          <c:orientation val="minMax"/>
        </c:scaling>
        <c:delete val="0"/>
        <c:axPos val="l"/>
        <c:numFmt formatCode="#,##0;\(#,##0\);&quot;—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14288"/>
        <c:crosses val="autoZero"/>
        <c:crossBetween val="between"/>
      </c:valAx>
      <c:valAx>
        <c:axId val="162293817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48256"/>
        <c:crosses val="max"/>
        <c:crossBetween val="between"/>
      </c:valAx>
      <c:catAx>
        <c:axId val="162294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293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32658</xdr:colOff>
      <xdr:row>230</xdr:row>
      <xdr:rowOff>141514</xdr:rowOff>
    </xdr:from>
    <xdr:to>
      <xdr:col>27</xdr:col>
      <xdr:colOff>19050</xdr:colOff>
      <xdr:row>241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3A8C3-4270-930F-CD97-312EF53B6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21772</xdr:colOff>
      <xdr:row>264</xdr:row>
      <xdr:rowOff>10887</xdr:rowOff>
    </xdr:from>
    <xdr:to>
      <xdr:col>27</xdr:col>
      <xdr:colOff>19049</xdr:colOff>
      <xdr:row>274</xdr:row>
      <xdr:rowOff>57152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C2FCA-87DE-4AB8-827E-05D503F21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407671</xdr:colOff>
      <xdr:row>28</xdr:row>
      <xdr:rowOff>110150</xdr:rowOff>
    </xdr:from>
    <xdr:to>
      <xdr:col>15</xdr:col>
      <xdr:colOff>476250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C7773-30DE-A5FD-57C4-E12FB94D2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53</xdr:row>
      <xdr:rowOff>59659</xdr:rowOff>
    </xdr:from>
    <xdr:to>
      <xdr:col>11</xdr:col>
      <xdr:colOff>355023</xdr:colOff>
      <xdr:row>78</xdr:row>
      <xdr:rowOff>151549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7B4429-C474-35B9-A1B0-739F62E3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96682"/>
          <a:ext cx="8485909" cy="42049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F1D8A-EC63-4EBE-A3D0-DDA07B9A0AA1}" name="Table1" displayName="Table1" ref="E2:L18" totalsRowShown="0" headerRowDxfId="0" dataDxfId="3" headerRowBorderDxfId="10" tableBorderDxfId="11">
  <tableColumns count="8">
    <tableColumn id="1" xr3:uid="{2C635CF6-6337-41F5-8260-6E9D3883710F}" name="Company" dataDxfId="9"/>
    <tableColumn id="2" xr3:uid="{7244B396-912C-4D6B-AC73-94762B884781}" name="Value" dataDxfId="1"/>
    <tableColumn id="3" xr3:uid="{67BEDCAF-C2F2-4957-8936-9E1B5D1F5FA2}" name="Currency" dataDxfId="8"/>
    <tableColumn id="4" xr3:uid="{F94471EC-8FFB-43C2-81DB-0535E116BE4C}" name="Rate" dataDxfId="7"/>
    <tableColumn id="5" xr3:uid="{E6396B7E-5801-496D-BEAA-539D6A6EF642}" name="USD" dataDxfId="2">
      <calculatedColumnFormula>F3/$H$3</calculatedColumnFormula>
    </tableColumn>
    <tableColumn id="6" xr3:uid="{07630B16-31F5-46ED-87ED-857A55ECDC81}" name="Ownership %" dataDxfId="6"/>
    <tableColumn id="7" xr3:uid="{6130EF90-A93B-4572-9A1A-84D0D6BA5B02}" name="Country" dataDxfId="5"/>
    <tableColumn id="8" xr3:uid="{781CC0D0-8D1E-415A-92CB-ADDBEAF4632D}" name="Sector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7:N13"/>
  <sheetViews>
    <sheetView topLeftCell="A2" workbookViewId="0">
      <selection activeCell="N8" sqref="N8"/>
    </sheetView>
  </sheetViews>
  <sheetFormatPr defaultRowHeight="13.2" x14ac:dyDescent="0.25"/>
  <cols>
    <col min="1" max="16384" width="8.88671875" style="37"/>
  </cols>
  <sheetData>
    <row r="7" spans="11:14" x14ac:dyDescent="0.25">
      <c r="K7" s="1" t="s">
        <v>240</v>
      </c>
      <c r="L7" s="1">
        <v>235.85</v>
      </c>
      <c r="M7" s="39">
        <v>46070</v>
      </c>
      <c r="N7" s="40">
        <v>147.34</v>
      </c>
    </row>
    <row r="8" spans="11:14" x14ac:dyDescent="0.25">
      <c r="K8" s="1" t="s">
        <v>1</v>
      </c>
      <c r="L8" s="38">
        <v>786</v>
      </c>
      <c r="M8" s="1" t="s">
        <v>22</v>
      </c>
      <c r="N8" s="37">
        <f>+L8*2</f>
        <v>1572</v>
      </c>
    </row>
    <row r="9" spans="11:14" x14ac:dyDescent="0.25">
      <c r="K9" s="25" t="s">
        <v>2</v>
      </c>
      <c r="L9" s="4">
        <f>+L7*L8</f>
        <v>185378.1</v>
      </c>
      <c r="N9" s="4">
        <f>+N7*N8</f>
        <v>231618.48</v>
      </c>
    </row>
    <row r="10" spans="11:14" x14ac:dyDescent="0.25">
      <c r="K10" s="1" t="s">
        <v>3</v>
      </c>
      <c r="L10" s="38">
        <f>+Model!AA73</f>
        <v>15263</v>
      </c>
      <c r="M10" s="1" t="s">
        <v>22</v>
      </c>
    </row>
    <row r="11" spans="11:14" x14ac:dyDescent="0.25">
      <c r="K11" s="1" t="s">
        <v>4</v>
      </c>
      <c r="L11" s="38">
        <f>+Model!AA93+Model!AA102</f>
        <v>56465</v>
      </c>
      <c r="M11" s="1" t="s">
        <v>22</v>
      </c>
    </row>
    <row r="12" spans="11:14" x14ac:dyDescent="0.25">
      <c r="L12" s="38"/>
    </row>
    <row r="13" spans="11:14" x14ac:dyDescent="0.25">
      <c r="K13" s="25" t="s">
        <v>5</v>
      </c>
      <c r="L13" s="4">
        <f>+L9-L10+L11</f>
        <v>226580.1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59E5-C5EB-4223-BA21-0A54442062C7}">
  <dimension ref="A1:AR362"/>
  <sheetViews>
    <sheetView zoomScaleNormal="100" workbookViewId="0">
      <pane xSplit="2" ySplit="2" topLeftCell="C223" activePane="bottomRight" state="frozen"/>
      <selection pane="topRight" activeCell="C1" sqref="C1"/>
      <selection pane="bottomLeft" activeCell="A3" sqref="A3"/>
      <selection pane="bottomRight" activeCell="C198" sqref="C198"/>
    </sheetView>
  </sheetViews>
  <sheetFormatPr defaultRowHeight="13.2" x14ac:dyDescent="0.25"/>
  <cols>
    <col min="1" max="1" width="8.88671875" style="1"/>
    <col min="2" max="2" width="62.6640625" style="1" bestFit="1" customWidth="1"/>
    <col min="3" max="6" width="9.5546875" style="1" bestFit="1" customWidth="1"/>
    <col min="7" max="8" width="9.6640625" style="1" bestFit="1" customWidth="1"/>
    <col min="9" max="18" width="10.6640625" style="1" bestFit="1" customWidth="1"/>
    <col min="19" max="19" width="10.88671875" style="1" bestFit="1" customWidth="1"/>
    <col min="20" max="27" width="10.6640625" style="1" bestFit="1" customWidth="1"/>
    <col min="28" max="33" width="8.88671875" style="1"/>
    <col min="34" max="37" width="9" style="1" bestFit="1" customWidth="1"/>
    <col min="38" max="40" width="9.109375" style="1" bestFit="1" customWidth="1"/>
    <col min="41" max="16384" width="8.88671875" style="1"/>
  </cols>
  <sheetData>
    <row r="1" spans="1:44" x14ac:dyDescent="0.25">
      <c r="A1" s="1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44" x14ac:dyDescent="0.25">
      <c r="A2" s="2"/>
      <c r="B2" s="2" t="s">
        <v>194</v>
      </c>
      <c r="C2" s="2" t="s">
        <v>183</v>
      </c>
      <c r="D2" s="2" t="s">
        <v>182</v>
      </c>
      <c r="E2" s="2" t="s">
        <v>181</v>
      </c>
      <c r="F2" s="2" t="s">
        <v>180</v>
      </c>
      <c r="G2" s="2" t="s">
        <v>179</v>
      </c>
      <c r="H2" s="2" t="s">
        <v>178</v>
      </c>
      <c r="I2" s="2" t="s">
        <v>177</v>
      </c>
      <c r="J2" s="2" t="s">
        <v>176</v>
      </c>
      <c r="K2" s="2" t="s">
        <v>173</v>
      </c>
      <c r="L2" s="2" t="s">
        <v>172</v>
      </c>
      <c r="M2" s="2" t="s">
        <v>171</v>
      </c>
      <c r="N2" s="2" t="s">
        <v>170</v>
      </c>
      <c r="O2" s="2" t="s">
        <v>169</v>
      </c>
      <c r="P2" s="2" t="s">
        <v>168</v>
      </c>
      <c r="Q2" s="2" t="s">
        <v>167</v>
      </c>
      <c r="R2" s="2" t="s">
        <v>166</v>
      </c>
      <c r="S2" s="2" t="s">
        <v>161</v>
      </c>
      <c r="T2" s="2" t="s">
        <v>162</v>
      </c>
      <c r="U2" s="2" t="s">
        <v>163</v>
      </c>
      <c r="V2" s="2" t="s">
        <v>27</v>
      </c>
      <c r="W2" s="2" t="s">
        <v>26</v>
      </c>
      <c r="X2" s="2" t="s">
        <v>25</v>
      </c>
      <c r="Y2" s="2" t="s">
        <v>24</v>
      </c>
      <c r="Z2" s="2" t="s">
        <v>23</v>
      </c>
      <c r="AA2" s="2" t="s">
        <v>22</v>
      </c>
      <c r="AB2" s="2" t="s">
        <v>191</v>
      </c>
      <c r="AC2" s="2" t="s">
        <v>192</v>
      </c>
      <c r="AD2" s="2" t="s">
        <v>193</v>
      </c>
      <c r="AH2" s="1" t="s">
        <v>185</v>
      </c>
      <c r="AI2" s="1" t="s">
        <v>164</v>
      </c>
      <c r="AJ2" s="1" t="s">
        <v>165</v>
      </c>
      <c r="AK2" s="1" t="s">
        <v>157</v>
      </c>
      <c r="AL2" s="1" t="s">
        <v>158</v>
      </c>
      <c r="AM2" s="1" t="s">
        <v>155</v>
      </c>
      <c r="AN2" s="1" t="s">
        <v>156</v>
      </c>
      <c r="AO2" s="1" t="s">
        <v>187</v>
      </c>
      <c r="AP2" s="1" t="s">
        <v>188</v>
      </c>
      <c r="AQ2" s="1" t="s">
        <v>189</v>
      </c>
      <c r="AR2" s="1" t="s">
        <v>190</v>
      </c>
    </row>
    <row r="3" spans="1:44" x14ac:dyDescent="0.25">
      <c r="A3" s="2"/>
      <c r="B3" s="2" t="s">
        <v>6</v>
      </c>
      <c r="C3" s="2">
        <v>13675</v>
      </c>
      <c r="D3" s="2">
        <v>13784</v>
      </c>
      <c r="E3" s="2">
        <v>12979</v>
      </c>
      <c r="F3" s="2">
        <v>14816</v>
      </c>
      <c r="G3" s="2">
        <v>14071</v>
      </c>
      <c r="H3" s="2">
        <v>14665</v>
      </c>
      <c r="I3" s="2">
        <v>16085</v>
      </c>
      <c r="J3" s="2">
        <v>17444</v>
      </c>
      <c r="K3" s="2">
        <v>16497</v>
      </c>
      <c r="L3" s="2">
        <v>17040</v>
      </c>
      <c r="M3" s="2">
        <v>17867</v>
      </c>
      <c r="N3" s="2">
        <v>20573</v>
      </c>
      <c r="O3" s="2">
        <v>18070</v>
      </c>
      <c r="P3" s="2">
        <v>19416</v>
      </c>
      <c r="Q3" s="2">
        <v>18889</v>
      </c>
      <c r="R3" s="2">
        <v>21393</v>
      </c>
      <c r="S3" s="2">
        <v>17745</v>
      </c>
      <c r="T3" s="2">
        <v>18474</v>
      </c>
      <c r="U3" s="2">
        <v>18900</v>
      </c>
      <c r="V3" s="2">
        <v>20811</v>
      </c>
      <c r="W3" s="2">
        <v>18353</v>
      </c>
      <c r="X3" s="2">
        <v>19757</v>
      </c>
      <c r="Y3" s="2">
        <v>19377</v>
      </c>
      <c r="Z3" s="2">
        <v>21427</v>
      </c>
      <c r="AA3" s="2">
        <v>19139</v>
      </c>
      <c r="AB3" s="2"/>
      <c r="AC3" s="2"/>
      <c r="AD3" s="2"/>
      <c r="AE3" s="2"/>
      <c r="AF3" s="2"/>
      <c r="AH3" s="2">
        <v>55254</v>
      </c>
      <c r="AI3" s="2">
        <v>62265</v>
      </c>
      <c r="AJ3" s="2">
        <v>71977</v>
      </c>
      <c r="AK3" s="2">
        <v>74882</v>
      </c>
      <c r="AL3" s="2">
        <v>75930</v>
      </c>
      <c r="AM3" s="2">
        <v>78914</v>
      </c>
    </row>
    <row r="4" spans="1:44" x14ac:dyDescent="0.25">
      <c r="A4" s="2"/>
      <c r="B4" s="2" t="s">
        <v>7</v>
      </c>
      <c r="C4" s="2">
        <v>-8688</v>
      </c>
      <c r="D4" s="2">
        <v>-8771</v>
      </c>
      <c r="E4" s="2">
        <v>-8224</v>
      </c>
      <c r="F4" s="2">
        <v>-9683</v>
      </c>
      <c r="G4" s="2">
        <v>-8751</v>
      </c>
      <c r="H4" s="2">
        <v>-9426</v>
      </c>
      <c r="I4" s="2">
        <v>-10213</v>
      </c>
      <c r="J4" s="2">
        <v>-11137</v>
      </c>
      <c r="K4" s="2">
        <v>-10292</v>
      </c>
      <c r="L4" s="2">
        <v>-11300</v>
      </c>
      <c r="M4" s="2">
        <v>-11638</v>
      </c>
      <c r="N4" s="2">
        <v>-12901</v>
      </c>
      <c r="O4" s="2">
        <v>-11104</v>
      </c>
      <c r="P4" s="2">
        <v>-12217</v>
      </c>
      <c r="Q4" s="2">
        <v>-11637</v>
      </c>
      <c r="R4" s="2">
        <v>-13158</v>
      </c>
      <c r="S4" s="2">
        <v>-10707</v>
      </c>
      <c r="T4" s="2">
        <v>-11363</v>
      </c>
      <c r="U4" s="2">
        <v>-11152</v>
      </c>
      <c r="V4" s="2">
        <v>-12885</v>
      </c>
      <c r="W4" s="2">
        <v>-11264</v>
      </c>
      <c r="X4" s="2">
        <v>-12088</v>
      </c>
      <c r="Y4" s="2">
        <v>-11840</v>
      </c>
      <c r="Z4" s="2">
        <v>-13322</v>
      </c>
      <c r="AA4" s="2">
        <v>-11506</v>
      </c>
      <c r="AB4" s="2"/>
      <c r="AC4" s="2"/>
      <c r="AD4" s="2"/>
      <c r="AE4" s="2"/>
      <c r="AF4" s="2"/>
      <c r="AH4" s="2">
        <v>-35366</v>
      </c>
      <c r="AI4" s="2">
        <v>-39527</v>
      </c>
      <c r="AJ4" s="2">
        <v>-46130</v>
      </c>
      <c r="AK4" s="2">
        <v>-45766</v>
      </c>
      <c r="AL4" s="2">
        <v>-46107</v>
      </c>
      <c r="AM4" s="2">
        <v>-48515</v>
      </c>
    </row>
    <row r="5" spans="1:44" s="25" customFormat="1" x14ac:dyDescent="0.25">
      <c r="A5" s="4"/>
      <c r="B5" s="4" t="s">
        <v>8</v>
      </c>
      <c r="C5" s="4">
        <v>4987</v>
      </c>
      <c r="D5" s="4">
        <v>5013</v>
      </c>
      <c r="E5" s="4">
        <v>4755</v>
      </c>
      <c r="F5" s="4">
        <v>5133</v>
      </c>
      <c r="G5" s="4">
        <v>5318</v>
      </c>
      <c r="H5" s="4">
        <v>5239</v>
      </c>
      <c r="I5" s="4">
        <v>5872</v>
      </c>
      <c r="J5" s="4">
        <v>6308</v>
      </c>
      <c r="K5" s="4">
        <v>6205</v>
      </c>
      <c r="L5" s="4">
        <v>5741</v>
      </c>
      <c r="M5" s="4">
        <v>6229</v>
      </c>
      <c r="N5" s="4">
        <v>7672</v>
      </c>
      <c r="O5" s="4">
        <v>6967</v>
      </c>
      <c r="P5" s="4">
        <v>7199</v>
      </c>
      <c r="Q5" s="4">
        <v>7252</v>
      </c>
      <c r="R5" s="4">
        <v>8235</v>
      </c>
      <c r="S5" s="4">
        <v>7038</v>
      </c>
      <c r="T5" s="4">
        <v>7111</v>
      </c>
      <c r="U5" s="4">
        <v>7748</v>
      </c>
      <c r="V5" s="4">
        <v>7926</v>
      </c>
      <c r="W5" s="4">
        <v>7089</v>
      </c>
      <c r="X5" s="4">
        <v>7669</v>
      </c>
      <c r="Y5" s="4">
        <v>7537</v>
      </c>
      <c r="Z5" s="4">
        <v>8104</v>
      </c>
      <c r="AA5" s="4">
        <v>7633</v>
      </c>
      <c r="AB5" s="4"/>
      <c r="AC5" s="4"/>
      <c r="AD5" s="4"/>
      <c r="AE5" s="4"/>
      <c r="AF5" s="4"/>
      <c r="AH5" s="4">
        <v>19888</v>
      </c>
      <c r="AI5" s="4">
        <v>22737</v>
      </c>
      <c r="AJ5" s="4">
        <v>25847</v>
      </c>
      <c r="AK5" s="4">
        <v>29117</v>
      </c>
      <c r="AL5" s="4">
        <v>29823</v>
      </c>
      <c r="AM5" s="4">
        <v>30399</v>
      </c>
    </row>
    <row r="6" spans="1:44" x14ac:dyDescent="0.25">
      <c r="A6" s="2"/>
      <c r="B6" s="2" t="s">
        <v>20</v>
      </c>
      <c r="C6" s="2">
        <v>-1125</v>
      </c>
      <c r="D6" s="2">
        <v>-1159</v>
      </c>
      <c r="E6" s="2">
        <v>-1087</v>
      </c>
      <c r="F6" s="2">
        <v>-1198</v>
      </c>
      <c r="G6" s="2">
        <v>-1064</v>
      </c>
      <c r="H6" s="2">
        <v>-1128</v>
      </c>
      <c r="I6" s="2">
        <v>-1220</v>
      </c>
      <c r="J6" s="2">
        <v>-1447</v>
      </c>
      <c r="K6" s="2">
        <v>-1251</v>
      </c>
      <c r="L6" s="2">
        <v>-1359</v>
      </c>
      <c r="M6" s="2">
        <v>-1400</v>
      </c>
      <c r="N6" s="2">
        <v>-1582</v>
      </c>
      <c r="O6" s="2">
        <v>-1430</v>
      </c>
      <c r="P6" s="2">
        <v>-1528</v>
      </c>
      <c r="Q6" s="2">
        <v>-1542</v>
      </c>
      <c r="R6" s="2">
        <v>-1684</v>
      </c>
      <c r="S6" s="2">
        <v>-1496</v>
      </c>
      <c r="T6" s="2">
        <v>-1567</v>
      </c>
      <c r="U6" s="2">
        <v>-1561</v>
      </c>
      <c r="V6" s="2">
        <v>-1651</v>
      </c>
      <c r="W6" s="2">
        <v>-1545</v>
      </c>
      <c r="X6" s="2">
        <v>-1621</v>
      </c>
      <c r="Y6" s="2">
        <v>-1650</v>
      </c>
      <c r="Z6" s="2">
        <v>-1744</v>
      </c>
      <c r="AA6" s="2">
        <v>-1637</v>
      </c>
      <c r="AB6" s="2"/>
      <c r="AC6" s="2"/>
      <c r="AD6" s="2"/>
      <c r="AE6" s="2"/>
      <c r="AF6" s="2"/>
      <c r="AH6" s="2">
        <v>-4569</v>
      </c>
      <c r="AI6" s="2">
        <v>-4859</v>
      </c>
      <c r="AJ6" s="2">
        <v>-5591</v>
      </c>
      <c r="AK6" s="2">
        <v>-6113</v>
      </c>
      <c r="AL6" s="2">
        <v>-6276</v>
      </c>
      <c r="AM6" s="2">
        <v>-6559</v>
      </c>
    </row>
    <row r="7" spans="1:44" x14ac:dyDescent="0.25">
      <c r="A7" s="2"/>
      <c r="B7" s="2" t="s">
        <v>21</v>
      </c>
      <c r="C7" s="2">
        <v>-2840</v>
      </c>
      <c r="D7" s="2">
        <v>-2649</v>
      </c>
      <c r="E7" s="2">
        <v>-2519</v>
      </c>
      <c r="F7" s="2">
        <v>-2674</v>
      </c>
      <c r="G7" s="2">
        <v>-2461</v>
      </c>
      <c r="H7" s="2">
        <v>-2562</v>
      </c>
      <c r="I7" s="2">
        <v>-2940</v>
      </c>
      <c r="J7" s="2">
        <v>-3228</v>
      </c>
      <c r="K7" s="2">
        <v>-2933</v>
      </c>
      <c r="L7" s="2">
        <v>-3081</v>
      </c>
      <c r="M7" s="2">
        <v>-3179</v>
      </c>
      <c r="N7" s="2">
        <v>-3663</v>
      </c>
      <c r="O7" s="2">
        <v>-3349</v>
      </c>
      <c r="P7" s="2">
        <v>-3375</v>
      </c>
      <c r="Q7" s="2">
        <v>-3418</v>
      </c>
      <c r="R7" s="2">
        <v>-3799</v>
      </c>
      <c r="S7" s="2">
        <v>-3373</v>
      </c>
      <c r="T7" s="2">
        <v>-3369</v>
      </c>
      <c r="U7" s="2">
        <v>-3571</v>
      </c>
      <c r="V7" s="2">
        <v>-3671</v>
      </c>
      <c r="W7" s="2">
        <v>-3500</v>
      </c>
      <c r="X7" s="2">
        <v>-3659</v>
      </c>
      <c r="Y7" s="2">
        <v>-3571</v>
      </c>
      <c r="Z7" s="2">
        <v>-4097</v>
      </c>
      <c r="AA7" s="2">
        <v>-3608</v>
      </c>
      <c r="AB7" s="2"/>
      <c r="AC7" s="2"/>
      <c r="AD7" s="2"/>
      <c r="AE7" s="2"/>
      <c r="AF7" s="2"/>
      <c r="AH7" s="2">
        <v>-10682</v>
      </c>
      <c r="AI7" s="2">
        <v>-11191</v>
      </c>
      <c r="AJ7" s="2">
        <v>-12857</v>
      </c>
      <c r="AK7" s="2">
        <v>-13553</v>
      </c>
      <c r="AL7" s="2">
        <v>-13984</v>
      </c>
      <c r="AM7" s="2">
        <v>-14827</v>
      </c>
    </row>
    <row r="8" spans="1:44" x14ac:dyDescent="0.25">
      <c r="A8" s="2"/>
      <c r="B8" s="2" t="s">
        <v>9</v>
      </c>
      <c r="C8" s="2">
        <v>256</v>
      </c>
      <c r="D8" s="2">
        <v>74</v>
      </c>
      <c r="E8" s="2">
        <v>33</v>
      </c>
      <c r="F8" s="2">
        <v>267</v>
      </c>
      <c r="G8" s="2">
        <v>122</v>
      </c>
      <c r="H8" s="2">
        <v>27</v>
      </c>
      <c r="I8" s="2">
        <v>36</v>
      </c>
      <c r="J8" s="2">
        <v>51</v>
      </c>
      <c r="K8" s="2">
        <v>29</v>
      </c>
      <c r="L8" s="2">
        <v>38</v>
      </c>
      <c r="M8" s="2">
        <v>833</v>
      </c>
      <c r="N8" s="2">
        <v>1271</v>
      </c>
      <c r="O8" s="2">
        <v>172</v>
      </c>
      <c r="P8" s="2">
        <v>52</v>
      </c>
      <c r="Q8" s="2">
        <v>126</v>
      </c>
      <c r="R8" s="2">
        <v>224</v>
      </c>
      <c r="S8" s="2">
        <v>194</v>
      </c>
      <c r="T8" s="2">
        <v>74</v>
      </c>
      <c r="U8" s="2">
        <v>136</v>
      </c>
      <c r="V8" s="2">
        <v>141</v>
      </c>
      <c r="W8" s="2">
        <v>105</v>
      </c>
      <c r="X8" s="2">
        <v>396</v>
      </c>
      <c r="Y8" s="2">
        <v>362</v>
      </c>
      <c r="Z8" s="2">
        <v>118</v>
      </c>
      <c r="AA8" s="2">
        <v>151</v>
      </c>
      <c r="AB8" s="2"/>
      <c r="AC8" s="2"/>
      <c r="AD8" s="2"/>
      <c r="AE8" s="2"/>
      <c r="AF8" s="2"/>
      <c r="AH8" s="2">
        <v>630</v>
      </c>
      <c r="AI8" s="2">
        <v>236</v>
      </c>
      <c r="AJ8" s="2">
        <v>2171</v>
      </c>
      <c r="AK8" s="2">
        <v>572</v>
      </c>
      <c r="AL8" s="2">
        <v>544</v>
      </c>
      <c r="AM8" s="2">
        <v>981</v>
      </c>
    </row>
    <row r="9" spans="1:44" x14ac:dyDescent="0.25">
      <c r="A9" s="2"/>
      <c r="B9" s="2" t="s">
        <v>10</v>
      </c>
      <c r="C9" s="2">
        <v>-106</v>
      </c>
      <c r="D9" s="2">
        <v>-57</v>
      </c>
      <c r="E9" s="2">
        <v>-57</v>
      </c>
      <c r="F9" s="2">
        <v>-176</v>
      </c>
      <c r="G9" s="2">
        <v>-181</v>
      </c>
      <c r="H9" s="2">
        <v>-102</v>
      </c>
      <c r="I9" s="2">
        <v>-87</v>
      </c>
      <c r="J9" s="2">
        <v>-61</v>
      </c>
      <c r="K9" s="2">
        <v>-85</v>
      </c>
      <c r="L9" s="2">
        <v>-70</v>
      </c>
      <c r="M9" s="2">
        <v>-52</v>
      </c>
      <c r="N9" s="2">
        <v>-78</v>
      </c>
      <c r="O9" s="2">
        <v>-134</v>
      </c>
      <c r="P9" s="2">
        <v>-126</v>
      </c>
      <c r="Q9" s="2">
        <v>-127</v>
      </c>
      <c r="R9" s="2">
        <v>-68</v>
      </c>
      <c r="S9" s="2">
        <v>-78</v>
      </c>
      <c r="T9" s="2">
        <v>-204</v>
      </c>
      <c r="U9" s="2">
        <v>-139</v>
      </c>
      <c r="V9" s="2">
        <v>-93</v>
      </c>
      <c r="W9" s="2">
        <v>-85</v>
      </c>
      <c r="X9" s="2">
        <v>-118</v>
      </c>
      <c r="Y9" s="2">
        <v>-64</v>
      </c>
      <c r="Z9" s="2">
        <v>-132</v>
      </c>
      <c r="AA9" s="2">
        <v>-45</v>
      </c>
      <c r="AB9" s="2"/>
      <c r="AC9" s="2"/>
      <c r="AD9" s="2"/>
      <c r="AE9" s="2"/>
      <c r="AF9" s="2"/>
      <c r="AH9" s="2">
        <v>-396</v>
      </c>
      <c r="AI9" s="2">
        <v>-431</v>
      </c>
      <c r="AJ9" s="2">
        <v>-285</v>
      </c>
      <c r="AK9" s="2">
        <v>-447</v>
      </c>
      <c r="AL9" s="2">
        <v>-514</v>
      </c>
      <c r="AM9" s="2">
        <v>-400</v>
      </c>
    </row>
    <row r="10" spans="1:44" x14ac:dyDescent="0.25">
      <c r="A10" s="2"/>
      <c r="B10" s="2" t="s">
        <v>11</v>
      </c>
      <c r="C10" s="2">
        <v>44</v>
      </c>
      <c r="D10" s="2">
        <v>-3</v>
      </c>
      <c r="E10" s="2">
        <v>-84</v>
      </c>
      <c r="F10" s="2">
        <v>-553</v>
      </c>
      <c r="G10" s="2">
        <v>9</v>
      </c>
      <c r="H10" s="2">
        <v>-29</v>
      </c>
      <c r="I10" s="2">
        <v>-153</v>
      </c>
      <c r="J10" s="2">
        <v>-255</v>
      </c>
      <c r="K10" s="2">
        <v>239</v>
      </c>
      <c r="L10" s="2">
        <v>145</v>
      </c>
      <c r="M10" s="2">
        <v>-2814</v>
      </c>
      <c r="N10" s="2">
        <v>346</v>
      </c>
      <c r="O10" s="2">
        <v>-178</v>
      </c>
      <c r="P10" s="2">
        <v>1818</v>
      </c>
      <c r="Q10" s="2">
        <v>-533</v>
      </c>
      <c r="R10" s="2">
        <v>-201</v>
      </c>
      <c r="S10" s="2">
        <v>664</v>
      </c>
      <c r="T10" s="2">
        <v>72</v>
      </c>
      <c r="U10" s="2">
        <v>39</v>
      </c>
      <c r="V10" s="2">
        <v>52</v>
      </c>
      <c r="W10" s="2">
        <v>90</v>
      </c>
      <c r="X10" s="2">
        <v>257</v>
      </c>
      <c r="Y10" s="2">
        <v>36</v>
      </c>
      <c r="Z10" s="2">
        <v>15</v>
      </c>
      <c r="AA10" s="2">
        <v>284</v>
      </c>
      <c r="AB10" s="2"/>
      <c r="AC10" s="2"/>
      <c r="AD10" s="2"/>
      <c r="AE10" s="2"/>
      <c r="AF10" s="2"/>
      <c r="AH10" s="2">
        <v>-596</v>
      </c>
      <c r="AI10" s="2">
        <v>-428</v>
      </c>
      <c r="AJ10" s="2">
        <v>-2085</v>
      </c>
      <c r="AK10" s="2">
        <v>906</v>
      </c>
      <c r="AL10" s="2">
        <v>827</v>
      </c>
      <c r="AM10" s="2">
        <v>397</v>
      </c>
    </row>
    <row r="11" spans="1:44" x14ac:dyDescent="0.25">
      <c r="A11" s="2"/>
      <c r="B11" s="2" t="s">
        <v>12</v>
      </c>
      <c r="C11" s="2">
        <v>343</v>
      </c>
      <c r="D11" s="2">
        <v>488</v>
      </c>
      <c r="E11" s="2">
        <v>403</v>
      </c>
      <c r="F11" s="2">
        <v>311</v>
      </c>
      <c r="G11" s="2">
        <v>317</v>
      </c>
      <c r="H11" s="2">
        <v>348</v>
      </c>
      <c r="I11" s="2">
        <v>361</v>
      </c>
      <c r="J11" s="2">
        <v>415</v>
      </c>
      <c r="K11" s="2">
        <v>371</v>
      </c>
      <c r="L11" s="2">
        <v>367</v>
      </c>
      <c r="M11" s="2">
        <v>419</v>
      </c>
      <c r="N11" s="2">
        <v>475</v>
      </c>
      <c r="O11" s="2">
        <v>540</v>
      </c>
      <c r="P11" s="2">
        <v>578</v>
      </c>
      <c r="Q11" s="2">
        <v>615</v>
      </c>
      <c r="R11" s="2">
        <v>673</v>
      </c>
      <c r="S11" s="2">
        <v>713</v>
      </c>
      <c r="T11" s="2">
        <v>704</v>
      </c>
      <c r="U11" s="2">
        <v>703</v>
      </c>
      <c r="V11" s="2">
        <v>714</v>
      </c>
      <c r="W11" s="2">
        <v>747</v>
      </c>
      <c r="X11" s="2">
        <v>706</v>
      </c>
      <c r="Y11" s="2">
        <v>670</v>
      </c>
      <c r="Z11" s="2">
        <v>642</v>
      </c>
      <c r="AA11" s="2">
        <v>686</v>
      </c>
      <c r="AB11" s="2"/>
      <c r="AC11" s="2"/>
      <c r="AD11" s="2"/>
      <c r="AE11" s="2"/>
      <c r="AF11" s="2"/>
      <c r="AH11" s="2">
        <v>1545</v>
      </c>
      <c r="AI11" s="2">
        <v>1441</v>
      </c>
      <c r="AJ11" s="2">
        <v>1632</v>
      </c>
      <c r="AK11" s="2">
        <v>2402</v>
      </c>
      <c r="AL11" s="2">
        <v>2833</v>
      </c>
      <c r="AM11" s="2">
        <v>2765</v>
      </c>
    </row>
    <row r="12" spans="1:44" x14ac:dyDescent="0.25">
      <c r="A12" s="2"/>
      <c r="B12" s="2" t="s">
        <v>13</v>
      </c>
      <c r="C12" s="2">
        <v>-143</v>
      </c>
      <c r="D12" s="2">
        <v>-312</v>
      </c>
      <c r="E12" s="2">
        <v>-218</v>
      </c>
      <c r="F12" s="2">
        <v>-141</v>
      </c>
      <c r="G12" s="2">
        <v>-165</v>
      </c>
      <c r="H12" s="2">
        <v>-164</v>
      </c>
      <c r="I12" s="2">
        <v>-137</v>
      </c>
      <c r="J12" s="2">
        <v>-178</v>
      </c>
      <c r="K12" s="2">
        <v>-165</v>
      </c>
      <c r="L12" s="2">
        <v>-188</v>
      </c>
      <c r="M12" s="2">
        <v>-160</v>
      </c>
      <c r="N12" s="2">
        <v>-177</v>
      </c>
      <c r="O12" s="2">
        <v>-276</v>
      </c>
      <c r="P12" s="2">
        <v>-348</v>
      </c>
      <c r="Q12" s="2">
        <v>-379</v>
      </c>
      <c r="R12" s="2">
        <v>-370</v>
      </c>
      <c r="S12" s="2">
        <v>-420</v>
      </c>
      <c r="T12" s="2">
        <v>-447</v>
      </c>
      <c r="U12" s="2">
        <v>-447</v>
      </c>
      <c r="V12" s="2">
        <v>-471</v>
      </c>
      <c r="W12" s="2">
        <v>-386</v>
      </c>
      <c r="X12" s="2">
        <v>-370</v>
      </c>
      <c r="Y12" s="2">
        <v>-450</v>
      </c>
      <c r="Z12" s="2">
        <v>-434</v>
      </c>
      <c r="AA12" s="2">
        <v>-435</v>
      </c>
      <c r="AB12" s="2"/>
      <c r="AC12" s="2"/>
      <c r="AD12" s="2"/>
      <c r="AE12" s="2"/>
      <c r="AF12" s="2"/>
      <c r="AH12" s="2">
        <v>-814</v>
      </c>
      <c r="AI12" s="2">
        <v>-644</v>
      </c>
      <c r="AJ12" s="2">
        <v>-689</v>
      </c>
      <c r="AK12" s="2">
        <v>-1369</v>
      </c>
      <c r="AL12" s="2">
        <v>-1785</v>
      </c>
      <c r="AM12" s="2">
        <v>-1640</v>
      </c>
    </row>
    <row r="13" spans="1:44" x14ac:dyDescent="0.25">
      <c r="A13" s="2"/>
      <c r="B13" s="2" t="s">
        <v>14</v>
      </c>
      <c r="C13" s="2">
        <v>39</v>
      </c>
      <c r="D13" s="2">
        <v>-107</v>
      </c>
      <c r="E13" s="2">
        <v>122</v>
      </c>
      <c r="F13" s="2">
        <v>442</v>
      </c>
      <c r="G13" s="2">
        <v>68</v>
      </c>
      <c r="H13" s="2">
        <v>355</v>
      </c>
      <c r="I13" s="2">
        <v>-23</v>
      </c>
      <c r="J13" s="2">
        <v>235</v>
      </c>
      <c r="K13" s="2">
        <v>37</v>
      </c>
      <c r="L13" s="2">
        <v>158</v>
      </c>
      <c r="M13" s="2">
        <v>-788</v>
      </c>
      <c r="N13" s="2">
        <v>-394</v>
      </c>
      <c r="O13" s="2">
        <v>-88</v>
      </c>
      <c r="P13" s="2">
        <v>-130</v>
      </c>
      <c r="Q13" s="2">
        <v>-9</v>
      </c>
      <c r="R13" s="2">
        <v>-159</v>
      </c>
      <c r="S13" s="2">
        <v>-24</v>
      </c>
      <c r="T13" s="2">
        <v>-117</v>
      </c>
      <c r="U13" s="2">
        <v>-56</v>
      </c>
      <c r="V13" s="2">
        <v>-44</v>
      </c>
      <c r="W13" s="2">
        <v>-133</v>
      </c>
      <c r="X13" s="2">
        <v>-87</v>
      </c>
      <c r="Y13" s="2">
        <v>21</v>
      </c>
      <c r="Z13" s="2">
        <v>-88</v>
      </c>
      <c r="AA13" s="2">
        <v>-86</v>
      </c>
      <c r="AB13" s="2"/>
      <c r="AC13" s="2"/>
      <c r="AD13" s="2"/>
      <c r="AE13" s="2"/>
      <c r="AF13" s="2"/>
      <c r="AH13" s="2">
        <v>496</v>
      </c>
      <c r="AI13" s="2">
        <v>635</v>
      </c>
      <c r="AJ13" s="2">
        <v>-987</v>
      </c>
      <c r="AK13" s="2">
        <v>-388</v>
      </c>
      <c r="AL13" s="2">
        <v>-240</v>
      </c>
      <c r="AM13" s="2">
        <v>-287</v>
      </c>
    </row>
    <row r="14" spans="1:44" s="25" customFormat="1" x14ac:dyDescent="0.25">
      <c r="A14" s="4"/>
      <c r="B14" s="4" t="s">
        <v>15</v>
      </c>
      <c r="C14" s="4">
        <v>1457</v>
      </c>
      <c r="D14" s="4">
        <v>1287</v>
      </c>
      <c r="E14" s="4">
        <v>1347</v>
      </c>
      <c r="F14" s="4">
        <v>1411</v>
      </c>
      <c r="G14" s="4">
        <v>1963</v>
      </c>
      <c r="H14" s="4">
        <v>1984</v>
      </c>
      <c r="I14" s="4">
        <v>1708</v>
      </c>
      <c r="J14" s="4">
        <v>1841</v>
      </c>
      <c r="K14" s="4">
        <v>2447</v>
      </c>
      <c r="L14" s="4">
        <v>1750</v>
      </c>
      <c r="M14" s="4">
        <v>-912</v>
      </c>
      <c r="N14" s="4">
        <v>3869</v>
      </c>
      <c r="O14" s="4">
        <v>2223</v>
      </c>
      <c r="P14" s="4">
        <v>4141</v>
      </c>
      <c r="Q14" s="4">
        <v>1985</v>
      </c>
      <c r="R14" s="4">
        <v>2851</v>
      </c>
      <c r="S14" s="4">
        <v>3217</v>
      </c>
      <c r="T14" s="4">
        <v>2256</v>
      </c>
      <c r="U14" s="4">
        <v>2852</v>
      </c>
      <c r="V14" s="4">
        <v>2903</v>
      </c>
      <c r="W14" s="4">
        <v>2381</v>
      </c>
      <c r="X14" s="4">
        <v>3173</v>
      </c>
      <c r="Y14" s="4">
        <v>2890</v>
      </c>
      <c r="Z14" s="4">
        <v>2385</v>
      </c>
      <c r="AA14" s="4">
        <v>2944</v>
      </c>
      <c r="AB14" s="4"/>
      <c r="AC14" s="4"/>
      <c r="AD14" s="4"/>
      <c r="AE14" s="4"/>
      <c r="AF14" s="4"/>
      <c r="AH14" s="4">
        <v>5502</v>
      </c>
      <c r="AI14" s="4">
        <v>7496</v>
      </c>
      <c r="AJ14" s="4">
        <v>7154</v>
      </c>
      <c r="AK14" s="4">
        <v>11126</v>
      </c>
      <c r="AL14" s="4">
        <v>11227</v>
      </c>
      <c r="AM14" s="4">
        <v>10830</v>
      </c>
    </row>
    <row r="15" spans="1:44" x14ac:dyDescent="0.25">
      <c r="A15" s="2"/>
      <c r="B15" s="2" t="s">
        <v>16</v>
      </c>
      <c r="C15" s="2">
        <v>-269</v>
      </c>
      <c r="D15" s="2">
        <v>-296</v>
      </c>
      <c r="E15" s="2">
        <v>-409</v>
      </c>
      <c r="F15" s="2">
        <v>-372</v>
      </c>
      <c r="G15" s="2">
        <v>-490</v>
      </c>
      <c r="H15" s="2">
        <v>-468</v>
      </c>
      <c r="I15" s="2">
        <v>-332</v>
      </c>
      <c r="J15" s="2">
        <v>-571</v>
      </c>
      <c r="K15" s="2">
        <v>-636</v>
      </c>
      <c r="L15" s="2">
        <v>-541</v>
      </c>
      <c r="M15" s="2">
        <v>-611</v>
      </c>
      <c r="N15" s="2">
        <v>-953</v>
      </c>
      <c r="O15" s="2">
        <v>-579</v>
      </c>
      <c r="P15" s="2">
        <v>-588</v>
      </c>
      <c r="Q15" s="2">
        <v>-576</v>
      </c>
      <c r="R15" s="2">
        <v>-944</v>
      </c>
      <c r="S15" s="2">
        <v>-648</v>
      </c>
      <c r="T15" s="2">
        <v>-252</v>
      </c>
      <c r="U15" s="2">
        <v>-694</v>
      </c>
      <c r="V15" s="2">
        <v>-727</v>
      </c>
      <c r="W15" s="2">
        <v>-580</v>
      </c>
      <c r="X15" s="2">
        <v>-733</v>
      </c>
      <c r="Y15" s="2">
        <v>-668</v>
      </c>
      <c r="Z15" s="2">
        <v>-520</v>
      </c>
      <c r="AA15" s="2">
        <v>-718</v>
      </c>
      <c r="AB15" s="2"/>
      <c r="AC15" s="2"/>
      <c r="AD15" s="2"/>
      <c r="AE15" s="2"/>
      <c r="AF15" s="2"/>
      <c r="AH15" s="2">
        <v>-1346</v>
      </c>
      <c r="AI15" s="2">
        <v>-1861</v>
      </c>
      <c r="AJ15" s="2">
        <v>-2741</v>
      </c>
      <c r="AK15" s="2">
        <v>-2600</v>
      </c>
      <c r="AL15" s="2">
        <v>-2320</v>
      </c>
      <c r="AM15" s="2">
        <v>-2501</v>
      </c>
    </row>
    <row r="16" spans="1:44" s="25" customFormat="1" x14ac:dyDescent="0.25">
      <c r="A16" s="4"/>
      <c r="B16" s="4" t="s">
        <v>17</v>
      </c>
      <c r="C16" s="4">
        <v>1187</v>
      </c>
      <c r="D16" s="4">
        <v>992</v>
      </c>
      <c r="E16" s="4">
        <v>938</v>
      </c>
      <c r="F16" s="4">
        <v>1039</v>
      </c>
      <c r="G16" s="4">
        <v>1475</v>
      </c>
      <c r="H16" s="4">
        <v>1516</v>
      </c>
      <c r="I16" s="4">
        <v>1376</v>
      </c>
      <c r="J16" s="4">
        <v>1269</v>
      </c>
      <c r="K16" s="4">
        <v>1812</v>
      </c>
      <c r="L16" s="4">
        <v>1209</v>
      </c>
      <c r="M16" s="4">
        <v>-1523</v>
      </c>
      <c r="N16" s="4">
        <v>2915</v>
      </c>
      <c r="O16" s="4">
        <v>1644</v>
      </c>
      <c r="P16" s="4">
        <v>3554</v>
      </c>
      <c r="Q16" s="4">
        <v>1410</v>
      </c>
      <c r="R16" s="4">
        <v>1907</v>
      </c>
      <c r="S16" s="4">
        <v>2569</v>
      </c>
      <c r="T16" s="4">
        <v>2004</v>
      </c>
      <c r="U16" s="4">
        <v>2158</v>
      </c>
      <c r="V16" s="4">
        <v>2176</v>
      </c>
      <c r="W16" s="4">
        <v>1801</v>
      </c>
      <c r="X16" s="4">
        <v>2441</v>
      </c>
      <c r="Y16" s="4">
        <v>2222</v>
      </c>
      <c r="Z16" s="4">
        <v>1865</v>
      </c>
      <c r="AA16" s="4">
        <v>2225</v>
      </c>
      <c r="AB16" s="4"/>
      <c r="AC16" s="4"/>
      <c r="AD16" s="4"/>
      <c r="AE16" s="4"/>
      <c r="AF16" s="4"/>
      <c r="AH16" s="4">
        <v>4156</v>
      </c>
      <c r="AI16" s="4">
        <v>5636</v>
      </c>
      <c r="AJ16" s="4">
        <v>4413</v>
      </c>
      <c r="AK16" s="4">
        <v>8525</v>
      </c>
      <c r="AL16" s="4">
        <v>8907</v>
      </c>
      <c r="AM16" s="4">
        <v>8328</v>
      </c>
    </row>
    <row r="17" spans="1:39" x14ac:dyDescent="0.25">
      <c r="A17" s="2"/>
      <c r="B17" s="2" t="s">
        <v>18</v>
      </c>
      <c r="C17" s="2">
        <v>-98</v>
      </c>
      <c r="D17" s="2">
        <v>-295</v>
      </c>
      <c r="E17" s="2">
        <v>-403</v>
      </c>
      <c r="F17" s="2">
        <v>840</v>
      </c>
      <c r="G17" s="2">
        <v>23</v>
      </c>
      <c r="H17" s="2">
        <v>874</v>
      </c>
      <c r="I17" s="2">
        <v>105</v>
      </c>
      <c r="J17" s="2">
        <v>60</v>
      </c>
      <c r="K17" s="2">
        <v>-15</v>
      </c>
      <c r="L17" s="2">
        <v>4</v>
      </c>
      <c r="M17" s="2">
        <v>-7</v>
      </c>
      <c r="N17" s="2">
        <v>-2</v>
      </c>
      <c r="O17" s="2">
        <v>-8</v>
      </c>
      <c r="P17" s="2">
        <v>-3</v>
      </c>
      <c r="Q17" s="2">
        <v>31</v>
      </c>
      <c r="R17" s="2">
        <v>-5</v>
      </c>
      <c r="S17" s="2">
        <v>-21</v>
      </c>
      <c r="T17" s="2">
        <v>192</v>
      </c>
      <c r="U17" s="2">
        <v>-25</v>
      </c>
      <c r="V17" s="2">
        <v>-61</v>
      </c>
      <c r="W17" s="2">
        <v>2067</v>
      </c>
      <c r="X17" s="2">
        <v>-1</v>
      </c>
      <c r="Y17" s="2">
        <v>21</v>
      </c>
      <c r="Z17" s="2">
        <v>-28</v>
      </c>
      <c r="AA17" s="2">
        <v>-3</v>
      </c>
      <c r="AB17" s="2"/>
      <c r="AC17" s="2"/>
      <c r="AD17" s="2"/>
      <c r="AE17" s="2"/>
      <c r="AF17" s="2"/>
      <c r="AH17" s="2">
        <v>44</v>
      </c>
      <c r="AI17" s="2">
        <v>1062</v>
      </c>
      <c r="AJ17" s="2">
        <v>-21</v>
      </c>
      <c r="AK17" s="2">
        <v>3</v>
      </c>
      <c r="AL17" s="2">
        <v>85</v>
      </c>
      <c r="AM17" s="2">
        <v>2059</v>
      </c>
    </row>
    <row r="18" spans="1:39" s="25" customFormat="1" x14ac:dyDescent="0.25">
      <c r="A18" s="4"/>
      <c r="B18" s="4" t="s">
        <v>19</v>
      </c>
      <c r="C18" s="4">
        <v>1089</v>
      </c>
      <c r="D18" s="4">
        <v>697</v>
      </c>
      <c r="E18" s="4">
        <v>535</v>
      </c>
      <c r="F18" s="4">
        <v>1879</v>
      </c>
      <c r="G18" s="4">
        <v>1497</v>
      </c>
      <c r="H18" s="4">
        <v>2390</v>
      </c>
      <c r="I18" s="4">
        <v>1480</v>
      </c>
      <c r="J18" s="4">
        <v>1330</v>
      </c>
      <c r="K18" s="4">
        <v>1796</v>
      </c>
      <c r="L18" s="4">
        <v>1213</v>
      </c>
      <c r="M18" s="4">
        <v>-1531</v>
      </c>
      <c r="N18" s="4">
        <v>2913</v>
      </c>
      <c r="O18" s="4">
        <v>1636</v>
      </c>
      <c r="P18" s="4">
        <v>3551</v>
      </c>
      <c r="Q18" s="4">
        <v>1440</v>
      </c>
      <c r="R18" s="4">
        <v>1902</v>
      </c>
      <c r="S18" s="4">
        <v>2548</v>
      </c>
      <c r="T18" s="4">
        <v>2196</v>
      </c>
      <c r="U18" s="4">
        <v>2133</v>
      </c>
      <c r="V18" s="4">
        <v>2115</v>
      </c>
      <c r="W18" s="4">
        <v>3868</v>
      </c>
      <c r="X18" s="4">
        <v>2439</v>
      </c>
      <c r="Y18" s="4">
        <v>2243</v>
      </c>
      <c r="Z18" s="4">
        <v>1837</v>
      </c>
      <c r="AA18" s="4">
        <v>2222</v>
      </c>
      <c r="AB18" s="4"/>
      <c r="AC18" s="4"/>
      <c r="AD18" s="4"/>
      <c r="AE18" s="4"/>
      <c r="AF18" s="4"/>
      <c r="AH18" s="4">
        <v>4200</v>
      </c>
      <c r="AI18" s="4">
        <v>6697</v>
      </c>
      <c r="AJ18" s="4">
        <v>4392</v>
      </c>
      <c r="AK18" s="4">
        <v>8529</v>
      </c>
      <c r="AL18" s="4">
        <v>8992</v>
      </c>
      <c r="AM18" s="4">
        <v>10387</v>
      </c>
    </row>
    <row r="19" spans="1:39" x14ac:dyDescent="0.25">
      <c r="A19" s="2"/>
      <c r="B19" s="9" t="s">
        <v>31</v>
      </c>
      <c r="C19" s="9"/>
      <c r="D19" s="9" t="s">
        <v>31</v>
      </c>
      <c r="E19" s="9" t="s">
        <v>31</v>
      </c>
      <c r="F19" s="9" t="s">
        <v>31</v>
      </c>
      <c r="G19" s="9"/>
      <c r="H19" s="9" t="s">
        <v>31</v>
      </c>
      <c r="I19" s="9" t="s">
        <v>31</v>
      </c>
      <c r="J19" s="9" t="s">
        <v>31</v>
      </c>
      <c r="K19" s="9" t="s">
        <v>31</v>
      </c>
      <c r="L19" s="9" t="s">
        <v>31</v>
      </c>
      <c r="M19" s="9" t="s">
        <v>31</v>
      </c>
      <c r="N19" s="9" t="s">
        <v>31</v>
      </c>
      <c r="O19" s="9" t="s">
        <v>31</v>
      </c>
      <c r="P19" s="9" t="s">
        <v>31</v>
      </c>
      <c r="Q19" s="9" t="s">
        <v>31</v>
      </c>
      <c r="R19" s="9" t="s">
        <v>31</v>
      </c>
      <c r="S19" s="9" t="s">
        <v>31</v>
      </c>
      <c r="T19" s="9" t="s">
        <v>31</v>
      </c>
      <c r="U19" s="9" t="s">
        <v>31</v>
      </c>
      <c r="V19" s="9" t="s">
        <v>31</v>
      </c>
      <c r="W19" s="9" t="s">
        <v>31</v>
      </c>
      <c r="X19" s="9" t="s">
        <v>31</v>
      </c>
      <c r="Y19" s="9" t="s">
        <v>31</v>
      </c>
      <c r="Z19" s="9" t="s">
        <v>31</v>
      </c>
      <c r="AA19" s="9" t="s">
        <v>31</v>
      </c>
      <c r="AB19" s="2"/>
      <c r="AC19" s="2"/>
      <c r="AD19" s="2"/>
      <c r="AE19" s="2"/>
      <c r="AF19" s="2"/>
      <c r="AH19" s="5" t="s">
        <v>31</v>
      </c>
      <c r="AI19" s="5" t="s">
        <v>31</v>
      </c>
      <c r="AJ19" s="5" t="s">
        <v>31</v>
      </c>
      <c r="AK19" s="5" t="s">
        <v>31</v>
      </c>
      <c r="AL19" s="5" t="s">
        <v>31</v>
      </c>
      <c r="AM19" s="5" t="s">
        <v>31</v>
      </c>
    </row>
    <row r="20" spans="1:39" x14ac:dyDescent="0.25">
      <c r="A20" s="2"/>
      <c r="B20" s="18" t="s">
        <v>30</v>
      </c>
      <c r="C20" s="9"/>
      <c r="D20" s="9" t="s">
        <v>31</v>
      </c>
      <c r="E20" s="9" t="s">
        <v>31</v>
      </c>
      <c r="F20" s="9" t="s">
        <v>31</v>
      </c>
      <c r="G20" s="9"/>
      <c r="H20" s="9" t="s">
        <v>31</v>
      </c>
      <c r="I20" s="9" t="s">
        <v>31</v>
      </c>
      <c r="J20" s="9" t="s">
        <v>31</v>
      </c>
      <c r="K20" s="9" t="s">
        <v>31</v>
      </c>
      <c r="L20" s="9" t="s">
        <v>31</v>
      </c>
      <c r="M20" s="9" t="s">
        <v>31</v>
      </c>
      <c r="N20" s="9" t="s">
        <v>31</v>
      </c>
      <c r="O20" s="9" t="s">
        <v>31</v>
      </c>
      <c r="P20" s="9" t="s">
        <v>31</v>
      </c>
      <c r="Q20" s="9" t="s">
        <v>31</v>
      </c>
      <c r="R20" s="9" t="s">
        <v>31</v>
      </c>
      <c r="S20" s="9" t="s">
        <v>31</v>
      </c>
      <c r="T20" s="9" t="s">
        <v>31</v>
      </c>
      <c r="U20" s="9" t="s">
        <v>31</v>
      </c>
      <c r="V20" s="9" t="s">
        <v>31</v>
      </c>
      <c r="W20" s="9" t="s">
        <v>31</v>
      </c>
      <c r="X20" s="9" t="s">
        <v>31</v>
      </c>
      <c r="Y20" s="9" t="s">
        <v>31</v>
      </c>
      <c r="Z20" s="9" t="s">
        <v>31</v>
      </c>
      <c r="AA20" s="9" t="s">
        <v>31</v>
      </c>
      <c r="AB20" s="2"/>
      <c r="AC20" s="2"/>
      <c r="AD20" s="2"/>
      <c r="AE20" s="2"/>
      <c r="AF20" s="2"/>
      <c r="AH20" s="5" t="s">
        <v>31</v>
      </c>
      <c r="AI20" s="5" t="s">
        <v>31</v>
      </c>
      <c r="AJ20" s="5" t="s">
        <v>31</v>
      </c>
      <c r="AK20" s="5" t="s">
        <v>31</v>
      </c>
      <c r="AL20" s="5" t="s">
        <v>31</v>
      </c>
      <c r="AM20" s="5" t="s">
        <v>31</v>
      </c>
    </row>
    <row r="21" spans="1:39" x14ac:dyDescent="0.25">
      <c r="A21" s="2"/>
      <c r="B21" s="19" t="s">
        <v>28</v>
      </c>
      <c r="C21" s="2">
        <v>8</v>
      </c>
      <c r="D21" s="2">
        <v>44</v>
      </c>
      <c r="E21" s="2">
        <v>-3</v>
      </c>
      <c r="F21" s="2">
        <v>121</v>
      </c>
      <c r="G21" s="2">
        <v>121</v>
      </c>
      <c r="H21" s="2">
        <v>125</v>
      </c>
      <c r="I21" s="2">
        <v>128</v>
      </c>
      <c r="J21" s="2">
        <v>163</v>
      </c>
      <c r="K21" s="2">
        <v>153</v>
      </c>
      <c r="L21" s="2">
        <v>179</v>
      </c>
      <c r="M21" s="2">
        <v>125</v>
      </c>
      <c r="N21" s="2">
        <v>212</v>
      </c>
      <c r="O21" s="2">
        <v>159</v>
      </c>
      <c r="P21" s="2">
        <v>74</v>
      </c>
      <c r="Q21" s="2">
        <v>162</v>
      </c>
      <c r="R21" s="2">
        <v>184</v>
      </c>
      <c r="S21" s="2">
        <v>160</v>
      </c>
      <c r="T21" s="2">
        <v>163</v>
      </c>
      <c r="U21" s="2">
        <v>154</v>
      </c>
      <c r="V21" s="2">
        <v>215</v>
      </c>
      <c r="W21" s="2">
        <v>163</v>
      </c>
      <c r="X21" s="2">
        <v>189</v>
      </c>
      <c r="Y21" s="2">
        <v>197</v>
      </c>
      <c r="Z21" s="2">
        <v>218</v>
      </c>
      <c r="AA21" s="2">
        <v>192</v>
      </c>
      <c r="AB21" s="2"/>
      <c r="AC21" s="2"/>
      <c r="AD21" s="2"/>
      <c r="AE21" s="2"/>
      <c r="AF21" s="2"/>
      <c r="AH21" s="2">
        <v>170</v>
      </c>
      <c r="AI21" s="2">
        <v>537</v>
      </c>
      <c r="AJ21" s="2">
        <v>669</v>
      </c>
      <c r="AK21" s="2">
        <v>579</v>
      </c>
      <c r="AL21" s="2">
        <v>691</v>
      </c>
      <c r="AM21" s="2">
        <v>767</v>
      </c>
    </row>
    <row r="22" spans="1:39" x14ac:dyDescent="0.25">
      <c r="A22" s="2"/>
      <c r="B22" s="19" t="s">
        <v>29</v>
      </c>
      <c r="C22" s="2">
        <v>1081</v>
      </c>
      <c r="D22" s="2">
        <v>652</v>
      </c>
      <c r="E22" s="2">
        <v>539</v>
      </c>
      <c r="F22" s="2">
        <v>1758</v>
      </c>
      <c r="G22" s="2">
        <v>1377</v>
      </c>
      <c r="H22" s="2">
        <v>2265</v>
      </c>
      <c r="I22" s="2">
        <v>1352</v>
      </c>
      <c r="J22" s="2">
        <v>1167</v>
      </c>
      <c r="K22" s="2">
        <v>1643</v>
      </c>
      <c r="L22" s="2">
        <v>1034</v>
      </c>
      <c r="M22" s="2">
        <v>-1655</v>
      </c>
      <c r="N22" s="2">
        <v>2701</v>
      </c>
      <c r="O22" s="2">
        <v>1477</v>
      </c>
      <c r="P22" s="2">
        <v>3477</v>
      </c>
      <c r="Q22" s="2">
        <v>1278</v>
      </c>
      <c r="R22" s="2">
        <v>1718</v>
      </c>
      <c r="S22" s="2">
        <v>2389</v>
      </c>
      <c r="T22" s="2">
        <v>2033</v>
      </c>
      <c r="U22" s="2">
        <v>1980</v>
      </c>
      <c r="V22" s="2">
        <v>1900</v>
      </c>
      <c r="W22" s="2">
        <v>3705</v>
      </c>
      <c r="X22" s="2">
        <v>2250</v>
      </c>
      <c r="Y22" s="2">
        <v>2046</v>
      </c>
      <c r="Z22" s="2">
        <v>1619</v>
      </c>
      <c r="AA22" s="2">
        <v>2030</v>
      </c>
      <c r="AB22" s="2"/>
      <c r="AC22" s="2"/>
      <c r="AD22" s="2"/>
      <c r="AE22" s="2"/>
      <c r="AF22" s="2"/>
      <c r="AH22" s="2">
        <v>4030</v>
      </c>
      <c r="AI22" s="2">
        <v>6161</v>
      </c>
      <c r="AJ22" s="2">
        <v>3723</v>
      </c>
      <c r="AK22" s="2">
        <v>7949</v>
      </c>
      <c r="AL22" s="2">
        <v>8301</v>
      </c>
      <c r="AM22" s="2">
        <v>9620</v>
      </c>
    </row>
    <row r="23" spans="1:39" x14ac:dyDescent="0.25">
      <c r="A23" s="2"/>
      <c r="B23" s="9" t="s">
        <v>31</v>
      </c>
      <c r="C23" s="9"/>
      <c r="D23" s="9"/>
      <c r="E23" s="9" t="s">
        <v>31</v>
      </c>
      <c r="F23" s="9" t="s">
        <v>31</v>
      </c>
      <c r="G23" s="9"/>
      <c r="H23" s="9"/>
      <c r="I23" s="9"/>
      <c r="J23" s="9"/>
      <c r="K23" s="9" t="s">
        <v>31</v>
      </c>
      <c r="L23" s="9" t="s">
        <v>31</v>
      </c>
      <c r="M23" s="9" t="s">
        <v>31</v>
      </c>
      <c r="N23" s="9" t="s">
        <v>31</v>
      </c>
      <c r="O23" s="9" t="s">
        <v>31</v>
      </c>
      <c r="P23" s="9" t="s">
        <v>31</v>
      </c>
      <c r="Q23" s="9" t="s">
        <v>31</v>
      </c>
      <c r="R23" s="9" t="s">
        <v>31</v>
      </c>
      <c r="S23" s="9" t="s">
        <v>31</v>
      </c>
      <c r="T23" s="9" t="s">
        <v>31</v>
      </c>
      <c r="U23" s="9" t="s">
        <v>31</v>
      </c>
      <c r="V23" s="9" t="s">
        <v>31</v>
      </c>
      <c r="W23" s="9" t="s">
        <v>31</v>
      </c>
      <c r="X23" s="9" t="s">
        <v>31</v>
      </c>
      <c r="Y23" s="9" t="s">
        <v>31</v>
      </c>
      <c r="Z23" s="9" t="s">
        <v>31</v>
      </c>
      <c r="AA23" s="9" t="s">
        <v>31</v>
      </c>
      <c r="AB23" s="2"/>
      <c r="AC23" s="2"/>
      <c r="AD23" s="2"/>
      <c r="AE23" s="2"/>
      <c r="AF23" s="2"/>
      <c r="AH23" s="5" t="s">
        <v>31</v>
      </c>
      <c r="AI23" s="5" t="s">
        <v>31</v>
      </c>
      <c r="AJ23" s="5" t="s">
        <v>31</v>
      </c>
      <c r="AK23" s="5" t="s">
        <v>31</v>
      </c>
      <c r="AL23" s="5" t="s">
        <v>31</v>
      </c>
      <c r="AM23" s="5" t="s">
        <v>31</v>
      </c>
    </row>
    <row r="24" spans="1:39" x14ac:dyDescent="0.25">
      <c r="A24" s="2"/>
      <c r="B24" s="13" t="s">
        <v>32</v>
      </c>
      <c r="C24" s="9"/>
      <c r="D24" s="9"/>
      <c r="E24" s="9" t="s">
        <v>31</v>
      </c>
      <c r="F24" s="9" t="s">
        <v>31</v>
      </c>
      <c r="G24" s="9"/>
      <c r="H24" s="9"/>
      <c r="I24" s="9"/>
      <c r="J24" s="9"/>
      <c r="K24" s="9" t="s">
        <v>31</v>
      </c>
      <c r="L24" s="9" t="s">
        <v>31</v>
      </c>
      <c r="M24" s="9" t="s">
        <v>31</v>
      </c>
      <c r="N24" s="9" t="s">
        <v>31</v>
      </c>
      <c r="O24" s="9" t="s">
        <v>31</v>
      </c>
      <c r="P24" s="9" t="s">
        <v>31</v>
      </c>
      <c r="Q24" s="9" t="s">
        <v>31</v>
      </c>
      <c r="R24" s="9" t="s">
        <v>31</v>
      </c>
      <c r="S24" s="9" t="s">
        <v>31</v>
      </c>
      <c r="T24" s="9" t="s">
        <v>31</v>
      </c>
      <c r="U24" s="9" t="s">
        <v>31</v>
      </c>
      <c r="V24" s="9" t="s">
        <v>31</v>
      </c>
      <c r="W24" s="9" t="s">
        <v>31</v>
      </c>
      <c r="X24" s="9" t="s">
        <v>31</v>
      </c>
      <c r="Y24" s="9" t="s">
        <v>31</v>
      </c>
      <c r="Z24" s="9" t="s">
        <v>31</v>
      </c>
      <c r="AA24" s="9" t="s">
        <v>31</v>
      </c>
      <c r="AB24" s="2"/>
      <c r="AC24" s="2"/>
      <c r="AD24" s="2"/>
      <c r="AE24" s="2"/>
      <c r="AF24" s="2"/>
      <c r="AH24" s="7" t="s">
        <v>31</v>
      </c>
      <c r="AI24" s="7" t="s">
        <v>31</v>
      </c>
      <c r="AJ24" s="7" t="s">
        <v>31</v>
      </c>
      <c r="AK24" s="7" t="s">
        <v>31</v>
      </c>
      <c r="AL24" s="7" t="s">
        <v>31</v>
      </c>
      <c r="AM24" s="7" t="s">
        <v>31</v>
      </c>
    </row>
    <row r="25" spans="1:39" s="21" customFormat="1" x14ac:dyDescent="0.25">
      <c r="B25" s="21" t="s">
        <v>17</v>
      </c>
      <c r="C25" s="21">
        <v>1.37</v>
      </c>
      <c r="D25" s="21">
        <v>1.1499999999999999</v>
      </c>
      <c r="E25" s="21">
        <v>1.07</v>
      </c>
      <c r="F25" s="21">
        <v>1.18</v>
      </c>
      <c r="G25" s="21">
        <v>1.7000000000000002</v>
      </c>
      <c r="H25" s="21">
        <v>1.73</v>
      </c>
      <c r="I25" s="21">
        <v>1.55</v>
      </c>
      <c r="J25" s="21">
        <v>1.38</v>
      </c>
      <c r="K25" s="21">
        <v>2.06</v>
      </c>
      <c r="L25" s="21">
        <v>1.28</v>
      </c>
      <c r="M25" s="21">
        <v>-2.0499999999999998</v>
      </c>
      <c r="N25" s="21">
        <v>3.4</v>
      </c>
      <c r="O25" s="21">
        <v>1.88</v>
      </c>
      <c r="P25" s="21">
        <v>4.4000000000000004</v>
      </c>
      <c r="Q25" s="21">
        <v>1.5699999999999998</v>
      </c>
      <c r="R25" s="21">
        <v>2.1800000000000002</v>
      </c>
      <c r="S25" s="21">
        <v>3.05</v>
      </c>
      <c r="T25" s="21">
        <v>2.33</v>
      </c>
      <c r="U25" s="21">
        <v>2.54</v>
      </c>
      <c r="V25" s="21">
        <v>2.4900000000000002</v>
      </c>
      <c r="W25" s="21">
        <v>2.08</v>
      </c>
      <c r="X25" s="21">
        <v>2.86</v>
      </c>
      <c r="Y25" s="21">
        <v>2.58</v>
      </c>
      <c r="Z25" s="21">
        <v>2.11</v>
      </c>
      <c r="AA25" s="21">
        <v>2.61</v>
      </c>
      <c r="AH25" s="21">
        <v>4.7699999999999996</v>
      </c>
      <c r="AI25" s="21">
        <v>6.36</v>
      </c>
      <c r="AJ25" s="21">
        <v>4.67</v>
      </c>
      <c r="AK25" s="21">
        <v>10.039999999999999</v>
      </c>
      <c r="AL25" s="21">
        <v>10.42</v>
      </c>
      <c r="AM25" s="21">
        <v>9.6300000000000008</v>
      </c>
    </row>
    <row r="26" spans="1:39" s="21" customFormat="1" x14ac:dyDescent="0.25">
      <c r="B26" s="21" t="s">
        <v>33</v>
      </c>
      <c r="C26" s="21">
        <v>-5.0000000000000017E-2</v>
      </c>
      <c r="D26" s="21">
        <v>-0.34</v>
      </c>
      <c r="E26" s="21">
        <v>-0.4</v>
      </c>
      <c r="F26" s="21">
        <v>1.02</v>
      </c>
      <c r="G26" s="21">
        <v>1.9999999999999796E-2</v>
      </c>
      <c r="H26" s="21">
        <v>1.0900000000000001</v>
      </c>
      <c r="I26" s="21">
        <v>0.13</v>
      </c>
      <c r="J26" s="21">
        <v>0.08</v>
      </c>
      <c r="K26" s="21">
        <v>-0.02</v>
      </c>
      <c r="L26" s="21">
        <v>0.01</v>
      </c>
      <c r="M26" s="21">
        <v>-0.01</v>
      </c>
      <c r="N26" s="21">
        <v>0</v>
      </c>
      <c r="O26" s="21">
        <v>-0.01</v>
      </c>
      <c r="P26" s="21">
        <v>0</v>
      </c>
      <c r="Q26" s="21">
        <v>0.04</v>
      </c>
      <c r="R26" s="21">
        <v>-0.01</v>
      </c>
      <c r="S26" s="21">
        <v>-0.03</v>
      </c>
      <c r="T26" s="21">
        <v>0.24</v>
      </c>
      <c r="U26" s="21">
        <v>-0.03</v>
      </c>
      <c r="V26" s="21">
        <v>-0.08</v>
      </c>
      <c r="W26" s="21">
        <v>2.63</v>
      </c>
      <c r="X26" s="21">
        <v>0</v>
      </c>
      <c r="Y26" s="21">
        <v>0.03</v>
      </c>
      <c r="Z26" s="21">
        <v>-0.04</v>
      </c>
      <c r="AA26" s="21">
        <v>0</v>
      </c>
      <c r="AH26" s="21">
        <v>0.23</v>
      </c>
      <c r="AI26" s="21">
        <v>1.32</v>
      </c>
      <c r="AJ26" s="21">
        <v>-0.03</v>
      </c>
      <c r="AK26" s="21">
        <v>0</v>
      </c>
      <c r="AL26" s="21">
        <v>0.11</v>
      </c>
      <c r="AM26" s="21">
        <v>2.62</v>
      </c>
    </row>
    <row r="27" spans="1:39" s="23" customFormat="1" x14ac:dyDescent="0.25">
      <c r="B27" s="23" t="s">
        <v>19</v>
      </c>
      <c r="C27" s="23">
        <v>1.3299999999999996</v>
      </c>
      <c r="D27" s="23">
        <v>0.8</v>
      </c>
      <c r="E27" s="23">
        <v>0.67</v>
      </c>
      <c r="F27" s="23">
        <v>2.2000000000000002</v>
      </c>
      <c r="G27" s="23">
        <v>1.7299999999999995</v>
      </c>
      <c r="H27" s="23">
        <v>2.82</v>
      </c>
      <c r="I27" s="23">
        <v>1.68</v>
      </c>
      <c r="J27" s="23">
        <v>1.45</v>
      </c>
      <c r="K27" s="23">
        <v>2.0499999999999998</v>
      </c>
      <c r="L27" s="23">
        <v>1.29</v>
      </c>
      <c r="M27" s="23">
        <v>-2.06</v>
      </c>
      <c r="N27" s="23">
        <v>3.39</v>
      </c>
      <c r="O27" s="23">
        <v>1.87</v>
      </c>
      <c r="P27" s="23">
        <v>4.3899999999999997</v>
      </c>
      <c r="Q27" s="23">
        <v>1.6099999999999999</v>
      </c>
      <c r="R27" s="23">
        <v>2.17</v>
      </c>
      <c r="S27" s="23">
        <v>3.03</v>
      </c>
      <c r="T27" s="23">
        <v>2.57</v>
      </c>
      <c r="U27" s="23">
        <v>2.5099999999999998</v>
      </c>
      <c r="V27" s="23">
        <v>2.42</v>
      </c>
      <c r="W27" s="23">
        <v>4.71</v>
      </c>
      <c r="X27" s="23">
        <v>2.86</v>
      </c>
      <c r="Y27" s="23">
        <v>2.61</v>
      </c>
      <c r="Z27" s="23">
        <v>2.0699999999999998</v>
      </c>
      <c r="AA27" s="23">
        <v>2.6</v>
      </c>
      <c r="AH27" s="23">
        <v>5</v>
      </c>
      <c r="AI27" s="23">
        <v>7.68</v>
      </c>
      <c r="AJ27" s="23">
        <v>4.6500000000000004</v>
      </c>
      <c r="AK27" s="23">
        <v>10.039999999999999</v>
      </c>
      <c r="AL27" s="23">
        <v>10.53</v>
      </c>
      <c r="AM27" s="23">
        <v>12.25</v>
      </c>
    </row>
    <row r="28" spans="1:39" s="21" customFormat="1" x14ac:dyDescent="0.25">
      <c r="B28" s="24" t="s">
        <v>31</v>
      </c>
      <c r="C28" s="24"/>
      <c r="D28" s="24"/>
      <c r="E28" s="24" t="s">
        <v>31</v>
      </c>
      <c r="F28" s="24" t="s">
        <v>31</v>
      </c>
      <c r="G28" s="24"/>
      <c r="H28" s="24"/>
      <c r="I28" s="24"/>
      <c r="J28" s="24"/>
      <c r="K28" s="24" t="s">
        <v>31</v>
      </c>
      <c r="L28" s="24" t="s">
        <v>31</v>
      </c>
      <c r="M28" s="24" t="s">
        <v>31</v>
      </c>
      <c r="N28" s="24" t="s">
        <v>31</v>
      </c>
      <c r="O28" s="24" t="s">
        <v>31</v>
      </c>
      <c r="P28" s="24" t="s">
        <v>31</v>
      </c>
      <c r="Q28" s="24" t="s">
        <v>31</v>
      </c>
      <c r="R28" s="24" t="s">
        <v>31</v>
      </c>
      <c r="S28" s="24" t="s">
        <v>31</v>
      </c>
      <c r="T28" s="24" t="s">
        <v>31</v>
      </c>
      <c r="U28" s="24" t="s">
        <v>31</v>
      </c>
      <c r="V28" s="24" t="s">
        <v>31</v>
      </c>
      <c r="W28" s="24" t="s">
        <v>31</v>
      </c>
      <c r="X28" s="24" t="s">
        <v>31</v>
      </c>
      <c r="Y28" s="24" t="s">
        <v>31</v>
      </c>
      <c r="Z28" s="24" t="s">
        <v>31</v>
      </c>
      <c r="AA28" s="24" t="s">
        <v>31</v>
      </c>
      <c r="AH28" s="24" t="s">
        <v>31</v>
      </c>
      <c r="AI28" s="24" t="s">
        <v>31</v>
      </c>
      <c r="AJ28" s="24" t="s">
        <v>31</v>
      </c>
      <c r="AK28" s="24" t="s">
        <v>31</v>
      </c>
      <c r="AL28" s="24" t="s">
        <v>31</v>
      </c>
      <c r="AM28" s="24" t="s">
        <v>31</v>
      </c>
    </row>
    <row r="29" spans="1:39" s="21" customFormat="1" x14ac:dyDescent="0.25">
      <c r="B29" s="22" t="s">
        <v>34</v>
      </c>
      <c r="C29" s="24"/>
      <c r="D29" s="24"/>
      <c r="E29" s="24" t="s">
        <v>31</v>
      </c>
      <c r="F29" s="24" t="s">
        <v>31</v>
      </c>
      <c r="G29" s="24"/>
      <c r="H29" s="24"/>
      <c r="I29" s="24"/>
      <c r="J29" s="24"/>
      <c r="K29" s="24" t="s">
        <v>31</v>
      </c>
      <c r="L29" s="24" t="s">
        <v>31</v>
      </c>
      <c r="M29" s="24" t="s">
        <v>31</v>
      </c>
      <c r="N29" s="24" t="s">
        <v>31</v>
      </c>
      <c r="O29" s="24" t="s">
        <v>31</v>
      </c>
      <c r="P29" s="24" t="s">
        <v>31</v>
      </c>
      <c r="Q29" s="24" t="s">
        <v>31</v>
      </c>
      <c r="R29" s="24" t="s">
        <v>31</v>
      </c>
      <c r="S29" s="24" t="s">
        <v>31</v>
      </c>
      <c r="T29" s="24" t="s">
        <v>31</v>
      </c>
      <c r="U29" s="24" t="s">
        <v>31</v>
      </c>
      <c r="V29" s="24" t="s">
        <v>31</v>
      </c>
      <c r="W29" s="24" t="s">
        <v>31</v>
      </c>
      <c r="X29" s="24" t="s">
        <v>31</v>
      </c>
      <c r="Y29" s="24" t="s">
        <v>31</v>
      </c>
      <c r="Z29" s="24" t="s">
        <v>31</v>
      </c>
      <c r="AA29" s="24" t="s">
        <v>31</v>
      </c>
      <c r="AH29" s="24" t="s">
        <v>31</v>
      </c>
      <c r="AI29" s="24" t="s">
        <v>31</v>
      </c>
      <c r="AJ29" s="24" t="s">
        <v>31</v>
      </c>
      <c r="AK29" s="24" t="s">
        <v>31</v>
      </c>
      <c r="AL29" s="24" t="s">
        <v>31</v>
      </c>
      <c r="AM29" s="24" t="s">
        <v>31</v>
      </c>
    </row>
    <row r="30" spans="1:39" s="21" customFormat="1" x14ac:dyDescent="0.25">
      <c r="B30" s="21" t="s">
        <v>17</v>
      </c>
      <c r="C30" s="21">
        <v>1.3500000000000005</v>
      </c>
      <c r="D30" s="21">
        <v>1.1299999999999999</v>
      </c>
      <c r="E30" s="21">
        <v>1.06</v>
      </c>
      <c r="F30" s="21">
        <v>1.1599999999999999</v>
      </c>
      <c r="G30" s="21">
        <v>1.67</v>
      </c>
      <c r="H30" s="21">
        <v>1.71</v>
      </c>
      <c r="I30" s="21">
        <v>1.54</v>
      </c>
      <c r="J30" s="21">
        <v>1.36</v>
      </c>
      <c r="K30" s="21">
        <v>2.04</v>
      </c>
      <c r="L30" s="21">
        <v>1.27</v>
      </c>
      <c r="M30" s="21">
        <v>-2.06</v>
      </c>
      <c r="N30" s="21">
        <v>3.36</v>
      </c>
      <c r="O30" s="21">
        <v>1.86</v>
      </c>
      <c r="P30" s="21">
        <v>4.3499999999999996</v>
      </c>
      <c r="Q30" s="21">
        <v>1.55</v>
      </c>
      <c r="R30" s="21">
        <v>2.15</v>
      </c>
      <c r="S30" s="21">
        <v>3.01</v>
      </c>
      <c r="T30" s="21">
        <v>2.2999999999999998</v>
      </c>
      <c r="U30" s="21">
        <v>2.5099999999999998</v>
      </c>
      <c r="V30" s="21">
        <v>2.46</v>
      </c>
      <c r="W30" s="21">
        <v>2.06</v>
      </c>
      <c r="X30" s="21">
        <v>2.83</v>
      </c>
      <c r="Y30" s="21">
        <v>2.5499999999999998</v>
      </c>
      <c r="Z30" s="21">
        <v>2.08</v>
      </c>
      <c r="AA30" s="21">
        <v>2.58</v>
      </c>
      <c r="AH30" s="21">
        <v>4.7</v>
      </c>
      <c r="AI30" s="21">
        <v>6.28</v>
      </c>
      <c r="AJ30" s="21">
        <v>4.62</v>
      </c>
      <c r="AK30" s="21">
        <v>9.91</v>
      </c>
      <c r="AL30" s="21">
        <v>10.27</v>
      </c>
      <c r="AM30" s="21">
        <v>9.52</v>
      </c>
    </row>
    <row r="31" spans="1:39" s="21" customFormat="1" x14ac:dyDescent="0.25">
      <c r="B31" s="21" t="s">
        <v>33</v>
      </c>
      <c r="C31" s="21">
        <v>-5.0000000000000017E-2</v>
      </c>
      <c r="D31" s="21">
        <v>-0.34</v>
      </c>
      <c r="E31" s="21">
        <v>-0.39</v>
      </c>
      <c r="F31" s="21">
        <v>1.01</v>
      </c>
      <c r="G31" s="21">
        <v>3.0000000000000027E-2</v>
      </c>
      <c r="H31" s="21">
        <v>1.08</v>
      </c>
      <c r="I31" s="21">
        <v>0.13</v>
      </c>
      <c r="J31" s="21">
        <v>7.0000000000000007E-2</v>
      </c>
      <c r="K31" s="21">
        <v>-0.02</v>
      </c>
      <c r="L31" s="21">
        <v>0.01</v>
      </c>
      <c r="M31" s="21">
        <v>-0.01</v>
      </c>
      <c r="N31" s="21">
        <v>0</v>
      </c>
      <c r="O31" s="21">
        <v>-0.01</v>
      </c>
      <c r="P31" s="21">
        <v>0</v>
      </c>
      <c r="Q31" s="21">
        <v>0.04</v>
      </c>
      <c r="R31" s="21">
        <v>-0.01</v>
      </c>
      <c r="S31" s="21">
        <v>-0.03</v>
      </c>
      <c r="T31" s="21">
        <v>0.24</v>
      </c>
      <c r="U31" s="21">
        <v>-0.03</v>
      </c>
      <c r="V31" s="21">
        <v>-0.08</v>
      </c>
      <c r="W31" s="21">
        <v>2.6</v>
      </c>
      <c r="X31" s="21">
        <v>0</v>
      </c>
      <c r="Y31" s="21">
        <v>0.03</v>
      </c>
      <c r="Z31" s="21">
        <v>-0.04</v>
      </c>
      <c r="AA31" s="21">
        <v>0</v>
      </c>
      <c r="AH31" s="21">
        <v>0.23</v>
      </c>
      <c r="AI31" s="21">
        <v>1.31</v>
      </c>
      <c r="AJ31" s="21">
        <v>-0.03</v>
      </c>
      <c r="AK31" s="21">
        <v>0</v>
      </c>
      <c r="AL31" s="21">
        <v>0.11</v>
      </c>
      <c r="AM31" s="21">
        <v>2.59</v>
      </c>
    </row>
    <row r="32" spans="1:39" s="26" customFormat="1" x14ac:dyDescent="0.25">
      <c r="B32" s="23" t="s">
        <v>19</v>
      </c>
      <c r="C32" s="23">
        <v>1.2999999999999998</v>
      </c>
      <c r="D32" s="23">
        <v>0.79</v>
      </c>
      <c r="E32" s="23">
        <v>0.67</v>
      </c>
      <c r="F32" s="23">
        <v>2.17</v>
      </c>
      <c r="G32" s="23">
        <v>1.71</v>
      </c>
      <c r="H32" s="23">
        <v>2.79</v>
      </c>
      <c r="I32" s="23">
        <v>1.66</v>
      </c>
      <c r="J32" s="23">
        <v>1.43</v>
      </c>
      <c r="K32" s="23">
        <v>2.02</v>
      </c>
      <c r="L32" s="23">
        <v>1.27</v>
      </c>
      <c r="M32" s="23">
        <v>-2.0699999999999998</v>
      </c>
      <c r="N32" s="23">
        <v>3.36</v>
      </c>
      <c r="O32" s="23">
        <v>1.85</v>
      </c>
      <c r="P32" s="23">
        <v>4.34</v>
      </c>
      <c r="Q32" s="23">
        <v>1.5899999999999999</v>
      </c>
      <c r="R32" s="23">
        <v>2.14</v>
      </c>
      <c r="S32" s="23">
        <v>2.99</v>
      </c>
      <c r="T32" s="23">
        <v>2.54</v>
      </c>
      <c r="U32" s="23">
        <v>2.48</v>
      </c>
      <c r="V32" s="23">
        <v>2.38</v>
      </c>
      <c r="W32" s="23">
        <v>4.66</v>
      </c>
      <c r="X32" s="23">
        <v>2.83</v>
      </c>
      <c r="Y32" s="23">
        <v>2.58</v>
      </c>
      <c r="Z32" s="23">
        <v>2.0499999999999998</v>
      </c>
      <c r="AA32" s="23">
        <v>2.58</v>
      </c>
      <c r="AH32" s="23">
        <v>4.93</v>
      </c>
      <c r="AI32" s="23">
        <v>7.59</v>
      </c>
      <c r="AJ32" s="23">
        <v>4.59</v>
      </c>
      <c r="AK32" s="23">
        <v>9.91</v>
      </c>
      <c r="AL32" s="23">
        <v>10.38</v>
      </c>
      <c r="AM32" s="23">
        <v>12.11</v>
      </c>
    </row>
    <row r="33" spans="1:3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9" x14ac:dyDescent="0.25">
      <c r="A34" s="2"/>
      <c r="B34" s="3" t="s">
        <v>44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9" x14ac:dyDescent="0.25">
      <c r="A35" s="2"/>
      <c r="B35" s="2" t="s">
        <v>19</v>
      </c>
      <c r="C35" s="2">
        <v>1089</v>
      </c>
      <c r="D35" s="2">
        <v>697</v>
      </c>
      <c r="E35" s="2">
        <v>535</v>
      </c>
      <c r="F35" s="2">
        <v>1879</v>
      </c>
      <c r="G35" s="2">
        <v>1497</v>
      </c>
      <c r="H35" s="2">
        <v>2390</v>
      </c>
      <c r="I35" s="2">
        <v>1480</v>
      </c>
      <c r="J35" s="2">
        <v>1330</v>
      </c>
      <c r="K35" s="2">
        <v>1796</v>
      </c>
      <c r="L35" s="2">
        <v>1213</v>
      </c>
      <c r="M35" s="2">
        <v>-1531</v>
      </c>
      <c r="N35" s="2">
        <v>2913</v>
      </c>
      <c r="O35" s="2">
        <v>1636</v>
      </c>
      <c r="P35" s="2">
        <v>3551</v>
      </c>
      <c r="Q35" s="2">
        <v>1440</v>
      </c>
      <c r="R35" s="2">
        <v>1902</v>
      </c>
      <c r="S35" s="2">
        <v>2548</v>
      </c>
      <c r="T35" s="2">
        <v>2196</v>
      </c>
      <c r="U35" s="2">
        <v>2133</v>
      </c>
      <c r="V35" s="2">
        <v>2115</v>
      </c>
      <c r="W35" s="2">
        <v>3868</v>
      </c>
      <c r="X35" s="2">
        <v>2439</v>
      </c>
      <c r="Y35" s="2">
        <v>2243</v>
      </c>
      <c r="Z35" s="2">
        <v>1837</v>
      </c>
      <c r="AA35" s="2">
        <v>2222</v>
      </c>
      <c r="AB35" s="2"/>
      <c r="AC35" s="2"/>
      <c r="AD35" s="2"/>
      <c r="AE35" s="2"/>
      <c r="AF35" s="2"/>
      <c r="AH35" s="2">
        <v>4200</v>
      </c>
      <c r="AI35" s="2">
        <v>6697</v>
      </c>
      <c r="AJ35" s="2">
        <v>4392</v>
      </c>
      <c r="AK35" s="2">
        <v>8529</v>
      </c>
      <c r="AL35" s="2">
        <v>8992</v>
      </c>
      <c r="AM35" s="2">
        <v>10387</v>
      </c>
    </row>
    <row r="36" spans="1:39" x14ac:dyDescent="0.25">
      <c r="A36" s="2"/>
      <c r="B36" s="2" t="s">
        <v>31</v>
      </c>
      <c r="C36" s="2"/>
      <c r="D36" s="2"/>
      <c r="E36" s="2"/>
      <c r="F36" s="2"/>
      <c r="G36" s="2"/>
      <c r="H36" s="2"/>
      <c r="I36" s="2"/>
      <c r="J36" s="2"/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31</v>
      </c>
      <c r="V36" s="2" t="s">
        <v>31</v>
      </c>
      <c r="W36" s="2" t="s">
        <v>31</v>
      </c>
      <c r="X36" s="2" t="s">
        <v>31</v>
      </c>
      <c r="Y36" s="2" t="s">
        <v>31</v>
      </c>
      <c r="Z36" s="2" t="s">
        <v>31</v>
      </c>
      <c r="AA36" s="2" t="s">
        <v>31</v>
      </c>
      <c r="AB36" s="2"/>
      <c r="AC36" s="2"/>
      <c r="AD36" s="2"/>
      <c r="AE36" s="2"/>
      <c r="AF36" s="2"/>
      <c r="AH36" s="2"/>
      <c r="AI36" s="2" t="s">
        <v>31</v>
      </c>
      <c r="AJ36" s="2" t="s">
        <v>31</v>
      </c>
      <c r="AK36" s="2" t="s">
        <v>31</v>
      </c>
      <c r="AL36" s="2" t="s">
        <v>31</v>
      </c>
      <c r="AM36" s="2" t="s">
        <v>31</v>
      </c>
    </row>
    <row r="37" spans="1:39" x14ac:dyDescent="0.25">
      <c r="A37" s="2"/>
      <c r="B37" s="2" t="s">
        <v>35</v>
      </c>
      <c r="C37" s="2">
        <v>322</v>
      </c>
      <c r="D37" s="2">
        <v>41</v>
      </c>
      <c r="E37" s="2">
        <v>-277</v>
      </c>
      <c r="F37" s="2">
        <v>-347</v>
      </c>
      <c r="G37" s="2">
        <v>307</v>
      </c>
      <c r="H37" s="2">
        <v>918</v>
      </c>
      <c r="I37" s="2">
        <v>679</v>
      </c>
      <c r="J37" s="2">
        <v>219</v>
      </c>
      <c r="K37" s="2">
        <v>191</v>
      </c>
      <c r="L37" s="2">
        <v>-27</v>
      </c>
      <c r="M37" s="2">
        <v>78</v>
      </c>
      <c r="N37" s="2">
        <v>-831</v>
      </c>
      <c r="O37" s="2">
        <v>305</v>
      </c>
      <c r="P37" s="2">
        <v>134</v>
      </c>
      <c r="Q37" s="2">
        <v>-542</v>
      </c>
      <c r="R37" s="2">
        <v>-1</v>
      </c>
      <c r="S37" s="2">
        <v>-323</v>
      </c>
      <c r="T37" s="2">
        <v>529</v>
      </c>
      <c r="U37" s="2">
        <v>419</v>
      </c>
      <c r="V37" s="2">
        <v>62</v>
      </c>
      <c r="W37" s="2">
        <v>-83</v>
      </c>
      <c r="X37" s="2">
        <v>1</v>
      </c>
      <c r="Y37" s="2">
        <v>-33</v>
      </c>
      <c r="Z37" s="2">
        <v>-479</v>
      </c>
      <c r="AA37" s="2">
        <v>259</v>
      </c>
      <c r="AB37" s="2"/>
      <c r="AC37" s="2"/>
      <c r="AD37" s="2"/>
      <c r="AE37" s="2"/>
      <c r="AF37" s="2"/>
      <c r="AH37" s="2">
        <v>-261</v>
      </c>
      <c r="AI37" s="2">
        <v>2123</v>
      </c>
      <c r="AJ37" s="2">
        <v>-589</v>
      </c>
      <c r="AK37" s="2">
        <v>-104</v>
      </c>
      <c r="AL37" s="2">
        <v>687</v>
      </c>
      <c r="AM37" s="2">
        <v>-594</v>
      </c>
    </row>
    <row r="38" spans="1:39" x14ac:dyDescent="0.25">
      <c r="A38" s="2"/>
      <c r="B38" s="19" t="s">
        <v>36</v>
      </c>
      <c r="C38" s="2">
        <v>-166</v>
      </c>
      <c r="D38" s="2">
        <v>-250</v>
      </c>
      <c r="E38" s="2">
        <v>319</v>
      </c>
      <c r="F38" s="2">
        <v>130</v>
      </c>
      <c r="G38" s="2">
        <v>255</v>
      </c>
      <c r="H38" s="2">
        <v>-311</v>
      </c>
      <c r="I38" s="2">
        <v>-2</v>
      </c>
      <c r="J38" s="2">
        <v>13</v>
      </c>
      <c r="K38" s="2">
        <v>-93</v>
      </c>
      <c r="L38" s="2">
        <v>-199</v>
      </c>
      <c r="M38" s="2">
        <v>-391</v>
      </c>
      <c r="N38" s="2">
        <v>123</v>
      </c>
      <c r="O38" s="2">
        <v>-76</v>
      </c>
      <c r="P38" s="2">
        <v>-14</v>
      </c>
      <c r="Q38" s="2">
        <v>305</v>
      </c>
      <c r="R38" s="2">
        <v>-298</v>
      </c>
      <c r="S38" s="2">
        <v>290</v>
      </c>
      <c r="T38" s="2">
        <v>-120</v>
      </c>
      <c r="U38" s="2">
        <v>-54</v>
      </c>
      <c r="V38" s="2">
        <v>296</v>
      </c>
      <c r="W38" s="2">
        <v>54</v>
      </c>
      <c r="X38" s="2">
        <v>-109</v>
      </c>
      <c r="Y38" s="2">
        <v>-38</v>
      </c>
      <c r="Z38" s="2">
        <v>-525</v>
      </c>
      <c r="AA38" s="2">
        <v>-31</v>
      </c>
      <c r="AB38" s="2"/>
      <c r="AC38" s="2"/>
      <c r="AD38" s="2"/>
      <c r="AE38" s="2"/>
      <c r="AF38" s="2"/>
      <c r="AH38" s="8">
        <v>33</v>
      </c>
      <c r="AI38" s="8">
        <v>-45</v>
      </c>
      <c r="AJ38" s="8">
        <v>-560</v>
      </c>
      <c r="AK38" s="8">
        <v>-84</v>
      </c>
      <c r="AL38" s="8">
        <v>411</v>
      </c>
      <c r="AM38" s="8">
        <v>-618</v>
      </c>
    </row>
    <row r="39" spans="1:39" x14ac:dyDescent="0.25">
      <c r="A39" s="2"/>
      <c r="B39" s="2" t="s">
        <v>37</v>
      </c>
      <c r="C39" s="2">
        <v>15</v>
      </c>
      <c r="D39" s="2">
        <v>2</v>
      </c>
      <c r="E39" s="2">
        <v>-12</v>
      </c>
      <c r="F39" s="2">
        <v>0</v>
      </c>
      <c r="G39" s="2">
        <v>-1</v>
      </c>
      <c r="H39" s="2">
        <v>18</v>
      </c>
      <c r="I39" s="2">
        <v>-17</v>
      </c>
      <c r="J39" s="2">
        <v>30</v>
      </c>
      <c r="K39" s="2">
        <v>-4</v>
      </c>
      <c r="L39" s="2">
        <v>-6</v>
      </c>
      <c r="M39" s="2">
        <v>2</v>
      </c>
      <c r="N39" s="2">
        <v>9</v>
      </c>
      <c r="O39" s="2">
        <v>-23</v>
      </c>
      <c r="P39" s="2">
        <v>-8</v>
      </c>
      <c r="Q39" s="2">
        <v>8</v>
      </c>
      <c r="R39" s="2">
        <v>-18</v>
      </c>
      <c r="S39" s="2">
        <v>122</v>
      </c>
      <c r="T39" s="2">
        <v>665</v>
      </c>
      <c r="U39" s="2">
        <v>995</v>
      </c>
      <c r="V39" s="2">
        <v>1184</v>
      </c>
      <c r="W39" s="2">
        <v>2352</v>
      </c>
      <c r="X39" s="2">
        <v>553</v>
      </c>
      <c r="Y39" s="2">
        <v>1625</v>
      </c>
      <c r="Z39" s="2">
        <v>2065</v>
      </c>
      <c r="AA39" s="2">
        <v>959</v>
      </c>
      <c r="AB39" s="2"/>
      <c r="AC39" s="2"/>
      <c r="AD39" s="2"/>
      <c r="AE39" s="2"/>
      <c r="AF39" s="2"/>
      <c r="AH39" s="2">
        <v>5</v>
      </c>
      <c r="AI39" s="2">
        <v>30</v>
      </c>
      <c r="AJ39" s="2">
        <v>1</v>
      </c>
      <c r="AK39" s="2">
        <v>-41</v>
      </c>
      <c r="AL39" s="2">
        <v>2966</v>
      </c>
      <c r="AM39" s="2">
        <v>6595</v>
      </c>
    </row>
    <row r="40" spans="1:39" x14ac:dyDescent="0.25">
      <c r="A40" s="2"/>
      <c r="B40" s="2" t="s">
        <v>36</v>
      </c>
      <c r="C40" s="2">
        <v>-3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-1</v>
      </c>
      <c r="K40" s="2">
        <v>0</v>
      </c>
      <c r="L40" s="2">
        <v>-1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-13</v>
      </c>
      <c r="X40" s="2">
        <v>12</v>
      </c>
      <c r="Y40" s="2">
        <v>0</v>
      </c>
      <c r="Z40" s="2">
        <v>-61</v>
      </c>
      <c r="AA40" s="2">
        <v>-88</v>
      </c>
      <c r="AB40" s="2"/>
      <c r="AC40" s="2"/>
      <c r="AD40" s="2"/>
      <c r="AE40" s="2"/>
      <c r="AF40" s="2"/>
      <c r="AH40" s="8">
        <v>-3</v>
      </c>
      <c r="AI40" s="8">
        <v>-1</v>
      </c>
      <c r="AJ40" s="8">
        <v>-1</v>
      </c>
      <c r="AK40" s="2">
        <v>10</v>
      </c>
      <c r="AL40" s="2">
        <v>0</v>
      </c>
      <c r="AM40" s="2">
        <v>-61</v>
      </c>
    </row>
    <row r="41" spans="1:39" x14ac:dyDescent="0.25">
      <c r="A41" s="2"/>
      <c r="B41" s="3" t="s">
        <v>11</v>
      </c>
      <c r="C41" s="2">
        <v>-3</v>
      </c>
      <c r="D41" s="2">
        <v>-1</v>
      </c>
      <c r="E41" s="2">
        <v>3</v>
      </c>
      <c r="F41" s="2">
        <v>18</v>
      </c>
      <c r="G41" s="2">
        <v>4</v>
      </c>
      <c r="H41" s="2">
        <v>39</v>
      </c>
      <c r="I41" s="2">
        <v>7</v>
      </c>
      <c r="J41" s="2">
        <v>7</v>
      </c>
      <c r="K41" s="2">
        <v>2</v>
      </c>
      <c r="L41" s="2">
        <v>40</v>
      </c>
      <c r="M41" s="2">
        <v>44</v>
      </c>
      <c r="N41" s="2">
        <v>-14</v>
      </c>
      <c r="O41" s="2">
        <v>1</v>
      </c>
      <c r="P41" s="2">
        <v>-4</v>
      </c>
      <c r="Q41" s="2">
        <v>-3</v>
      </c>
      <c r="R41" s="2">
        <v>15</v>
      </c>
      <c r="S41" s="2">
        <v>-18</v>
      </c>
      <c r="T41" s="2">
        <v>0</v>
      </c>
      <c r="U41" s="3">
        <v>0</v>
      </c>
      <c r="V41" s="3">
        <v>0</v>
      </c>
      <c r="W41" s="2"/>
      <c r="X41" s="2">
        <v>0</v>
      </c>
      <c r="Y41" s="3">
        <v>0</v>
      </c>
      <c r="Z41" s="3">
        <v>0</v>
      </c>
      <c r="AA41" s="2"/>
      <c r="AB41" s="2"/>
      <c r="AC41" s="2"/>
      <c r="AD41" s="2"/>
      <c r="AE41" s="2"/>
      <c r="AF41" s="2"/>
      <c r="AH41" s="2">
        <v>17</v>
      </c>
      <c r="AI41" s="2">
        <v>57</v>
      </c>
      <c r="AJ41" s="2">
        <v>72</v>
      </c>
      <c r="AK41" s="3">
        <v>0</v>
      </c>
      <c r="AL41" s="3">
        <v>-18</v>
      </c>
      <c r="AM41" s="3">
        <v>0</v>
      </c>
    </row>
    <row r="42" spans="1:39" s="27" customFormat="1" x14ac:dyDescent="0.25">
      <c r="A42" s="3"/>
      <c r="B42" s="3" t="s">
        <v>38</v>
      </c>
      <c r="C42" s="3">
        <v>334</v>
      </c>
      <c r="D42" s="3">
        <v>42</v>
      </c>
      <c r="E42" s="3">
        <v>-287</v>
      </c>
      <c r="F42" s="3">
        <v>-329</v>
      </c>
      <c r="G42" s="3">
        <v>310</v>
      </c>
      <c r="H42" s="3">
        <v>975</v>
      </c>
      <c r="I42" s="3">
        <v>669</v>
      </c>
      <c r="J42" s="3">
        <v>256</v>
      </c>
      <c r="K42" s="3">
        <v>188</v>
      </c>
      <c r="L42" s="3">
        <v>7</v>
      </c>
      <c r="M42" s="3">
        <v>125</v>
      </c>
      <c r="N42" s="3">
        <v>-835</v>
      </c>
      <c r="O42" s="3">
        <v>284</v>
      </c>
      <c r="P42" s="3">
        <v>122</v>
      </c>
      <c r="Q42" s="3">
        <v>-537</v>
      </c>
      <c r="R42" s="3">
        <v>-5</v>
      </c>
      <c r="S42" s="3">
        <v>-218</v>
      </c>
      <c r="T42" s="3">
        <v>1194</v>
      </c>
      <c r="U42" s="3">
        <v>1414</v>
      </c>
      <c r="V42" s="3">
        <v>1246</v>
      </c>
      <c r="W42" s="3">
        <v>2269</v>
      </c>
      <c r="X42" s="3">
        <v>554</v>
      </c>
      <c r="Y42" s="4">
        <v>1592</v>
      </c>
      <c r="Z42" s="3">
        <v>1586</v>
      </c>
      <c r="AA42" s="3">
        <v>1218</v>
      </c>
      <c r="AB42" s="3"/>
      <c r="AC42" s="3"/>
      <c r="AD42" s="3"/>
      <c r="AE42" s="3"/>
      <c r="AF42" s="3"/>
      <c r="AH42" s="3">
        <v>-240</v>
      </c>
      <c r="AI42" s="3">
        <v>2210</v>
      </c>
      <c r="AJ42" s="3">
        <v>-516</v>
      </c>
      <c r="AK42" s="3">
        <v>-135</v>
      </c>
      <c r="AL42" s="3">
        <v>3636</v>
      </c>
      <c r="AM42" s="3">
        <v>6000</v>
      </c>
    </row>
    <row r="43" spans="1:39" x14ac:dyDescent="0.25">
      <c r="A43" s="2"/>
      <c r="B43" s="3" t="s">
        <v>31</v>
      </c>
      <c r="C43" s="3"/>
      <c r="D43" s="3"/>
      <c r="E43" s="3"/>
      <c r="F43" s="3"/>
      <c r="G43" s="3"/>
      <c r="H43" s="4"/>
      <c r="I43" s="4"/>
      <c r="J43" s="4"/>
      <c r="K43" s="3" t="s">
        <v>31</v>
      </c>
      <c r="L43" s="3"/>
      <c r="M43" s="3"/>
      <c r="N43" s="3"/>
      <c r="O43" s="4" t="s">
        <v>31</v>
      </c>
      <c r="P43" s="4"/>
      <c r="Q43" s="4"/>
      <c r="R43" s="3"/>
      <c r="S43" s="3" t="s">
        <v>31</v>
      </c>
      <c r="T43" s="3"/>
      <c r="U43" s="2"/>
      <c r="V43" s="12"/>
      <c r="W43" s="3" t="s">
        <v>31</v>
      </c>
      <c r="X43" s="4"/>
      <c r="Y43" s="2"/>
      <c r="Z43" s="2"/>
      <c r="AA43" s="4" t="s">
        <v>31</v>
      </c>
      <c r="AB43" s="2"/>
      <c r="AC43" s="2"/>
      <c r="AD43" s="2"/>
      <c r="AE43" s="2"/>
      <c r="AF43" s="2"/>
      <c r="AH43" s="3"/>
      <c r="AI43" s="3"/>
      <c r="AJ43" s="3"/>
    </row>
    <row r="44" spans="1:39" x14ac:dyDescent="0.25">
      <c r="A44" s="2"/>
      <c r="B44" s="2" t="s">
        <v>39</v>
      </c>
      <c r="C44" s="2">
        <v>-846</v>
      </c>
      <c r="D44" s="2">
        <v>-254</v>
      </c>
      <c r="E44" s="2">
        <v>-869</v>
      </c>
      <c r="F44" s="2">
        <v>-836</v>
      </c>
      <c r="G44" s="2">
        <v>-1200</v>
      </c>
      <c r="H44" s="2">
        <v>1529</v>
      </c>
      <c r="I44" s="2">
        <v>-236</v>
      </c>
      <c r="J44" s="2">
        <v>1211</v>
      </c>
      <c r="K44" s="2">
        <v>1110</v>
      </c>
      <c r="L44" s="2">
        <v>778</v>
      </c>
      <c r="M44" s="2">
        <v>2567</v>
      </c>
      <c r="N44" s="12">
        <v>2348</v>
      </c>
      <c r="O44" s="2">
        <v>-4041</v>
      </c>
      <c r="P44" s="2">
        <v>-864</v>
      </c>
      <c r="Q44" s="2">
        <v>-310</v>
      </c>
      <c r="R44" s="12">
        <v>953</v>
      </c>
      <c r="S44" s="2">
        <v>-1505</v>
      </c>
      <c r="T44" s="2">
        <v>768</v>
      </c>
      <c r="U44" s="2">
        <v>439</v>
      </c>
      <c r="V44" s="12">
        <v>-1603</v>
      </c>
      <c r="W44" s="2">
        <v>2827</v>
      </c>
      <c r="X44" s="2">
        <v>-1775</v>
      </c>
      <c r="Y44" s="2">
        <v>-3506</v>
      </c>
      <c r="Z44" s="12">
        <v>-280</v>
      </c>
      <c r="AA44" s="2">
        <v>-19</v>
      </c>
      <c r="AB44" s="2"/>
      <c r="AC44" s="2"/>
      <c r="AD44" s="2"/>
      <c r="AE44" s="2"/>
      <c r="AF44" s="2"/>
      <c r="AH44" s="2">
        <v>-2805</v>
      </c>
      <c r="AI44" s="2">
        <v>1304</v>
      </c>
      <c r="AJ44" s="12">
        <v>6803</v>
      </c>
      <c r="AK44" s="12">
        <v>-4262</v>
      </c>
      <c r="AL44" s="12">
        <v>-1900</v>
      </c>
      <c r="AM44" s="12">
        <v>-2733</v>
      </c>
    </row>
    <row r="45" spans="1:39" x14ac:dyDescent="0.25">
      <c r="A45" s="2"/>
      <c r="B45" s="2" t="s">
        <v>40</v>
      </c>
      <c r="C45" s="2">
        <v>27</v>
      </c>
      <c r="D45" s="2">
        <v>-45</v>
      </c>
      <c r="E45" s="2">
        <v>99</v>
      </c>
      <c r="F45" s="2">
        <v>67</v>
      </c>
      <c r="G45" s="2">
        <v>-271</v>
      </c>
      <c r="H45" s="2">
        <v>101</v>
      </c>
      <c r="I45" s="2">
        <v>-29</v>
      </c>
      <c r="J45" s="2">
        <v>-38</v>
      </c>
      <c r="K45" s="2">
        <v>-25</v>
      </c>
      <c r="L45" s="2">
        <v>-69</v>
      </c>
      <c r="M45" s="2">
        <v>0</v>
      </c>
      <c r="N45" s="2">
        <v>21</v>
      </c>
      <c r="O45" s="2">
        <v>223</v>
      </c>
      <c r="P45" s="2">
        <v>56</v>
      </c>
      <c r="Q45" s="2">
        <v>-112</v>
      </c>
      <c r="R45" s="2">
        <v>-175</v>
      </c>
      <c r="S45" s="2">
        <v>93</v>
      </c>
      <c r="T45" s="2">
        <v>-10</v>
      </c>
      <c r="U45" s="2">
        <v>-4</v>
      </c>
      <c r="V45" s="2">
        <v>84</v>
      </c>
      <c r="W45" s="2">
        <v>-228</v>
      </c>
      <c r="X45" s="2">
        <v>190</v>
      </c>
      <c r="Y45" s="2">
        <v>129</v>
      </c>
      <c r="Z45" s="2">
        <v>6</v>
      </c>
      <c r="AA45" s="2">
        <v>-6</v>
      </c>
      <c r="AB45" s="2"/>
      <c r="AC45" s="2"/>
      <c r="AD45" s="2"/>
      <c r="AE45" s="2"/>
      <c r="AF45" s="2"/>
      <c r="AH45" s="2">
        <v>148</v>
      </c>
      <c r="AI45" s="2">
        <v>-237</v>
      </c>
      <c r="AJ45" s="2">
        <v>-74</v>
      </c>
      <c r="AK45" s="2">
        <v>-8</v>
      </c>
      <c r="AL45" s="2">
        <v>163</v>
      </c>
      <c r="AM45" s="2">
        <v>97</v>
      </c>
    </row>
    <row r="46" spans="1:39" x14ac:dyDescent="0.25">
      <c r="A46" s="2"/>
      <c r="B46" s="19" t="s">
        <v>36</v>
      </c>
      <c r="C46" s="2">
        <v>-19</v>
      </c>
      <c r="D46" s="2">
        <v>20</v>
      </c>
      <c r="E46" s="2">
        <v>-23</v>
      </c>
      <c r="F46" s="2">
        <v>-16</v>
      </c>
      <c r="G46" s="2">
        <v>79</v>
      </c>
      <c r="H46" s="2">
        <v>-26</v>
      </c>
      <c r="I46" s="2">
        <v>-37</v>
      </c>
      <c r="J46" s="2">
        <v>15</v>
      </c>
      <c r="K46" s="2">
        <v>8</v>
      </c>
      <c r="L46" s="2">
        <v>33</v>
      </c>
      <c r="M46" s="2">
        <v>4</v>
      </c>
      <c r="N46" s="2">
        <v>0</v>
      </c>
      <c r="O46" s="2">
        <v>-98</v>
      </c>
      <c r="P46" s="2">
        <v>-38</v>
      </c>
      <c r="Q46" s="2">
        <v>52</v>
      </c>
      <c r="R46" s="2">
        <v>69</v>
      </c>
      <c r="S46" s="2">
        <v>-34</v>
      </c>
      <c r="T46" s="2">
        <v>14</v>
      </c>
      <c r="U46" s="2">
        <v>-8</v>
      </c>
      <c r="V46" s="2">
        <v>-42</v>
      </c>
      <c r="W46" s="2">
        <v>93</v>
      </c>
      <c r="X46" s="2">
        <v>-75</v>
      </c>
      <c r="Y46" s="2">
        <v>-46</v>
      </c>
      <c r="Z46" s="2">
        <v>-12</v>
      </c>
      <c r="AA46" s="2">
        <v>4</v>
      </c>
      <c r="AB46" s="2"/>
      <c r="AC46" s="2"/>
      <c r="AD46" s="2"/>
      <c r="AE46" s="2"/>
      <c r="AF46" s="2"/>
      <c r="AH46" s="8">
        <v>-38</v>
      </c>
      <c r="AI46" s="8">
        <v>31</v>
      </c>
      <c r="AJ46" s="8">
        <v>45</v>
      </c>
      <c r="AK46" s="8">
        <v>-15</v>
      </c>
      <c r="AL46" s="8">
        <v>-69</v>
      </c>
      <c r="AM46" s="8">
        <v>-40</v>
      </c>
    </row>
    <row r="47" spans="1:39" x14ac:dyDescent="0.25">
      <c r="A47" s="2"/>
      <c r="B47" s="2" t="s">
        <v>11</v>
      </c>
      <c r="C47" s="2">
        <v>9</v>
      </c>
      <c r="D47" s="2">
        <v>-42</v>
      </c>
      <c r="E47" s="2">
        <v>-32</v>
      </c>
      <c r="F47" s="2">
        <v>-24</v>
      </c>
      <c r="G47" s="2">
        <v>-9</v>
      </c>
      <c r="H47" s="2">
        <v>28</v>
      </c>
      <c r="I47" s="2">
        <v>50</v>
      </c>
      <c r="J47" s="2">
        <v>19</v>
      </c>
      <c r="K47" s="2">
        <v>44</v>
      </c>
      <c r="L47" s="2">
        <v>74</v>
      </c>
      <c r="M47" s="2">
        <v>166</v>
      </c>
      <c r="N47" s="2">
        <v>114</v>
      </c>
      <c r="O47" s="2">
        <v>-150</v>
      </c>
      <c r="P47" s="2">
        <v>-22</v>
      </c>
      <c r="Q47" s="2">
        <v>-18</v>
      </c>
      <c r="R47" s="2">
        <v>29</v>
      </c>
      <c r="S47" s="2">
        <v>-75</v>
      </c>
      <c r="T47" s="2">
        <v>3</v>
      </c>
      <c r="U47" s="2">
        <v>6</v>
      </c>
      <c r="V47" s="2">
        <v>-17</v>
      </c>
      <c r="W47" s="2">
        <v>26</v>
      </c>
      <c r="X47" s="2">
        <v>-3</v>
      </c>
      <c r="Y47" s="2">
        <v>-24</v>
      </c>
      <c r="Z47" s="2">
        <v>-1</v>
      </c>
      <c r="AA47" s="2">
        <v>-5</v>
      </c>
      <c r="AB47" s="2"/>
      <c r="AC47" s="2"/>
      <c r="AD47" s="2"/>
      <c r="AE47" s="2"/>
      <c r="AF47" s="2"/>
      <c r="AH47" s="2">
        <v>-89</v>
      </c>
      <c r="AI47" s="2">
        <v>88</v>
      </c>
      <c r="AJ47" s="2">
        <v>398</v>
      </c>
      <c r="AK47" s="2">
        <v>-161</v>
      </c>
      <c r="AL47" s="2">
        <v>-82</v>
      </c>
      <c r="AM47" s="2">
        <v>-3</v>
      </c>
    </row>
    <row r="48" spans="1:39" s="27" customFormat="1" x14ac:dyDescent="0.25">
      <c r="A48" s="3"/>
      <c r="B48" s="3" t="s">
        <v>41</v>
      </c>
      <c r="C48" s="3">
        <v>-812</v>
      </c>
      <c r="D48" s="3">
        <v>-340</v>
      </c>
      <c r="E48" s="3">
        <v>-802</v>
      </c>
      <c r="F48" s="3">
        <v>-792</v>
      </c>
      <c r="G48" s="3">
        <v>-1482</v>
      </c>
      <c r="H48" s="3">
        <v>1659</v>
      </c>
      <c r="I48" s="3">
        <v>-215</v>
      </c>
      <c r="J48" s="3">
        <v>1192</v>
      </c>
      <c r="K48" s="3">
        <v>1128</v>
      </c>
      <c r="L48" s="3">
        <v>783</v>
      </c>
      <c r="M48" s="3">
        <v>2733</v>
      </c>
      <c r="N48" s="3">
        <v>2483</v>
      </c>
      <c r="O48" s="3">
        <v>-3967</v>
      </c>
      <c r="P48" s="3">
        <v>-829</v>
      </c>
      <c r="Q48" s="3">
        <v>-440</v>
      </c>
      <c r="R48" s="3">
        <v>806</v>
      </c>
      <c r="S48" s="3">
        <v>-1486</v>
      </c>
      <c r="T48" s="3">
        <v>761</v>
      </c>
      <c r="U48" s="3">
        <v>442</v>
      </c>
      <c r="V48" s="3">
        <v>-1536</v>
      </c>
      <c r="W48" s="3">
        <v>2625</v>
      </c>
      <c r="X48" s="3">
        <v>-1588</v>
      </c>
      <c r="Y48" s="3">
        <v>-3401</v>
      </c>
      <c r="Z48" s="3">
        <v>-275</v>
      </c>
      <c r="AA48" s="3">
        <v>-29</v>
      </c>
      <c r="AB48" s="3"/>
      <c r="AC48" s="3"/>
      <c r="AD48" s="3"/>
      <c r="AE48" s="3"/>
      <c r="AF48" s="3"/>
      <c r="AH48" s="3">
        <v>-2746</v>
      </c>
      <c r="AI48" s="3">
        <v>1154</v>
      </c>
      <c r="AJ48" s="3">
        <v>7127</v>
      </c>
      <c r="AK48" s="3">
        <v>-4431</v>
      </c>
      <c r="AL48" s="3">
        <v>-1819</v>
      </c>
      <c r="AM48" s="3">
        <v>-2639</v>
      </c>
    </row>
    <row r="49" spans="1:41" s="27" customFormat="1" x14ac:dyDescent="0.25">
      <c r="A49" s="3"/>
      <c r="B49" s="3" t="s">
        <v>31</v>
      </c>
      <c r="C49" s="3">
        <v>-478</v>
      </c>
      <c r="D49" s="3">
        <v>-298</v>
      </c>
      <c r="E49" s="3">
        <v>-1088</v>
      </c>
      <c r="F49" s="3">
        <v>-1122</v>
      </c>
      <c r="G49" s="3">
        <v>3364</v>
      </c>
      <c r="H49" s="3">
        <v>2634</v>
      </c>
      <c r="I49" s="3">
        <v>453</v>
      </c>
      <c r="J49" s="3">
        <v>1448</v>
      </c>
      <c r="K49" s="3" t="s">
        <v>31</v>
      </c>
      <c r="L49" s="3" t="s">
        <v>31</v>
      </c>
      <c r="M49" s="3" t="s">
        <v>31</v>
      </c>
      <c r="N49" s="3" t="s">
        <v>31</v>
      </c>
      <c r="O49" s="3" t="s">
        <v>31</v>
      </c>
      <c r="P49" s="3" t="s">
        <v>31</v>
      </c>
      <c r="Q49" s="3" t="s">
        <v>31</v>
      </c>
      <c r="R49" s="3" t="s">
        <v>31</v>
      </c>
      <c r="S49" s="3" t="s">
        <v>31</v>
      </c>
      <c r="T49" s="3" t="s">
        <v>31</v>
      </c>
      <c r="U49" s="3" t="s">
        <v>31</v>
      </c>
      <c r="V49" s="3" t="s">
        <v>31</v>
      </c>
      <c r="W49" s="3" t="s">
        <v>31</v>
      </c>
      <c r="X49" s="3" t="s">
        <v>31</v>
      </c>
      <c r="Y49" s="3" t="s">
        <v>31</v>
      </c>
      <c r="Z49" s="3" t="s">
        <v>31</v>
      </c>
      <c r="AA49" s="3" t="s">
        <v>31</v>
      </c>
      <c r="AB49" s="3"/>
      <c r="AC49" s="3"/>
      <c r="AD49" s="3"/>
      <c r="AE49" s="3"/>
      <c r="AF49" s="3"/>
      <c r="AH49" s="3">
        <v>-2986</v>
      </c>
      <c r="AI49" s="3" t="s">
        <v>31</v>
      </c>
      <c r="AJ49" s="3" t="s">
        <v>31</v>
      </c>
      <c r="AK49" s="3" t="s">
        <v>31</v>
      </c>
      <c r="AL49" s="3" t="s">
        <v>31</v>
      </c>
      <c r="AM49" s="3" t="s">
        <v>31</v>
      </c>
    </row>
    <row r="50" spans="1:41" s="27" customFormat="1" x14ac:dyDescent="0.25">
      <c r="A50" s="3"/>
      <c r="B50" s="3" t="s">
        <v>42</v>
      </c>
      <c r="C50" s="3"/>
      <c r="D50" s="3"/>
      <c r="E50" s="3"/>
      <c r="F50" s="3"/>
      <c r="H50" s="4"/>
      <c r="I50" s="4"/>
      <c r="J50" s="4"/>
      <c r="K50" s="3">
        <v>1316</v>
      </c>
      <c r="L50" s="3">
        <v>790</v>
      </c>
      <c r="M50" s="3">
        <v>2858</v>
      </c>
      <c r="N50" s="3">
        <v>1648</v>
      </c>
      <c r="O50" s="4">
        <v>-3684</v>
      </c>
      <c r="P50" s="4">
        <v>-707</v>
      </c>
      <c r="Q50" s="4">
        <v>-977</v>
      </c>
      <c r="R50" s="3">
        <v>801</v>
      </c>
      <c r="S50" s="3">
        <v>-1705</v>
      </c>
      <c r="T50" s="3">
        <v>1955</v>
      </c>
      <c r="U50" s="3">
        <v>1855</v>
      </c>
      <c r="V50" s="3">
        <v>-289</v>
      </c>
      <c r="W50" s="3">
        <v>4894</v>
      </c>
      <c r="X50" s="4">
        <v>-1035</v>
      </c>
      <c r="Y50" s="4">
        <v>-1809</v>
      </c>
      <c r="Z50" s="3">
        <v>1311</v>
      </c>
      <c r="AA50" s="4">
        <v>1189</v>
      </c>
      <c r="AB50" s="3"/>
      <c r="AC50" s="3"/>
      <c r="AD50" s="3"/>
      <c r="AE50" s="3"/>
      <c r="AF50" s="3"/>
      <c r="AH50" s="3"/>
      <c r="AI50" s="3">
        <v>3364</v>
      </c>
      <c r="AJ50" s="3">
        <v>6611</v>
      </c>
      <c r="AK50" s="3">
        <v>-4566</v>
      </c>
      <c r="AL50" s="3">
        <v>1817</v>
      </c>
      <c r="AM50" s="3">
        <v>3361</v>
      </c>
    </row>
    <row r="51" spans="1:41" s="27" customFormat="1" x14ac:dyDescent="0.25">
      <c r="A51" s="3"/>
      <c r="B51" s="4" t="s">
        <v>43</v>
      </c>
      <c r="C51" s="4">
        <v>611</v>
      </c>
      <c r="D51" s="4">
        <v>399</v>
      </c>
      <c r="E51" s="4">
        <v>-553</v>
      </c>
      <c r="F51" s="4">
        <v>757</v>
      </c>
      <c r="G51" s="4">
        <v>325</v>
      </c>
      <c r="H51" s="4">
        <v>5024</v>
      </c>
      <c r="I51" s="4">
        <v>1934</v>
      </c>
      <c r="J51" s="4">
        <v>2778</v>
      </c>
      <c r="K51" s="4">
        <v>3112</v>
      </c>
      <c r="L51" s="4">
        <v>2003</v>
      </c>
      <c r="M51" s="4">
        <v>1327</v>
      </c>
      <c r="N51" s="4">
        <v>4561</v>
      </c>
      <c r="O51" s="4">
        <v>-2048</v>
      </c>
      <c r="P51" s="4">
        <v>2844</v>
      </c>
      <c r="Q51" s="4">
        <v>463</v>
      </c>
      <c r="R51" s="4">
        <v>2703</v>
      </c>
      <c r="S51" s="4">
        <v>843</v>
      </c>
      <c r="T51" s="4">
        <v>4152</v>
      </c>
      <c r="U51" s="4">
        <v>3988</v>
      </c>
      <c r="V51" s="4">
        <v>1826</v>
      </c>
      <c r="W51" s="4">
        <v>8762</v>
      </c>
      <c r="X51" s="4">
        <v>1405</v>
      </c>
      <c r="Y51" s="4">
        <v>434</v>
      </c>
      <c r="Z51" s="4">
        <v>3148</v>
      </c>
      <c r="AA51" s="4">
        <v>3411</v>
      </c>
      <c r="AB51" s="3"/>
      <c r="AC51" s="3"/>
      <c r="AD51" s="3"/>
      <c r="AE51" s="3"/>
      <c r="AF51" s="3"/>
      <c r="AH51" s="4">
        <v>1214</v>
      </c>
      <c r="AI51" s="4">
        <v>10061</v>
      </c>
      <c r="AJ51" s="4">
        <v>11003</v>
      </c>
      <c r="AK51" s="4">
        <v>3962</v>
      </c>
      <c r="AL51" s="4">
        <v>10809</v>
      </c>
      <c r="AM51" s="4">
        <v>13748</v>
      </c>
    </row>
    <row r="52" spans="1:41" x14ac:dyDescent="0.25">
      <c r="A52" s="2"/>
      <c r="B52" s="9" t="s">
        <v>31</v>
      </c>
      <c r="C52" s="9"/>
      <c r="D52" s="9"/>
      <c r="E52" s="9"/>
      <c r="F52" s="9"/>
      <c r="G52" s="9"/>
      <c r="H52" s="9"/>
      <c r="I52" s="9" t="s">
        <v>31</v>
      </c>
      <c r="J52" s="9" t="s">
        <v>31</v>
      </c>
      <c r="K52" s="9" t="s">
        <v>31</v>
      </c>
      <c r="L52" s="9" t="s">
        <v>31</v>
      </c>
      <c r="M52" s="9" t="s">
        <v>31</v>
      </c>
      <c r="N52" s="4" t="s">
        <v>31</v>
      </c>
      <c r="O52" s="9" t="s">
        <v>31</v>
      </c>
      <c r="P52" s="9" t="s">
        <v>31</v>
      </c>
      <c r="Q52" s="9" t="s">
        <v>31</v>
      </c>
      <c r="R52" s="4" t="s">
        <v>31</v>
      </c>
      <c r="S52" s="9" t="s">
        <v>31</v>
      </c>
      <c r="T52" s="9" t="s">
        <v>31</v>
      </c>
      <c r="U52" s="9" t="s">
        <v>31</v>
      </c>
      <c r="V52" s="4" t="s">
        <v>31</v>
      </c>
      <c r="W52" s="9" t="s">
        <v>31</v>
      </c>
      <c r="X52" s="9" t="s">
        <v>31</v>
      </c>
      <c r="Y52" s="9" t="s">
        <v>31</v>
      </c>
      <c r="Z52" s="4" t="s">
        <v>31</v>
      </c>
      <c r="AA52" s="9" t="s">
        <v>31</v>
      </c>
      <c r="AB52" s="2"/>
      <c r="AC52" s="2"/>
      <c r="AD52" s="2"/>
      <c r="AE52" s="2"/>
      <c r="AF52" s="2"/>
      <c r="AH52" s="9" t="s">
        <v>31</v>
      </c>
      <c r="AI52" s="9" t="s">
        <v>31</v>
      </c>
      <c r="AJ52" s="4" t="s">
        <v>31</v>
      </c>
      <c r="AK52" s="4" t="s">
        <v>31</v>
      </c>
      <c r="AL52" s="4" t="s">
        <v>31</v>
      </c>
      <c r="AM52" s="4" t="s">
        <v>31</v>
      </c>
    </row>
    <row r="53" spans="1:41" x14ac:dyDescent="0.25">
      <c r="A53" s="2"/>
      <c r="B53" s="18" t="s">
        <v>30</v>
      </c>
      <c r="C53" s="9"/>
      <c r="D53" s="9"/>
      <c r="E53" s="9"/>
      <c r="F53" s="9"/>
      <c r="G53" s="9"/>
      <c r="H53" s="9"/>
      <c r="I53" s="9" t="s">
        <v>31</v>
      </c>
      <c r="J53" s="9" t="s">
        <v>31</v>
      </c>
      <c r="K53" s="9" t="s">
        <v>31</v>
      </c>
      <c r="L53" s="9" t="s">
        <v>31</v>
      </c>
      <c r="M53" s="9" t="s">
        <v>31</v>
      </c>
      <c r="N53" s="9" t="s">
        <v>31</v>
      </c>
      <c r="O53" s="9" t="s">
        <v>31</v>
      </c>
      <c r="P53" s="9" t="s">
        <v>31</v>
      </c>
      <c r="Q53" s="9" t="s">
        <v>31</v>
      </c>
      <c r="R53" s="9" t="s">
        <v>31</v>
      </c>
      <c r="S53" s="9" t="s">
        <v>31</v>
      </c>
      <c r="T53" s="9" t="s">
        <v>31</v>
      </c>
      <c r="U53" s="9" t="s">
        <v>31</v>
      </c>
      <c r="V53" s="9" t="s">
        <v>31</v>
      </c>
      <c r="W53" s="9" t="s">
        <v>31</v>
      </c>
      <c r="X53" s="9" t="s">
        <v>31</v>
      </c>
      <c r="Y53" s="9" t="s">
        <v>31</v>
      </c>
      <c r="Z53" s="9" t="s">
        <v>31</v>
      </c>
      <c r="AA53" s="9" t="s">
        <v>31</v>
      </c>
      <c r="AB53" s="2"/>
      <c r="AC53" s="2"/>
      <c r="AD53" s="2"/>
      <c r="AE53" s="2"/>
      <c r="AF53" s="2"/>
      <c r="AH53" s="9" t="s">
        <v>31</v>
      </c>
      <c r="AI53" s="9" t="s">
        <v>31</v>
      </c>
      <c r="AJ53" s="9" t="s">
        <v>31</v>
      </c>
      <c r="AK53" s="9" t="s">
        <v>31</v>
      </c>
      <c r="AL53" s="9" t="s">
        <v>31</v>
      </c>
      <c r="AM53" s="9" t="s">
        <v>31</v>
      </c>
    </row>
    <row r="54" spans="1:41" x14ac:dyDescent="0.25">
      <c r="A54" s="2"/>
      <c r="B54" s="19" t="s">
        <v>28</v>
      </c>
      <c r="C54" s="2">
        <v>-48</v>
      </c>
      <c r="D54" s="2">
        <v>58</v>
      </c>
      <c r="E54" s="2">
        <v>-52</v>
      </c>
      <c r="F54" s="2">
        <v>-5</v>
      </c>
      <c r="G54" s="2">
        <v>-111</v>
      </c>
      <c r="H54" s="2">
        <v>238</v>
      </c>
      <c r="I54" s="2">
        <v>145</v>
      </c>
      <c r="J54" s="2">
        <v>351</v>
      </c>
      <c r="K54" s="2">
        <v>289</v>
      </c>
      <c r="L54" s="2">
        <v>253</v>
      </c>
      <c r="M54" s="2">
        <v>418</v>
      </c>
      <c r="N54" s="2">
        <v>490</v>
      </c>
      <c r="O54" s="2">
        <v>-354</v>
      </c>
      <c r="P54" s="2">
        <v>-20</v>
      </c>
      <c r="Q54" s="2">
        <v>76</v>
      </c>
      <c r="R54" s="2">
        <v>289</v>
      </c>
      <c r="S54" s="2">
        <v>43</v>
      </c>
      <c r="T54" s="2">
        <v>227</v>
      </c>
      <c r="U54" s="2">
        <v>197</v>
      </c>
      <c r="V54" s="2">
        <v>16</v>
      </c>
      <c r="W54" s="2">
        <v>466</v>
      </c>
      <c r="X54" s="2">
        <v>-3</v>
      </c>
      <c r="Y54" s="2">
        <v>-251</v>
      </c>
      <c r="Z54" s="2">
        <v>55</v>
      </c>
      <c r="AA54" s="2">
        <v>123</v>
      </c>
      <c r="AB54" s="2"/>
      <c r="AC54" s="2"/>
      <c r="AD54" s="2"/>
      <c r="AE54" s="2"/>
      <c r="AF54" s="2"/>
      <c r="AH54" s="2">
        <v>-47</v>
      </c>
      <c r="AI54" s="2">
        <v>623</v>
      </c>
      <c r="AJ54" s="2">
        <v>1450</v>
      </c>
      <c r="AK54" s="2">
        <v>-10</v>
      </c>
      <c r="AL54" s="2">
        <v>483</v>
      </c>
      <c r="AM54" s="2">
        <v>267</v>
      </c>
    </row>
    <row r="55" spans="1:41" x14ac:dyDescent="0.25">
      <c r="A55" s="2"/>
      <c r="B55" s="19" t="s">
        <v>29</v>
      </c>
      <c r="C55" s="2">
        <v>658</v>
      </c>
      <c r="D55" s="2">
        <v>341</v>
      </c>
      <c r="E55" s="2">
        <v>-501</v>
      </c>
      <c r="F55" s="2">
        <v>763</v>
      </c>
      <c r="G55" s="2">
        <v>437</v>
      </c>
      <c r="H55" s="2">
        <v>4786</v>
      </c>
      <c r="I55" s="2">
        <v>1788</v>
      </c>
      <c r="J55" s="2">
        <v>2427</v>
      </c>
      <c r="K55" s="2">
        <v>2823</v>
      </c>
      <c r="L55" s="2">
        <v>1750</v>
      </c>
      <c r="M55" s="2">
        <v>909</v>
      </c>
      <c r="N55" s="2">
        <v>4071</v>
      </c>
      <c r="O55" s="2">
        <v>-1694</v>
      </c>
      <c r="P55" s="2">
        <v>2864</v>
      </c>
      <c r="Q55" s="2">
        <v>388</v>
      </c>
      <c r="R55" s="2">
        <v>2414</v>
      </c>
      <c r="S55" s="2">
        <v>800</v>
      </c>
      <c r="T55" s="2">
        <v>3925</v>
      </c>
      <c r="U55" s="2">
        <v>3791</v>
      </c>
      <c r="V55" s="2">
        <v>1809</v>
      </c>
      <c r="W55" s="2">
        <v>8296</v>
      </c>
      <c r="X55" s="2">
        <v>1407</v>
      </c>
      <c r="Y55" s="2">
        <v>684</v>
      </c>
      <c r="Z55" s="2">
        <v>3093</v>
      </c>
      <c r="AA55" s="2">
        <v>3288</v>
      </c>
      <c r="AB55" s="2"/>
      <c r="AC55" s="2"/>
      <c r="AD55" s="2"/>
      <c r="AE55" s="2"/>
      <c r="AF55" s="2"/>
      <c r="AH55" s="2">
        <v>1261</v>
      </c>
      <c r="AI55" s="2">
        <v>9438</v>
      </c>
      <c r="AJ55" s="2">
        <v>9553</v>
      </c>
      <c r="AK55" s="2">
        <v>3972</v>
      </c>
      <c r="AL55" s="2">
        <v>10326</v>
      </c>
      <c r="AM55" s="2">
        <v>13481</v>
      </c>
    </row>
    <row r="58" spans="1:41" s="10" customFormat="1" x14ac:dyDescent="0.25">
      <c r="B58" s="10" t="s">
        <v>195</v>
      </c>
      <c r="C58" s="10">
        <f>C5/C3</f>
        <v>0.36468007312614259</v>
      </c>
      <c r="D58" s="10">
        <f t="shared" ref="D58:G58" si="0">D5/D3</f>
        <v>0.36368253047011029</v>
      </c>
      <c r="E58" s="10">
        <f t="shared" si="0"/>
        <v>0.36636104476461978</v>
      </c>
      <c r="F58" s="10">
        <f t="shared" si="0"/>
        <v>0.34644978401727861</v>
      </c>
      <c r="G58" s="10">
        <f t="shared" si="0"/>
        <v>0.3779404448866463</v>
      </c>
      <c r="H58" s="10">
        <f t="shared" ref="H58:AC58" si="1">H5/H3</f>
        <v>0.35724514149335151</v>
      </c>
      <c r="I58" s="10">
        <f t="shared" si="1"/>
        <v>0.36506061548026109</v>
      </c>
      <c r="J58" s="10">
        <f t="shared" si="1"/>
        <v>0.36161430864480626</v>
      </c>
      <c r="K58" s="10">
        <f t="shared" si="1"/>
        <v>0.37612899315026976</v>
      </c>
      <c r="L58" s="10">
        <f t="shared" si="1"/>
        <v>0.33691314553990609</v>
      </c>
      <c r="M58" s="10">
        <f t="shared" si="1"/>
        <v>0.34863155538142943</v>
      </c>
      <c r="N58" s="10">
        <f t="shared" si="1"/>
        <v>0.37291595780877851</v>
      </c>
      <c r="O58" s="10">
        <f t="shared" si="1"/>
        <v>0.3855561704482568</v>
      </c>
      <c r="P58" s="10">
        <f t="shared" si="1"/>
        <v>0.37077667902760608</v>
      </c>
      <c r="Q58" s="10">
        <f t="shared" si="1"/>
        <v>0.38392715336968608</v>
      </c>
      <c r="R58" s="10">
        <f t="shared" si="1"/>
        <v>0.38493899873790494</v>
      </c>
      <c r="S58" s="10">
        <f t="shared" si="1"/>
        <v>0.39661876584953509</v>
      </c>
      <c r="T58" s="10">
        <f t="shared" si="1"/>
        <v>0.38491934610804374</v>
      </c>
      <c r="U58" s="10">
        <f t="shared" si="1"/>
        <v>0.40994708994708995</v>
      </c>
      <c r="V58" s="10">
        <f t="shared" si="1"/>
        <v>0.38085627792994092</v>
      </c>
      <c r="W58" s="10">
        <f t="shared" si="1"/>
        <v>0.38625837737699559</v>
      </c>
      <c r="X58" s="10">
        <f t="shared" si="1"/>
        <v>0.38816621956774816</v>
      </c>
      <c r="Y58" s="10">
        <f t="shared" si="1"/>
        <v>0.3889663002528771</v>
      </c>
      <c r="Z58" s="10">
        <f t="shared" si="1"/>
        <v>0.37821440238950854</v>
      </c>
      <c r="AA58" s="10">
        <f t="shared" si="1"/>
        <v>0.39881916505564552</v>
      </c>
      <c r="AB58" s="10" t="e">
        <f t="shared" si="1"/>
        <v>#DIV/0!</v>
      </c>
      <c r="AC58" s="10" t="e">
        <f t="shared" si="1"/>
        <v>#DIV/0!</v>
      </c>
      <c r="AH58" s="10">
        <f t="shared" ref="AH58:AO58" si="2">AH5/AH3</f>
        <v>0.35993774206392298</v>
      </c>
      <c r="AI58" s="10">
        <f t="shared" si="2"/>
        <v>0.36516502047699351</v>
      </c>
      <c r="AJ58" s="10">
        <f t="shared" si="2"/>
        <v>0.35910082387429315</v>
      </c>
      <c r="AK58" s="10">
        <f t="shared" si="2"/>
        <v>0.38883843914425364</v>
      </c>
      <c r="AL58" s="10">
        <f t="shared" si="2"/>
        <v>0.39276965626234689</v>
      </c>
      <c r="AM58" s="10">
        <f t="shared" si="2"/>
        <v>0.38521681830853843</v>
      </c>
      <c r="AN58" s="10" t="e">
        <f t="shared" si="2"/>
        <v>#DIV/0!</v>
      </c>
      <c r="AO58" s="10" t="e">
        <f t="shared" si="2"/>
        <v>#DIV/0!</v>
      </c>
    </row>
    <row r="59" spans="1:41" s="10" customFormat="1" x14ac:dyDescent="0.25">
      <c r="B59" s="10" t="s">
        <v>196</v>
      </c>
      <c r="C59" s="10">
        <f>(C5+C6+C7)/C3</f>
        <v>7.4734917733089573E-2</v>
      </c>
      <c r="D59" s="10">
        <f t="shared" ref="D59:G59" si="3">(D5+D6+D7)/D3</f>
        <v>8.7420197330237953E-2</v>
      </c>
      <c r="E59" s="10">
        <f t="shared" si="3"/>
        <v>8.8527621542491719E-2</v>
      </c>
      <c r="F59" s="10">
        <f t="shared" si="3"/>
        <v>8.5110691144708428E-2</v>
      </c>
      <c r="G59" s="10">
        <f t="shared" si="3"/>
        <v>0.12742520076753608</v>
      </c>
      <c r="H59" s="10">
        <f t="shared" ref="H59:AC59" si="4">(H5+H6+H7)/H3</f>
        <v>0.10562563927719058</v>
      </c>
      <c r="I59" s="10">
        <f t="shared" si="4"/>
        <v>0.10643456636617966</v>
      </c>
      <c r="J59" s="10">
        <f t="shared" si="4"/>
        <v>9.3613850034395776E-2</v>
      </c>
      <c r="K59" s="10">
        <f t="shared" si="4"/>
        <v>0.12250712250712251</v>
      </c>
      <c r="L59" s="10">
        <f t="shared" si="4"/>
        <v>7.6349765258215962E-2</v>
      </c>
      <c r="M59" s="10">
        <f t="shared" si="4"/>
        <v>9.2349023339116806E-2</v>
      </c>
      <c r="N59" s="10">
        <f t="shared" si="4"/>
        <v>0.11797015505759977</v>
      </c>
      <c r="O59" s="10">
        <f t="shared" si="4"/>
        <v>0.1210846707249585</v>
      </c>
      <c r="P59" s="10">
        <f t="shared" si="4"/>
        <v>0.11825298722702926</v>
      </c>
      <c r="Q59" s="10">
        <f t="shared" si="4"/>
        <v>0.12134046270316057</v>
      </c>
      <c r="R59" s="10">
        <f t="shared" si="4"/>
        <v>0.12864020941429438</v>
      </c>
      <c r="S59" s="10">
        <f t="shared" si="4"/>
        <v>0.12223161453930685</v>
      </c>
      <c r="T59" s="10">
        <f t="shared" si="4"/>
        <v>0.11773303020461189</v>
      </c>
      <c r="U59" s="10">
        <f t="shared" si="4"/>
        <v>0.1384126984126984</v>
      </c>
      <c r="V59" s="10">
        <f t="shared" si="4"/>
        <v>0.12512613521695257</v>
      </c>
      <c r="W59" s="10">
        <f t="shared" si="4"/>
        <v>0.11137143791205797</v>
      </c>
      <c r="X59" s="10">
        <f t="shared" si="4"/>
        <v>0.12091916788986182</v>
      </c>
      <c r="Y59" s="10">
        <f t="shared" si="4"/>
        <v>0.11952314599783248</v>
      </c>
      <c r="Z59" s="10">
        <f t="shared" si="4"/>
        <v>0.1056144117235264</v>
      </c>
      <c r="AA59" s="10">
        <f t="shared" si="4"/>
        <v>0.12477140916453315</v>
      </c>
      <c r="AB59" s="10" t="e">
        <f t="shared" si="4"/>
        <v>#DIV/0!</v>
      </c>
      <c r="AC59" s="10" t="e">
        <f t="shared" si="4"/>
        <v>#DIV/0!</v>
      </c>
      <c r="AH59" s="10">
        <f t="shared" ref="AH59:AO59" si="5">(AH5+AH6+AH7)/AH3</f>
        <v>8.3921526043363379E-2</v>
      </c>
      <c r="AI59" s="10">
        <f t="shared" si="5"/>
        <v>0.10739580823897855</v>
      </c>
      <c r="AJ59" s="10">
        <f t="shared" si="5"/>
        <v>0.10279672673215055</v>
      </c>
      <c r="AK59" s="10">
        <f t="shared" si="5"/>
        <v>0.12621190673326033</v>
      </c>
      <c r="AL59" s="10">
        <f t="shared" si="5"/>
        <v>0.12594494929540367</v>
      </c>
      <c r="AM59" s="10">
        <f t="shared" si="5"/>
        <v>0.11421294066958967</v>
      </c>
      <c r="AN59" s="10" t="e">
        <f t="shared" si="5"/>
        <v>#DIV/0!</v>
      </c>
      <c r="AO59" s="10" t="e">
        <f t="shared" si="5"/>
        <v>#DIV/0!</v>
      </c>
    </row>
    <row r="60" spans="1:41" s="10" customFormat="1" x14ac:dyDescent="0.25">
      <c r="B60" s="10" t="s">
        <v>199</v>
      </c>
      <c r="C60" s="10">
        <f>C14/C3</f>
        <v>0.10654478976234004</v>
      </c>
      <c r="D60" s="10">
        <f t="shared" ref="D60:G60" si="6">D14/D3</f>
        <v>9.336912362159025E-2</v>
      </c>
      <c r="E60" s="10">
        <f t="shared" si="6"/>
        <v>0.10378303413205948</v>
      </c>
      <c r="F60" s="10">
        <f t="shared" si="6"/>
        <v>9.5234881209503242E-2</v>
      </c>
      <c r="G60" s="10">
        <f t="shared" si="6"/>
        <v>0.13950678700874139</v>
      </c>
      <c r="H60" s="10">
        <f t="shared" ref="H60:AC60" si="7">H14/H3</f>
        <v>0.13528810092055915</v>
      </c>
      <c r="I60" s="10">
        <f t="shared" si="7"/>
        <v>0.10618588747280075</v>
      </c>
      <c r="J60" s="10">
        <f t="shared" si="7"/>
        <v>0.10553772070626004</v>
      </c>
      <c r="K60" s="10">
        <f t="shared" si="7"/>
        <v>0.14832999939382918</v>
      </c>
      <c r="L60" s="10">
        <f t="shared" si="7"/>
        <v>0.10269953051643192</v>
      </c>
      <c r="M60" s="10">
        <f t="shared" si="7"/>
        <v>-5.1043823809257288E-2</v>
      </c>
      <c r="N60" s="10">
        <f t="shared" si="7"/>
        <v>0.18806202303990668</v>
      </c>
      <c r="O60" s="10">
        <f t="shared" si="7"/>
        <v>0.12302158273381295</v>
      </c>
      <c r="P60" s="10">
        <f t="shared" si="7"/>
        <v>0.21327770910589205</v>
      </c>
      <c r="Q60" s="10">
        <f t="shared" si="7"/>
        <v>0.10508761713166394</v>
      </c>
      <c r="R60" s="10">
        <f t="shared" si="7"/>
        <v>0.1332678913663348</v>
      </c>
      <c r="S60" s="10">
        <f t="shared" si="7"/>
        <v>0.18129050436742744</v>
      </c>
      <c r="T60" s="10">
        <f t="shared" si="7"/>
        <v>0.12211757063981812</v>
      </c>
      <c r="U60" s="10">
        <f t="shared" si="7"/>
        <v>0.15089947089947089</v>
      </c>
      <c r="V60" s="10">
        <f t="shared" si="7"/>
        <v>0.13949353707174092</v>
      </c>
      <c r="W60" s="10">
        <f t="shared" si="7"/>
        <v>0.12973355854628671</v>
      </c>
      <c r="X60" s="10">
        <f t="shared" si="7"/>
        <v>0.16060130586627525</v>
      </c>
      <c r="Y60" s="10">
        <f t="shared" si="7"/>
        <v>0.14914589461732983</v>
      </c>
      <c r="Z60" s="10">
        <f t="shared" si="7"/>
        <v>0.11130816259859057</v>
      </c>
      <c r="AA60" s="10">
        <f t="shared" si="7"/>
        <v>0.15382203876900569</v>
      </c>
      <c r="AB60" s="10" t="e">
        <f t="shared" si="7"/>
        <v>#DIV/0!</v>
      </c>
      <c r="AC60" s="10" t="e">
        <f t="shared" si="7"/>
        <v>#DIV/0!</v>
      </c>
      <c r="AH60" s="10">
        <f t="shared" ref="AH60:AO60" si="8">AH14/AH3</f>
        <v>9.9576501248778371E-2</v>
      </c>
      <c r="AI60" s="10">
        <f t="shared" si="8"/>
        <v>0.12038866136673894</v>
      </c>
      <c r="AJ60" s="10">
        <f t="shared" si="8"/>
        <v>9.9392861608569402E-2</v>
      </c>
      <c r="AK60" s="10">
        <f t="shared" si="8"/>
        <v>0.14858043321492481</v>
      </c>
      <c r="AL60" s="10">
        <f t="shared" si="8"/>
        <v>0.14785987093375477</v>
      </c>
      <c r="AM60" s="10">
        <f t="shared" si="8"/>
        <v>0.13723800593050664</v>
      </c>
      <c r="AN60" s="10" t="e">
        <f t="shared" si="8"/>
        <v>#DIV/0!</v>
      </c>
      <c r="AO60" s="10" t="e">
        <f t="shared" si="8"/>
        <v>#DIV/0!</v>
      </c>
    </row>
    <row r="61" spans="1:41" s="10" customFormat="1" x14ac:dyDescent="0.25">
      <c r="B61" s="10" t="s">
        <v>213</v>
      </c>
      <c r="C61" s="10">
        <f>-C15/C14</f>
        <v>0.18462594371997254</v>
      </c>
      <c r="D61" s="10">
        <f t="shared" ref="D61:G61" si="9">-D15/D14</f>
        <v>0.22999222999222999</v>
      </c>
      <c r="E61" s="10">
        <f t="shared" si="9"/>
        <v>0.30363771343726798</v>
      </c>
      <c r="F61" s="10">
        <f t="shared" si="9"/>
        <v>0.26364280652019845</v>
      </c>
      <c r="G61" s="10">
        <f t="shared" si="9"/>
        <v>0.24961793173713703</v>
      </c>
      <c r="H61" s="10">
        <f t="shared" ref="H61:AC61" si="10">-H15/H14</f>
        <v>0.23588709677419356</v>
      </c>
      <c r="I61" s="10">
        <f t="shared" si="10"/>
        <v>0.19437939110070257</v>
      </c>
      <c r="J61" s="10">
        <f t="shared" si="10"/>
        <v>0.31015752308527972</v>
      </c>
      <c r="K61" s="10">
        <f t="shared" si="10"/>
        <v>0.25991009399264403</v>
      </c>
      <c r="L61" s="10">
        <f t="shared" si="10"/>
        <v>0.30914285714285716</v>
      </c>
      <c r="N61" s="10">
        <f t="shared" si="10"/>
        <v>0.24631687774618766</v>
      </c>
      <c r="O61" s="10">
        <f t="shared" si="10"/>
        <v>0.26045883940620784</v>
      </c>
      <c r="P61" s="10">
        <f t="shared" si="10"/>
        <v>0.1419946872736054</v>
      </c>
      <c r="Q61" s="10">
        <f t="shared" si="10"/>
        <v>0.29017632241813601</v>
      </c>
      <c r="R61" s="10">
        <f t="shared" si="10"/>
        <v>0.33111189056471413</v>
      </c>
      <c r="S61" s="10">
        <f t="shared" si="10"/>
        <v>0.20142990363692881</v>
      </c>
      <c r="T61" s="10">
        <f t="shared" si="10"/>
        <v>0.11170212765957446</v>
      </c>
      <c r="U61" s="10">
        <f t="shared" si="10"/>
        <v>0.24333800841514727</v>
      </c>
      <c r="V61" s="10">
        <f t="shared" si="10"/>
        <v>0.25043058904581467</v>
      </c>
      <c r="W61" s="10">
        <f t="shared" si="10"/>
        <v>0.24359512809743805</v>
      </c>
      <c r="X61" s="10">
        <f t="shared" si="10"/>
        <v>0.2310116608887488</v>
      </c>
      <c r="Y61" s="10">
        <f t="shared" si="10"/>
        <v>0.23114186851211072</v>
      </c>
      <c r="Z61" s="10">
        <f t="shared" si="10"/>
        <v>0.2180293501048218</v>
      </c>
      <c r="AA61" s="10">
        <f t="shared" si="10"/>
        <v>0.24388586956521738</v>
      </c>
      <c r="AB61" s="10" t="e">
        <f t="shared" si="10"/>
        <v>#DIV/0!</v>
      </c>
      <c r="AC61" s="10" t="e">
        <f t="shared" si="10"/>
        <v>#DIV/0!</v>
      </c>
      <c r="AH61" s="10">
        <f t="shared" ref="AH61:AO61" si="11">-AH15/AH14</f>
        <v>0.24463831334060343</v>
      </c>
      <c r="AI61" s="10">
        <f t="shared" si="11"/>
        <v>0.2482657417289221</v>
      </c>
      <c r="AJ61" s="10">
        <f t="shared" si="11"/>
        <v>0.38314229801509647</v>
      </c>
      <c r="AK61" s="10">
        <f t="shared" si="11"/>
        <v>0.2336868596081251</v>
      </c>
      <c r="AL61" s="10">
        <f t="shared" si="11"/>
        <v>0.20664469582257058</v>
      </c>
      <c r="AM61" s="10">
        <f t="shared" si="11"/>
        <v>0.230932594644506</v>
      </c>
      <c r="AN61" s="10" t="e">
        <f t="shared" si="11"/>
        <v>#DIV/0!</v>
      </c>
      <c r="AO61" s="10" t="e">
        <f t="shared" si="11"/>
        <v>#DIV/0!</v>
      </c>
    </row>
    <row r="62" spans="1:41" s="10" customFormat="1" x14ac:dyDescent="0.25">
      <c r="B62" s="10" t="s">
        <v>197</v>
      </c>
      <c r="C62" s="10">
        <f>C18/C3</f>
        <v>7.9634369287020113E-2</v>
      </c>
      <c r="D62" s="10">
        <f t="shared" ref="D62:G62" si="12">D18/D3</f>
        <v>5.0565873476494487E-2</v>
      </c>
      <c r="E62" s="10">
        <f t="shared" si="12"/>
        <v>4.1220433007165422E-2</v>
      </c>
      <c r="F62" s="10">
        <f t="shared" si="12"/>
        <v>0.12682235421166307</v>
      </c>
      <c r="G62" s="10">
        <f t="shared" si="12"/>
        <v>0.10638902707696681</v>
      </c>
      <c r="H62" s="10">
        <f t="shared" ref="H62:AC62" si="13">H18/H3</f>
        <v>0.16297306512103649</v>
      </c>
      <c r="I62" s="10">
        <f t="shared" si="13"/>
        <v>9.2011190550202057E-2</v>
      </c>
      <c r="J62" s="10">
        <f t="shared" si="13"/>
        <v>7.6243980738362763E-2</v>
      </c>
      <c r="K62" s="10">
        <f t="shared" si="13"/>
        <v>0.10886827908104504</v>
      </c>
      <c r="L62" s="10">
        <f t="shared" si="13"/>
        <v>7.1185446009389669E-2</v>
      </c>
      <c r="M62" s="10">
        <f t="shared" si="13"/>
        <v>-8.5688699837689591E-2</v>
      </c>
      <c r="N62" s="10">
        <f t="shared" si="13"/>
        <v>0.1415933505079473</v>
      </c>
      <c r="O62" s="10">
        <f t="shared" si="13"/>
        <v>9.0536801328168229E-2</v>
      </c>
      <c r="P62" s="10">
        <f t="shared" si="13"/>
        <v>0.18289039967037496</v>
      </c>
      <c r="Q62" s="10">
        <f t="shared" si="13"/>
        <v>7.6234845677378371E-2</v>
      </c>
      <c r="R62" s="10">
        <f t="shared" si="13"/>
        <v>8.8907586593745619E-2</v>
      </c>
      <c r="S62" s="10">
        <f t="shared" si="13"/>
        <v>0.14358974358974358</v>
      </c>
      <c r="T62" s="10">
        <f t="shared" si="13"/>
        <v>0.11886976291003573</v>
      </c>
      <c r="U62" s="10">
        <f t="shared" si="13"/>
        <v>0.11285714285714285</v>
      </c>
      <c r="V62" s="10">
        <f t="shared" si="13"/>
        <v>0.10162894623035894</v>
      </c>
      <c r="W62" s="10">
        <f t="shared" si="13"/>
        <v>0.21075573475726039</v>
      </c>
      <c r="X62" s="10">
        <f t="shared" si="13"/>
        <v>0.12344991648529635</v>
      </c>
      <c r="Y62" s="10">
        <f t="shared" si="13"/>
        <v>0.11575579295040513</v>
      </c>
      <c r="Z62" s="10">
        <f t="shared" si="13"/>
        <v>8.5732953749941665E-2</v>
      </c>
      <c r="AA62" s="10">
        <f t="shared" si="13"/>
        <v>0.11609801975024818</v>
      </c>
      <c r="AB62" s="10" t="e">
        <f t="shared" si="13"/>
        <v>#DIV/0!</v>
      </c>
      <c r="AC62" s="10" t="e">
        <f t="shared" si="13"/>
        <v>#DIV/0!</v>
      </c>
      <c r="AH62" s="10">
        <f t="shared" ref="AH62:AO62" si="14">AH18/AH3</f>
        <v>7.6012596373113264E-2</v>
      </c>
      <c r="AI62" s="10">
        <f t="shared" si="14"/>
        <v>0.10755641210953185</v>
      </c>
      <c r="AJ62" s="10">
        <f t="shared" si="14"/>
        <v>6.101949233783014E-2</v>
      </c>
      <c r="AK62" s="10">
        <f t="shared" si="14"/>
        <v>0.11389920141021874</v>
      </c>
      <c r="AL62" s="10">
        <f t="shared" si="14"/>
        <v>0.11842486500724352</v>
      </c>
      <c r="AM62" s="10">
        <f t="shared" si="14"/>
        <v>0.13162429987074536</v>
      </c>
      <c r="AN62" s="10" t="e">
        <f t="shared" si="14"/>
        <v>#DIV/0!</v>
      </c>
      <c r="AO62" s="10" t="e">
        <f t="shared" si="14"/>
        <v>#DIV/0!</v>
      </c>
    </row>
    <row r="63" spans="1:41" s="10" customFormat="1" x14ac:dyDescent="0.25">
      <c r="B63" s="10" t="s">
        <v>201</v>
      </c>
      <c r="C63" s="10">
        <f>C51/C3</f>
        <v>4.4680073126142597E-2</v>
      </c>
      <c r="D63" s="10">
        <f t="shared" ref="D63:G63" si="15">D51/D3</f>
        <v>2.8946604759141032E-2</v>
      </c>
      <c r="E63" s="10">
        <f t="shared" si="15"/>
        <v>-4.2607288697126128E-2</v>
      </c>
      <c r="F63" s="10">
        <f t="shared" si="15"/>
        <v>5.1093412526997839E-2</v>
      </c>
      <c r="G63" s="10">
        <f t="shared" si="15"/>
        <v>2.3097150167010163E-2</v>
      </c>
      <c r="H63" s="10">
        <f t="shared" ref="H63:AC63" si="16">H51/H3</f>
        <v>0.34258438458915785</v>
      </c>
      <c r="I63" s="10">
        <f t="shared" si="16"/>
        <v>0.12023624494870998</v>
      </c>
      <c r="J63" s="10">
        <f t="shared" si="16"/>
        <v>0.15925246503095619</v>
      </c>
      <c r="K63" s="10">
        <f t="shared" si="16"/>
        <v>0.1886403588531248</v>
      </c>
      <c r="L63" s="10">
        <f t="shared" si="16"/>
        <v>0.11754694835680751</v>
      </c>
      <c r="M63" s="10">
        <f t="shared" si="16"/>
        <v>7.4271002406671519E-2</v>
      </c>
      <c r="N63" s="10">
        <f t="shared" si="16"/>
        <v>0.22169834248772663</v>
      </c>
      <c r="O63" s="10">
        <f t="shared" si="16"/>
        <v>-0.11333702268954067</v>
      </c>
      <c r="P63" s="10">
        <f t="shared" si="16"/>
        <v>0.14647713226205192</v>
      </c>
      <c r="Q63" s="10">
        <f t="shared" si="16"/>
        <v>2.4511620519879294E-2</v>
      </c>
      <c r="R63" s="10">
        <f t="shared" si="16"/>
        <v>0.12634974056934511</v>
      </c>
      <c r="S63" s="10">
        <f t="shared" si="16"/>
        <v>4.7506339814032121E-2</v>
      </c>
      <c r="T63" s="10">
        <f t="shared" si="16"/>
        <v>0.22474829490094186</v>
      </c>
      <c r="U63" s="10">
        <f t="shared" si="16"/>
        <v>0.211005291005291</v>
      </c>
      <c r="V63" s="10">
        <f t="shared" si="16"/>
        <v>8.774205948777089E-2</v>
      </c>
      <c r="W63" s="10">
        <f t="shared" si="16"/>
        <v>0.47741513648994716</v>
      </c>
      <c r="X63" s="10">
        <f t="shared" si="16"/>
        <v>7.1114035531710279E-2</v>
      </c>
      <c r="Y63" s="10">
        <f t="shared" si="16"/>
        <v>2.2397687980595552E-2</v>
      </c>
      <c r="Z63" s="10">
        <f t="shared" si="16"/>
        <v>0.14691744061231157</v>
      </c>
      <c r="AA63" s="10">
        <f t="shared" si="16"/>
        <v>0.17822247766340979</v>
      </c>
      <c r="AB63" s="10" t="e">
        <f t="shared" si="16"/>
        <v>#DIV/0!</v>
      </c>
      <c r="AC63" s="10" t="e">
        <f t="shared" si="16"/>
        <v>#DIV/0!</v>
      </c>
      <c r="AH63" s="10">
        <f t="shared" ref="AH63:AO63" si="17">AH51/AH3</f>
        <v>2.1971259999276072E-2</v>
      </c>
      <c r="AI63" s="10">
        <f t="shared" si="17"/>
        <v>0.16158355416365536</v>
      </c>
      <c r="AJ63" s="10">
        <f t="shared" si="17"/>
        <v>0.15286827736638092</v>
      </c>
      <c r="AK63" s="10">
        <f t="shared" si="17"/>
        <v>5.2909911594241604E-2</v>
      </c>
      <c r="AL63" s="10">
        <f t="shared" si="17"/>
        <v>0.14235480047412091</v>
      </c>
      <c r="AM63" s="10">
        <f t="shared" si="17"/>
        <v>0.17421496819322299</v>
      </c>
      <c r="AN63" s="10" t="e">
        <f t="shared" si="17"/>
        <v>#DIV/0!</v>
      </c>
      <c r="AO63" s="10" t="e">
        <f t="shared" si="17"/>
        <v>#DIV/0!</v>
      </c>
    </row>
    <row r="64" spans="1:41" s="10" customFormat="1" x14ac:dyDescent="0.25"/>
    <row r="65" spans="2:41" s="10" customFormat="1" x14ac:dyDescent="0.25">
      <c r="B65" s="10" t="s">
        <v>198</v>
      </c>
      <c r="G65" s="10">
        <f>G3/C3-1</f>
        <v>2.8957952468007253E-2</v>
      </c>
      <c r="H65" s="10">
        <f t="shared" ref="H65:AC65" si="18">H3/D3-1</f>
        <v>6.3914683691236318E-2</v>
      </c>
      <c r="I65" s="10">
        <f t="shared" si="18"/>
        <v>0.23930965405655291</v>
      </c>
      <c r="J65" s="10">
        <f t="shared" si="18"/>
        <v>0.17737580993520519</v>
      </c>
      <c r="K65" s="10">
        <f t="shared" si="18"/>
        <v>0.17241134247743584</v>
      </c>
      <c r="L65" s="10">
        <f t="shared" si="18"/>
        <v>0.16195022161609285</v>
      </c>
      <c r="M65" s="10">
        <f t="shared" si="18"/>
        <v>0.11078644700031082</v>
      </c>
      <c r="N65" s="10">
        <f t="shared" si="18"/>
        <v>0.17937399678972721</v>
      </c>
      <c r="O65" s="10">
        <f t="shared" si="18"/>
        <v>9.5350669818754952E-2</v>
      </c>
      <c r="P65" s="10">
        <f t="shared" si="18"/>
        <v>0.1394366197183099</v>
      </c>
      <c r="Q65" s="10">
        <f t="shared" si="18"/>
        <v>5.7200425365198315E-2</v>
      </c>
      <c r="R65" s="10">
        <f t="shared" si="18"/>
        <v>3.9858066397705727E-2</v>
      </c>
      <c r="S65" s="10">
        <f t="shared" si="18"/>
        <v>-1.7985611510791366E-2</v>
      </c>
      <c r="T65" s="10">
        <f t="shared" si="18"/>
        <v>-4.8516687268232439E-2</v>
      </c>
      <c r="U65" s="10">
        <f t="shared" si="18"/>
        <v>5.8234951559099635E-4</v>
      </c>
      <c r="V65" s="10">
        <f t="shared" si="18"/>
        <v>-2.7205160566540432E-2</v>
      </c>
      <c r="W65" s="10">
        <f t="shared" si="18"/>
        <v>3.4263172724711133E-2</v>
      </c>
      <c r="X65" s="10">
        <f t="shared" si="18"/>
        <v>6.9448955288513581E-2</v>
      </c>
      <c r="Y65" s="10">
        <f t="shared" si="18"/>
        <v>2.5238095238095282E-2</v>
      </c>
      <c r="Z65" s="10">
        <f t="shared" si="18"/>
        <v>2.9599730911537225E-2</v>
      </c>
      <c r="AA65" s="10">
        <f t="shared" si="18"/>
        <v>4.2826785811583834E-2</v>
      </c>
      <c r="AB65" s="10">
        <f t="shared" si="18"/>
        <v>-1</v>
      </c>
      <c r="AC65" s="10">
        <f t="shared" si="18"/>
        <v>-1</v>
      </c>
      <c r="AI65" s="10">
        <f>AI3/AH3-1</f>
        <v>0.12688674123140409</v>
      </c>
      <c r="AJ65" s="10">
        <f t="shared" ref="AJ65:AO65" si="19">AJ3/AI3-1</f>
        <v>0.15597847908134588</v>
      </c>
      <c r="AK65" s="10">
        <f t="shared" si="19"/>
        <v>4.0360115036747857E-2</v>
      </c>
      <c r="AL65" s="10">
        <f t="shared" si="19"/>
        <v>1.399535268822949E-2</v>
      </c>
      <c r="AM65" s="10">
        <f t="shared" si="19"/>
        <v>3.9299354668773878E-2</v>
      </c>
      <c r="AN65" s="10">
        <f t="shared" si="19"/>
        <v>-1</v>
      </c>
      <c r="AO65" s="10" t="e">
        <f t="shared" si="19"/>
        <v>#DIV/0!</v>
      </c>
    </row>
    <row r="66" spans="2:41" s="10" customFormat="1" x14ac:dyDescent="0.25"/>
    <row r="67" spans="2:41" s="10" customFormat="1" x14ac:dyDescent="0.25">
      <c r="B67" s="10" t="s">
        <v>202</v>
      </c>
      <c r="C67" s="10">
        <f>-C6/C5</f>
        <v>0.22558652496490877</v>
      </c>
      <c r="D67" s="10">
        <f t="shared" ref="D67:G67" si="20">-D6/D5</f>
        <v>0.23119888290444843</v>
      </c>
      <c r="E67" s="10">
        <f t="shared" si="20"/>
        <v>0.22860147213459517</v>
      </c>
      <c r="F67" s="10">
        <f t="shared" si="20"/>
        <v>0.23339177868692773</v>
      </c>
      <c r="G67" s="10">
        <f t="shared" si="20"/>
        <v>0.20007521624670929</v>
      </c>
      <c r="H67" s="10">
        <f t="shared" ref="H67:AC67" si="21">-H6/H5</f>
        <v>0.21530826493605651</v>
      </c>
      <c r="I67" s="10">
        <f t="shared" si="21"/>
        <v>0.20776566757493187</v>
      </c>
      <c r="J67" s="10">
        <f t="shared" si="21"/>
        <v>0.22939124920735574</v>
      </c>
      <c r="K67" s="10">
        <f t="shared" si="21"/>
        <v>0.20161160354552779</v>
      </c>
      <c r="L67" s="10">
        <f t="shared" si="21"/>
        <v>0.23671834175230796</v>
      </c>
      <c r="M67" s="10">
        <f t="shared" si="21"/>
        <v>0.22475517739605072</v>
      </c>
      <c r="N67" s="10">
        <f t="shared" si="21"/>
        <v>0.20620437956204379</v>
      </c>
      <c r="O67" s="10">
        <f t="shared" si="21"/>
        <v>0.20525333716090138</v>
      </c>
      <c r="P67" s="10">
        <f t="shared" si="21"/>
        <v>0.21225170162522572</v>
      </c>
      <c r="Q67" s="10">
        <f t="shared" si="21"/>
        <v>0.21263099834528407</v>
      </c>
      <c r="R67" s="10">
        <f t="shared" si="21"/>
        <v>0.20449301760777169</v>
      </c>
      <c r="S67" s="10">
        <f t="shared" si="21"/>
        <v>0.21256038647342995</v>
      </c>
      <c r="T67" s="10">
        <f t="shared" si="21"/>
        <v>0.22036281816903389</v>
      </c>
      <c r="U67" s="10">
        <f t="shared" si="21"/>
        <v>0.20147134744450182</v>
      </c>
      <c r="V67" s="10">
        <f t="shared" si="21"/>
        <v>0.20830179157204137</v>
      </c>
      <c r="W67" s="10">
        <f t="shared" si="21"/>
        <v>0.21794329242488361</v>
      </c>
      <c r="X67" s="10">
        <f t="shared" si="21"/>
        <v>0.2113704524709871</v>
      </c>
      <c r="Y67" s="10">
        <f t="shared" si="21"/>
        <v>0.21891999469284862</v>
      </c>
      <c r="Z67" s="10">
        <f t="shared" si="21"/>
        <v>0.21520236920039487</v>
      </c>
      <c r="AA67" s="10">
        <f t="shared" si="21"/>
        <v>0.21446351369055416</v>
      </c>
      <c r="AB67" s="10" t="e">
        <f t="shared" si="21"/>
        <v>#DIV/0!</v>
      </c>
      <c r="AC67" s="10" t="e">
        <f t="shared" si="21"/>
        <v>#DIV/0!</v>
      </c>
      <c r="AH67" s="10">
        <f t="shared" ref="AH67:AO67" si="22">-AH6/AH5</f>
        <v>0.2297365245374095</v>
      </c>
      <c r="AI67" s="10">
        <f t="shared" si="22"/>
        <v>0.21370453445925144</v>
      </c>
      <c r="AJ67" s="10">
        <f t="shared" si="22"/>
        <v>0.21631137075869539</v>
      </c>
      <c r="AK67" s="10">
        <f t="shared" si="22"/>
        <v>0.20994607960984993</v>
      </c>
      <c r="AL67" s="10">
        <f t="shared" si="22"/>
        <v>0.21044160547228649</v>
      </c>
      <c r="AM67" s="10">
        <f t="shared" si="22"/>
        <v>0.21576367643672489</v>
      </c>
      <c r="AN67" s="10" t="e">
        <f t="shared" si="22"/>
        <v>#DIV/0!</v>
      </c>
      <c r="AO67" s="10" t="e">
        <f t="shared" si="22"/>
        <v>#DIV/0!</v>
      </c>
    </row>
    <row r="68" spans="2:41" s="10" customFormat="1" x14ac:dyDescent="0.25">
      <c r="B68" s="10" t="s">
        <v>203</v>
      </c>
      <c r="C68" s="10">
        <f>-C7/C5</f>
        <v>0.56948064968919188</v>
      </c>
      <c r="D68" s="10">
        <f t="shared" ref="D68:G68" si="23">-D7/D5</f>
        <v>0.52842609216038305</v>
      </c>
      <c r="E68" s="10">
        <f t="shared" si="23"/>
        <v>0.52975814931650889</v>
      </c>
      <c r="F68" s="10">
        <f t="shared" si="23"/>
        <v>0.52094291837132278</v>
      </c>
      <c r="G68" s="10">
        <f t="shared" si="23"/>
        <v>0.46276795787890185</v>
      </c>
      <c r="H68" s="10">
        <f t="shared" ref="H68:AC68" si="24">-H7/H5</f>
        <v>0.48902462301966027</v>
      </c>
      <c r="I68" s="10">
        <f t="shared" si="24"/>
        <v>0.50068119891008178</v>
      </c>
      <c r="J68" s="10">
        <f t="shared" si="24"/>
        <v>0.51173113506658208</v>
      </c>
      <c r="K68" s="10">
        <f t="shared" si="24"/>
        <v>0.47268331990330381</v>
      </c>
      <c r="L68" s="10">
        <f t="shared" si="24"/>
        <v>0.53666608604772692</v>
      </c>
      <c r="M68" s="10">
        <f t="shared" si="24"/>
        <v>0.51035479210146095</v>
      </c>
      <c r="N68" s="10">
        <f t="shared" si="24"/>
        <v>0.47745046923879042</v>
      </c>
      <c r="O68" s="10">
        <f t="shared" si="24"/>
        <v>0.48069470360269845</v>
      </c>
      <c r="P68" s="10">
        <f t="shared" si="24"/>
        <v>0.46881511321016806</v>
      </c>
      <c r="Q68" s="10">
        <f t="shared" si="24"/>
        <v>0.47131825703254276</v>
      </c>
      <c r="R68" s="10">
        <f t="shared" si="24"/>
        <v>0.4613236187006679</v>
      </c>
      <c r="S68" s="10">
        <f t="shared" si="24"/>
        <v>0.47925547030406368</v>
      </c>
      <c r="T68" s="10">
        <f t="shared" si="24"/>
        <v>0.47377302770355789</v>
      </c>
      <c r="U68" s="10">
        <f t="shared" si="24"/>
        <v>0.46089313371192564</v>
      </c>
      <c r="V68" s="10">
        <f t="shared" si="24"/>
        <v>0.46315922281100175</v>
      </c>
      <c r="W68" s="10">
        <f t="shared" si="24"/>
        <v>0.4937226689236846</v>
      </c>
      <c r="X68" s="10">
        <f t="shared" si="24"/>
        <v>0.47711566045116705</v>
      </c>
      <c r="Y68" s="10">
        <f t="shared" si="24"/>
        <v>0.47379594002918934</v>
      </c>
      <c r="Z68" s="10">
        <f t="shared" si="24"/>
        <v>0.50555281342546887</v>
      </c>
      <c r="AA68" s="10">
        <f t="shared" si="24"/>
        <v>0.47268439669854578</v>
      </c>
      <c r="AB68" s="10" t="e">
        <f t="shared" si="24"/>
        <v>#DIV/0!</v>
      </c>
      <c r="AC68" s="10" t="e">
        <f t="shared" si="24"/>
        <v>#DIV/0!</v>
      </c>
      <c r="AH68" s="10">
        <f t="shared" ref="AH68:AO68" si="25">-AH7/AH5</f>
        <v>0.53710780370072408</v>
      </c>
      <c r="AI68" s="10">
        <f t="shared" si="25"/>
        <v>0.49219334124994502</v>
      </c>
      <c r="AJ68" s="10">
        <f t="shared" si="25"/>
        <v>0.49742716756296668</v>
      </c>
      <c r="AK68" s="10">
        <f t="shared" si="25"/>
        <v>0.46546690936566265</v>
      </c>
      <c r="AL68" s="10">
        <f t="shared" si="25"/>
        <v>0.46889984240351407</v>
      </c>
      <c r="AM68" s="10">
        <f t="shared" si="25"/>
        <v>0.48774630744432385</v>
      </c>
      <c r="AN68" s="10" t="e">
        <f t="shared" si="25"/>
        <v>#DIV/0!</v>
      </c>
      <c r="AO68" s="10" t="e">
        <f t="shared" si="25"/>
        <v>#DIV/0!</v>
      </c>
    </row>
    <row r="71" spans="2:41" x14ac:dyDescent="0.25">
      <c r="B71" s="1" t="s">
        <v>200</v>
      </c>
      <c r="F71" s="2">
        <f t="shared" ref="F71:AD71" si="26">F73-F93-F102</f>
        <v>-30526</v>
      </c>
      <c r="G71" s="2">
        <f t="shared" si="26"/>
        <v>-29464</v>
      </c>
      <c r="H71" s="2">
        <f t="shared" si="26"/>
        <v>-28459</v>
      </c>
      <c r="I71" s="2">
        <f t="shared" si="26"/>
        <v>-40433</v>
      </c>
      <c r="J71" s="2">
        <f t="shared" si="26"/>
        <v>-39155</v>
      </c>
      <c r="K71" s="2">
        <f t="shared" si="26"/>
        <v>-39268</v>
      </c>
      <c r="L71" s="2">
        <f t="shared" si="26"/>
        <v>-42258</v>
      </c>
      <c r="M71" s="2">
        <f t="shared" si="26"/>
        <v>-41459</v>
      </c>
      <c r="N71" s="2">
        <f t="shared" si="26"/>
        <v>-40171</v>
      </c>
      <c r="O71" s="2">
        <f t="shared" si="26"/>
        <v>-39108</v>
      </c>
      <c r="P71" s="2">
        <f t="shared" si="26"/>
        <v>-40844</v>
      </c>
      <c r="Q71" s="2">
        <f t="shared" si="26"/>
        <v>-39088</v>
      </c>
      <c r="R71" s="2">
        <f t="shared" si="26"/>
        <v>-36512</v>
      </c>
      <c r="S71" s="2">
        <f t="shared" si="26"/>
        <v>-38552</v>
      </c>
      <c r="T71" s="2">
        <f t="shared" si="26"/>
        <v>-42736</v>
      </c>
      <c r="U71" s="2">
        <f t="shared" si="26"/>
        <v>-42144</v>
      </c>
      <c r="V71" s="2">
        <f t="shared" si="26"/>
        <v>-38763</v>
      </c>
      <c r="W71" s="2">
        <f t="shared" si="26"/>
        <v>-35958</v>
      </c>
      <c r="X71" s="2">
        <f t="shared" si="26"/>
        <v>-44836</v>
      </c>
      <c r="Y71" s="2">
        <f t="shared" si="26"/>
        <v>-42047</v>
      </c>
      <c r="Z71" s="2">
        <f t="shared" si="26"/>
        <v>-41520</v>
      </c>
      <c r="AA71" s="2">
        <f t="shared" si="26"/>
        <v>-41202</v>
      </c>
      <c r="AB71" s="2">
        <f t="shared" si="26"/>
        <v>0</v>
      </c>
      <c r="AC71" s="2">
        <f t="shared" si="26"/>
        <v>0</v>
      </c>
      <c r="AD71" s="2">
        <f t="shared" si="26"/>
        <v>0</v>
      </c>
      <c r="AH71" s="2">
        <f t="shared" ref="AH71:AO71" si="27">AH73-AH93-AH102</f>
        <v>-30526</v>
      </c>
      <c r="AI71" s="2">
        <f t="shared" si="27"/>
        <v>-39155</v>
      </c>
      <c r="AJ71" s="2">
        <f t="shared" si="27"/>
        <v>-40171</v>
      </c>
      <c r="AK71" s="2">
        <f t="shared" si="27"/>
        <v>-36512</v>
      </c>
      <c r="AL71" s="2">
        <f t="shared" si="27"/>
        <v>-38763</v>
      </c>
      <c r="AM71" s="2">
        <f t="shared" si="27"/>
        <v>-41520</v>
      </c>
      <c r="AN71" s="2">
        <f t="shared" si="27"/>
        <v>0</v>
      </c>
      <c r="AO71" s="2">
        <f t="shared" si="27"/>
        <v>0</v>
      </c>
    </row>
    <row r="72" spans="2:41" x14ac:dyDescent="0.25">
      <c r="B72" s="6" t="s">
        <v>45</v>
      </c>
    </row>
    <row r="73" spans="2:41" s="2" customFormat="1" x14ac:dyDescent="0.25">
      <c r="B73" s="19" t="s">
        <v>46</v>
      </c>
      <c r="F73" s="2">
        <v>14041</v>
      </c>
      <c r="G73" s="2">
        <v>14016</v>
      </c>
      <c r="H73" s="2">
        <v>23639</v>
      </c>
      <c r="I73" s="2">
        <v>10678</v>
      </c>
      <c r="J73" s="2">
        <v>9545</v>
      </c>
      <c r="K73" s="2">
        <v>12199</v>
      </c>
      <c r="L73" s="2">
        <v>9495</v>
      </c>
      <c r="M73" s="2">
        <v>10097</v>
      </c>
      <c r="N73" s="2">
        <v>10465</v>
      </c>
      <c r="O73" s="2">
        <v>10135</v>
      </c>
      <c r="P73" s="2">
        <v>9186</v>
      </c>
      <c r="Q73" s="2">
        <v>9802</v>
      </c>
      <c r="R73" s="2">
        <v>10084</v>
      </c>
      <c r="S73" s="2">
        <v>10769</v>
      </c>
      <c r="T73" s="2">
        <v>7715</v>
      </c>
      <c r="U73" s="12">
        <v>7758</v>
      </c>
      <c r="V73" s="2">
        <v>9156</v>
      </c>
      <c r="W73" s="2">
        <v>13926</v>
      </c>
      <c r="X73" s="2">
        <v>12686</v>
      </c>
      <c r="Y73" s="2">
        <v>14641</v>
      </c>
      <c r="Z73" s="2">
        <v>14495</v>
      </c>
      <c r="AA73" s="2">
        <v>15263</v>
      </c>
      <c r="AH73" s="2">
        <v>14041</v>
      </c>
      <c r="AI73" s="2">
        <v>9545</v>
      </c>
      <c r="AJ73" s="2">
        <v>10465</v>
      </c>
      <c r="AK73" s="2">
        <v>10084</v>
      </c>
      <c r="AL73" s="2">
        <v>9156</v>
      </c>
      <c r="AM73" s="2">
        <v>14495</v>
      </c>
    </row>
    <row r="74" spans="2:41" s="2" customFormat="1" x14ac:dyDescent="0.25">
      <c r="B74" s="19" t="s">
        <v>47</v>
      </c>
      <c r="F74" s="2">
        <v>14074</v>
      </c>
      <c r="G74" s="2">
        <v>13866</v>
      </c>
      <c r="H74" s="2">
        <v>13951</v>
      </c>
      <c r="I74" s="2">
        <v>15126</v>
      </c>
      <c r="J74" s="2">
        <v>15518</v>
      </c>
      <c r="K74" s="2">
        <v>15916</v>
      </c>
      <c r="L74" s="2">
        <v>15960</v>
      </c>
      <c r="M74" s="2">
        <v>16162</v>
      </c>
      <c r="N74" s="2">
        <v>16701</v>
      </c>
      <c r="O74" s="2">
        <v>16941</v>
      </c>
      <c r="P74" s="2">
        <v>16587</v>
      </c>
      <c r="Q74" s="2">
        <v>16791</v>
      </c>
      <c r="R74" s="2">
        <v>17405</v>
      </c>
      <c r="S74" s="2">
        <v>17215</v>
      </c>
      <c r="T74" s="2">
        <v>17159</v>
      </c>
      <c r="U74" s="9">
        <v>16865</v>
      </c>
      <c r="V74" s="2">
        <v>16963</v>
      </c>
      <c r="W74" s="2">
        <v>17287</v>
      </c>
      <c r="X74" s="2">
        <v>17418</v>
      </c>
      <c r="Y74" s="2">
        <v>17043</v>
      </c>
      <c r="Z74" s="2">
        <v>16628</v>
      </c>
      <c r="AA74" s="2">
        <v>16881</v>
      </c>
      <c r="AH74" s="2">
        <v>14074</v>
      </c>
      <c r="AI74" s="2">
        <v>15518</v>
      </c>
      <c r="AJ74" s="2">
        <v>16701</v>
      </c>
      <c r="AK74" s="2">
        <v>17405</v>
      </c>
      <c r="AL74" s="2">
        <v>16963</v>
      </c>
      <c r="AM74" s="2">
        <v>16628</v>
      </c>
    </row>
    <row r="75" spans="2:41" s="2" customFormat="1" x14ac:dyDescent="0.25">
      <c r="B75" s="19" t="s">
        <v>48</v>
      </c>
      <c r="F75" s="2">
        <v>8382</v>
      </c>
      <c r="G75" s="2">
        <v>8410</v>
      </c>
      <c r="H75" s="2">
        <v>9144</v>
      </c>
      <c r="I75" s="2">
        <v>7493</v>
      </c>
      <c r="J75" s="2">
        <v>7985</v>
      </c>
      <c r="K75" s="2">
        <v>8791</v>
      </c>
      <c r="L75" s="2">
        <v>8603</v>
      </c>
      <c r="M75" s="2">
        <v>9642</v>
      </c>
      <c r="N75" s="2">
        <v>9696</v>
      </c>
      <c r="O75" s="2">
        <v>9864</v>
      </c>
      <c r="P75" s="2">
        <v>9697</v>
      </c>
      <c r="Q75" s="2">
        <v>10039</v>
      </c>
      <c r="R75" s="2">
        <v>10605</v>
      </c>
      <c r="S75" s="2">
        <v>10240</v>
      </c>
      <c r="T75" s="2">
        <v>11161</v>
      </c>
      <c r="U75" s="2">
        <v>10802</v>
      </c>
      <c r="V75" s="2">
        <v>10492</v>
      </c>
      <c r="W75" s="2">
        <v>11782</v>
      </c>
      <c r="X75" s="2">
        <v>11246</v>
      </c>
      <c r="Y75" s="2">
        <v>11369</v>
      </c>
      <c r="Z75" s="2">
        <v>11523</v>
      </c>
      <c r="AA75" s="2">
        <v>12451</v>
      </c>
      <c r="AH75" s="2">
        <v>8382</v>
      </c>
      <c r="AI75" s="2">
        <v>7985</v>
      </c>
      <c r="AJ75" s="2">
        <v>9696</v>
      </c>
      <c r="AK75" s="2">
        <v>10605</v>
      </c>
      <c r="AL75" s="2">
        <v>10492</v>
      </c>
      <c r="AM75" s="2">
        <v>11523</v>
      </c>
    </row>
    <row r="76" spans="2:41" s="2" customFormat="1" x14ac:dyDescent="0.25">
      <c r="B76" s="19" t="s">
        <v>49</v>
      </c>
      <c r="F76" s="2">
        <v>5545</v>
      </c>
      <c r="G76" s="2">
        <v>5475</v>
      </c>
      <c r="H76" s="2">
        <v>5963</v>
      </c>
      <c r="I76" s="2">
        <v>6373</v>
      </c>
      <c r="J76" s="2">
        <v>6645</v>
      </c>
      <c r="K76" s="2">
        <v>6493</v>
      </c>
      <c r="L76" s="2">
        <v>6643</v>
      </c>
      <c r="M76" s="2">
        <v>7046</v>
      </c>
      <c r="N76" s="2">
        <v>7559</v>
      </c>
      <c r="O76" s="2">
        <v>6911</v>
      </c>
      <c r="P76" s="2">
        <v>7033</v>
      </c>
      <c r="Q76" s="2">
        <v>7066</v>
      </c>
      <c r="R76" s="2">
        <v>7581</v>
      </c>
      <c r="S76" s="2">
        <v>7464</v>
      </c>
      <c r="T76" s="2">
        <v>7825</v>
      </c>
      <c r="U76" s="2">
        <v>7961</v>
      </c>
      <c r="V76" s="2">
        <v>7985</v>
      </c>
      <c r="W76" s="2">
        <v>8142</v>
      </c>
      <c r="X76" s="2">
        <v>8390</v>
      </c>
      <c r="Y76" s="2">
        <v>8091</v>
      </c>
      <c r="Z76" s="2">
        <v>8141</v>
      </c>
      <c r="AA76" s="2">
        <v>8251</v>
      </c>
      <c r="AH76" s="2">
        <v>5545</v>
      </c>
      <c r="AI76" s="2">
        <v>6645</v>
      </c>
      <c r="AJ76" s="2">
        <v>7559</v>
      </c>
      <c r="AK76" s="2">
        <v>7581</v>
      </c>
      <c r="AL76" s="2">
        <v>7985</v>
      </c>
      <c r="AM76" s="2">
        <v>8141</v>
      </c>
    </row>
    <row r="77" spans="2:41" s="2" customFormat="1" x14ac:dyDescent="0.25">
      <c r="B77" s="19" t="s">
        <v>50</v>
      </c>
      <c r="F77" s="2">
        <v>7795</v>
      </c>
      <c r="G77" s="2">
        <v>7743</v>
      </c>
      <c r="H77" s="2">
        <v>7956</v>
      </c>
      <c r="I77" s="2">
        <v>8956</v>
      </c>
      <c r="J77" s="2">
        <v>8836</v>
      </c>
      <c r="K77" s="2">
        <v>9737</v>
      </c>
      <c r="L77" s="2">
        <v>10114</v>
      </c>
      <c r="M77" s="2">
        <v>10786</v>
      </c>
      <c r="N77" s="2">
        <v>10626</v>
      </c>
      <c r="O77" s="2">
        <v>11241</v>
      </c>
      <c r="P77" s="2">
        <v>11580</v>
      </c>
      <c r="Q77" s="2">
        <v>11961</v>
      </c>
      <c r="R77" s="2">
        <v>11548</v>
      </c>
      <c r="S77" s="2">
        <v>12184</v>
      </c>
      <c r="T77" s="2">
        <v>12400</v>
      </c>
      <c r="U77" s="2">
        <v>12105</v>
      </c>
      <c r="V77" s="2">
        <v>10923</v>
      </c>
      <c r="W77" s="2">
        <v>11707</v>
      </c>
      <c r="X77" s="2">
        <v>11498</v>
      </c>
      <c r="Y77" s="2">
        <v>11165</v>
      </c>
      <c r="Z77" s="2">
        <v>10582</v>
      </c>
      <c r="AA77" s="2">
        <v>11100</v>
      </c>
      <c r="AH77" s="2">
        <v>7795</v>
      </c>
      <c r="AI77" s="2">
        <v>8836</v>
      </c>
      <c r="AJ77" s="2">
        <v>10626</v>
      </c>
      <c r="AK77" s="2">
        <v>11548</v>
      </c>
      <c r="AL77" s="2">
        <v>10923</v>
      </c>
      <c r="AM77" s="2">
        <v>10582</v>
      </c>
    </row>
    <row r="78" spans="2:41" s="2" customFormat="1" x14ac:dyDescent="0.25">
      <c r="B78" s="19" t="s">
        <v>51</v>
      </c>
      <c r="F78" s="2">
        <v>1523</v>
      </c>
      <c r="G78" s="2">
        <v>1508</v>
      </c>
      <c r="H78" s="2">
        <v>1601</v>
      </c>
      <c r="I78" s="2">
        <v>1727</v>
      </c>
      <c r="J78" s="2">
        <v>1795</v>
      </c>
      <c r="K78" s="2">
        <v>1502</v>
      </c>
      <c r="L78" s="2">
        <v>1534</v>
      </c>
      <c r="M78" s="2">
        <v>1596</v>
      </c>
      <c r="N78" s="2">
        <v>1432</v>
      </c>
      <c r="O78" s="2">
        <v>1361</v>
      </c>
      <c r="P78" s="2">
        <v>1493</v>
      </c>
      <c r="Q78" s="2">
        <v>1737</v>
      </c>
      <c r="R78" s="2">
        <v>1363</v>
      </c>
      <c r="S78" s="2">
        <v>1501</v>
      </c>
      <c r="T78" s="2">
        <v>1581</v>
      </c>
      <c r="U78" s="2">
        <v>1995</v>
      </c>
      <c r="V78" s="2">
        <v>1767</v>
      </c>
      <c r="W78" s="2">
        <v>1647</v>
      </c>
      <c r="X78" s="2">
        <v>1804</v>
      </c>
      <c r="Y78" s="2">
        <v>1786</v>
      </c>
      <c r="Z78" s="2">
        <v>1536</v>
      </c>
      <c r="AA78" s="2">
        <v>1673</v>
      </c>
      <c r="AH78" s="2">
        <v>1523</v>
      </c>
      <c r="AI78" s="2">
        <v>1795</v>
      </c>
      <c r="AJ78" s="2">
        <v>1432</v>
      </c>
      <c r="AK78" s="2">
        <v>1363</v>
      </c>
      <c r="AL78" s="2">
        <v>1767</v>
      </c>
      <c r="AM78" s="2">
        <v>1536</v>
      </c>
    </row>
    <row r="79" spans="2:41" s="2" customFormat="1" x14ac:dyDescent="0.25">
      <c r="B79" s="19" t="s">
        <v>52</v>
      </c>
      <c r="F79" s="2">
        <v>1271</v>
      </c>
      <c r="G79" s="2">
        <v>1239</v>
      </c>
      <c r="H79" s="2">
        <v>1299</v>
      </c>
      <c r="I79" s="2">
        <v>1430</v>
      </c>
      <c r="J79" s="2">
        <v>1751</v>
      </c>
      <c r="K79" s="2">
        <v>1326</v>
      </c>
      <c r="L79" s="2">
        <v>1849</v>
      </c>
      <c r="M79" s="2">
        <v>1726</v>
      </c>
      <c r="N79" s="2">
        <v>1935</v>
      </c>
      <c r="O79" s="2">
        <v>1841</v>
      </c>
      <c r="P79" s="2">
        <v>1868</v>
      </c>
      <c r="Q79" s="2">
        <v>2139</v>
      </c>
      <c r="R79" s="2">
        <v>1955</v>
      </c>
      <c r="S79" s="2">
        <v>1635</v>
      </c>
      <c r="T79" s="2">
        <v>1725</v>
      </c>
      <c r="U79" s="2">
        <v>1561</v>
      </c>
      <c r="V79" s="2">
        <v>1632</v>
      </c>
      <c r="W79" s="2">
        <v>1775</v>
      </c>
      <c r="X79" s="2">
        <v>1795</v>
      </c>
      <c r="Y79" s="2">
        <v>1676</v>
      </c>
      <c r="Z79" s="2">
        <v>1768</v>
      </c>
      <c r="AA79" s="2">
        <v>1985</v>
      </c>
      <c r="AH79" s="2">
        <v>1271</v>
      </c>
      <c r="AI79" s="2">
        <v>1751</v>
      </c>
      <c r="AJ79" s="2">
        <v>1935</v>
      </c>
      <c r="AK79" s="2">
        <v>1955</v>
      </c>
      <c r="AL79" s="2">
        <v>1632</v>
      </c>
      <c r="AM79" s="2">
        <v>1768</v>
      </c>
    </row>
    <row r="80" spans="2:41" s="2" customFormat="1" x14ac:dyDescent="0.25">
      <c r="B80" s="19" t="s">
        <v>53</v>
      </c>
      <c r="F80" s="2">
        <v>338</v>
      </c>
      <c r="G80" s="2">
        <v>1862</v>
      </c>
      <c r="H80" s="2">
        <v>241</v>
      </c>
      <c r="I80" s="2">
        <v>229</v>
      </c>
      <c r="J80" s="2">
        <v>223</v>
      </c>
      <c r="K80" s="2">
        <v>401</v>
      </c>
      <c r="L80" s="2">
        <v>1452</v>
      </c>
      <c r="M80" s="2">
        <v>1184</v>
      </c>
      <c r="N80" s="2">
        <v>413</v>
      </c>
      <c r="O80" s="2">
        <v>300</v>
      </c>
      <c r="P80" s="2">
        <v>293</v>
      </c>
      <c r="Q80" s="2">
        <v>78</v>
      </c>
      <c r="R80" s="2">
        <v>99</v>
      </c>
      <c r="S80" s="2">
        <v>189</v>
      </c>
      <c r="T80" s="2">
        <v>123</v>
      </c>
      <c r="U80" s="2">
        <v>2424</v>
      </c>
      <c r="V80" s="2">
        <v>2433</v>
      </c>
      <c r="W80" s="2">
        <v>2406</v>
      </c>
      <c r="X80" s="2">
        <v>114</v>
      </c>
      <c r="Y80" s="2">
        <v>19</v>
      </c>
      <c r="Z80" s="2">
        <v>36</v>
      </c>
      <c r="AA80" s="2">
        <v>308</v>
      </c>
      <c r="AH80" s="2">
        <v>338</v>
      </c>
      <c r="AI80" s="2">
        <v>223</v>
      </c>
      <c r="AJ80" s="2">
        <v>413</v>
      </c>
      <c r="AK80" s="2">
        <v>99</v>
      </c>
      <c r="AL80" s="2">
        <v>2433</v>
      </c>
      <c r="AM80" s="2">
        <v>36</v>
      </c>
    </row>
    <row r="81" spans="2:39" s="3" customFormat="1" x14ac:dyDescent="0.25">
      <c r="B81" s="3" t="s">
        <v>54</v>
      </c>
      <c r="F81" s="3">
        <v>52968</v>
      </c>
      <c r="G81" s="3">
        <f>SUM(G73:G80)</f>
        <v>54119</v>
      </c>
      <c r="H81" s="3">
        <v>63793</v>
      </c>
      <c r="I81" s="3">
        <v>52012</v>
      </c>
      <c r="J81" s="3">
        <v>52298</v>
      </c>
      <c r="K81" s="3">
        <v>56365</v>
      </c>
      <c r="L81" s="3">
        <v>55650</v>
      </c>
      <c r="M81" s="3">
        <v>58239</v>
      </c>
      <c r="N81" s="3">
        <v>58829</v>
      </c>
      <c r="O81" s="3">
        <v>58592</v>
      </c>
      <c r="P81" s="3">
        <v>57737</v>
      </c>
      <c r="Q81" s="3">
        <v>59613</v>
      </c>
      <c r="R81" s="3">
        <v>60639</v>
      </c>
      <c r="S81" s="3">
        <v>61198</v>
      </c>
      <c r="T81" s="3">
        <v>59690</v>
      </c>
      <c r="U81" s="28">
        <v>61472</v>
      </c>
      <c r="V81" s="3">
        <v>61353</v>
      </c>
      <c r="W81" s="3">
        <v>68673</v>
      </c>
      <c r="X81" s="3">
        <v>64951</v>
      </c>
      <c r="Y81" s="3">
        <v>65791</v>
      </c>
      <c r="Z81" s="3">
        <v>64711</v>
      </c>
      <c r="AA81" s="3">
        <v>67912</v>
      </c>
      <c r="AH81" s="3">
        <v>52968</v>
      </c>
      <c r="AI81" s="3">
        <v>52298</v>
      </c>
      <c r="AJ81" s="3">
        <v>58829</v>
      </c>
      <c r="AK81" s="3">
        <v>60639</v>
      </c>
      <c r="AL81" s="3">
        <v>61353</v>
      </c>
      <c r="AM81" s="3">
        <v>64711</v>
      </c>
    </row>
    <row r="82" spans="2:39" s="2" customFormat="1" x14ac:dyDescent="0.25">
      <c r="B82" s="19" t="s">
        <v>55</v>
      </c>
      <c r="F82" s="2">
        <v>20449</v>
      </c>
      <c r="G82" s="2">
        <v>19872</v>
      </c>
      <c r="H82" s="2">
        <v>20605</v>
      </c>
      <c r="I82" s="2">
        <v>28376</v>
      </c>
      <c r="J82" s="2">
        <v>29672</v>
      </c>
      <c r="K82" s="2">
        <v>30428</v>
      </c>
      <c r="L82" s="2">
        <v>30760</v>
      </c>
      <c r="M82" s="2">
        <v>31677</v>
      </c>
      <c r="N82" s="2">
        <v>33861</v>
      </c>
      <c r="O82" s="2">
        <v>32116</v>
      </c>
      <c r="P82" s="2">
        <v>31820</v>
      </c>
      <c r="Q82" s="2">
        <v>31772</v>
      </c>
      <c r="R82" s="2">
        <v>32224</v>
      </c>
      <c r="S82" s="2">
        <v>31807</v>
      </c>
      <c r="T82" s="2">
        <v>32094</v>
      </c>
      <c r="U82" s="2">
        <v>32002</v>
      </c>
      <c r="V82" s="2">
        <v>31384</v>
      </c>
      <c r="W82" s="2">
        <v>32803</v>
      </c>
      <c r="X82" s="2">
        <v>39951</v>
      </c>
      <c r="Y82" s="2">
        <v>38021</v>
      </c>
      <c r="Z82" s="2">
        <v>40670</v>
      </c>
      <c r="AA82" s="2">
        <v>40650</v>
      </c>
      <c r="AH82" s="2">
        <v>20449</v>
      </c>
      <c r="AI82" s="2">
        <v>29672</v>
      </c>
      <c r="AJ82" s="2">
        <v>33861</v>
      </c>
      <c r="AK82" s="2">
        <v>32224</v>
      </c>
      <c r="AL82" s="2">
        <v>31384</v>
      </c>
      <c r="AM82" s="2">
        <v>40670</v>
      </c>
    </row>
    <row r="83" spans="2:39" s="2" customFormat="1" x14ac:dyDescent="0.25">
      <c r="B83" s="19" t="s">
        <v>56</v>
      </c>
      <c r="F83" s="2">
        <v>4838</v>
      </c>
      <c r="G83" s="2">
        <v>4585</v>
      </c>
      <c r="H83" s="2">
        <v>4664</v>
      </c>
      <c r="I83" s="2">
        <v>11119</v>
      </c>
      <c r="J83" s="2">
        <v>10827</v>
      </c>
      <c r="K83" s="2">
        <v>11150</v>
      </c>
      <c r="L83" s="2">
        <v>11007</v>
      </c>
      <c r="M83" s="2">
        <v>11208</v>
      </c>
      <c r="N83" s="2">
        <v>12196</v>
      </c>
      <c r="O83" s="2">
        <v>11262</v>
      </c>
      <c r="P83" s="2">
        <v>10674</v>
      </c>
      <c r="Q83" s="2">
        <v>10520</v>
      </c>
      <c r="R83" s="2">
        <v>10641</v>
      </c>
      <c r="S83" s="2">
        <v>10265</v>
      </c>
      <c r="T83" s="2">
        <v>10198</v>
      </c>
      <c r="U83" s="2">
        <v>10038</v>
      </c>
      <c r="V83" s="2">
        <v>9593</v>
      </c>
      <c r="W83" s="2">
        <v>10022</v>
      </c>
      <c r="X83" s="2">
        <v>11323</v>
      </c>
      <c r="Y83" s="2">
        <v>10472</v>
      </c>
      <c r="Z83" s="2">
        <v>12199</v>
      </c>
      <c r="AA83" s="2">
        <v>11927</v>
      </c>
      <c r="AH83" s="2">
        <v>4838</v>
      </c>
      <c r="AI83" s="2">
        <v>10827</v>
      </c>
      <c r="AJ83" s="2">
        <v>12196</v>
      </c>
      <c r="AK83" s="2">
        <v>10641</v>
      </c>
      <c r="AL83" s="2">
        <v>9593</v>
      </c>
      <c r="AM83" s="2">
        <v>12199</v>
      </c>
    </row>
    <row r="84" spans="2:39" s="2" customFormat="1" x14ac:dyDescent="0.25">
      <c r="B84" s="19" t="s">
        <v>57</v>
      </c>
      <c r="F84" s="2">
        <v>10250</v>
      </c>
      <c r="G84" s="2">
        <v>9786</v>
      </c>
      <c r="H84" s="2">
        <v>10089</v>
      </c>
      <c r="I84" s="2">
        <v>10621</v>
      </c>
      <c r="J84" s="2">
        <v>11023</v>
      </c>
      <c r="K84" s="2">
        <v>11204</v>
      </c>
      <c r="L84" s="2">
        <v>11157</v>
      </c>
      <c r="M84" s="2">
        <v>11414</v>
      </c>
      <c r="N84" s="2">
        <v>11733</v>
      </c>
      <c r="O84" s="2">
        <v>11400</v>
      </c>
      <c r="P84" s="2">
        <v>11423</v>
      </c>
      <c r="Q84" s="2">
        <v>11457</v>
      </c>
      <c r="R84" s="2">
        <v>11938</v>
      </c>
      <c r="S84" s="2">
        <v>11871</v>
      </c>
      <c r="T84" s="2">
        <v>12114</v>
      </c>
      <c r="U84" s="2">
        <v>12019</v>
      </c>
      <c r="V84" s="2">
        <v>12242</v>
      </c>
      <c r="W84" s="2">
        <v>12834</v>
      </c>
      <c r="X84" s="2">
        <v>12957</v>
      </c>
      <c r="Y84" s="2">
        <v>12647</v>
      </c>
      <c r="Z84" s="2">
        <v>13023</v>
      </c>
      <c r="AA84" s="2">
        <v>13260</v>
      </c>
      <c r="AH84" s="2">
        <v>10250</v>
      </c>
      <c r="AI84" s="2">
        <v>11023</v>
      </c>
      <c r="AJ84" s="2">
        <v>11733</v>
      </c>
      <c r="AK84" s="2">
        <v>11938</v>
      </c>
      <c r="AL84" s="2">
        <v>12242</v>
      </c>
      <c r="AM84" s="2">
        <v>13023</v>
      </c>
    </row>
    <row r="85" spans="2:39" s="2" customFormat="1" x14ac:dyDescent="0.25">
      <c r="B85" s="19" t="s">
        <v>58</v>
      </c>
      <c r="F85" s="2">
        <v>7862</v>
      </c>
      <c r="G85" s="2">
        <v>7829</v>
      </c>
      <c r="H85" s="2">
        <v>7847</v>
      </c>
      <c r="I85" s="2">
        <v>7763</v>
      </c>
      <c r="J85" s="2">
        <v>7539</v>
      </c>
      <c r="K85" s="2">
        <v>7700</v>
      </c>
      <c r="L85" s="2">
        <v>7605</v>
      </c>
      <c r="M85" s="2">
        <v>4900</v>
      </c>
      <c r="N85" s="2">
        <v>4955</v>
      </c>
      <c r="O85" s="2">
        <v>3335</v>
      </c>
      <c r="P85" s="2">
        <v>4882</v>
      </c>
      <c r="Q85" s="2">
        <v>3212</v>
      </c>
      <c r="R85" s="2">
        <v>3014</v>
      </c>
      <c r="S85" s="2">
        <v>1159</v>
      </c>
      <c r="T85" s="2">
        <v>1182</v>
      </c>
      <c r="U85" s="2">
        <v>1061</v>
      </c>
      <c r="V85" s="2">
        <v>980</v>
      </c>
      <c r="W85" s="2">
        <v>1060</v>
      </c>
      <c r="X85" s="2">
        <v>1004</v>
      </c>
      <c r="Y85" s="2">
        <v>926</v>
      </c>
      <c r="Z85" s="2">
        <v>866</v>
      </c>
      <c r="AA85" s="2">
        <v>864</v>
      </c>
      <c r="AH85" s="2">
        <v>7862</v>
      </c>
      <c r="AI85" s="2">
        <v>7539</v>
      </c>
      <c r="AJ85" s="2">
        <v>4955</v>
      </c>
      <c r="AK85" s="2">
        <v>3014</v>
      </c>
      <c r="AL85" s="2">
        <v>980</v>
      </c>
      <c r="AM85" s="2">
        <v>866</v>
      </c>
    </row>
    <row r="86" spans="2:39" s="2" customFormat="1" x14ac:dyDescent="0.25">
      <c r="B86" s="19" t="s">
        <v>59</v>
      </c>
      <c r="F86" s="2">
        <v>22771</v>
      </c>
      <c r="G86" s="2">
        <v>20537</v>
      </c>
      <c r="H86" s="2">
        <v>20175</v>
      </c>
      <c r="I86" s="2">
        <v>22243</v>
      </c>
      <c r="J86" s="2">
        <v>22964</v>
      </c>
      <c r="K86" s="2">
        <v>22395</v>
      </c>
      <c r="L86" s="2">
        <v>23152</v>
      </c>
      <c r="M86" s="2">
        <v>24172</v>
      </c>
      <c r="N86" s="2">
        <v>25903</v>
      </c>
      <c r="O86" s="2">
        <v>23591</v>
      </c>
      <c r="P86" s="2">
        <v>22929</v>
      </c>
      <c r="Q86" s="2">
        <v>23018</v>
      </c>
      <c r="R86" s="2">
        <v>22855</v>
      </c>
      <c r="S86" s="2">
        <v>24020</v>
      </c>
      <c r="T86" s="2">
        <v>24403</v>
      </c>
      <c r="U86" s="2">
        <v>26174</v>
      </c>
      <c r="V86" s="2">
        <v>27388</v>
      </c>
      <c r="W86" s="2">
        <v>27640</v>
      </c>
      <c r="X86" s="2">
        <v>27926</v>
      </c>
      <c r="Y86" s="2">
        <v>30166</v>
      </c>
      <c r="Z86" s="2">
        <v>30670</v>
      </c>
      <c r="AA86" s="2">
        <v>31430</v>
      </c>
      <c r="AH86" s="2">
        <v>22771</v>
      </c>
      <c r="AI86" s="2">
        <v>22964</v>
      </c>
      <c r="AJ86" s="2">
        <v>25903</v>
      </c>
      <c r="AK86" s="2">
        <v>22855</v>
      </c>
      <c r="AL86" s="2">
        <v>27388</v>
      </c>
      <c r="AM86" s="2">
        <v>30670</v>
      </c>
    </row>
    <row r="87" spans="2:39" s="2" customFormat="1" x14ac:dyDescent="0.25">
      <c r="B87" s="19" t="s">
        <v>60</v>
      </c>
      <c r="F87" s="2">
        <v>2988</v>
      </c>
      <c r="G87" s="2">
        <v>3110</v>
      </c>
      <c r="H87" s="2">
        <v>2828</v>
      </c>
      <c r="I87" s="2">
        <v>2740</v>
      </c>
      <c r="J87" s="2">
        <v>2865</v>
      </c>
      <c r="K87" s="2">
        <v>2728</v>
      </c>
      <c r="L87" s="2">
        <v>2667</v>
      </c>
      <c r="M87" s="2">
        <v>2455</v>
      </c>
      <c r="N87" s="2">
        <v>2459</v>
      </c>
      <c r="O87" s="2">
        <v>2186</v>
      </c>
      <c r="P87" s="2">
        <v>1967</v>
      </c>
      <c r="Q87" s="2">
        <v>2609</v>
      </c>
      <c r="R87" s="2">
        <v>2235</v>
      </c>
      <c r="S87" s="2">
        <v>2518</v>
      </c>
      <c r="T87" s="2">
        <v>2566</v>
      </c>
      <c r="U87" s="2">
        <v>2576</v>
      </c>
      <c r="V87" s="2">
        <v>2677</v>
      </c>
      <c r="W87" s="2">
        <v>2754</v>
      </c>
      <c r="X87" s="2">
        <v>2354</v>
      </c>
      <c r="Y87" s="2">
        <v>2349</v>
      </c>
      <c r="Z87" s="2">
        <v>1944</v>
      </c>
      <c r="AA87" s="2">
        <v>1528</v>
      </c>
      <c r="AH87" s="2">
        <v>2988</v>
      </c>
      <c r="AI87" s="2">
        <v>2865</v>
      </c>
      <c r="AJ87" s="2">
        <v>2459</v>
      </c>
      <c r="AK87" s="2">
        <v>2235</v>
      </c>
      <c r="AL87" s="2">
        <v>2677</v>
      </c>
      <c r="AM87" s="2">
        <v>1944</v>
      </c>
    </row>
    <row r="88" spans="2:39" s="2" customFormat="1" x14ac:dyDescent="0.25">
      <c r="B88" s="19" t="s">
        <v>61</v>
      </c>
      <c r="F88" s="2">
        <v>1769</v>
      </c>
      <c r="G88" s="2">
        <v>1597</v>
      </c>
      <c r="H88" s="2">
        <v>1657</v>
      </c>
      <c r="I88" s="2">
        <v>1958</v>
      </c>
      <c r="J88" s="2">
        <v>2183</v>
      </c>
      <c r="K88" s="2">
        <v>2438</v>
      </c>
      <c r="L88" s="2">
        <v>1948</v>
      </c>
      <c r="M88" s="2">
        <v>1924</v>
      </c>
      <c r="N88" s="2">
        <v>1565</v>
      </c>
      <c r="O88" s="2">
        <v>1447</v>
      </c>
      <c r="P88" s="2">
        <v>1565</v>
      </c>
      <c r="Q88" s="2">
        <v>1482</v>
      </c>
      <c r="R88" s="2">
        <v>1523</v>
      </c>
      <c r="S88" s="2">
        <v>1946</v>
      </c>
      <c r="T88" s="2">
        <v>2505</v>
      </c>
      <c r="U88" s="2">
        <v>2778</v>
      </c>
      <c r="V88" s="2">
        <v>2196</v>
      </c>
      <c r="W88" s="2">
        <v>2069</v>
      </c>
      <c r="X88" s="2">
        <v>2127</v>
      </c>
      <c r="Y88" s="2">
        <v>2084</v>
      </c>
      <c r="Z88" s="2">
        <v>2118</v>
      </c>
      <c r="AA88" s="2">
        <v>2564</v>
      </c>
      <c r="AH88" s="2">
        <v>1769</v>
      </c>
      <c r="AI88" s="2">
        <v>2183</v>
      </c>
      <c r="AJ88" s="2">
        <v>1565</v>
      </c>
      <c r="AK88" s="2">
        <v>1523</v>
      </c>
      <c r="AL88" s="2">
        <v>2196</v>
      </c>
      <c r="AM88" s="2">
        <v>2118</v>
      </c>
    </row>
    <row r="89" spans="2:39" s="3" customFormat="1" x14ac:dyDescent="0.25">
      <c r="B89" s="3" t="s">
        <v>62</v>
      </c>
      <c r="F89" s="3">
        <v>70928</v>
      </c>
      <c r="G89" s="3">
        <f>SUM(G82:G88)</f>
        <v>67316</v>
      </c>
      <c r="H89" s="3">
        <v>67865</v>
      </c>
      <c r="I89" s="3">
        <v>84819</v>
      </c>
      <c r="J89" s="3">
        <v>87074</v>
      </c>
      <c r="K89" s="3">
        <v>88044</v>
      </c>
      <c r="L89" s="3">
        <v>88296</v>
      </c>
      <c r="M89" s="3">
        <v>87750</v>
      </c>
      <c r="N89" s="3">
        <v>92673</v>
      </c>
      <c r="O89" s="3">
        <v>85337</v>
      </c>
      <c r="P89" s="3">
        <v>85260</v>
      </c>
      <c r="Q89" s="3">
        <v>84071</v>
      </c>
      <c r="R89" s="3">
        <v>84432</v>
      </c>
      <c r="S89" s="3">
        <v>83586</v>
      </c>
      <c r="T89" s="3">
        <v>85061</v>
      </c>
      <c r="U89" s="3">
        <v>86648</v>
      </c>
      <c r="V89" s="3">
        <v>86459</v>
      </c>
      <c r="W89" s="3">
        <v>89182</v>
      </c>
      <c r="X89" s="3">
        <v>97642</v>
      </c>
      <c r="Y89" s="3">
        <v>96665</v>
      </c>
      <c r="Z89" s="3">
        <v>101490</v>
      </c>
      <c r="AA89" s="3">
        <v>102222</v>
      </c>
      <c r="AH89" s="3">
        <v>70928</v>
      </c>
      <c r="AI89" s="3">
        <v>87074</v>
      </c>
      <c r="AJ89" s="3">
        <v>92673</v>
      </c>
      <c r="AK89" s="3">
        <v>84432</v>
      </c>
      <c r="AL89" s="3">
        <v>86459</v>
      </c>
      <c r="AM89" s="3">
        <v>101490</v>
      </c>
    </row>
    <row r="90" spans="2:39" s="4" customFormat="1" x14ac:dyDescent="0.25">
      <c r="B90" s="4" t="s">
        <v>63</v>
      </c>
      <c r="F90" s="4">
        <v>123897</v>
      </c>
      <c r="G90" s="4">
        <f>G81+G89</f>
        <v>121435</v>
      </c>
      <c r="H90" s="4">
        <v>131658</v>
      </c>
      <c r="I90" s="4">
        <v>136831</v>
      </c>
      <c r="J90" s="4">
        <v>139372</v>
      </c>
      <c r="K90" s="4">
        <v>144409</v>
      </c>
      <c r="L90" s="4">
        <v>143946</v>
      </c>
      <c r="M90" s="4">
        <v>145988</v>
      </c>
      <c r="N90" s="4">
        <v>151502</v>
      </c>
      <c r="O90" s="4">
        <v>143929</v>
      </c>
      <c r="P90" s="4">
        <v>142997</v>
      </c>
      <c r="Q90" s="4">
        <v>143684</v>
      </c>
      <c r="R90" s="4">
        <v>145071</v>
      </c>
      <c r="S90" s="4">
        <v>144784</v>
      </c>
      <c r="T90" s="4">
        <v>144751</v>
      </c>
      <c r="U90" s="4">
        <v>148121</v>
      </c>
      <c r="V90" s="4">
        <v>147812</v>
      </c>
      <c r="W90" s="4">
        <v>157855</v>
      </c>
      <c r="X90" s="4">
        <v>162593</v>
      </c>
      <c r="Y90" s="4">
        <v>162455</v>
      </c>
      <c r="Z90" s="4">
        <v>166202</v>
      </c>
      <c r="AA90" s="4">
        <v>170134</v>
      </c>
      <c r="AH90" s="4">
        <v>123897</v>
      </c>
      <c r="AI90" s="4">
        <v>139372</v>
      </c>
      <c r="AJ90" s="4">
        <v>151502</v>
      </c>
      <c r="AK90" s="4">
        <v>145071</v>
      </c>
      <c r="AL90" s="4">
        <v>147812</v>
      </c>
      <c r="AM90" s="4">
        <v>166202</v>
      </c>
    </row>
    <row r="91" spans="2:39" s="2" customFormat="1" x14ac:dyDescent="0.25">
      <c r="B91" s="9" t="s">
        <v>31</v>
      </c>
      <c r="F91" s="9" t="s">
        <v>31</v>
      </c>
      <c r="H91" s="9" t="s">
        <v>31</v>
      </c>
      <c r="I91" s="9" t="s">
        <v>31</v>
      </c>
      <c r="J91" s="9" t="s">
        <v>31</v>
      </c>
      <c r="K91" s="9" t="s">
        <v>31</v>
      </c>
      <c r="L91" s="9" t="s">
        <v>31</v>
      </c>
      <c r="M91" s="9" t="s">
        <v>31</v>
      </c>
      <c r="N91" s="9" t="s">
        <v>31</v>
      </c>
      <c r="O91" s="9" t="s">
        <v>31</v>
      </c>
      <c r="P91" s="9" t="s">
        <v>31</v>
      </c>
      <c r="Q91" s="9" t="s">
        <v>31</v>
      </c>
      <c r="R91" s="9" t="s">
        <v>31</v>
      </c>
      <c r="S91" s="9" t="s">
        <v>31</v>
      </c>
      <c r="T91" s="9" t="s">
        <v>31</v>
      </c>
      <c r="U91" s="2" t="s">
        <v>31</v>
      </c>
      <c r="V91" s="9" t="s">
        <v>31</v>
      </c>
      <c r="W91" s="9" t="s">
        <v>31</v>
      </c>
      <c r="X91" s="9" t="s">
        <v>31</v>
      </c>
      <c r="Y91" s="9" t="s">
        <v>31</v>
      </c>
      <c r="Z91" s="9" t="s">
        <v>31</v>
      </c>
      <c r="AA91" s="9" t="s">
        <v>31</v>
      </c>
      <c r="AH91" s="9" t="s">
        <v>31</v>
      </c>
      <c r="AI91" s="9" t="s">
        <v>31</v>
      </c>
      <c r="AJ91" s="9" t="s">
        <v>31</v>
      </c>
      <c r="AK91" s="9" t="s">
        <v>31</v>
      </c>
      <c r="AL91" s="9" t="s">
        <v>31</v>
      </c>
      <c r="AM91" s="9" t="s">
        <v>31</v>
      </c>
    </row>
    <row r="92" spans="2:39" s="2" customFormat="1" x14ac:dyDescent="0.25">
      <c r="B92" s="13" t="s">
        <v>64</v>
      </c>
      <c r="F92" s="9" t="s">
        <v>31</v>
      </c>
      <c r="H92" s="9" t="s">
        <v>31</v>
      </c>
      <c r="I92" s="9" t="s">
        <v>31</v>
      </c>
      <c r="J92" s="9" t="s">
        <v>31</v>
      </c>
      <c r="K92" s="9" t="s">
        <v>31</v>
      </c>
      <c r="L92" s="9" t="s">
        <v>31</v>
      </c>
      <c r="M92" s="9" t="s">
        <v>31</v>
      </c>
      <c r="N92" s="9" t="s">
        <v>31</v>
      </c>
      <c r="O92" s="9" t="s">
        <v>31</v>
      </c>
      <c r="P92" s="9" t="s">
        <v>31</v>
      </c>
      <c r="Q92" s="9" t="s">
        <v>31</v>
      </c>
      <c r="R92" s="9" t="s">
        <v>31</v>
      </c>
      <c r="S92" s="9" t="s">
        <v>31</v>
      </c>
      <c r="T92" s="9" t="s">
        <v>31</v>
      </c>
      <c r="U92" s="3" t="s">
        <v>31</v>
      </c>
      <c r="V92" s="9" t="s">
        <v>31</v>
      </c>
      <c r="W92" s="9" t="s">
        <v>31</v>
      </c>
      <c r="X92" s="9" t="s">
        <v>31</v>
      </c>
      <c r="Y92" s="9" t="s">
        <v>31</v>
      </c>
      <c r="Z92" s="9" t="s">
        <v>31</v>
      </c>
      <c r="AA92" s="9" t="s">
        <v>31</v>
      </c>
      <c r="AH92" s="9" t="s">
        <v>31</v>
      </c>
      <c r="AI92" s="9" t="s">
        <v>31</v>
      </c>
      <c r="AJ92" s="9" t="s">
        <v>31</v>
      </c>
      <c r="AK92" s="9" t="s">
        <v>31</v>
      </c>
      <c r="AL92" s="9" t="s">
        <v>31</v>
      </c>
      <c r="AM92" s="9" t="s">
        <v>31</v>
      </c>
    </row>
    <row r="93" spans="2:39" s="2" customFormat="1" x14ac:dyDescent="0.25">
      <c r="B93" s="19" t="s">
        <v>65</v>
      </c>
      <c r="F93" s="2">
        <v>6562</v>
      </c>
      <c r="G93" s="2">
        <v>7538</v>
      </c>
      <c r="H93" s="2">
        <v>8528</v>
      </c>
      <c r="I93" s="2">
        <v>10778</v>
      </c>
      <c r="J93" s="2">
        <v>7821</v>
      </c>
      <c r="K93" s="2">
        <v>9701</v>
      </c>
      <c r="L93" s="2">
        <v>10499</v>
      </c>
      <c r="M93" s="2">
        <v>9899</v>
      </c>
      <c r="N93" s="2">
        <v>6658</v>
      </c>
      <c r="O93" s="2">
        <v>7106</v>
      </c>
      <c r="P93" s="2">
        <v>9411</v>
      </c>
      <c r="Q93" s="2">
        <v>9687</v>
      </c>
      <c r="R93" s="2">
        <v>7483</v>
      </c>
      <c r="S93" s="2">
        <v>9711</v>
      </c>
      <c r="T93" s="2">
        <v>7135</v>
      </c>
      <c r="U93" s="2">
        <v>7809</v>
      </c>
      <c r="V93" s="2">
        <v>6598</v>
      </c>
      <c r="W93" s="2">
        <v>8149</v>
      </c>
      <c r="X93" s="2">
        <v>18887</v>
      </c>
      <c r="Y93" s="2">
        <v>10242</v>
      </c>
      <c r="Z93" s="2">
        <v>11174</v>
      </c>
      <c r="AA93" s="2">
        <v>13630</v>
      </c>
      <c r="AH93" s="2">
        <v>6562</v>
      </c>
      <c r="AI93" s="2">
        <v>7821</v>
      </c>
      <c r="AJ93" s="2">
        <v>6658</v>
      </c>
      <c r="AK93" s="2">
        <v>7483</v>
      </c>
      <c r="AL93" s="2">
        <v>6598</v>
      </c>
      <c r="AM93" s="2">
        <v>11174</v>
      </c>
    </row>
    <row r="94" spans="2:39" s="2" customFormat="1" x14ac:dyDescent="0.25">
      <c r="B94" s="19" t="s">
        <v>66</v>
      </c>
      <c r="F94" s="2">
        <v>7873</v>
      </c>
      <c r="G94" s="2">
        <v>7025</v>
      </c>
      <c r="H94" s="2">
        <v>7274</v>
      </c>
      <c r="I94" s="2">
        <v>8034</v>
      </c>
      <c r="J94" s="2">
        <v>8832</v>
      </c>
      <c r="K94" s="2">
        <v>8486</v>
      </c>
      <c r="L94" s="2">
        <v>8932</v>
      </c>
      <c r="M94" s="2">
        <v>9128</v>
      </c>
      <c r="N94" s="2">
        <v>10317</v>
      </c>
      <c r="O94" s="2">
        <v>9443</v>
      </c>
      <c r="P94" s="2">
        <v>9544</v>
      </c>
      <c r="Q94" s="2">
        <v>9454</v>
      </c>
      <c r="R94" s="2">
        <v>10130</v>
      </c>
      <c r="S94" s="2">
        <v>9204</v>
      </c>
      <c r="T94" s="2">
        <v>8947</v>
      </c>
      <c r="U94" s="3">
        <v>8348</v>
      </c>
      <c r="V94" s="2">
        <v>8843</v>
      </c>
      <c r="W94" s="2">
        <v>8701</v>
      </c>
      <c r="X94" s="2">
        <v>8764</v>
      </c>
      <c r="Y94" s="2">
        <v>8573</v>
      </c>
      <c r="Z94" s="2">
        <v>9183</v>
      </c>
      <c r="AA94" s="2">
        <v>8572</v>
      </c>
      <c r="AH94" s="2">
        <v>7873</v>
      </c>
      <c r="AI94" s="2">
        <v>8832</v>
      </c>
      <c r="AJ94" s="2">
        <v>10317</v>
      </c>
      <c r="AK94" s="2">
        <v>10130</v>
      </c>
      <c r="AL94" s="2">
        <v>8843</v>
      </c>
      <c r="AM94" s="2">
        <v>9183</v>
      </c>
    </row>
    <row r="95" spans="2:39" s="2" customFormat="1" x14ac:dyDescent="0.25">
      <c r="B95" s="19" t="s">
        <v>67</v>
      </c>
      <c r="F95" s="2">
        <v>1958</v>
      </c>
      <c r="G95" s="2">
        <v>2314</v>
      </c>
      <c r="H95" s="2">
        <v>1757</v>
      </c>
      <c r="I95" s="2">
        <v>1925</v>
      </c>
      <c r="J95" s="2">
        <v>1731</v>
      </c>
      <c r="K95" s="2">
        <v>1434</v>
      </c>
      <c r="L95" s="2">
        <v>1356</v>
      </c>
      <c r="M95" s="2">
        <v>1801</v>
      </c>
      <c r="N95" s="2">
        <v>1616</v>
      </c>
      <c r="O95" s="2">
        <v>1591</v>
      </c>
      <c r="P95" s="2">
        <v>1389</v>
      </c>
      <c r="Q95" s="2">
        <v>1542</v>
      </c>
      <c r="R95" s="2">
        <v>1613</v>
      </c>
      <c r="S95" s="2">
        <v>2419</v>
      </c>
      <c r="T95" s="2">
        <v>2132</v>
      </c>
      <c r="U95" s="9">
        <v>2093</v>
      </c>
      <c r="V95" s="2">
        <v>2006</v>
      </c>
      <c r="W95" s="2">
        <v>2327</v>
      </c>
      <c r="X95" s="2">
        <v>2462</v>
      </c>
      <c r="Y95" s="2">
        <v>1238</v>
      </c>
      <c r="Z95" s="2">
        <v>1896</v>
      </c>
      <c r="AA95" s="2">
        <v>2467</v>
      </c>
      <c r="AH95" s="2">
        <v>1958</v>
      </c>
      <c r="AI95" s="2">
        <v>1731</v>
      </c>
      <c r="AJ95" s="2">
        <v>1616</v>
      </c>
      <c r="AK95" s="2">
        <v>1613</v>
      </c>
      <c r="AL95" s="2">
        <v>2006</v>
      </c>
      <c r="AM95" s="2">
        <v>1896</v>
      </c>
    </row>
    <row r="96" spans="2:39" s="2" customFormat="1" x14ac:dyDescent="0.25">
      <c r="B96" s="19" t="s">
        <v>68</v>
      </c>
      <c r="F96" s="2">
        <v>7524</v>
      </c>
      <c r="G96" s="2">
        <v>7584</v>
      </c>
      <c r="H96" s="2">
        <v>7882</v>
      </c>
      <c r="I96" s="2">
        <v>9007</v>
      </c>
      <c r="J96" s="2">
        <v>9876</v>
      </c>
      <c r="K96" s="2">
        <v>10275</v>
      </c>
      <c r="L96" s="2">
        <v>11208</v>
      </c>
      <c r="M96" s="2">
        <v>11997</v>
      </c>
      <c r="N96" s="2">
        <v>12049</v>
      </c>
      <c r="O96" s="2">
        <v>11904</v>
      </c>
      <c r="P96" s="2">
        <v>12205</v>
      </c>
      <c r="Q96" s="2">
        <v>12692</v>
      </c>
      <c r="R96" s="2">
        <v>12571</v>
      </c>
      <c r="S96" s="2">
        <v>12780</v>
      </c>
      <c r="T96" s="2">
        <v>13258</v>
      </c>
      <c r="U96" s="2">
        <v>12792</v>
      </c>
      <c r="V96" s="2">
        <v>12855</v>
      </c>
      <c r="W96" s="2">
        <v>13310</v>
      </c>
      <c r="X96" s="2">
        <v>13371</v>
      </c>
      <c r="Y96" s="2">
        <v>12790</v>
      </c>
      <c r="Z96" s="2">
        <v>12761</v>
      </c>
      <c r="AA96" s="2">
        <v>12919</v>
      </c>
      <c r="AH96" s="2">
        <v>7524</v>
      </c>
      <c r="AI96" s="2">
        <v>9876</v>
      </c>
      <c r="AJ96" s="2">
        <v>12049</v>
      </c>
      <c r="AK96" s="2">
        <v>12571</v>
      </c>
      <c r="AL96" s="2">
        <v>12855</v>
      </c>
      <c r="AM96" s="2">
        <v>12761</v>
      </c>
    </row>
    <row r="97" spans="2:39" s="2" customFormat="1" x14ac:dyDescent="0.25">
      <c r="B97" s="19" t="s">
        <v>69</v>
      </c>
      <c r="F97" s="2">
        <v>1674</v>
      </c>
      <c r="G97" s="2">
        <v>1582</v>
      </c>
      <c r="H97" s="2">
        <v>1611</v>
      </c>
      <c r="I97" s="2">
        <v>2035</v>
      </c>
      <c r="J97" s="2">
        <v>2293</v>
      </c>
      <c r="K97" s="2">
        <v>2245</v>
      </c>
      <c r="L97" s="2">
        <v>2234</v>
      </c>
      <c r="M97" s="2">
        <v>2153</v>
      </c>
      <c r="N97" s="2">
        <v>2156</v>
      </c>
      <c r="O97" s="2">
        <v>2119</v>
      </c>
      <c r="P97" s="2">
        <v>2066</v>
      </c>
      <c r="Q97" s="2">
        <v>2209</v>
      </c>
      <c r="R97" s="2">
        <v>2320</v>
      </c>
      <c r="S97" s="2">
        <v>2502</v>
      </c>
      <c r="T97" s="2">
        <v>2449</v>
      </c>
      <c r="U97" s="2">
        <v>2390</v>
      </c>
      <c r="V97" s="2">
        <v>2730</v>
      </c>
      <c r="W97" s="2">
        <v>2715</v>
      </c>
      <c r="X97" s="2">
        <v>2574</v>
      </c>
      <c r="Y97" s="2">
        <v>2414</v>
      </c>
      <c r="Z97" s="2">
        <v>2187</v>
      </c>
      <c r="AA97" s="2">
        <v>2136</v>
      </c>
      <c r="AH97" s="2">
        <v>1674</v>
      </c>
      <c r="AI97" s="2">
        <v>2293</v>
      </c>
      <c r="AJ97" s="2">
        <v>2156</v>
      </c>
      <c r="AK97" s="2">
        <v>2320</v>
      </c>
      <c r="AL97" s="2">
        <v>2730</v>
      </c>
      <c r="AM97" s="2">
        <v>2187</v>
      </c>
    </row>
    <row r="98" spans="2:39" s="2" customFormat="1" x14ac:dyDescent="0.25">
      <c r="B98" s="19" t="s">
        <v>70</v>
      </c>
      <c r="F98" s="2">
        <v>2281</v>
      </c>
      <c r="G98" s="2">
        <v>2232</v>
      </c>
      <c r="H98" s="2">
        <v>1628</v>
      </c>
      <c r="I98" s="2">
        <v>1643</v>
      </c>
      <c r="J98" s="2">
        <v>1809</v>
      </c>
      <c r="K98" s="2">
        <v>1783</v>
      </c>
      <c r="L98" s="2">
        <v>1476</v>
      </c>
      <c r="M98" s="2">
        <v>1849</v>
      </c>
      <c r="N98" s="2">
        <v>2381</v>
      </c>
      <c r="O98" s="2">
        <v>2516</v>
      </c>
      <c r="P98" s="2">
        <v>2131</v>
      </c>
      <c r="Q98" s="2">
        <v>2237</v>
      </c>
      <c r="R98" s="2">
        <v>2566</v>
      </c>
      <c r="S98" s="2">
        <v>2671</v>
      </c>
      <c r="T98" s="2">
        <v>1753</v>
      </c>
      <c r="U98" s="2">
        <v>1916</v>
      </c>
      <c r="V98" s="2">
        <v>1805</v>
      </c>
      <c r="W98" s="2">
        <v>2174</v>
      </c>
      <c r="X98" s="2">
        <v>1591</v>
      </c>
      <c r="Y98" s="2">
        <v>1581</v>
      </c>
      <c r="Z98" s="2">
        <v>2094</v>
      </c>
      <c r="AA98" s="2">
        <v>2168</v>
      </c>
      <c r="AH98" s="2">
        <v>2281</v>
      </c>
      <c r="AI98" s="2">
        <v>1809</v>
      </c>
      <c r="AJ98" s="2">
        <v>2381</v>
      </c>
      <c r="AK98" s="2">
        <v>2566</v>
      </c>
      <c r="AL98" s="2">
        <v>1805</v>
      </c>
      <c r="AM98" s="2">
        <v>2094</v>
      </c>
    </row>
    <row r="99" spans="2:39" s="2" customFormat="1" x14ac:dyDescent="0.25">
      <c r="B99" s="19" t="s">
        <v>71</v>
      </c>
      <c r="F99" s="2">
        <v>6209</v>
      </c>
      <c r="G99" s="2">
        <v>5640</v>
      </c>
      <c r="H99" s="2">
        <v>5937</v>
      </c>
      <c r="I99" s="2">
        <v>6776</v>
      </c>
      <c r="J99" s="2">
        <v>7628</v>
      </c>
      <c r="K99" s="2">
        <v>6726</v>
      </c>
      <c r="L99" s="2">
        <v>6258</v>
      </c>
      <c r="M99" s="2">
        <v>6754</v>
      </c>
      <c r="N99" s="2">
        <v>7448</v>
      </c>
      <c r="O99" s="2">
        <v>6571</v>
      </c>
      <c r="P99" s="2">
        <v>6258</v>
      </c>
      <c r="Q99" s="2">
        <v>6990</v>
      </c>
      <c r="R99" s="2">
        <v>8182</v>
      </c>
      <c r="S99" s="2">
        <v>7050</v>
      </c>
      <c r="T99" s="2">
        <v>6690</v>
      </c>
      <c r="U99" s="2">
        <v>7134</v>
      </c>
      <c r="V99" s="2">
        <v>7833</v>
      </c>
      <c r="W99" s="2">
        <v>7264</v>
      </c>
      <c r="X99" s="2">
        <v>6777</v>
      </c>
      <c r="Y99" s="2">
        <v>7126</v>
      </c>
      <c r="Z99" s="2">
        <v>7945</v>
      </c>
      <c r="AA99" s="2">
        <v>7304</v>
      </c>
      <c r="AH99" s="2">
        <v>6209</v>
      </c>
      <c r="AI99" s="2">
        <v>7628</v>
      </c>
      <c r="AJ99" s="2">
        <v>7448</v>
      </c>
      <c r="AK99" s="2">
        <v>8182</v>
      </c>
      <c r="AL99" s="2">
        <v>7833</v>
      </c>
      <c r="AM99" s="2">
        <v>7945</v>
      </c>
    </row>
    <row r="100" spans="2:39" s="2" customFormat="1" x14ac:dyDescent="0.25">
      <c r="B100" s="19" t="s">
        <v>72</v>
      </c>
      <c r="F100" s="2">
        <v>35</v>
      </c>
      <c r="G100" s="2">
        <v>711</v>
      </c>
      <c r="H100" s="2">
        <v>11</v>
      </c>
      <c r="I100" s="2">
        <v>10</v>
      </c>
      <c r="J100" s="2">
        <v>10</v>
      </c>
      <c r="K100" s="2">
        <v>43</v>
      </c>
      <c r="L100" s="2">
        <v>719</v>
      </c>
      <c r="M100" s="2">
        <v>328</v>
      </c>
      <c r="N100" s="2">
        <v>61</v>
      </c>
      <c r="O100" s="2">
        <v>33</v>
      </c>
      <c r="P100" s="2">
        <v>22</v>
      </c>
      <c r="Q100" s="2">
        <v>6</v>
      </c>
      <c r="R100" s="2">
        <v>50</v>
      </c>
      <c r="S100" s="2">
        <v>74</v>
      </c>
      <c r="T100" s="2">
        <v>38</v>
      </c>
      <c r="U100" s="2">
        <v>1312</v>
      </c>
      <c r="V100" s="2">
        <v>1245</v>
      </c>
      <c r="W100" s="2">
        <v>52</v>
      </c>
      <c r="X100" s="2">
        <v>8</v>
      </c>
      <c r="Y100" s="2">
        <v>3</v>
      </c>
      <c r="Z100" s="2">
        <v>20</v>
      </c>
      <c r="AA100" s="2">
        <v>152</v>
      </c>
      <c r="AH100" s="2">
        <v>35</v>
      </c>
      <c r="AI100" s="2">
        <v>10</v>
      </c>
      <c r="AJ100" s="2">
        <v>61</v>
      </c>
      <c r="AK100" s="2">
        <v>50</v>
      </c>
      <c r="AL100" s="2">
        <v>1245</v>
      </c>
      <c r="AM100" s="2">
        <v>20</v>
      </c>
    </row>
    <row r="101" spans="2:39" s="3" customFormat="1" x14ac:dyDescent="0.25">
      <c r="B101" s="3" t="s">
        <v>73</v>
      </c>
      <c r="F101" s="3">
        <v>34117</v>
      </c>
      <c r="G101" s="3">
        <f>SUM(G93:G100)</f>
        <v>34626</v>
      </c>
      <c r="H101" s="3">
        <v>34629</v>
      </c>
      <c r="I101" s="3">
        <v>40209</v>
      </c>
      <c r="J101" s="3">
        <v>40000</v>
      </c>
      <c r="K101" s="3">
        <v>40693</v>
      </c>
      <c r="L101" s="3">
        <v>42684</v>
      </c>
      <c r="M101" s="3">
        <v>43910</v>
      </c>
      <c r="N101" s="3">
        <v>42686</v>
      </c>
      <c r="O101" s="3">
        <v>41284</v>
      </c>
      <c r="P101" s="3">
        <v>43025</v>
      </c>
      <c r="Q101" s="3">
        <v>44818</v>
      </c>
      <c r="R101" s="3">
        <v>44913</v>
      </c>
      <c r="S101" s="3">
        <v>46413</v>
      </c>
      <c r="T101" s="3">
        <v>42400</v>
      </c>
      <c r="U101" s="3">
        <v>43795</v>
      </c>
      <c r="V101" s="3">
        <v>43913</v>
      </c>
      <c r="W101" s="3">
        <v>44691</v>
      </c>
      <c r="X101" s="3">
        <v>54434</v>
      </c>
      <c r="Y101" s="3">
        <v>43969</v>
      </c>
      <c r="Z101" s="3">
        <v>47261</v>
      </c>
      <c r="AA101" s="3">
        <v>49348</v>
      </c>
      <c r="AH101" s="3">
        <v>34117</v>
      </c>
      <c r="AI101" s="3">
        <v>40000</v>
      </c>
      <c r="AJ101" s="3">
        <v>42686</v>
      </c>
      <c r="AK101" s="3">
        <v>44913</v>
      </c>
      <c r="AL101" s="3">
        <v>43913</v>
      </c>
      <c r="AM101" s="3">
        <v>47261</v>
      </c>
    </row>
    <row r="102" spans="2:39" s="2" customFormat="1" x14ac:dyDescent="0.25">
      <c r="B102" s="19" t="s">
        <v>74</v>
      </c>
      <c r="F102" s="2">
        <v>38005</v>
      </c>
      <c r="G102" s="2">
        <v>35942</v>
      </c>
      <c r="H102" s="2">
        <v>43570</v>
      </c>
      <c r="I102" s="2">
        <v>40333</v>
      </c>
      <c r="J102" s="2">
        <v>40879</v>
      </c>
      <c r="K102" s="2">
        <v>41766</v>
      </c>
      <c r="L102" s="2">
        <v>41254</v>
      </c>
      <c r="M102" s="2">
        <v>41657</v>
      </c>
      <c r="N102" s="2">
        <v>43978</v>
      </c>
      <c r="O102" s="2">
        <v>42137</v>
      </c>
      <c r="P102" s="2">
        <v>40619</v>
      </c>
      <c r="Q102" s="2">
        <v>39203</v>
      </c>
      <c r="R102" s="2">
        <v>39113</v>
      </c>
      <c r="S102" s="2">
        <v>39610</v>
      </c>
      <c r="T102" s="2">
        <v>43316</v>
      </c>
      <c r="U102" s="2">
        <v>42093</v>
      </c>
      <c r="V102" s="2">
        <v>41321</v>
      </c>
      <c r="W102" s="2">
        <v>41735</v>
      </c>
      <c r="X102" s="2">
        <v>38635</v>
      </c>
      <c r="Y102" s="2">
        <v>46446</v>
      </c>
      <c r="Z102" s="2">
        <v>44841</v>
      </c>
      <c r="AA102" s="2">
        <v>42835</v>
      </c>
      <c r="AH102" s="2">
        <v>38005</v>
      </c>
      <c r="AI102" s="2">
        <v>40879</v>
      </c>
      <c r="AJ102" s="2">
        <v>43978</v>
      </c>
      <c r="AK102" s="2">
        <v>39113</v>
      </c>
      <c r="AL102" s="2">
        <v>41321</v>
      </c>
      <c r="AM102" s="2">
        <v>44841</v>
      </c>
    </row>
    <row r="103" spans="2:39" s="2" customFormat="1" x14ac:dyDescent="0.25">
      <c r="B103" s="19" t="s">
        <v>75</v>
      </c>
      <c r="F103" s="2">
        <v>6360</v>
      </c>
      <c r="G103" s="2">
        <v>4968</v>
      </c>
      <c r="H103" s="2">
        <v>3288</v>
      </c>
      <c r="I103" s="2">
        <v>2877</v>
      </c>
      <c r="J103" s="2">
        <v>2839</v>
      </c>
      <c r="K103" s="2">
        <v>2865</v>
      </c>
      <c r="L103" s="2">
        <v>2209</v>
      </c>
      <c r="M103" s="2">
        <v>1892</v>
      </c>
      <c r="N103" s="2">
        <v>2275</v>
      </c>
      <c r="O103" s="2">
        <v>1804</v>
      </c>
      <c r="P103" s="2">
        <v>1776</v>
      </c>
      <c r="Q103" s="2">
        <v>1692</v>
      </c>
      <c r="R103" s="2">
        <v>1426</v>
      </c>
      <c r="S103" s="2">
        <v>1505</v>
      </c>
      <c r="T103" s="2">
        <v>1383</v>
      </c>
      <c r="U103" s="3">
        <v>1328</v>
      </c>
      <c r="V103" s="2">
        <v>912</v>
      </c>
      <c r="W103" s="2">
        <v>866</v>
      </c>
      <c r="X103" s="2">
        <v>833</v>
      </c>
      <c r="Y103" s="2">
        <v>783</v>
      </c>
      <c r="Z103" s="2">
        <v>732</v>
      </c>
      <c r="AA103" s="2">
        <v>703</v>
      </c>
      <c r="AH103" s="2">
        <v>6360</v>
      </c>
      <c r="AI103" s="2">
        <v>2839</v>
      </c>
      <c r="AJ103" s="2">
        <v>2275</v>
      </c>
      <c r="AK103" s="2">
        <v>1426</v>
      </c>
      <c r="AL103" s="2">
        <v>912</v>
      </c>
      <c r="AM103" s="2">
        <v>732</v>
      </c>
    </row>
    <row r="104" spans="2:39" s="2" customFormat="1" x14ac:dyDescent="0.25">
      <c r="B104" s="19" t="s">
        <v>76</v>
      </c>
      <c r="F104" s="2">
        <v>664</v>
      </c>
      <c r="G104" s="2">
        <v>659</v>
      </c>
      <c r="H104" s="2">
        <v>677</v>
      </c>
      <c r="I104" s="2">
        <v>2360</v>
      </c>
      <c r="J104" s="2">
        <v>2337</v>
      </c>
      <c r="K104" s="2">
        <v>2563</v>
      </c>
      <c r="L104" s="2">
        <v>2692</v>
      </c>
      <c r="M104" s="2">
        <v>2535</v>
      </c>
      <c r="N104" s="2">
        <v>2381</v>
      </c>
      <c r="O104" s="2">
        <v>2162</v>
      </c>
      <c r="P104" s="2">
        <v>1889</v>
      </c>
      <c r="Q104" s="2">
        <v>2154</v>
      </c>
      <c r="R104" s="2">
        <v>1655</v>
      </c>
      <c r="S104" s="2">
        <v>1758</v>
      </c>
      <c r="T104" s="2">
        <v>1854</v>
      </c>
      <c r="U104" s="2">
        <v>1731</v>
      </c>
      <c r="V104" s="2">
        <v>1483</v>
      </c>
      <c r="W104" s="2">
        <v>1633</v>
      </c>
      <c r="X104" s="2">
        <v>1605</v>
      </c>
      <c r="Y104" s="2">
        <v>1459</v>
      </c>
      <c r="Z104" s="2">
        <v>1261</v>
      </c>
      <c r="AA104" s="2">
        <v>1390</v>
      </c>
      <c r="AH104" s="2">
        <v>664</v>
      </c>
      <c r="AI104" s="2">
        <v>2337</v>
      </c>
      <c r="AJ104" s="2">
        <v>2381</v>
      </c>
      <c r="AK104" s="2">
        <v>1655</v>
      </c>
      <c r="AL104" s="2">
        <v>1483</v>
      </c>
      <c r="AM104" s="2">
        <v>1261</v>
      </c>
    </row>
    <row r="105" spans="2:39" s="2" customFormat="1" x14ac:dyDescent="0.25">
      <c r="B105" s="19" t="s">
        <v>77</v>
      </c>
      <c r="F105" s="2">
        <v>2352</v>
      </c>
      <c r="G105" s="2">
        <v>2327</v>
      </c>
      <c r="H105" s="2">
        <v>2329</v>
      </c>
      <c r="I105" s="2">
        <v>1835</v>
      </c>
      <c r="J105" s="2">
        <v>1723</v>
      </c>
      <c r="K105" s="2">
        <v>1724</v>
      </c>
      <c r="L105" s="2">
        <v>1882</v>
      </c>
      <c r="M105" s="2">
        <v>1819</v>
      </c>
      <c r="N105" s="2">
        <v>1857</v>
      </c>
      <c r="O105" s="2">
        <v>1820</v>
      </c>
      <c r="P105" s="2">
        <v>1888</v>
      </c>
      <c r="Q105" s="2">
        <v>1863</v>
      </c>
      <c r="R105" s="2">
        <v>1463</v>
      </c>
      <c r="S105" s="2">
        <v>1473</v>
      </c>
      <c r="T105" s="2">
        <v>1387</v>
      </c>
      <c r="U105" s="3">
        <v>1368</v>
      </c>
      <c r="V105" s="2">
        <v>1120</v>
      </c>
      <c r="W105" s="2">
        <v>1248</v>
      </c>
      <c r="X105" s="2">
        <v>1229</v>
      </c>
      <c r="Y105" s="2">
        <v>1183</v>
      </c>
      <c r="Z105" s="2">
        <v>1198</v>
      </c>
      <c r="AA105" s="2">
        <v>1200</v>
      </c>
      <c r="AH105" s="2">
        <v>2352</v>
      </c>
      <c r="AI105" s="2">
        <v>1723</v>
      </c>
      <c r="AJ105" s="2">
        <v>1857</v>
      </c>
      <c r="AK105" s="2">
        <v>1463</v>
      </c>
      <c r="AL105" s="2">
        <v>1120</v>
      </c>
      <c r="AM105" s="2">
        <v>1198</v>
      </c>
    </row>
    <row r="106" spans="2:39" s="2" customFormat="1" x14ac:dyDescent="0.25">
      <c r="B106" s="19" t="s">
        <v>78</v>
      </c>
      <c r="F106" s="2">
        <v>769</v>
      </c>
      <c r="G106" s="2">
        <v>745</v>
      </c>
      <c r="H106" s="2">
        <v>738</v>
      </c>
      <c r="I106" s="2">
        <v>703</v>
      </c>
      <c r="J106" s="2">
        <v>679</v>
      </c>
      <c r="K106" s="2">
        <v>805</v>
      </c>
      <c r="L106" s="2">
        <v>875</v>
      </c>
      <c r="M106" s="2">
        <v>1298</v>
      </c>
      <c r="N106" s="2">
        <v>1867</v>
      </c>
      <c r="O106" s="2">
        <v>1894</v>
      </c>
      <c r="P106" s="2">
        <v>1802</v>
      </c>
      <c r="Q106" s="2">
        <v>1796</v>
      </c>
      <c r="R106" s="2">
        <v>1516</v>
      </c>
      <c r="S106" s="2">
        <v>1131</v>
      </c>
      <c r="T106" s="2">
        <v>1108</v>
      </c>
      <c r="U106" s="9">
        <v>1096</v>
      </c>
      <c r="V106" s="2">
        <v>864</v>
      </c>
      <c r="W106" s="2">
        <v>862</v>
      </c>
      <c r="X106" s="2">
        <v>783</v>
      </c>
      <c r="Y106" s="2">
        <v>688</v>
      </c>
      <c r="Z106" s="2">
        <v>482</v>
      </c>
      <c r="AA106" s="2">
        <v>540</v>
      </c>
      <c r="AH106" s="2">
        <v>769</v>
      </c>
      <c r="AI106" s="2">
        <v>679</v>
      </c>
      <c r="AJ106" s="2">
        <v>1867</v>
      </c>
      <c r="AK106" s="2">
        <v>1516</v>
      </c>
      <c r="AL106" s="2">
        <v>864</v>
      </c>
      <c r="AM106" s="2">
        <v>482</v>
      </c>
    </row>
    <row r="107" spans="2:39" s="2" customFormat="1" x14ac:dyDescent="0.25">
      <c r="B107" s="19" t="s">
        <v>79</v>
      </c>
      <c r="F107" s="2">
        <v>1808</v>
      </c>
      <c r="G107" s="2">
        <v>1756</v>
      </c>
      <c r="H107" s="2">
        <v>1831</v>
      </c>
      <c r="I107" s="2">
        <v>1838</v>
      </c>
      <c r="J107" s="2">
        <v>1925</v>
      </c>
      <c r="K107" s="2">
        <v>1895</v>
      </c>
      <c r="L107" s="2">
        <v>1730</v>
      </c>
      <c r="M107" s="2">
        <v>1673</v>
      </c>
      <c r="N107" s="2">
        <v>1654</v>
      </c>
      <c r="O107" s="2">
        <v>1610</v>
      </c>
      <c r="P107" s="2">
        <v>1604</v>
      </c>
      <c r="Q107" s="2">
        <v>1679</v>
      </c>
      <c r="R107" s="2">
        <v>1933</v>
      </c>
      <c r="S107" s="2">
        <v>2057</v>
      </c>
      <c r="T107" s="2">
        <v>2077</v>
      </c>
      <c r="U107" s="2">
        <v>1943</v>
      </c>
      <c r="V107" s="2">
        <v>1968</v>
      </c>
      <c r="W107" s="2">
        <v>1984</v>
      </c>
      <c r="X107" s="2">
        <v>1900</v>
      </c>
      <c r="Y107" s="2">
        <v>1888</v>
      </c>
      <c r="Z107" s="2">
        <v>2055</v>
      </c>
      <c r="AA107" s="2">
        <v>2097</v>
      </c>
      <c r="AH107" s="2">
        <v>1808</v>
      </c>
      <c r="AI107" s="2">
        <v>1925</v>
      </c>
      <c r="AJ107" s="2">
        <v>1654</v>
      </c>
      <c r="AK107" s="2">
        <v>1933</v>
      </c>
      <c r="AL107" s="2">
        <v>1968</v>
      </c>
      <c r="AM107" s="2">
        <v>2055</v>
      </c>
    </row>
    <row r="108" spans="2:39" s="3" customFormat="1" x14ac:dyDescent="0.25">
      <c r="B108" s="3" t="s">
        <v>80</v>
      </c>
      <c r="F108" s="3">
        <v>49957</v>
      </c>
      <c r="G108" s="3">
        <f>SUM(G102:G107)</f>
        <v>46397</v>
      </c>
      <c r="H108" s="3">
        <v>52434</v>
      </c>
      <c r="I108" s="3">
        <v>49946</v>
      </c>
      <c r="J108" s="3">
        <v>50381</v>
      </c>
      <c r="K108" s="3">
        <v>51618</v>
      </c>
      <c r="L108" s="3">
        <v>50641</v>
      </c>
      <c r="M108" s="3">
        <v>50874</v>
      </c>
      <c r="N108" s="3">
        <v>54011</v>
      </c>
      <c r="O108" s="3">
        <v>51426</v>
      </c>
      <c r="P108" s="3">
        <v>49577</v>
      </c>
      <c r="Q108" s="3">
        <v>48387</v>
      </c>
      <c r="R108" s="3">
        <v>47106</v>
      </c>
      <c r="S108" s="3">
        <v>47536</v>
      </c>
      <c r="T108" s="3">
        <v>51125</v>
      </c>
      <c r="U108" s="3">
        <v>49559</v>
      </c>
      <c r="V108" s="3">
        <v>47667</v>
      </c>
      <c r="W108" s="3">
        <v>48327</v>
      </c>
      <c r="X108" s="3">
        <v>44984</v>
      </c>
      <c r="Y108" s="3">
        <v>52447</v>
      </c>
      <c r="Z108" s="3">
        <v>50570</v>
      </c>
      <c r="AA108" s="3">
        <v>48766</v>
      </c>
      <c r="AH108" s="3">
        <v>49957</v>
      </c>
      <c r="AI108" s="3">
        <v>50381</v>
      </c>
      <c r="AJ108" s="3">
        <v>54011</v>
      </c>
      <c r="AK108" s="3">
        <v>47106</v>
      </c>
      <c r="AL108" s="3">
        <v>47667</v>
      </c>
      <c r="AM108" s="3">
        <v>50570</v>
      </c>
    </row>
    <row r="109" spans="2:39" s="4" customFormat="1" x14ac:dyDescent="0.25">
      <c r="B109" s="4" t="s">
        <v>81</v>
      </c>
      <c r="F109" s="4">
        <v>84074</v>
      </c>
      <c r="G109" s="4">
        <f>G101+G108</f>
        <v>81023</v>
      </c>
      <c r="H109" s="4">
        <v>87063</v>
      </c>
      <c r="I109" s="4">
        <v>90155</v>
      </c>
      <c r="J109" s="4">
        <v>90381</v>
      </c>
      <c r="K109" s="4">
        <v>92311</v>
      </c>
      <c r="L109" s="4">
        <v>93325</v>
      </c>
      <c r="M109" s="4">
        <v>94784</v>
      </c>
      <c r="N109" s="4">
        <v>96697</v>
      </c>
      <c r="O109" s="4">
        <v>92709</v>
      </c>
      <c r="P109" s="4">
        <v>92602</v>
      </c>
      <c r="Q109" s="4">
        <v>93205</v>
      </c>
      <c r="R109" s="4">
        <v>92019</v>
      </c>
      <c r="S109" s="4">
        <v>93948</v>
      </c>
      <c r="T109" s="4">
        <v>93525</v>
      </c>
      <c r="U109" s="4">
        <v>93353</v>
      </c>
      <c r="V109" s="4">
        <v>91581</v>
      </c>
      <c r="W109" s="4">
        <v>93018</v>
      </c>
      <c r="X109" s="4">
        <v>99418</v>
      </c>
      <c r="Y109" s="4">
        <v>96416</v>
      </c>
      <c r="Z109" s="4">
        <v>97830</v>
      </c>
      <c r="AA109" s="4">
        <v>98114</v>
      </c>
      <c r="AH109" s="4">
        <v>84074</v>
      </c>
      <c r="AI109" s="4">
        <v>90381</v>
      </c>
      <c r="AJ109" s="4">
        <v>96697</v>
      </c>
      <c r="AK109" s="4">
        <v>92019</v>
      </c>
      <c r="AL109" s="4">
        <v>91581</v>
      </c>
      <c r="AM109" s="4">
        <v>97830</v>
      </c>
    </row>
    <row r="110" spans="2:39" s="2" customFormat="1" x14ac:dyDescent="0.25">
      <c r="B110" s="2" t="s">
        <v>82</v>
      </c>
      <c r="F110" s="9" t="s">
        <v>31</v>
      </c>
      <c r="H110" s="9" t="s">
        <v>31</v>
      </c>
      <c r="I110" s="9" t="s">
        <v>31</v>
      </c>
      <c r="J110" s="9" t="s">
        <v>31</v>
      </c>
      <c r="K110" s="9" t="s">
        <v>31</v>
      </c>
      <c r="L110" s="9" t="s">
        <v>31</v>
      </c>
      <c r="M110" s="9" t="s">
        <v>31</v>
      </c>
      <c r="N110" s="9" t="s">
        <v>31</v>
      </c>
      <c r="O110" s="9" t="s">
        <v>31</v>
      </c>
      <c r="P110" s="9" t="s">
        <v>31</v>
      </c>
      <c r="Q110" s="9" t="s">
        <v>31</v>
      </c>
      <c r="R110" s="9" t="s">
        <v>31</v>
      </c>
      <c r="S110" s="9" t="s">
        <v>31</v>
      </c>
      <c r="T110" s="9" t="s">
        <v>31</v>
      </c>
      <c r="U110" s="2" t="s">
        <v>31</v>
      </c>
      <c r="V110" s="9" t="s">
        <v>31</v>
      </c>
      <c r="W110" s="9" t="s">
        <v>31</v>
      </c>
      <c r="X110" s="9" t="s">
        <v>31</v>
      </c>
      <c r="Y110" s="9" t="s">
        <v>31</v>
      </c>
      <c r="Z110" s="9" t="s">
        <v>31</v>
      </c>
      <c r="AA110" s="9" t="s">
        <v>31</v>
      </c>
      <c r="AH110" s="9" t="s">
        <v>31</v>
      </c>
      <c r="AI110" s="9" t="s">
        <v>31</v>
      </c>
      <c r="AJ110" s="9" t="s">
        <v>31</v>
      </c>
      <c r="AK110" s="9" t="s">
        <v>31</v>
      </c>
      <c r="AL110" s="9" t="s">
        <v>31</v>
      </c>
      <c r="AM110" s="9" t="s">
        <v>31</v>
      </c>
    </row>
    <row r="111" spans="2:39" s="2" customFormat="1" x14ac:dyDescent="0.25">
      <c r="B111" s="19" t="s">
        <v>83</v>
      </c>
      <c r="F111" s="2">
        <v>2550</v>
      </c>
      <c r="G111" s="2">
        <v>2550</v>
      </c>
      <c r="H111" s="2">
        <v>2550</v>
      </c>
      <c r="I111" s="2">
        <v>2550</v>
      </c>
      <c r="J111" s="2">
        <v>2550</v>
      </c>
      <c r="K111" s="2">
        <v>2550</v>
      </c>
      <c r="L111" s="2">
        <v>2550</v>
      </c>
      <c r="M111" s="2">
        <v>2550</v>
      </c>
      <c r="N111" s="2">
        <v>2550</v>
      </c>
      <c r="O111" s="2">
        <v>2550</v>
      </c>
      <c r="P111" s="2">
        <v>2400</v>
      </c>
      <c r="Q111" s="2">
        <v>2400</v>
      </c>
      <c r="R111" s="2">
        <v>2400</v>
      </c>
      <c r="S111" s="2">
        <v>2400</v>
      </c>
      <c r="T111" s="2">
        <v>2400</v>
      </c>
      <c r="U111" s="2">
        <v>2400</v>
      </c>
      <c r="V111" s="2">
        <v>2400</v>
      </c>
      <c r="W111" s="2">
        <v>2400</v>
      </c>
      <c r="X111" s="2">
        <v>2400</v>
      </c>
      <c r="Y111" s="2">
        <v>2400</v>
      </c>
      <c r="Z111" s="2">
        <v>2400</v>
      </c>
      <c r="AA111" s="2">
        <v>2400</v>
      </c>
      <c r="AH111" s="2">
        <v>2550</v>
      </c>
      <c r="AI111" s="2">
        <v>2550</v>
      </c>
      <c r="AJ111" s="2">
        <v>2550</v>
      </c>
      <c r="AK111" s="2">
        <v>2400</v>
      </c>
      <c r="AL111" s="2">
        <v>2400</v>
      </c>
      <c r="AM111" s="2">
        <v>2400</v>
      </c>
    </row>
    <row r="112" spans="2:39" s="2" customFormat="1" x14ac:dyDescent="0.25">
      <c r="B112" s="19" t="s">
        <v>84</v>
      </c>
      <c r="F112" s="2">
        <v>6840</v>
      </c>
      <c r="G112" s="2">
        <v>6830</v>
      </c>
      <c r="H112" s="2">
        <v>6846</v>
      </c>
      <c r="I112" s="2">
        <v>6912</v>
      </c>
      <c r="J112" s="2">
        <v>7040</v>
      </c>
      <c r="K112" s="2">
        <v>6993</v>
      </c>
      <c r="L112" s="2">
        <v>7029</v>
      </c>
      <c r="M112" s="2">
        <v>7108</v>
      </c>
      <c r="N112" s="2">
        <v>7174</v>
      </c>
      <c r="O112" s="2">
        <v>7071</v>
      </c>
      <c r="P112" s="2">
        <v>7109</v>
      </c>
      <c r="Q112" s="2">
        <v>7212</v>
      </c>
      <c r="R112" s="2">
        <v>7411</v>
      </c>
      <c r="S112" s="2">
        <v>7336</v>
      </c>
      <c r="T112" s="2">
        <v>7393</v>
      </c>
      <c r="U112" s="2">
        <v>7515</v>
      </c>
      <c r="V112" s="2">
        <v>7757</v>
      </c>
      <c r="W112" s="2">
        <v>7470</v>
      </c>
      <c r="X112" s="2">
        <v>7524</v>
      </c>
      <c r="Y112" s="2">
        <v>7646</v>
      </c>
      <c r="Z112" s="2">
        <v>7895</v>
      </c>
      <c r="AA112" s="2">
        <v>7739</v>
      </c>
      <c r="AH112" s="2">
        <v>6840</v>
      </c>
      <c r="AI112" s="2">
        <v>7040</v>
      </c>
      <c r="AJ112" s="2">
        <v>7174</v>
      </c>
      <c r="AK112" s="2">
        <v>7411</v>
      </c>
      <c r="AL112" s="2">
        <v>7757</v>
      </c>
      <c r="AM112" s="2">
        <v>7895</v>
      </c>
    </row>
    <row r="113" spans="2:41" s="2" customFormat="1" x14ac:dyDescent="0.25">
      <c r="B113" s="19" t="s">
        <v>85</v>
      </c>
      <c r="F113" s="2">
        <v>33078</v>
      </c>
      <c r="G113" s="2">
        <v>34653</v>
      </c>
      <c r="H113" s="2">
        <v>36291</v>
      </c>
      <c r="I113" s="2">
        <v>38338</v>
      </c>
      <c r="J113" s="2">
        <v>39607</v>
      </c>
      <c r="K113" s="2">
        <v>41363</v>
      </c>
      <c r="L113" s="2">
        <v>39207</v>
      </c>
      <c r="M113" s="2">
        <v>37308</v>
      </c>
      <c r="N113" s="2">
        <v>38959</v>
      </c>
      <c r="O113" s="2">
        <v>39517</v>
      </c>
      <c r="P113" s="2">
        <v>34570</v>
      </c>
      <c r="Q113" s="2">
        <v>35064</v>
      </c>
      <c r="R113" s="2">
        <v>36866</v>
      </c>
      <c r="S113" s="2">
        <v>36541</v>
      </c>
      <c r="T113" s="2">
        <v>35323</v>
      </c>
      <c r="U113" s="2">
        <v>37698</v>
      </c>
      <c r="V113" s="2">
        <v>39657</v>
      </c>
      <c r="W113" s="2">
        <v>43112</v>
      </c>
      <c r="X113" s="2">
        <v>42208</v>
      </c>
      <c r="Y113" s="2">
        <v>47198</v>
      </c>
      <c r="Z113" s="2">
        <v>49601</v>
      </c>
      <c r="AA113" s="2">
        <v>52275</v>
      </c>
      <c r="AH113" s="2">
        <v>33078</v>
      </c>
      <c r="AI113" s="2">
        <v>39607</v>
      </c>
      <c r="AJ113" s="2">
        <v>38959</v>
      </c>
      <c r="AK113" s="2">
        <v>36866</v>
      </c>
      <c r="AL113" s="2">
        <v>39657</v>
      </c>
      <c r="AM113" s="2">
        <v>49601</v>
      </c>
    </row>
    <row r="114" spans="2:41" s="2" customFormat="1" x14ac:dyDescent="0.25">
      <c r="B114" s="19" t="s">
        <v>86</v>
      </c>
      <c r="F114" s="2">
        <v>-1449</v>
      </c>
      <c r="G114" s="2">
        <v>-2493</v>
      </c>
      <c r="H114" s="2">
        <v>-939</v>
      </c>
      <c r="I114" s="2">
        <v>-1065</v>
      </c>
      <c r="J114" s="2">
        <v>-232</v>
      </c>
      <c r="K114" s="2">
        <v>764</v>
      </c>
      <c r="L114" s="2">
        <v>1483</v>
      </c>
      <c r="M114" s="2">
        <v>3950</v>
      </c>
      <c r="N114" s="2">
        <v>6159</v>
      </c>
      <c r="O114" s="2">
        <v>2686</v>
      </c>
      <c r="P114" s="2">
        <v>1946</v>
      </c>
      <c r="Q114" s="2">
        <v>1587</v>
      </c>
      <c r="R114" s="2">
        <v>2282</v>
      </c>
      <c r="S114" s="2">
        <v>1016</v>
      </c>
      <c r="T114" s="2">
        <v>2392</v>
      </c>
      <c r="U114" s="2">
        <v>3786</v>
      </c>
      <c r="V114" s="2">
        <v>3615</v>
      </c>
      <c r="W114" s="2">
        <v>8294</v>
      </c>
      <c r="X114" s="2">
        <v>7439</v>
      </c>
      <c r="Y114" s="2">
        <v>6112</v>
      </c>
      <c r="Z114" s="2">
        <v>5868</v>
      </c>
      <c r="AA114" s="2">
        <v>6844</v>
      </c>
      <c r="AH114" s="2">
        <v>-1449</v>
      </c>
      <c r="AI114" s="2">
        <v>-232</v>
      </c>
      <c r="AJ114" s="2">
        <v>6159</v>
      </c>
      <c r="AK114" s="2">
        <v>2282</v>
      </c>
      <c r="AL114" s="2">
        <v>3615</v>
      </c>
      <c r="AM114" s="2">
        <v>5868</v>
      </c>
    </row>
    <row r="115" spans="2:41" s="2" customFormat="1" x14ac:dyDescent="0.25">
      <c r="B115" s="19" t="s">
        <v>87</v>
      </c>
      <c r="F115" s="2">
        <v>-4629</v>
      </c>
      <c r="G115" s="2">
        <v>-4475</v>
      </c>
      <c r="H115" s="2">
        <v>-4622</v>
      </c>
      <c r="I115" s="2">
        <v>-4659</v>
      </c>
      <c r="J115" s="2">
        <v>-4804</v>
      </c>
      <c r="K115" s="2">
        <v>-4667</v>
      </c>
      <c r="L115" s="2">
        <v>-4733</v>
      </c>
      <c r="M115" s="2">
        <v>-5193</v>
      </c>
      <c r="N115" s="2">
        <v>-5948</v>
      </c>
      <c r="O115" s="2">
        <v>-6115</v>
      </c>
      <c r="P115" s="2">
        <v>-830</v>
      </c>
      <c r="Q115" s="2">
        <v>-901</v>
      </c>
      <c r="R115" s="2">
        <v>-1177</v>
      </c>
      <c r="S115" s="2">
        <v>-1282</v>
      </c>
      <c r="T115" s="2">
        <v>-1308</v>
      </c>
      <c r="U115" s="3">
        <v>-1598</v>
      </c>
      <c r="V115" s="2">
        <v>-2165</v>
      </c>
      <c r="W115" s="2">
        <v>-1872</v>
      </c>
      <c r="X115" s="2">
        <v>-1998</v>
      </c>
      <c r="Y115" s="2">
        <v>-2769</v>
      </c>
      <c r="Z115" s="2">
        <v>-3520</v>
      </c>
      <c r="AA115" s="2">
        <v>-3778</v>
      </c>
      <c r="AH115" s="2">
        <v>-4629</v>
      </c>
      <c r="AI115" s="2">
        <v>-4804</v>
      </c>
      <c r="AJ115" s="2">
        <v>-5948</v>
      </c>
      <c r="AK115" s="2">
        <v>-1177</v>
      </c>
      <c r="AL115" s="2">
        <v>-2165</v>
      </c>
      <c r="AM115" s="2">
        <v>-3520</v>
      </c>
    </row>
    <row r="116" spans="2:41" s="3" customFormat="1" x14ac:dyDescent="0.25">
      <c r="B116" s="3" t="s">
        <v>88</v>
      </c>
      <c r="F116" s="3">
        <v>36390</v>
      </c>
      <c r="G116" s="3">
        <f>SUM(G111:G115)</f>
        <v>37065</v>
      </c>
      <c r="H116" s="3">
        <v>40126</v>
      </c>
      <c r="I116" s="3">
        <v>42075</v>
      </c>
      <c r="J116" s="3">
        <v>44160</v>
      </c>
      <c r="K116" s="3">
        <v>47002</v>
      </c>
      <c r="L116" s="3">
        <v>45536</v>
      </c>
      <c r="M116" s="3">
        <v>45723</v>
      </c>
      <c r="N116" s="3">
        <v>48895</v>
      </c>
      <c r="O116" s="3">
        <v>45708</v>
      </c>
      <c r="P116" s="3">
        <v>45195</v>
      </c>
      <c r="Q116" s="3">
        <v>45362</v>
      </c>
      <c r="R116" s="3">
        <v>47782</v>
      </c>
      <c r="S116" s="3">
        <v>46011</v>
      </c>
      <c r="T116" s="3">
        <v>46199</v>
      </c>
      <c r="U116" s="3">
        <v>49801</v>
      </c>
      <c r="V116" s="3">
        <v>51264</v>
      </c>
      <c r="W116" s="3">
        <v>59403</v>
      </c>
      <c r="X116" s="3">
        <v>57574</v>
      </c>
      <c r="Y116" s="3">
        <v>60587</v>
      </c>
      <c r="Z116" s="3">
        <v>62244</v>
      </c>
      <c r="AA116" s="3">
        <v>65481</v>
      </c>
      <c r="AH116" s="3">
        <v>36390</v>
      </c>
      <c r="AI116" s="3">
        <v>44160</v>
      </c>
      <c r="AJ116" s="3">
        <v>48895</v>
      </c>
      <c r="AK116" s="3">
        <v>47782</v>
      </c>
      <c r="AL116" s="3">
        <v>51264</v>
      </c>
      <c r="AM116" s="3">
        <v>62244</v>
      </c>
    </row>
    <row r="117" spans="2:41" s="2" customFormat="1" x14ac:dyDescent="0.25">
      <c r="B117" s="19" t="s">
        <v>28</v>
      </c>
      <c r="F117" s="2">
        <v>3433</v>
      </c>
      <c r="G117" s="2">
        <v>3344</v>
      </c>
      <c r="H117" s="2">
        <v>4469</v>
      </c>
      <c r="I117" s="2">
        <v>4601</v>
      </c>
      <c r="J117" s="2">
        <v>4831</v>
      </c>
      <c r="K117" s="2">
        <v>5095</v>
      </c>
      <c r="L117" s="2">
        <v>5085</v>
      </c>
      <c r="M117" s="2">
        <v>5481</v>
      </c>
      <c r="N117" s="2">
        <v>5910</v>
      </c>
      <c r="O117" s="2">
        <v>5511</v>
      </c>
      <c r="P117" s="2">
        <v>5199</v>
      </c>
      <c r="Q117" s="2">
        <v>5117</v>
      </c>
      <c r="R117" s="2">
        <v>5270</v>
      </c>
      <c r="S117" s="2">
        <v>4825</v>
      </c>
      <c r="T117" s="2">
        <v>5026</v>
      </c>
      <c r="U117" s="3">
        <v>4966</v>
      </c>
      <c r="V117" s="2">
        <v>4967</v>
      </c>
      <c r="W117" s="2">
        <v>5433</v>
      </c>
      <c r="X117" s="2">
        <v>5601</v>
      </c>
      <c r="Y117" s="2">
        <v>5452</v>
      </c>
      <c r="Z117" s="2">
        <v>6127</v>
      </c>
      <c r="AA117" s="2">
        <v>6539</v>
      </c>
      <c r="AH117" s="2">
        <v>3433</v>
      </c>
      <c r="AI117" s="2">
        <v>4831</v>
      </c>
      <c r="AJ117" s="2">
        <v>5910</v>
      </c>
      <c r="AK117" s="2">
        <v>5270</v>
      </c>
      <c r="AL117" s="2">
        <v>4967</v>
      </c>
      <c r="AM117" s="2">
        <v>6127</v>
      </c>
    </row>
    <row r="118" spans="2:41" s="3" customFormat="1" x14ac:dyDescent="0.25">
      <c r="B118" s="3" t="s">
        <v>89</v>
      </c>
      <c r="F118" s="3">
        <v>39823</v>
      </c>
      <c r="G118" s="3">
        <f>G116+G117</f>
        <v>40409</v>
      </c>
      <c r="H118" s="3">
        <v>44595</v>
      </c>
      <c r="I118" s="3">
        <v>46676</v>
      </c>
      <c r="J118" s="3">
        <v>48991</v>
      </c>
      <c r="K118" s="3">
        <v>52098</v>
      </c>
      <c r="L118" s="3">
        <v>50621</v>
      </c>
      <c r="M118" s="3">
        <v>51204</v>
      </c>
      <c r="N118" s="3">
        <v>54805</v>
      </c>
      <c r="O118" s="3">
        <v>51220</v>
      </c>
      <c r="P118" s="3">
        <v>50395</v>
      </c>
      <c r="Q118" s="3">
        <v>50479</v>
      </c>
      <c r="R118" s="3">
        <v>53052</v>
      </c>
      <c r="S118" s="3">
        <v>50836</v>
      </c>
      <c r="T118" s="3">
        <v>51226</v>
      </c>
      <c r="U118" s="3">
        <v>54767</v>
      </c>
      <c r="V118" s="3">
        <v>56231</v>
      </c>
      <c r="W118" s="3">
        <v>64837</v>
      </c>
      <c r="X118" s="3">
        <v>63175</v>
      </c>
      <c r="Y118" s="3">
        <v>66040</v>
      </c>
      <c r="Z118" s="3">
        <v>68371</v>
      </c>
      <c r="AA118" s="3">
        <v>72020</v>
      </c>
      <c r="AH118" s="3">
        <v>39823</v>
      </c>
      <c r="AI118" s="3">
        <v>48991</v>
      </c>
      <c r="AJ118" s="3">
        <v>54805</v>
      </c>
      <c r="AK118" s="3">
        <v>53052</v>
      </c>
      <c r="AL118" s="3">
        <v>56231</v>
      </c>
      <c r="AM118" s="3">
        <v>68371</v>
      </c>
    </row>
    <row r="119" spans="2:41" s="4" customFormat="1" x14ac:dyDescent="0.25">
      <c r="B119" s="4" t="s">
        <v>90</v>
      </c>
      <c r="F119" s="4">
        <v>123897</v>
      </c>
      <c r="G119" s="4">
        <f>+G118+G109</f>
        <v>121432</v>
      </c>
      <c r="H119" s="4">
        <v>131658</v>
      </c>
      <c r="I119" s="4">
        <v>136831</v>
      </c>
      <c r="J119" s="4">
        <v>139372</v>
      </c>
      <c r="K119" s="4">
        <v>144409</v>
      </c>
      <c r="L119" s="4">
        <v>143946</v>
      </c>
      <c r="M119" s="4">
        <v>145988</v>
      </c>
      <c r="N119" s="4">
        <v>151502</v>
      </c>
      <c r="O119" s="4">
        <v>143929</v>
      </c>
      <c r="P119" s="4">
        <v>142997</v>
      </c>
      <c r="Q119" s="4">
        <v>143684</v>
      </c>
      <c r="R119" s="4">
        <v>145071</v>
      </c>
      <c r="S119" s="4">
        <v>144784</v>
      </c>
      <c r="T119" s="4">
        <v>144751</v>
      </c>
      <c r="U119" s="4">
        <v>148121</v>
      </c>
      <c r="V119" s="4">
        <v>147812</v>
      </c>
      <c r="W119" s="4">
        <v>157855</v>
      </c>
      <c r="X119" s="4">
        <v>162593</v>
      </c>
      <c r="Y119" s="4">
        <v>162455</v>
      </c>
      <c r="Z119" s="4">
        <v>166202</v>
      </c>
      <c r="AA119" s="4">
        <v>170134</v>
      </c>
      <c r="AH119" s="4">
        <v>123897</v>
      </c>
      <c r="AI119" s="4">
        <v>139372</v>
      </c>
      <c r="AJ119" s="4">
        <v>151502</v>
      </c>
      <c r="AK119" s="4">
        <v>145071</v>
      </c>
      <c r="AL119" s="4">
        <v>147812</v>
      </c>
      <c r="AM119" s="4">
        <v>166202</v>
      </c>
    </row>
    <row r="120" spans="2:41" s="4" customFormat="1" x14ac:dyDescent="0.25"/>
    <row r="121" spans="2:41" s="4" customFormat="1" x14ac:dyDescent="0.25">
      <c r="E121" s="4" t="s">
        <v>219</v>
      </c>
    </row>
    <row r="122" spans="2:41" s="10" customFormat="1" x14ac:dyDescent="0.25">
      <c r="B122" s="10" t="s">
        <v>215</v>
      </c>
      <c r="F122" s="10">
        <f>F84/F90</f>
        <v>8.2730009604752339E-2</v>
      </c>
      <c r="G122" s="10">
        <f>G84/G90</f>
        <v>8.0586321900605259E-2</v>
      </c>
      <c r="H122" s="10">
        <f t="shared" ref="H122:AC122" si="28">H84/H90</f>
        <v>7.6630360479423967E-2</v>
      </c>
      <c r="I122" s="10">
        <f t="shared" si="28"/>
        <v>7.7621299266978971E-2</v>
      </c>
      <c r="J122" s="10">
        <f t="shared" si="28"/>
        <v>7.9090491633900639E-2</v>
      </c>
      <c r="K122" s="10">
        <f t="shared" si="28"/>
        <v>7.7585192058666708E-2</v>
      </c>
      <c r="L122" s="10">
        <f t="shared" si="28"/>
        <v>7.7508232253761827E-2</v>
      </c>
      <c r="M122" s="10">
        <f t="shared" si="28"/>
        <v>7.818450831575198E-2</v>
      </c>
      <c r="N122" s="10">
        <f t="shared" si="28"/>
        <v>7.7444522184525619E-2</v>
      </c>
      <c r="O122" s="10">
        <f t="shared" si="28"/>
        <v>7.9205719486691362E-2</v>
      </c>
      <c r="P122" s="10">
        <f t="shared" si="28"/>
        <v>7.9882794743945676E-2</v>
      </c>
      <c r="Q122" s="10">
        <f t="shared" si="28"/>
        <v>7.9737479468834388E-2</v>
      </c>
      <c r="R122" s="10">
        <f t="shared" si="28"/>
        <v>8.2290740396081918E-2</v>
      </c>
      <c r="S122" s="10">
        <f t="shared" si="28"/>
        <v>8.1991103989391093E-2</v>
      </c>
      <c r="T122" s="10">
        <f t="shared" si="28"/>
        <v>8.3688541011806478E-2</v>
      </c>
      <c r="U122" s="10">
        <f t="shared" si="28"/>
        <v>8.1143119476644099E-2</v>
      </c>
      <c r="V122" s="10">
        <f t="shared" si="28"/>
        <v>8.2821421806077988E-2</v>
      </c>
      <c r="W122" s="10">
        <f t="shared" si="28"/>
        <v>8.1302461119381705E-2</v>
      </c>
      <c r="X122" s="10">
        <f t="shared" si="28"/>
        <v>7.9689777542698639E-2</v>
      </c>
      <c r="Y122" s="10">
        <f t="shared" si="28"/>
        <v>7.7849250561694006E-2</v>
      </c>
      <c r="Z122" s="10">
        <f t="shared" si="28"/>
        <v>7.8356457804358556E-2</v>
      </c>
      <c r="AA122" s="10">
        <f t="shared" si="28"/>
        <v>7.7938566071449569E-2</v>
      </c>
      <c r="AB122" s="10" t="e">
        <f t="shared" si="28"/>
        <v>#DIV/0!</v>
      </c>
      <c r="AC122" s="10" t="e">
        <f t="shared" si="28"/>
        <v>#DIV/0!</v>
      </c>
      <c r="AH122" s="10">
        <f t="shared" ref="AH122:AO122" si="29">AH84/AH90</f>
        <v>8.2730009604752339E-2</v>
      </c>
      <c r="AI122" s="10">
        <f t="shared" si="29"/>
        <v>7.9090491633900639E-2</v>
      </c>
      <c r="AJ122" s="10">
        <f t="shared" si="29"/>
        <v>7.7444522184525619E-2</v>
      </c>
      <c r="AK122" s="10">
        <f t="shared" si="29"/>
        <v>8.2290740396081918E-2</v>
      </c>
      <c r="AL122" s="10">
        <f t="shared" si="29"/>
        <v>8.2821421806077988E-2</v>
      </c>
      <c r="AM122" s="10">
        <f t="shared" si="29"/>
        <v>7.8356457804358556E-2</v>
      </c>
      <c r="AN122" s="10" t="e">
        <f t="shared" si="29"/>
        <v>#DIV/0!</v>
      </c>
      <c r="AO122" s="10" t="e">
        <f t="shared" si="29"/>
        <v>#DIV/0!</v>
      </c>
    </row>
    <row r="123" spans="2:41" s="10" customFormat="1" x14ac:dyDescent="0.25">
      <c r="B123" s="10" t="s">
        <v>216</v>
      </c>
      <c r="G123" s="10">
        <f>G84/F84-1</f>
        <v>-4.5268292682926869E-2</v>
      </c>
      <c r="H123" s="10">
        <f t="shared" ref="H123:AC123" si="30">H84/G84-1</f>
        <v>3.0962599632127441E-2</v>
      </c>
      <c r="I123" s="10">
        <f t="shared" si="30"/>
        <v>5.2730696798493515E-2</v>
      </c>
      <c r="J123" s="10">
        <f t="shared" si="30"/>
        <v>3.7849543357499238E-2</v>
      </c>
      <c r="K123" s="10">
        <f t="shared" si="30"/>
        <v>1.6420212283407398E-2</v>
      </c>
      <c r="L123" s="10">
        <f t="shared" si="30"/>
        <v>-4.1949303820064676E-3</v>
      </c>
      <c r="M123" s="10">
        <f t="shared" si="30"/>
        <v>2.3034866003405874E-2</v>
      </c>
      <c r="N123" s="10">
        <f t="shared" si="30"/>
        <v>2.7948133870685066E-2</v>
      </c>
      <c r="O123" s="10">
        <f t="shared" si="30"/>
        <v>-2.8381488110457709E-2</v>
      </c>
      <c r="P123" s="10">
        <f t="shared" si="30"/>
        <v>2.0175438596490292E-3</v>
      </c>
      <c r="Q123" s="10">
        <f t="shared" si="30"/>
        <v>2.9764510198722061E-3</v>
      </c>
      <c r="R123" s="10">
        <f t="shared" si="30"/>
        <v>4.1983067120537676E-2</v>
      </c>
      <c r="S123" s="10">
        <f t="shared" si="30"/>
        <v>-5.6123303735968744E-3</v>
      </c>
      <c r="T123" s="10">
        <f t="shared" si="30"/>
        <v>2.0470053070507976E-2</v>
      </c>
      <c r="U123" s="10">
        <f t="shared" si="30"/>
        <v>-7.8421660888228217E-3</v>
      </c>
      <c r="V123" s="10">
        <f t="shared" si="30"/>
        <v>1.855395623595979E-2</v>
      </c>
      <c r="W123" s="10">
        <f t="shared" si="30"/>
        <v>4.8358111419702698E-2</v>
      </c>
      <c r="X123" s="10">
        <f t="shared" si="30"/>
        <v>9.5839177185601532E-3</v>
      </c>
      <c r="Y123" s="10">
        <f t="shared" si="30"/>
        <v>-2.3925291348305899E-2</v>
      </c>
      <c r="Z123" s="10">
        <f t="shared" si="30"/>
        <v>2.9730370838934039E-2</v>
      </c>
      <c r="AA123" s="10">
        <f t="shared" si="30"/>
        <v>1.8198571757659598E-2</v>
      </c>
      <c r="AB123" s="10">
        <f t="shared" si="30"/>
        <v>-1</v>
      </c>
      <c r="AC123" s="10" t="e">
        <f t="shared" si="30"/>
        <v>#DIV/0!</v>
      </c>
      <c r="AI123" s="10">
        <f t="shared" ref="AI123:AO123" si="31">AI84/AH84-1</f>
        <v>7.541463414634153E-2</v>
      </c>
      <c r="AJ123" s="10">
        <f t="shared" si="31"/>
        <v>6.4410777465299773E-2</v>
      </c>
      <c r="AK123" s="10">
        <f t="shared" si="31"/>
        <v>1.7472087275206771E-2</v>
      </c>
      <c r="AL123" s="10">
        <f t="shared" si="31"/>
        <v>2.5464901993633715E-2</v>
      </c>
      <c r="AM123" s="10">
        <f t="shared" si="31"/>
        <v>6.379676523443889E-2</v>
      </c>
      <c r="AN123" s="10">
        <f t="shared" si="31"/>
        <v>-1</v>
      </c>
      <c r="AO123" s="10" t="e">
        <f t="shared" si="31"/>
        <v>#DIV/0!</v>
      </c>
    </row>
    <row r="124" spans="2:41" s="10" customFormat="1" x14ac:dyDescent="0.25">
      <c r="B124" s="10" t="s">
        <v>218</v>
      </c>
      <c r="G124" s="10">
        <f>G90/F90-1</f>
        <v>-1.9871344746039021E-2</v>
      </c>
      <c r="H124" s="10">
        <f t="shared" ref="H124:AC124" si="32">H90/G90-1</f>
        <v>8.4184954914151566E-2</v>
      </c>
      <c r="I124" s="10">
        <f t="shared" si="32"/>
        <v>3.929119385073454E-2</v>
      </c>
      <c r="J124" s="10">
        <f t="shared" si="32"/>
        <v>1.8570353209433454E-2</v>
      </c>
      <c r="K124" s="10">
        <f t="shared" si="32"/>
        <v>3.6140688230060558E-2</v>
      </c>
      <c r="L124" s="10">
        <f t="shared" si="32"/>
        <v>-3.2061713605108233E-3</v>
      </c>
      <c r="M124" s="10">
        <f t="shared" si="32"/>
        <v>1.4185875258777569E-2</v>
      </c>
      <c r="N124" s="10">
        <f t="shared" si="32"/>
        <v>3.77702276899472E-2</v>
      </c>
      <c r="O124" s="10">
        <f t="shared" si="32"/>
        <v>-4.9986138796847546E-2</v>
      </c>
      <c r="P124" s="10">
        <f t="shared" si="32"/>
        <v>-6.4754149615435797E-3</v>
      </c>
      <c r="Q124" s="10">
        <f t="shared" si="32"/>
        <v>4.8042965936347937E-3</v>
      </c>
      <c r="R124" s="10">
        <f t="shared" si="32"/>
        <v>9.6531276968903068E-3</v>
      </c>
      <c r="S124" s="10">
        <f t="shared" si="32"/>
        <v>-1.9783416396109699E-3</v>
      </c>
      <c r="T124" s="10">
        <f t="shared" si="32"/>
        <v>-2.2792573765051394E-4</v>
      </c>
      <c r="U124" s="10">
        <f t="shared" si="32"/>
        <v>2.3281359023426429E-2</v>
      </c>
      <c r="V124" s="10">
        <f t="shared" si="32"/>
        <v>-2.0861322837409935E-3</v>
      </c>
      <c r="W124" s="10">
        <f t="shared" si="32"/>
        <v>6.7944415879630959E-2</v>
      </c>
      <c r="X124" s="10">
        <f t="shared" si="32"/>
        <v>3.0014887079915065E-2</v>
      </c>
      <c r="Y124" s="10">
        <f t="shared" si="32"/>
        <v>-8.487450259235807E-4</v>
      </c>
      <c r="Z124" s="10">
        <f t="shared" si="32"/>
        <v>2.3064848727339937E-2</v>
      </c>
      <c r="AA124" s="10">
        <f t="shared" si="32"/>
        <v>2.3657958387985678E-2</v>
      </c>
      <c r="AB124" s="10">
        <f t="shared" si="32"/>
        <v>-1</v>
      </c>
      <c r="AC124" s="10" t="e">
        <f t="shared" si="32"/>
        <v>#DIV/0!</v>
      </c>
      <c r="AI124" s="10">
        <f t="shared" ref="AI124:AO124" si="33">AI90/AH90-1</f>
        <v>0.12490213645205284</v>
      </c>
      <c r="AJ124" s="10">
        <f t="shared" si="33"/>
        <v>8.7033263496254731E-2</v>
      </c>
      <c r="AK124" s="10">
        <f t="shared" si="33"/>
        <v>-4.2448284511095613E-2</v>
      </c>
      <c r="AL124" s="10">
        <f t="shared" si="33"/>
        <v>1.8894196634751337E-2</v>
      </c>
      <c r="AM124" s="10">
        <f t="shared" si="33"/>
        <v>0.12441479717478954</v>
      </c>
      <c r="AN124" s="10">
        <f t="shared" si="33"/>
        <v>-1</v>
      </c>
      <c r="AO124" s="10" t="e">
        <f t="shared" si="33"/>
        <v>#DIV/0!</v>
      </c>
    </row>
    <row r="126" spans="2:41" s="21" customFormat="1" x14ac:dyDescent="0.25">
      <c r="B126" s="21" t="s">
        <v>204</v>
      </c>
      <c r="F126" s="21">
        <f>F81/F101</f>
        <v>1.5525397895477329</v>
      </c>
      <c r="G126" s="21">
        <f t="shared" ref="G126:AC126" si="34">G81/G101</f>
        <v>1.5629584705134869</v>
      </c>
      <c r="H126" s="21">
        <f t="shared" si="34"/>
        <v>1.8421842963989719</v>
      </c>
      <c r="I126" s="21">
        <f t="shared" si="34"/>
        <v>1.293541246984506</v>
      </c>
      <c r="J126" s="21">
        <f t="shared" si="34"/>
        <v>1.30745</v>
      </c>
      <c r="K126" s="21">
        <f t="shared" si="34"/>
        <v>1.3851276632344629</v>
      </c>
      <c r="L126" s="21">
        <f t="shared" si="34"/>
        <v>1.3037672195670509</v>
      </c>
      <c r="M126" s="21">
        <f t="shared" si="34"/>
        <v>1.3263265770895012</v>
      </c>
      <c r="N126" s="21">
        <f t="shared" si="34"/>
        <v>1.3781801995970575</v>
      </c>
      <c r="O126" s="21">
        <f t="shared" si="34"/>
        <v>1.4192423214804768</v>
      </c>
      <c r="P126" s="21">
        <f t="shared" si="34"/>
        <v>1.3419407321324812</v>
      </c>
      <c r="Q126" s="21">
        <f t="shared" si="34"/>
        <v>1.3301129010665358</v>
      </c>
      <c r="R126" s="21">
        <f t="shared" si="34"/>
        <v>1.3501436109812304</v>
      </c>
      <c r="S126" s="21">
        <f t="shared" si="34"/>
        <v>1.3185529916187275</v>
      </c>
      <c r="T126" s="21">
        <f t="shared" si="34"/>
        <v>1.4077830188679246</v>
      </c>
      <c r="U126" s="21">
        <f t="shared" si="34"/>
        <v>1.403630551432812</v>
      </c>
      <c r="V126" s="21">
        <f t="shared" si="34"/>
        <v>1.3971489080682258</v>
      </c>
      <c r="W126" s="21">
        <f t="shared" si="34"/>
        <v>1.5366181110290662</v>
      </c>
      <c r="X126" s="21">
        <f t="shared" si="34"/>
        <v>1.1932064518499468</v>
      </c>
      <c r="Y126" s="21">
        <f t="shared" si="34"/>
        <v>1.4963042143328253</v>
      </c>
      <c r="Z126" s="21">
        <f t="shared" si="34"/>
        <v>1.3692262118871796</v>
      </c>
      <c r="AA126" s="21">
        <f t="shared" si="34"/>
        <v>1.3761854583772393</v>
      </c>
      <c r="AB126" s="21" t="e">
        <f t="shared" si="34"/>
        <v>#DIV/0!</v>
      </c>
      <c r="AC126" s="21" t="e">
        <f t="shared" si="34"/>
        <v>#DIV/0!</v>
      </c>
      <c r="AH126" s="21">
        <f t="shared" ref="AH126:AO126" si="35">AH81/AH101</f>
        <v>1.5525397895477329</v>
      </c>
      <c r="AI126" s="21">
        <f t="shared" si="35"/>
        <v>1.30745</v>
      </c>
      <c r="AJ126" s="21">
        <f t="shared" si="35"/>
        <v>1.3781801995970575</v>
      </c>
      <c r="AK126" s="21">
        <f t="shared" si="35"/>
        <v>1.3501436109812304</v>
      </c>
      <c r="AL126" s="21">
        <f t="shared" si="35"/>
        <v>1.3971489080682258</v>
      </c>
      <c r="AM126" s="21">
        <f t="shared" si="35"/>
        <v>1.3692262118871796</v>
      </c>
      <c r="AN126" s="21" t="e">
        <f t="shared" si="35"/>
        <v>#DIV/0!</v>
      </c>
      <c r="AO126" s="21" t="e">
        <f t="shared" si="35"/>
        <v>#DIV/0!</v>
      </c>
    </row>
    <row r="127" spans="2:41" s="21" customFormat="1" x14ac:dyDescent="0.25">
      <c r="B127" s="21" t="s">
        <v>205</v>
      </c>
      <c r="F127" s="21">
        <f t="shared" ref="F127:AC127" si="36">(F73+F74)/F101</f>
        <v>0.82407597385467657</v>
      </c>
      <c r="G127" s="21">
        <f t="shared" si="36"/>
        <v>0.80523306186102928</v>
      </c>
      <c r="H127" s="21">
        <f t="shared" si="36"/>
        <v>1.0855063674954517</v>
      </c>
      <c r="I127" s="21">
        <f t="shared" si="36"/>
        <v>0.6417468725907135</v>
      </c>
      <c r="J127" s="21">
        <f t="shared" si="36"/>
        <v>0.62657499999999999</v>
      </c>
      <c r="K127" s="21">
        <f t="shared" si="36"/>
        <v>0.69090506966800191</v>
      </c>
      <c r="L127" s="21">
        <f t="shared" si="36"/>
        <v>0.59635929153781275</v>
      </c>
      <c r="M127" s="21">
        <f t="shared" si="36"/>
        <v>0.59801867456160329</v>
      </c>
      <c r="N127" s="21">
        <f t="shared" si="36"/>
        <v>0.6364147495666026</v>
      </c>
      <c r="O127" s="21">
        <f t="shared" si="36"/>
        <v>0.65584730161806026</v>
      </c>
      <c r="P127" s="21">
        <f t="shared" si="36"/>
        <v>0.59902382335851245</v>
      </c>
      <c r="Q127" s="21">
        <f t="shared" si="36"/>
        <v>0.59335534829755898</v>
      </c>
      <c r="R127" s="21">
        <f t="shared" si="36"/>
        <v>0.6120499632623071</v>
      </c>
      <c r="S127" s="21">
        <f t="shared" si="36"/>
        <v>0.60293452265529057</v>
      </c>
      <c r="T127" s="21">
        <f t="shared" si="36"/>
        <v>0.58665094339622637</v>
      </c>
      <c r="U127" s="21">
        <f t="shared" si="36"/>
        <v>0.5622331316360315</v>
      </c>
      <c r="V127" s="21">
        <f t="shared" si="36"/>
        <v>0.59478969781158197</v>
      </c>
      <c r="W127" s="21">
        <f t="shared" si="36"/>
        <v>0.69841802600076075</v>
      </c>
      <c r="X127" s="21">
        <f t="shared" si="36"/>
        <v>0.55303670500055113</v>
      </c>
      <c r="Y127" s="21">
        <f t="shared" si="36"/>
        <v>0.72059860356160021</v>
      </c>
      <c r="Z127" s="21">
        <f t="shared" si="36"/>
        <v>0.65853452106387933</v>
      </c>
      <c r="AA127" s="21">
        <f t="shared" si="36"/>
        <v>0.65137391586285154</v>
      </c>
      <c r="AB127" s="21" t="e">
        <f t="shared" si="36"/>
        <v>#DIV/0!</v>
      </c>
      <c r="AC127" s="21" t="e">
        <f t="shared" si="36"/>
        <v>#DIV/0!</v>
      </c>
      <c r="AH127" s="21">
        <f t="shared" ref="AH127:AO127" si="37">(AH73+AH74)/AH101</f>
        <v>0.82407597385467657</v>
      </c>
      <c r="AI127" s="21">
        <f t="shared" si="37"/>
        <v>0.62657499999999999</v>
      </c>
      <c r="AJ127" s="21">
        <f t="shared" si="37"/>
        <v>0.6364147495666026</v>
      </c>
      <c r="AK127" s="21">
        <f t="shared" si="37"/>
        <v>0.6120499632623071</v>
      </c>
      <c r="AL127" s="21">
        <f t="shared" si="37"/>
        <v>0.59478969781158197</v>
      </c>
      <c r="AM127" s="21">
        <f t="shared" si="37"/>
        <v>0.65853452106387933</v>
      </c>
      <c r="AN127" s="21" t="e">
        <f t="shared" si="37"/>
        <v>#DIV/0!</v>
      </c>
      <c r="AO127" s="21" t="e">
        <f t="shared" si="37"/>
        <v>#DIV/0!</v>
      </c>
    </row>
    <row r="128" spans="2:41" s="21" customFormat="1" x14ac:dyDescent="0.25">
      <c r="B128" s="21" t="s">
        <v>206</v>
      </c>
      <c r="F128" s="21">
        <f>F73/F101</f>
        <v>0.41155435706539262</v>
      </c>
      <c r="G128" s="21">
        <f t="shared" ref="G128:AC128" si="38">G73/G101</f>
        <v>0.40478253335643738</v>
      </c>
      <c r="H128" s="21">
        <f t="shared" si="38"/>
        <v>0.68263594097432789</v>
      </c>
      <c r="I128" s="21">
        <f t="shared" si="38"/>
        <v>0.2655624362704867</v>
      </c>
      <c r="J128" s="21">
        <f t="shared" si="38"/>
        <v>0.238625</v>
      </c>
      <c r="K128" s="21">
        <f t="shared" si="38"/>
        <v>0.29978128916521268</v>
      </c>
      <c r="L128" s="21">
        <f t="shared" si="38"/>
        <v>0.22244869271858309</v>
      </c>
      <c r="M128" s="21">
        <f t="shared" si="38"/>
        <v>0.22994762013208836</v>
      </c>
      <c r="N128" s="21">
        <f t="shared" si="38"/>
        <v>0.24516234831092162</v>
      </c>
      <c r="O128" s="21">
        <f t="shared" si="38"/>
        <v>0.24549462261408778</v>
      </c>
      <c r="P128" s="21">
        <f t="shared" si="38"/>
        <v>0.21350377687391051</v>
      </c>
      <c r="Q128" s="21">
        <f t="shared" si="38"/>
        <v>0.2187067696014994</v>
      </c>
      <c r="R128" s="21">
        <f t="shared" si="38"/>
        <v>0.22452296662436266</v>
      </c>
      <c r="S128" s="21">
        <f t="shared" si="38"/>
        <v>0.23202551009415465</v>
      </c>
      <c r="T128" s="21">
        <f t="shared" si="38"/>
        <v>0.18195754716981133</v>
      </c>
      <c r="U128" s="21">
        <f t="shared" si="38"/>
        <v>0.17714350953305172</v>
      </c>
      <c r="V128" s="21">
        <f t="shared" si="38"/>
        <v>0.20850317673581856</v>
      </c>
      <c r="W128" s="21">
        <f t="shared" si="38"/>
        <v>0.31160636369738876</v>
      </c>
      <c r="X128" s="21">
        <f t="shared" si="38"/>
        <v>0.23305287136716024</v>
      </c>
      <c r="Y128" s="21">
        <f t="shared" si="38"/>
        <v>0.33298460278832814</v>
      </c>
      <c r="Z128" s="21">
        <f t="shared" si="38"/>
        <v>0.30670108546158564</v>
      </c>
      <c r="AA128" s="21">
        <f t="shared" si="38"/>
        <v>0.30929318310772475</v>
      </c>
      <c r="AB128" s="21" t="e">
        <f t="shared" si="38"/>
        <v>#DIV/0!</v>
      </c>
      <c r="AC128" s="21" t="e">
        <f t="shared" si="38"/>
        <v>#DIV/0!</v>
      </c>
      <c r="AH128" s="21">
        <f t="shared" ref="AH128:AO128" si="39">AH73/AH101</f>
        <v>0.41155435706539262</v>
      </c>
      <c r="AI128" s="21">
        <f t="shared" si="39"/>
        <v>0.238625</v>
      </c>
      <c r="AJ128" s="21">
        <f t="shared" si="39"/>
        <v>0.24516234831092162</v>
      </c>
      <c r="AK128" s="21">
        <f t="shared" si="39"/>
        <v>0.22452296662436266</v>
      </c>
      <c r="AL128" s="21">
        <f t="shared" si="39"/>
        <v>0.20850317673581856</v>
      </c>
      <c r="AM128" s="21">
        <f t="shared" si="39"/>
        <v>0.30670108546158564</v>
      </c>
      <c r="AN128" s="21" t="e">
        <f t="shared" si="39"/>
        <v>#DIV/0!</v>
      </c>
      <c r="AO128" s="21" t="e">
        <f t="shared" si="39"/>
        <v>#DIV/0!</v>
      </c>
    </row>
    <row r="129" spans="2:41" s="21" customFormat="1" x14ac:dyDescent="0.25"/>
    <row r="130" spans="2:41" s="21" customFormat="1" x14ac:dyDescent="0.25">
      <c r="B130" s="21" t="s">
        <v>212</v>
      </c>
      <c r="F130" s="21">
        <f>F109/F119</f>
        <v>0.67857978804975105</v>
      </c>
      <c r="G130" s="21">
        <f t="shared" ref="G130:AC130" si="40">G109/G119</f>
        <v>0.66722939587588115</v>
      </c>
      <c r="H130" s="21">
        <f t="shared" si="40"/>
        <v>0.66128150207355418</v>
      </c>
      <c r="I130" s="21">
        <f t="shared" si="40"/>
        <v>0.65887847052203086</v>
      </c>
      <c r="J130" s="21">
        <f t="shared" si="40"/>
        <v>0.6484875010762563</v>
      </c>
      <c r="K130" s="21">
        <f t="shared" si="40"/>
        <v>0.63923301179289382</v>
      </c>
      <c r="L130" s="21">
        <f t="shared" si="40"/>
        <v>0.64833340280382923</v>
      </c>
      <c r="M130" s="21">
        <f t="shared" si="40"/>
        <v>0.6492588431925912</v>
      </c>
      <c r="N130" s="21">
        <f t="shared" si="40"/>
        <v>0.63825560058613084</v>
      </c>
      <c r="O130" s="21">
        <f t="shared" si="40"/>
        <v>0.64413009192032178</v>
      </c>
      <c r="P130" s="21">
        <f t="shared" si="40"/>
        <v>0.64758001916124119</v>
      </c>
      <c r="Q130" s="21">
        <f t="shared" si="40"/>
        <v>0.64868043762701488</v>
      </c>
      <c r="R130" s="21">
        <f t="shared" si="40"/>
        <v>0.63430320325909384</v>
      </c>
      <c r="S130" s="21">
        <f t="shared" si="40"/>
        <v>0.64888385456956565</v>
      </c>
      <c r="T130" s="21">
        <f t="shared" si="40"/>
        <v>0.64610952601363725</v>
      </c>
      <c r="U130" s="21">
        <f t="shared" si="40"/>
        <v>0.63024824299052806</v>
      </c>
      <c r="V130" s="21">
        <f t="shared" si="40"/>
        <v>0.61957757150975568</v>
      </c>
      <c r="W130" s="21">
        <f t="shared" si="40"/>
        <v>0.589262297678249</v>
      </c>
      <c r="X130" s="21">
        <f t="shared" si="40"/>
        <v>0.61145313758894915</v>
      </c>
      <c r="Y130" s="21">
        <f t="shared" si="40"/>
        <v>0.59349358283832443</v>
      </c>
      <c r="Z130" s="21">
        <f t="shared" si="40"/>
        <v>0.5886210755586575</v>
      </c>
      <c r="AA130" s="21">
        <f t="shared" si="40"/>
        <v>0.57668661172957791</v>
      </c>
      <c r="AB130" s="21" t="e">
        <f t="shared" si="40"/>
        <v>#DIV/0!</v>
      </c>
      <c r="AC130" s="21" t="e">
        <f t="shared" si="40"/>
        <v>#DIV/0!</v>
      </c>
      <c r="AH130" s="21">
        <f t="shared" ref="AH130:AO130" si="41">AH109/AH119</f>
        <v>0.67857978804975105</v>
      </c>
      <c r="AI130" s="21">
        <f t="shared" si="41"/>
        <v>0.6484875010762563</v>
      </c>
      <c r="AJ130" s="21">
        <f t="shared" si="41"/>
        <v>0.63825560058613084</v>
      </c>
      <c r="AK130" s="21">
        <f t="shared" si="41"/>
        <v>0.63430320325909384</v>
      </c>
      <c r="AL130" s="21">
        <f t="shared" si="41"/>
        <v>0.61957757150975568</v>
      </c>
      <c r="AM130" s="21">
        <f t="shared" si="41"/>
        <v>0.5886210755586575</v>
      </c>
      <c r="AN130" s="21" t="e">
        <f t="shared" si="41"/>
        <v>#DIV/0!</v>
      </c>
      <c r="AO130" s="21" t="e">
        <f t="shared" si="41"/>
        <v>#DIV/0!</v>
      </c>
    </row>
    <row r="131" spans="2:41" s="21" customFormat="1" x14ac:dyDescent="0.25">
      <c r="B131" s="21" t="s">
        <v>207</v>
      </c>
      <c r="F131" s="21">
        <f>F109/F118</f>
        <v>2.111192024709339</v>
      </c>
      <c r="G131" s="21">
        <f t="shared" ref="G131:AC131" si="42">G109/G118</f>
        <v>2.0050731272736271</v>
      </c>
      <c r="H131" s="21">
        <f t="shared" si="42"/>
        <v>1.9523040699630003</v>
      </c>
      <c r="I131" s="21">
        <f t="shared" si="42"/>
        <v>1.9315065558316908</v>
      </c>
      <c r="J131" s="21">
        <f t="shared" si="42"/>
        <v>1.8448490539078606</v>
      </c>
      <c r="K131" s="21">
        <f t="shared" si="42"/>
        <v>1.7718722407769971</v>
      </c>
      <c r="L131" s="21">
        <f t="shared" si="42"/>
        <v>1.8436024574781218</v>
      </c>
      <c r="M131" s="21">
        <f t="shared" si="42"/>
        <v>1.8511053823920007</v>
      </c>
      <c r="N131" s="21">
        <f t="shared" si="42"/>
        <v>1.7643828117872458</v>
      </c>
      <c r="O131" s="21">
        <f t="shared" si="42"/>
        <v>1.8100156188988676</v>
      </c>
      <c r="P131" s="21">
        <f t="shared" si="42"/>
        <v>1.8375235638456195</v>
      </c>
      <c r="Q131" s="21">
        <f t="shared" si="42"/>
        <v>1.8464113789892826</v>
      </c>
      <c r="R131" s="21">
        <f t="shared" si="42"/>
        <v>1.7345057679258087</v>
      </c>
      <c r="S131" s="21">
        <f t="shared" si="42"/>
        <v>1.8480604296168071</v>
      </c>
      <c r="T131" s="21">
        <f t="shared" si="42"/>
        <v>1.8257330261976341</v>
      </c>
      <c r="U131" s="21">
        <f t="shared" si="42"/>
        <v>1.7045483594135153</v>
      </c>
      <c r="V131" s="21">
        <f t="shared" si="42"/>
        <v>1.6286567907382048</v>
      </c>
      <c r="W131" s="21">
        <f t="shared" si="42"/>
        <v>1.4346437990653484</v>
      </c>
      <c r="X131" s="21">
        <f t="shared" si="42"/>
        <v>1.5736921250494658</v>
      </c>
      <c r="Y131" s="21">
        <f t="shared" si="42"/>
        <v>1.4599636583888553</v>
      </c>
      <c r="Z131" s="21">
        <f t="shared" si="42"/>
        <v>1.4308698132249054</v>
      </c>
      <c r="AA131" s="21">
        <f t="shared" si="42"/>
        <v>1.3623160233268536</v>
      </c>
      <c r="AB131" s="21" t="e">
        <f t="shared" si="42"/>
        <v>#DIV/0!</v>
      </c>
      <c r="AC131" s="21" t="e">
        <f t="shared" si="42"/>
        <v>#DIV/0!</v>
      </c>
      <c r="AH131" s="21">
        <f t="shared" ref="AH131:AO131" si="43">AH109/AH118</f>
        <v>2.111192024709339</v>
      </c>
      <c r="AI131" s="21">
        <f t="shared" si="43"/>
        <v>1.8448490539078606</v>
      </c>
      <c r="AJ131" s="21">
        <f t="shared" si="43"/>
        <v>1.7643828117872458</v>
      </c>
      <c r="AK131" s="21">
        <f t="shared" si="43"/>
        <v>1.7345057679258087</v>
      </c>
      <c r="AL131" s="21">
        <f t="shared" si="43"/>
        <v>1.6286567907382048</v>
      </c>
      <c r="AM131" s="21">
        <f t="shared" si="43"/>
        <v>1.4308698132249054</v>
      </c>
      <c r="AN131" s="21" t="e">
        <f t="shared" si="43"/>
        <v>#DIV/0!</v>
      </c>
      <c r="AO131" s="21" t="e">
        <f t="shared" si="43"/>
        <v>#DIV/0!</v>
      </c>
    </row>
    <row r="132" spans="2:41" s="21" customFormat="1" x14ac:dyDescent="0.25">
      <c r="B132" s="21" t="s">
        <v>208</v>
      </c>
      <c r="F132" s="21">
        <f t="shared" ref="F132:AC132" si="44">SUM(C3:F3)/F90</f>
        <v>0.4459672147025352</v>
      </c>
      <c r="G132" s="21">
        <f t="shared" si="44"/>
        <v>0.45826985630172518</v>
      </c>
      <c r="H132" s="21">
        <f t="shared" si="44"/>
        <v>0.4293776299199441</v>
      </c>
      <c r="I132" s="21">
        <f t="shared" si="44"/>
        <v>0.43584421658834621</v>
      </c>
      <c r="J132" s="21">
        <f t="shared" si="44"/>
        <v>0.44675401084866401</v>
      </c>
      <c r="K132" s="21">
        <f t="shared" si="44"/>
        <v>0.44797069434730524</v>
      </c>
      <c r="L132" s="21">
        <f t="shared" si="44"/>
        <v>0.46591082767148789</v>
      </c>
      <c r="M132" s="21">
        <f t="shared" si="44"/>
        <v>0.47160040551278187</v>
      </c>
      <c r="N132" s="21">
        <f t="shared" si="44"/>
        <v>0.47508943776319784</v>
      </c>
      <c r="O132" s="21">
        <f t="shared" si="44"/>
        <v>0.51101584809176748</v>
      </c>
      <c r="P132" s="21">
        <f t="shared" si="44"/>
        <v>0.53096218801793049</v>
      </c>
      <c r="Q132" s="21">
        <f t="shared" si="44"/>
        <v>0.53553631580412575</v>
      </c>
      <c r="R132" s="21">
        <f t="shared" si="44"/>
        <v>0.53606854574656548</v>
      </c>
      <c r="S132" s="21">
        <f t="shared" si="44"/>
        <v>0.53488645154160686</v>
      </c>
      <c r="T132" s="21">
        <f t="shared" si="44"/>
        <v>0.52850066666206108</v>
      </c>
      <c r="U132" s="21">
        <f t="shared" si="44"/>
        <v>0.51655065790806165</v>
      </c>
      <c r="V132" s="21">
        <f t="shared" si="44"/>
        <v>0.51369306957486538</v>
      </c>
      <c r="W132" s="21">
        <f t="shared" si="44"/>
        <v>0.48486269044376168</v>
      </c>
      <c r="X132" s="21">
        <f t="shared" si="44"/>
        <v>0.47862454103190172</v>
      </c>
      <c r="Y132" s="21">
        <f t="shared" si="44"/>
        <v>0.48196731402542242</v>
      </c>
      <c r="Z132" s="21">
        <f t="shared" si="44"/>
        <v>0.47480776404616071</v>
      </c>
      <c r="AA132" s="21">
        <f t="shared" si="44"/>
        <v>0.46845427721678207</v>
      </c>
      <c r="AB132" s="21" t="e">
        <f t="shared" si="44"/>
        <v>#DIV/0!</v>
      </c>
      <c r="AC132" s="21" t="e">
        <f t="shared" si="44"/>
        <v>#DIV/0!</v>
      </c>
      <c r="AH132" s="21">
        <f>AH3/AH90</f>
        <v>0.4459672147025352</v>
      </c>
      <c r="AI132" s="21">
        <f t="shared" ref="AI132:AO132" si="45">AI3/AI90</f>
        <v>0.44675401084866401</v>
      </c>
      <c r="AJ132" s="21">
        <f t="shared" si="45"/>
        <v>0.47508943776319784</v>
      </c>
      <c r="AK132" s="21">
        <f t="shared" si="45"/>
        <v>0.51617483852734181</v>
      </c>
      <c r="AL132" s="21">
        <f t="shared" si="45"/>
        <v>0.51369306957486538</v>
      </c>
      <c r="AM132" s="21">
        <f t="shared" si="45"/>
        <v>0.47480776404616071</v>
      </c>
      <c r="AN132" s="21" t="e">
        <f t="shared" si="45"/>
        <v>#DIV/0!</v>
      </c>
      <c r="AO132" s="21" t="e">
        <f t="shared" si="45"/>
        <v>#DIV/0!</v>
      </c>
    </row>
    <row r="133" spans="2:41" s="21" customFormat="1" x14ac:dyDescent="0.25">
      <c r="B133" s="21" t="s">
        <v>217</v>
      </c>
      <c r="F133" s="21">
        <f t="shared" ref="F133:AC133" si="46">-SUM(C4:F4)/F77</f>
        <v>4.5370109044259141</v>
      </c>
      <c r="G133" s="21">
        <f t="shared" si="46"/>
        <v>4.5756166860390026</v>
      </c>
      <c r="H133" s="21">
        <f t="shared" si="46"/>
        <v>4.535444947209653</v>
      </c>
      <c r="I133" s="21">
        <f t="shared" si="46"/>
        <v>4.2511165698972757</v>
      </c>
      <c r="J133" s="21">
        <f t="shared" si="46"/>
        <v>4.4734042553191493</v>
      </c>
      <c r="K133" s="21">
        <f t="shared" si="46"/>
        <v>4.21772619903461</v>
      </c>
      <c r="L133" s="21">
        <f t="shared" si="46"/>
        <v>4.24579790389559</v>
      </c>
      <c r="M133" s="21">
        <f t="shared" si="46"/>
        <v>4.1133877248284811</v>
      </c>
      <c r="N133" s="21">
        <f t="shared" si="46"/>
        <v>4.341332580463015</v>
      </c>
      <c r="O133" s="21">
        <f t="shared" si="46"/>
        <v>4.1760519526732498</v>
      </c>
      <c r="P133" s="21">
        <f t="shared" si="46"/>
        <v>4.1329879101899829</v>
      </c>
      <c r="Q133" s="21">
        <f t="shared" si="46"/>
        <v>4.001254075746175</v>
      </c>
      <c r="R133" s="21">
        <f t="shared" si="46"/>
        <v>4.1666089366124002</v>
      </c>
      <c r="S133" s="21">
        <f t="shared" si="46"/>
        <v>3.9165298752462245</v>
      </c>
      <c r="T133" s="21">
        <f t="shared" si="46"/>
        <v>3.7794354838709676</v>
      </c>
      <c r="U133" s="21">
        <f t="shared" si="46"/>
        <v>3.831474597273854</v>
      </c>
      <c r="V133" s="21">
        <f t="shared" si="46"/>
        <v>4.221093106289481</v>
      </c>
      <c r="W133" s="21">
        <f t="shared" si="46"/>
        <v>3.9859912872640302</v>
      </c>
      <c r="X133" s="21">
        <f t="shared" si="46"/>
        <v>4.1214993911984692</v>
      </c>
      <c r="Y133" s="21">
        <f t="shared" si="46"/>
        <v>4.3060456784594718</v>
      </c>
      <c r="Z133" s="21">
        <f t="shared" si="46"/>
        <v>4.5845775845775849</v>
      </c>
      <c r="AA133" s="21">
        <f t="shared" si="46"/>
        <v>4.3924324324324324</v>
      </c>
      <c r="AB133" s="21" t="e">
        <f t="shared" si="46"/>
        <v>#DIV/0!</v>
      </c>
      <c r="AC133" s="21" t="e">
        <f t="shared" si="46"/>
        <v>#DIV/0!</v>
      </c>
      <c r="AH133" s="21">
        <f>-AH4/AH77</f>
        <v>4.5370109044259141</v>
      </c>
      <c r="AI133" s="21">
        <f t="shared" ref="AI133:AO133" si="47">-AI4/AI77</f>
        <v>4.4734042553191493</v>
      </c>
      <c r="AJ133" s="21">
        <f t="shared" si="47"/>
        <v>4.3412384716732539</v>
      </c>
      <c r="AK133" s="21">
        <f t="shared" si="47"/>
        <v>3.9631104953238654</v>
      </c>
      <c r="AL133" s="21">
        <f t="shared" si="47"/>
        <v>4.221093106289481</v>
      </c>
      <c r="AM133" s="21">
        <f t="shared" si="47"/>
        <v>4.5846720846720848</v>
      </c>
      <c r="AN133" s="21" t="e">
        <f t="shared" si="47"/>
        <v>#DIV/0!</v>
      </c>
      <c r="AO133" s="21" t="e">
        <f t="shared" si="47"/>
        <v>#DIV/0!</v>
      </c>
    </row>
    <row r="135" spans="2:41" s="10" customFormat="1" x14ac:dyDescent="0.25">
      <c r="B135" s="10" t="s">
        <v>209</v>
      </c>
      <c r="F135" s="10">
        <f t="shared" ref="F135:AC135" si="48">SUM(C18:F18)/F118</f>
        <v>0.10546669010370892</v>
      </c>
      <c r="G135" s="10">
        <f t="shared" si="48"/>
        <v>0.11403400232621445</v>
      </c>
      <c r="H135" s="10">
        <f t="shared" si="48"/>
        <v>0.1412938670254513</v>
      </c>
      <c r="I135" s="10">
        <f t="shared" si="48"/>
        <v>0.15524038049532951</v>
      </c>
      <c r="J135" s="10">
        <f t="shared" si="48"/>
        <v>0.13669857728970627</v>
      </c>
      <c r="K135" s="10">
        <f t="shared" si="48"/>
        <v>0.13428538523551767</v>
      </c>
      <c r="L135" s="10">
        <f t="shared" si="48"/>
        <v>0.11495229252681693</v>
      </c>
      <c r="M135" s="10">
        <f t="shared" si="48"/>
        <v>5.4839465666744788E-2</v>
      </c>
      <c r="N135" s="10">
        <f t="shared" si="48"/>
        <v>8.0120426968342304E-2</v>
      </c>
      <c r="O135" s="10">
        <f t="shared" si="48"/>
        <v>8.260445138617728E-2</v>
      </c>
      <c r="P135" s="10">
        <f t="shared" si="48"/>
        <v>0.13035023315805139</v>
      </c>
      <c r="Q135" s="10">
        <f t="shared" si="48"/>
        <v>0.18898948077418332</v>
      </c>
      <c r="R135" s="10">
        <f t="shared" si="48"/>
        <v>0.16076679484279574</v>
      </c>
      <c r="S135" s="10">
        <f t="shared" si="48"/>
        <v>0.18571484774569202</v>
      </c>
      <c r="T135" s="10">
        <f t="shared" si="48"/>
        <v>0.1578495295357826</v>
      </c>
      <c r="U135" s="10">
        <f t="shared" si="48"/>
        <v>0.16029725929848265</v>
      </c>
      <c r="V135" s="10">
        <f t="shared" si="48"/>
        <v>0.15991179242766446</v>
      </c>
      <c r="W135" s="10">
        <f t="shared" si="48"/>
        <v>0.15904498974351064</v>
      </c>
      <c r="X135" s="10">
        <f t="shared" si="48"/>
        <v>0.1670755836960823</v>
      </c>
      <c r="Y135" s="10">
        <f t="shared" si="48"/>
        <v>0.16149303452453059</v>
      </c>
      <c r="Z135" s="10">
        <f t="shared" si="48"/>
        <v>0.15192113615421743</v>
      </c>
      <c r="AA135" s="10">
        <f t="shared" si="48"/>
        <v>0.12136906414884754</v>
      </c>
      <c r="AB135" s="10" t="e">
        <f t="shared" si="48"/>
        <v>#DIV/0!</v>
      </c>
      <c r="AC135" s="10" t="e">
        <f t="shared" si="48"/>
        <v>#DIV/0!</v>
      </c>
      <c r="AH135" s="10">
        <f>AH18/AH118</f>
        <v>0.10546669010370892</v>
      </c>
      <c r="AI135" s="10">
        <f t="shared" ref="AI135:AO135" si="49">AI18/AI118</f>
        <v>0.13669857728970627</v>
      </c>
      <c r="AJ135" s="10">
        <f t="shared" si="49"/>
        <v>8.01386734786972E-2</v>
      </c>
      <c r="AK135" s="10">
        <f t="shared" si="49"/>
        <v>0.16076679484279574</v>
      </c>
      <c r="AL135" s="10">
        <f t="shared" si="49"/>
        <v>0.15991179242766446</v>
      </c>
      <c r="AM135" s="10">
        <f t="shared" si="49"/>
        <v>0.15192113615421743</v>
      </c>
      <c r="AN135" s="10" t="e">
        <f t="shared" si="49"/>
        <v>#DIV/0!</v>
      </c>
      <c r="AO135" s="10" t="e">
        <f t="shared" si="49"/>
        <v>#DIV/0!</v>
      </c>
    </row>
    <row r="136" spans="2:41" s="10" customFormat="1" x14ac:dyDescent="0.25">
      <c r="B136" s="10" t="s">
        <v>210</v>
      </c>
      <c r="F136" s="10">
        <f t="shared" ref="F136:AC136" si="50">(SUM(C18:F18)+SUM(C12:F12))/F118</f>
        <v>8.5026241116942472E-2</v>
      </c>
      <c r="G136" s="10">
        <f t="shared" si="50"/>
        <v>9.3345541834739781E-2</v>
      </c>
      <c r="H136" s="10">
        <f t="shared" si="50"/>
        <v>0.12586612848974099</v>
      </c>
      <c r="I136" s="10">
        <f t="shared" si="50"/>
        <v>0.1422358385465764</v>
      </c>
      <c r="J136" s="10">
        <f t="shared" si="50"/>
        <v>0.1235533057092119</v>
      </c>
      <c r="K136" s="10">
        <f t="shared" si="50"/>
        <v>0.12192406618296288</v>
      </c>
      <c r="L136" s="10">
        <f t="shared" si="50"/>
        <v>0.10175618814326071</v>
      </c>
      <c r="M136" s="10">
        <f t="shared" si="50"/>
        <v>4.134442621670182E-2</v>
      </c>
      <c r="N136" s="10">
        <f t="shared" si="50"/>
        <v>6.7530334823465016E-2</v>
      </c>
      <c r="O136" s="10">
        <f t="shared" si="50"/>
        <v>6.6966028894962906E-2</v>
      </c>
      <c r="P136" s="10">
        <f t="shared" si="50"/>
        <v>0.11128088103978569</v>
      </c>
      <c r="Q136" s="10">
        <f t="shared" si="50"/>
        <v>0.16561342340379168</v>
      </c>
      <c r="R136" s="10">
        <f t="shared" si="50"/>
        <v>0.13488652642690191</v>
      </c>
      <c r="S136" s="10">
        <f t="shared" si="50"/>
        <v>0.15587379022739792</v>
      </c>
      <c r="T136" s="10">
        <f t="shared" si="50"/>
        <v>0.12630304923281147</v>
      </c>
      <c r="U136" s="10">
        <f t="shared" si="50"/>
        <v>0.12954881589278214</v>
      </c>
      <c r="V136" s="10">
        <f t="shared" si="50"/>
        <v>0.1281677366577155</v>
      </c>
      <c r="W136" s="10">
        <f t="shared" si="50"/>
        <v>0.132038805003316</v>
      </c>
      <c r="X136" s="10">
        <f t="shared" si="50"/>
        <v>0.14057776018994855</v>
      </c>
      <c r="Y136" s="10">
        <f t="shared" si="50"/>
        <v>0.13609933373712901</v>
      </c>
      <c r="Z136" s="10">
        <f t="shared" si="50"/>
        <v>0.12793435813429671</v>
      </c>
      <c r="AA136" s="10">
        <f t="shared" si="50"/>
        <v>9.7917245209663981E-2</v>
      </c>
      <c r="AB136" s="10" t="e">
        <f t="shared" si="50"/>
        <v>#DIV/0!</v>
      </c>
      <c r="AC136" s="10" t="e">
        <f t="shared" si="50"/>
        <v>#DIV/0!</v>
      </c>
      <c r="AH136" s="10">
        <f t="shared" ref="AH136:AO136" si="51">(AH18+AH12)/AH118</f>
        <v>8.5026241116942472E-2</v>
      </c>
      <c r="AI136" s="10">
        <f t="shared" si="51"/>
        <v>0.1235533057092119</v>
      </c>
      <c r="AJ136" s="10">
        <f t="shared" si="51"/>
        <v>6.7566827844174795E-2</v>
      </c>
      <c r="AK136" s="10">
        <f t="shared" si="51"/>
        <v>0.13496192414989067</v>
      </c>
      <c r="AL136" s="10">
        <f t="shared" si="51"/>
        <v>0.1281677366577155</v>
      </c>
      <c r="AM136" s="10">
        <f t="shared" si="51"/>
        <v>0.12793435813429671</v>
      </c>
      <c r="AN136" s="10" t="e">
        <f t="shared" si="51"/>
        <v>#DIV/0!</v>
      </c>
      <c r="AO136" s="10" t="e">
        <f t="shared" si="51"/>
        <v>#DIV/0!</v>
      </c>
    </row>
    <row r="137" spans="2:41" s="10" customFormat="1" x14ac:dyDescent="0.25">
      <c r="B137" s="10" t="s">
        <v>211</v>
      </c>
      <c r="F137" s="10">
        <f t="shared" ref="F137:AC137" si="52">((SUM(C5:F5)+SUM(C6:F6)+SUM(C7:F7))*(1-HARMEAN(C61:F61))/(F118-F71))</f>
        <v>5.0267619590513804E-2</v>
      </c>
      <c r="G137" s="10">
        <f t="shared" si="52"/>
        <v>5.7347037147305893E-2</v>
      </c>
      <c r="H137" s="10">
        <f t="shared" si="52"/>
        <v>5.8194388936315102E-2</v>
      </c>
      <c r="I137" s="10">
        <f t="shared" si="52"/>
        <v>5.5619336226686106E-2</v>
      </c>
      <c r="J137" s="10">
        <f t="shared" si="52"/>
        <v>5.759819438394604E-2</v>
      </c>
      <c r="K137" s="10">
        <f t="shared" si="52"/>
        <v>5.7287260379645349E-2</v>
      </c>
      <c r="L137" s="10">
        <f t="shared" si="52"/>
        <v>5.3198521393587557E-2</v>
      </c>
      <c r="M137" s="10">
        <f t="shared" si="52"/>
        <v>5.0531590244294114E-2</v>
      </c>
      <c r="N137" s="10">
        <f t="shared" si="52"/>
        <v>5.6928239691878553E-2</v>
      </c>
      <c r="O137" s="10">
        <f t="shared" si="52"/>
        <v>6.1192194444281443E-2</v>
      </c>
      <c r="P137" s="10">
        <f t="shared" si="52"/>
        <v>7.4991177195880748E-2</v>
      </c>
      <c r="Q137" s="10">
        <f t="shared" si="52"/>
        <v>8.0398248131258176E-2</v>
      </c>
      <c r="R137" s="10">
        <f t="shared" si="52"/>
        <v>8.1853371781841808E-2</v>
      </c>
      <c r="S137" s="10">
        <f t="shared" si="52"/>
        <v>8.3344876739764151E-2</v>
      </c>
      <c r="T137" s="10">
        <f t="shared" si="52"/>
        <v>8.0305847329297311E-2</v>
      </c>
      <c r="U137" s="10">
        <f t="shared" si="52"/>
        <v>8.1169160770582671E-2</v>
      </c>
      <c r="V137" s="10">
        <f t="shared" si="52"/>
        <v>8.2390807829602106E-2</v>
      </c>
      <c r="W137" s="10">
        <f t="shared" si="52"/>
        <v>7.5943307254163706E-2</v>
      </c>
      <c r="X137" s="10">
        <f t="shared" si="52"/>
        <v>6.7752884474874403E-2</v>
      </c>
      <c r="Y137" s="10">
        <f t="shared" si="52"/>
        <v>6.5871980651768955E-2</v>
      </c>
      <c r="Z137" s="10">
        <f t="shared" si="52"/>
        <v>6.3098228872382409E-2</v>
      </c>
      <c r="AA137" s="10">
        <f t="shared" si="52"/>
        <v>6.3574180549584414E-2</v>
      </c>
      <c r="AB137" s="10" t="e">
        <f t="shared" si="52"/>
        <v>#DIV/0!</v>
      </c>
      <c r="AC137" s="10" t="e">
        <f t="shared" si="52"/>
        <v>#DIV/0!</v>
      </c>
      <c r="AH137" s="10">
        <f t="shared" ref="AH137:AO137" si="53">((AH5+AH6+AH7)*(1-AH61)/(AH118-AH71))</f>
        <v>4.9789082162356571E-2</v>
      </c>
      <c r="AI137" s="10">
        <f t="shared" si="53"/>
        <v>5.7028645486564312E-2</v>
      </c>
      <c r="AJ137" s="10">
        <f t="shared" si="53"/>
        <v>4.8055615492190673E-2</v>
      </c>
      <c r="AK137" s="10">
        <f t="shared" si="53"/>
        <v>8.0863131278679043E-2</v>
      </c>
      <c r="AL137" s="10">
        <f t="shared" si="53"/>
        <v>7.9866694463321439E-2</v>
      </c>
      <c r="AM137" s="10">
        <f t="shared" si="53"/>
        <v>6.3077090248237502E-2</v>
      </c>
      <c r="AN137" s="10" t="e">
        <f t="shared" si="53"/>
        <v>#DIV/0!</v>
      </c>
      <c r="AO137" s="10" t="e">
        <f t="shared" si="53"/>
        <v>#DIV/0!</v>
      </c>
    </row>
    <row r="139" spans="2:41" s="21" customFormat="1" x14ac:dyDescent="0.25">
      <c r="B139" s="21" t="s">
        <v>220</v>
      </c>
      <c r="C139" s="21">
        <f>(C5+C6+C7)/-C12</f>
        <v>7.1468531468531467</v>
      </c>
      <c r="D139" s="21">
        <f t="shared" ref="D139:AC139" si="54">(D5+D6+D7)/-D12</f>
        <v>3.8621794871794872</v>
      </c>
      <c r="E139" s="21">
        <f t="shared" si="54"/>
        <v>5.2706422018348622</v>
      </c>
      <c r="F139" s="21">
        <f t="shared" si="54"/>
        <v>8.9432624113475185</v>
      </c>
      <c r="G139" s="21">
        <f t="shared" si="54"/>
        <v>10.866666666666667</v>
      </c>
      <c r="H139" s="21">
        <f t="shared" si="54"/>
        <v>9.4451219512195124</v>
      </c>
      <c r="I139" s="21">
        <f t="shared" si="54"/>
        <v>12.496350364963504</v>
      </c>
      <c r="J139" s="21">
        <f t="shared" si="54"/>
        <v>9.1741573033707873</v>
      </c>
      <c r="K139" s="21">
        <f t="shared" si="54"/>
        <v>12.248484848484848</v>
      </c>
      <c r="L139" s="21">
        <f t="shared" si="54"/>
        <v>6.9202127659574471</v>
      </c>
      <c r="M139" s="21">
        <f t="shared" si="54"/>
        <v>10.3125</v>
      </c>
      <c r="N139" s="21">
        <f t="shared" si="54"/>
        <v>13.711864406779661</v>
      </c>
      <c r="O139" s="21">
        <f t="shared" si="54"/>
        <v>7.9275362318840576</v>
      </c>
      <c r="P139" s="21">
        <f t="shared" si="54"/>
        <v>6.5977011494252871</v>
      </c>
      <c r="Q139" s="21">
        <f t="shared" si="54"/>
        <v>6.047493403693931</v>
      </c>
      <c r="R139" s="21">
        <f t="shared" si="54"/>
        <v>7.4378378378378383</v>
      </c>
      <c r="S139" s="21">
        <f t="shared" si="54"/>
        <v>5.1642857142857146</v>
      </c>
      <c r="T139" s="21">
        <f t="shared" si="54"/>
        <v>4.8657718120805367</v>
      </c>
      <c r="U139" s="21">
        <f t="shared" si="54"/>
        <v>5.852348993288591</v>
      </c>
      <c r="V139" s="21">
        <f t="shared" si="54"/>
        <v>5.5286624203821653</v>
      </c>
      <c r="W139" s="21">
        <f t="shared" si="54"/>
        <v>5.295336787564767</v>
      </c>
      <c r="X139" s="21">
        <f t="shared" si="54"/>
        <v>6.4567567567567572</v>
      </c>
      <c r="Y139" s="21">
        <f t="shared" si="54"/>
        <v>5.1466666666666665</v>
      </c>
      <c r="Z139" s="21">
        <f t="shared" si="54"/>
        <v>5.2142857142857144</v>
      </c>
      <c r="AA139" s="21">
        <f t="shared" si="54"/>
        <v>5.4896551724137934</v>
      </c>
      <c r="AB139" s="21" t="e">
        <f t="shared" si="54"/>
        <v>#DIV/0!</v>
      </c>
      <c r="AC139" s="21" t="e">
        <f t="shared" si="54"/>
        <v>#DIV/0!</v>
      </c>
      <c r="AH139" s="21">
        <f t="shared" ref="AH139:AO139" si="55">(AH5+AH6+AH7)/-AH12</f>
        <v>5.6965601965601964</v>
      </c>
      <c r="AI139" s="21">
        <f t="shared" si="55"/>
        <v>10.383540372670808</v>
      </c>
      <c r="AJ139" s="21">
        <f t="shared" si="55"/>
        <v>10.738751814223512</v>
      </c>
      <c r="AK139" s="21">
        <f t="shared" si="55"/>
        <v>6.9035792549306061</v>
      </c>
      <c r="AL139" s="21">
        <f t="shared" si="55"/>
        <v>5.3574229691876747</v>
      </c>
      <c r="AM139" s="21">
        <f t="shared" si="55"/>
        <v>5.4957317073170735</v>
      </c>
      <c r="AN139" s="21" t="e">
        <f t="shared" si="55"/>
        <v>#DIV/0!</v>
      </c>
      <c r="AO139" s="21" t="e">
        <f t="shared" si="55"/>
        <v>#DIV/0!</v>
      </c>
    </row>
    <row r="140" spans="2:41" s="21" customFormat="1" x14ac:dyDescent="0.25">
      <c r="B140" s="21" t="s">
        <v>221</v>
      </c>
      <c r="C140" s="21">
        <f t="shared" ref="C140:AC140" si="56">C338/-C12</f>
        <v>13.636363636363637</v>
      </c>
      <c r="D140" s="21">
        <f t="shared" si="56"/>
        <v>6.2564102564102564</v>
      </c>
      <c r="E140" s="21">
        <f t="shared" si="56"/>
        <v>8.2477064220183482</v>
      </c>
      <c r="F140" s="21">
        <f t="shared" si="56"/>
        <v>11.865248226950355</v>
      </c>
      <c r="G140" s="21">
        <f t="shared" si="56"/>
        <v>14.872727272727273</v>
      </c>
      <c r="H140" s="21">
        <f t="shared" si="56"/>
        <v>13.054878048780488</v>
      </c>
      <c r="I140" s="21">
        <f t="shared" si="56"/>
        <v>17.270072992700729</v>
      </c>
      <c r="J140" s="21">
        <f t="shared" si="56"/>
        <v>12.235955056179776</v>
      </c>
      <c r="K140" s="21">
        <f t="shared" si="56"/>
        <v>18.333333333333332</v>
      </c>
      <c r="L140" s="21">
        <f t="shared" si="56"/>
        <v>12.686170212765957</v>
      </c>
      <c r="M140" s="21">
        <f t="shared" si="56"/>
        <v>3.1</v>
      </c>
      <c r="N140" s="21">
        <f t="shared" si="56"/>
        <v>27.418079096045197</v>
      </c>
      <c r="O140" s="21">
        <f t="shared" si="56"/>
        <v>10.543478260869565</v>
      </c>
      <c r="P140" s="21">
        <f t="shared" si="56"/>
        <v>14.701149425287356</v>
      </c>
      <c r="Q140" s="21">
        <f t="shared" si="56"/>
        <v>6.7493403693931402</v>
      </c>
      <c r="R140" s="21">
        <f t="shared" si="56"/>
        <v>9.672972972972973</v>
      </c>
      <c r="S140" s="21">
        <f t="shared" si="56"/>
        <v>8.8380952380952387</v>
      </c>
      <c r="T140" s="21">
        <f t="shared" si="56"/>
        <v>6.5324384787472036</v>
      </c>
      <c r="U140" s="21">
        <f t="shared" si="56"/>
        <v>7.6711409395973158</v>
      </c>
      <c r="V140" s="21">
        <f t="shared" si="56"/>
        <v>7.4670912951167727</v>
      </c>
      <c r="W140" s="21">
        <f t="shared" si="56"/>
        <v>7.5829015544041454</v>
      </c>
      <c r="X140" s="21">
        <f t="shared" si="56"/>
        <v>10.067567567567568</v>
      </c>
      <c r="Y140" s="21">
        <f t="shared" si="56"/>
        <v>7.8666666666666663</v>
      </c>
      <c r="Z140" s="21">
        <f t="shared" si="56"/>
        <v>7.3456221198156681</v>
      </c>
      <c r="AA140" s="21">
        <f t="shared" si="56"/>
        <v>8.3586206896551722</v>
      </c>
      <c r="AB140" s="21" t="e">
        <f t="shared" si="56"/>
        <v>#DIV/0!</v>
      </c>
      <c r="AC140" s="21" t="e">
        <f t="shared" si="56"/>
        <v>#DIV/0!</v>
      </c>
      <c r="AH140" s="21">
        <f t="shared" ref="AH140:AO140" si="57">AH338/-AH12</f>
        <v>9.0577395577395574</v>
      </c>
      <c r="AI140" s="21">
        <f t="shared" si="57"/>
        <v>14.190993788819876</v>
      </c>
      <c r="AJ140" s="21">
        <f t="shared" si="57"/>
        <v>15.615384615384615</v>
      </c>
      <c r="AK140" s="21">
        <f t="shared" si="57"/>
        <v>10.245434623813003</v>
      </c>
      <c r="AL140" s="21">
        <f t="shared" si="57"/>
        <v>7.606162464985994</v>
      </c>
      <c r="AM140" s="21">
        <f t="shared" si="57"/>
        <v>8.1585365853658534</v>
      </c>
      <c r="AN140" s="21" t="e">
        <f t="shared" si="57"/>
        <v>#DIV/0!</v>
      </c>
      <c r="AO140" s="21" t="e">
        <f t="shared" si="57"/>
        <v>#DIV/0!</v>
      </c>
    </row>
    <row r="141" spans="2:41" s="21" customFormat="1" x14ac:dyDescent="0.25"/>
    <row r="142" spans="2:41" s="21" customFormat="1" x14ac:dyDescent="0.25"/>
    <row r="144" spans="2:41" x14ac:dyDescent="0.25">
      <c r="B144" s="6" t="s">
        <v>91</v>
      </c>
    </row>
    <row r="145" spans="2:39" s="2" customFormat="1" x14ac:dyDescent="0.25">
      <c r="B145" s="12" t="s">
        <v>19</v>
      </c>
      <c r="C145" s="12">
        <v>1089</v>
      </c>
      <c r="D145" s="12">
        <v>697</v>
      </c>
      <c r="E145" s="12">
        <v>535</v>
      </c>
      <c r="F145" s="12">
        <v>1879</v>
      </c>
      <c r="G145" s="12">
        <v>1497</v>
      </c>
      <c r="H145" s="12">
        <v>2390</v>
      </c>
      <c r="I145" s="12">
        <v>1480</v>
      </c>
      <c r="J145" s="12">
        <v>1330</v>
      </c>
      <c r="K145" s="12">
        <v>1796</v>
      </c>
      <c r="L145" s="12">
        <v>1213</v>
      </c>
      <c r="M145" s="12">
        <v>-1531</v>
      </c>
      <c r="N145" s="12">
        <v>2913</v>
      </c>
      <c r="O145" s="12">
        <v>1636</v>
      </c>
      <c r="P145" s="12">
        <v>3551</v>
      </c>
      <c r="Q145" s="12">
        <v>1440</v>
      </c>
      <c r="R145" s="12">
        <v>1902</v>
      </c>
      <c r="S145" s="12">
        <v>2548</v>
      </c>
      <c r="T145" s="12">
        <v>2196</v>
      </c>
      <c r="U145" s="12">
        <v>2133</v>
      </c>
      <c r="V145" s="12">
        <v>2115</v>
      </c>
      <c r="W145" s="12">
        <v>3868</v>
      </c>
      <c r="X145" s="12">
        <v>2439</v>
      </c>
      <c r="Y145" s="12">
        <v>2243</v>
      </c>
      <c r="Z145" s="12">
        <v>1837</v>
      </c>
      <c r="AA145" s="12">
        <v>2222</v>
      </c>
      <c r="AH145" s="12">
        <v>4200</v>
      </c>
      <c r="AI145" s="12">
        <v>6697</v>
      </c>
      <c r="AJ145" s="12">
        <v>4392</v>
      </c>
      <c r="AK145" s="12">
        <v>8529</v>
      </c>
      <c r="AL145" s="12">
        <v>8992</v>
      </c>
      <c r="AM145" s="12">
        <v>10387</v>
      </c>
    </row>
    <row r="146" spans="2:39" s="2" customFormat="1" x14ac:dyDescent="0.25">
      <c r="B146" s="2" t="s">
        <v>175</v>
      </c>
      <c r="C146" s="9"/>
      <c r="D146" s="9"/>
      <c r="E146" s="9"/>
      <c r="F146" s="9"/>
      <c r="G146" s="9"/>
      <c r="H146" s="9"/>
      <c r="I146" s="9" t="s">
        <v>31</v>
      </c>
      <c r="J146" s="9" t="s">
        <v>31</v>
      </c>
      <c r="K146" s="9" t="s">
        <v>31</v>
      </c>
      <c r="L146" s="9" t="s">
        <v>31</v>
      </c>
      <c r="M146" s="9" t="s">
        <v>31</v>
      </c>
      <c r="N146" s="9" t="s">
        <v>31</v>
      </c>
      <c r="O146" s="9" t="s">
        <v>31</v>
      </c>
      <c r="P146" s="9" t="s">
        <v>31</v>
      </c>
      <c r="Q146" s="9" t="s">
        <v>31</v>
      </c>
      <c r="R146" s="9" t="s">
        <v>31</v>
      </c>
      <c r="S146" s="9" t="s">
        <v>31</v>
      </c>
      <c r="T146" s="9" t="s">
        <v>31</v>
      </c>
      <c r="U146" s="9" t="s">
        <v>31</v>
      </c>
      <c r="V146" s="9" t="s">
        <v>31</v>
      </c>
      <c r="W146" s="9" t="s">
        <v>31</v>
      </c>
      <c r="X146" s="9" t="s">
        <v>31</v>
      </c>
      <c r="Y146" s="9" t="s">
        <v>31</v>
      </c>
      <c r="Z146" s="9" t="s">
        <v>31</v>
      </c>
      <c r="AA146" s="9" t="s">
        <v>31</v>
      </c>
      <c r="AH146" s="9" t="s">
        <v>31</v>
      </c>
      <c r="AI146" s="9" t="s">
        <v>31</v>
      </c>
      <c r="AJ146" s="9" t="s">
        <v>31</v>
      </c>
      <c r="AK146" s="9" t="s">
        <v>31</v>
      </c>
      <c r="AL146" s="9" t="s">
        <v>31</v>
      </c>
      <c r="AM146" s="9" t="s">
        <v>31</v>
      </c>
    </row>
    <row r="147" spans="2:39" s="2" customFormat="1" x14ac:dyDescent="0.25">
      <c r="B147" s="29" t="s">
        <v>92</v>
      </c>
      <c r="C147" s="2">
        <v>98</v>
      </c>
      <c r="D147" s="2">
        <v>295</v>
      </c>
      <c r="E147" s="2">
        <v>403</v>
      </c>
      <c r="F147" s="2">
        <v>-840</v>
      </c>
      <c r="G147" s="2">
        <v>-23</v>
      </c>
      <c r="H147" s="2">
        <v>-874</v>
      </c>
      <c r="I147" s="2">
        <v>-105</v>
      </c>
      <c r="J147" s="2">
        <v>-60</v>
      </c>
      <c r="K147" s="2">
        <v>15</v>
      </c>
      <c r="L147" s="2">
        <v>-4</v>
      </c>
      <c r="M147" s="2">
        <v>7</v>
      </c>
      <c r="N147" s="2">
        <v>2</v>
      </c>
      <c r="O147" s="2">
        <v>8</v>
      </c>
      <c r="P147" s="2">
        <v>3</v>
      </c>
      <c r="Q147" s="2">
        <v>-31</v>
      </c>
      <c r="R147" s="2">
        <v>5</v>
      </c>
      <c r="S147" s="2">
        <v>21</v>
      </c>
      <c r="T147" s="2">
        <v>-192</v>
      </c>
      <c r="U147" s="2">
        <v>25</v>
      </c>
      <c r="V147" s="2">
        <v>61</v>
      </c>
      <c r="W147" s="2">
        <v>-2067</v>
      </c>
      <c r="X147" s="2">
        <v>1</v>
      </c>
      <c r="Y147" s="2">
        <v>-21</v>
      </c>
      <c r="Z147" s="2">
        <v>28</v>
      </c>
      <c r="AA147" s="2">
        <v>3</v>
      </c>
      <c r="AH147" s="2">
        <v>-44</v>
      </c>
      <c r="AI147" s="2">
        <v>-1062</v>
      </c>
      <c r="AJ147" s="2">
        <v>21</v>
      </c>
      <c r="AK147" s="2">
        <v>-3</v>
      </c>
      <c r="AL147" s="2">
        <v>-85</v>
      </c>
      <c r="AM147" s="2">
        <v>-2059</v>
      </c>
    </row>
    <row r="148" spans="2:39" s="2" customFormat="1" x14ac:dyDescent="0.25">
      <c r="B148" s="29" t="s">
        <v>93</v>
      </c>
      <c r="C148" s="2">
        <v>733</v>
      </c>
      <c r="D148" s="2">
        <v>733</v>
      </c>
      <c r="E148" s="2">
        <v>758</v>
      </c>
      <c r="F148" s="2">
        <v>874</v>
      </c>
      <c r="G148" s="2">
        <v>711</v>
      </c>
      <c r="H148" s="2">
        <v>695</v>
      </c>
      <c r="I148" s="2">
        <v>859</v>
      </c>
      <c r="J148" s="2">
        <v>810</v>
      </c>
      <c r="K148" s="2">
        <v>820</v>
      </c>
      <c r="L148" s="2">
        <v>971</v>
      </c>
      <c r="M148" s="2">
        <v>880</v>
      </c>
      <c r="N148" s="2">
        <v>889</v>
      </c>
      <c r="O148" s="2">
        <v>862</v>
      </c>
      <c r="P148" s="2">
        <v>1075</v>
      </c>
      <c r="Q148" s="2">
        <v>799</v>
      </c>
      <c r="R148" s="2">
        <v>872</v>
      </c>
      <c r="S148" s="2">
        <v>764</v>
      </c>
      <c r="T148" s="2">
        <v>803</v>
      </c>
      <c r="U148" s="2">
        <v>777</v>
      </c>
      <c r="V148" s="2">
        <v>813</v>
      </c>
      <c r="W148" s="2">
        <v>774</v>
      </c>
      <c r="X148" s="2">
        <v>801</v>
      </c>
      <c r="Y148" s="2">
        <v>890</v>
      </c>
      <c r="Z148" s="2">
        <v>924</v>
      </c>
      <c r="AA148" s="2">
        <v>858</v>
      </c>
      <c r="AH148" s="2">
        <v>3098</v>
      </c>
      <c r="AI148" s="2">
        <v>3075</v>
      </c>
      <c r="AJ148" s="2">
        <v>3561</v>
      </c>
      <c r="AK148" s="2">
        <v>3544</v>
      </c>
      <c r="AL148" s="2">
        <v>3158</v>
      </c>
      <c r="AM148" s="2">
        <v>3389</v>
      </c>
    </row>
    <row r="149" spans="2:39" s="2" customFormat="1" x14ac:dyDescent="0.25">
      <c r="B149" s="29" t="s">
        <v>16</v>
      </c>
      <c r="C149" s="2">
        <v>269</v>
      </c>
      <c r="D149" s="2">
        <v>296</v>
      </c>
      <c r="E149" s="2">
        <v>409</v>
      </c>
      <c r="F149" s="2">
        <v>372</v>
      </c>
      <c r="G149" s="2">
        <v>490</v>
      </c>
      <c r="H149" s="2">
        <v>468</v>
      </c>
      <c r="I149" s="2">
        <v>332</v>
      </c>
      <c r="J149" s="2">
        <v>571</v>
      </c>
      <c r="K149" s="2">
        <v>636</v>
      </c>
      <c r="L149" s="2">
        <v>541</v>
      </c>
      <c r="M149" s="2">
        <v>611</v>
      </c>
      <c r="N149" s="2">
        <v>953</v>
      </c>
      <c r="O149" s="2">
        <v>579</v>
      </c>
      <c r="P149" s="2">
        <v>588</v>
      </c>
      <c r="Q149" s="2">
        <v>576</v>
      </c>
      <c r="R149" s="2">
        <v>944</v>
      </c>
      <c r="S149" s="2">
        <v>648</v>
      </c>
      <c r="T149" s="2">
        <v>252</v>
      </c>
      <c r="U149" s="2">
        <v>694</v>
      </c>
      <c r="V149" s="2">
        <v>727</v>
      </c>
      <c r="W149" s="2">
        <v>580</v>
      </c>
      <c r="X149" s="2">
        <v>733</v>
      </c>
      <c r="Y149" s="2">
        <v>668</v>
      </c>
      <c r="Z149" s="2">
        <v>520</v>
      </c>
      <c r="AA149" s="2">
        <v>718</v>
      </c>
      <c r="AH149" s="2">
        <v>1346</v>
      </c>
      <c r="AI149" s="2">
        <v>1861</v>
      </c>
      <c r="AJ149" s="2">
        <v>2741</v>
      </c>
      <c r="AK149" s="2">
        <v>2600</v>
      </c>
      <c r="AL149" s="2">
        <v>2320</v>
      </c>
      <c r="AM149" s="2">
        <v>2501</v>
      </c>
    </row>
    <row r="150" spans="2:39" s="2" customFormat="1" x14ac:dyDescent="0.25">
      <c r="B150" s="29" t="s">
        <v>94</v>
      </c>
      <c r="C150" s="2">
        <v>-201</v>
      </c>
      <c r="D150" s="2">
        <v>-176</v>
      </c>
      <c r="E150" s="2">
        <v>-185</v>
      </c>
      <c r="F150" s="2">
        <v>-169</v>
      </c>
      <c r="G150" s="2">
        <v>-151</v>
      </c>
      <c r="H150" s="2">
        <v>-183</v>
      </c>
      <c r="I150" s="2">
        <v>-224</v>
      </c>
      <c r="J150" s="2">
        <v>-238</v>
      </c>
      <c r="K150" s="2">
        <v>-206</v>
      </c>
      <c r="L150" s="2">
        <v>-179</v>
      </c>
      <c r="M150" s="2">
        <v>-258</v>
      </c>
      <c r="N150" s="2">
        <v>-299</v>
      </c>
      <c r="O150" s="2">
        <v>-264</v>
      </c>
      <c r="P150" s="2">
        <v>-230</v>
      </c>
      <c r="Q150" s="2">
        <v>-236</v>
      </c>
      <c r="R150" s="2">
        <v>-302</v>
      </c>
      <c r="S150" s="2">
        <v>-293</v>
      </c>
      <c r="T150" s="2">
        <v>-257</v>
      </c>
      <c r="U150" s="2">
        <v>-256</v>
      </c>
      <c r="V150" s="2">
        <v>-243</v>
      </c>
      <c r="W150" s="2">
        <v>-360</v>
      </c>
      <c r="X150" s="2">
        <v>-336</v>
      </c>
      <c r="Y150" s="2">
        <v>-220</v>
      </c>
      <c r="Z150" s="2">
        <v>-209</v>
      </c>
      <c r="AA150" s="2">
        <v>-252</v>
      </c>
      <c r="AH150" s="2">
        <v>-731</v>
      </c>
      <c r="AI150" s="2">
        <v>-796</v>
      </c>
      <c r="AJ150" s="2">
        <v>-942</v>
      </c>
      <c r="AK150" s="2">
        <v>-1032</v>
      </c>
      <c r="AL150" s="2">
        <v>-1048</v>
      </c>
      <c r="AM150" s="2">
        <v>-1125</v>
      </c>
    </row>
    <row r="151" spans="2:39" s="2" customFormat="1" x14ac:dyDescent="0.25">
      <c r="B151" s="29" t="s">
        <v>95</v>
      </c>
      <c r="C151" s="2">
        <v>-299</v>
      </c>
      <c r="D151" s="2">
        <v>-18</v>
      </c>
      <c r="E151" s="2">
        <v>-132</v>
      </c>
      <c r="F151" s="2">
        <v>-195</v>
      </c>
      <c r="G151" s="2">
        <v>-171</v>
      </c>
      <c r="H151" s="2">
        <v>-200</v>
      </c>
      <c r="I151" s="2">
        <v>81</v>
      </c>
      <c r="J151" s="2">
        <v>4</v>
      </c>
      <c r="K151" s="2">
        <v>-259</v>
      </c>
      <c r="L151" s="2">
        <v>-39</v>
      </c>
      <c r="M151" s="2">
        <v>2169</v>
      </c>
      <c r="N151" s="2">
        <v>-1440</v>
      </c>
      <c r="O151" s="2">
        <v>60</v>
      </c>
      <c r="P151" s="2">
        <v>-1711</v>
      </c>
      <c r="Q151" s="2">
        <v>550</v>
      </c>
      <c r="R151" s="2">
        <v>123</v>
      </c>
      <c r="S151" s="2">
        <v>-719</v>
      </c>
      <c r="T151" s="2">
        <v>25</v>
      </c>
      <c r="U151" s="2">
        <v>-35</v>
      </c>
      <c r="V151" s="2">
        <v>-188</v>
      </c>
      <c r="W151" s="2">
        <v>6</v>
      </c>
      <c r="X151" s="2">
        <v>-557</v>
      </c>
      <c r="Y151" s="2">
        <v>-245</v>
      </c>
      <c r="Z151" s="2">
        <v>-36</v>
      </c>
      <c r="AA151" s="2">
        <v>-286</v>
      </c>
      <c r="AH151" s="2">
        <v>-644</v>
      </c>
      <c r="AI151" s="2">
        <v>-286</v>
      </c>
      <c r="AJ151" s="2">
        <v>432</v>
      </c>
      <c r="AK151" s="2">
        <v>-979</v>
      </c>
      <c r="AL151" s="2">
        <v>-918</v>
      </c>
      <c r="AM151" s="2">
        <v>-832</v>
      </c>
    </row>
    <row r="152" spans="2:39" s="2" customFormat="1" x14ac:dyDescent="0.25">
      <c r="B152" s="29" t="s">
        <v>96</v>
      </c>
      <c r="C152" s="2">
        <v>-261</v>
      </c>
      <c r="D152" s="2">
        <v>789</v>
      </c>
      <c r="E152" s="2">
        <v>-297</v>
      </c>
      <c r="F152" s="2">
        <v>142</v>
      </c>
      <c r="G152" s="2">
        <v>-285</v>
      </c>
      <c r="H152" s="2">
        <v>478</v>
      </c>
      <c r="I152" s="2">
        <v>-6</v>
      </c>
      <c r="J152" s="2">
        <v>399</v>
      </c>
      <c r="K152" s="2">
        <v>293</v>
      </c>
      <c r="L152" s="2">
        <v>347</v>
      </c>
      <c r="M152" s="2">
        <v>1394</v>
      </c>
      <c r="N152" s="2">
        <v>869</v>
      </c>
      <c r="O152" s="2">
        <v>-1130</v>
      </c>
      <c r="P152" s="2">
        <v>-210</v>
      </c>
      <c r="Q152" s="2">
        <v>228</v>
      </c>
      <c r="R152" s="2">
        <v>460</v>
      </c>
      <c r="S152" s="2">
        <v>-304</v>
      </c>
      <c r="T152" s="2">
        <v>286</v>
      </c>
      <c r="U152" s="2">
        <v>261</v>
      </c>
      <c r="V152" s="2">
        <v>-31</v>
      </c>
      <c r="W152" s="2">
        <v>737</v>
      </c>
      <c r="X152" s="2">
        <v>-70</v>
      </c>
      <c r="Y152" s="2">
        <v>-219</v>
      </c>
      <c r="Z152" s="2">
        <v>43</v>
      </c>
      <c r="AA152" s="2">
        <v>226</v>
      </c>
      <c r="AH152" s="2">
        <v>373</v>
      </c>
      <c r="AI152" s="2">
        <v>586</v>
      </c>
      <c r="AJ152" s="2">
        <v>2903</v>
      </c>
      <c r="AK152" s="2">
        <v>-657</v>
      </c>
      <c r="AL152" s="2">
        <v>213</v>
      </c>
      <c r="AM152" s="2">
        <v>491</v>
      </c>
    </row>
    <row r="153" spans="2:39" s="2" customFormat="1" x14ac:dyDescent="0.25">
      <c r="B153" s="29" t="s">
        <v>97</v>
      </c>
      <c r="C153" s="9"/>
      <c r="D153" s="9"/>
      <c r="E153" s="9"/>
      <c r="F153" s="9"/>
      <c r="G153" s="9"/>
      <c r="H153" s="9"/>
      <c r="I153" s="9" t="s">
        <v>31</v>
      </c>
      <c r="J153" s="9" t="s">
        <v>31</v>
      </c>
      <c r="K153" s="9" t="s">
        <v>31</v>
      </c>
      <c r="L153" s="9" t="s">
        <v>31</v>
      </c>
      <c r="M153" s="9" t="s">
        <v>31</v>
      </c>
      <c r="N153" s="9" t="s">
        <v>31</v>
      </c>
      <c r="O153" s="9" t="s">
        <v>31</v>
      </c>
      <c r="P153" s="9" t="s">
        <v>31</v>
      </c>
      <c r="Q153" s="9" t="s">
        <v>31</v>
      </c>
      <c r="R153" s="9" t="s">
        <v>31</v>
      </c>
      <c r="S153" s="9" t="s">
        <v>31</v>
      </c>
      <c r="T153" s="9" t="s">
        <v>31</v>
      </c>
      <c r="U153" s="9" t="s">
        <v>31</v>
      </c>
      <c r="V153" s="9" t="s">
        <v>31</v>
      </c>
      <c r="W153" s="9" t="s">
        <v>31</v>
      </c>
      <c r="X153" s="9" t="s">
        <v>31</v>
      </c>
      <c r="Y153" s="9" t="s">
        <v>31</v>
      </c>
      <c r="Z153" s="9" t="s">
        <v>31</v>
      </c>
      <c r="AA153" s="9" t="s">
        <v>31</v>
      </c>
      <c r="AH153" s="9" t="s">
        <v>31</v>
      </c>
      <c r="AI153" s="9" t="s">
        <v>31</v>
      </c>
      <c r="AJ153" s="9" t="s">
        <v>31</v>
      </c>
      <c r="AK153" s="9" t="s">
        <v>31</v>
      </c>
      <c r="AL153" s="9" t="s">
        <v>31</v>
      </c>
      <c r="AM153" s="9" t="s">
        <v>31</v>
      </c>
    </row>
    <row r="154" spans="2:39" s="2" customFormat="1" x14ac:dyDescent="0.25">
      <c r="B154" s="30" t="s">
        <v>49</v>
      </c>
      <c r="C154" s="2">
        <v>75</v>
      </c>
      <c r="D154" s="2">
        <v>-324</v>
      </c>
      <c r="E154" s="2">
        <v>-54</v>
      </c>
      <c r="F154" s="2">
        <v>-420</v>
      </c>
      <c r="G154" s="2">
        <v>-19</v>
      </c>
      <c r="H154" s="2">
        <v>-365</v>
      </c>
      <c r="I154" s="2">
        <v>-266</v>
      </c>
      <c r="J154" s="2">
        <v>-284</v>
      </c>
      <c r="K154" s="2">
        <v>265</v>
      </c>
      <c r="L154" s="2">
        <v>-190</v>
      </c>
      <c r="M154" s="2">
        <v>-210</v>
      </c>
      <c r="N154" s="2">
        <v>-297</v>
      </c>
      <c r="O154" s="2">
        <v>300</v>
      </c>
      <c r="P154" s="2">
        <v>-204</v>
      </c>
      <c r="Q154" s="2">
        <v>-54</v>
      </c>
      <c r="R154" s="2">
        <v>-468</v>
      </c>
      <c r="S154" s="2">
        <v>-37</v>
      </c>
      <c r="T154" s="2">
        <v>-305</v>
      </c>
      <c r="U154" s="2">
        <v>-221</v>
      </c>
      <c r="V154" s="2">
        <v>-160</v>
      </c>
      <c r="W154" s="2">
        <v>72</v>
      </c>
      <c r="X154" s="2">
        <v>-404</v>
      </c>
      <c r="Y154" s="2">
        <v>-63</v>
      </c>
      <c r="Z154" s="2">
        <v>-82</v>
      </c>
      <c r="AA154" s="2">
        <v>-127</v>
      </c>
      <c r="AH154" s="2">
        <v>-723</v>
      </c>
      <c r="AI154" s="2">
        <v>-934</v>
      </c>
      <c r="AJ154" s="2">
        <v>-432</v>
      </c>
      <c r="AK154" s="2">
        <v>-383</v>
      </c>
      <c r="AL154" s="2">
        <v>-723</v>
      </c>
      <c r="AM154" s="2">
        <v>-477</v>
      </c>
    </row>
    <row r="155" spans="2:39" s="2" customFormat="1" x14ac:dyDescent="0.25">
      <c r="B155" s="30" t="s">
        <v>50</v>
      </c>
      <c r="C155" s="2">
        <v>-667</v>
      </c>
      <c r="D155" s="2">
        <v>-235</v>
      </c>
      <c r="E155" s="2">
        <v>-264</v>
      </c>
      <c r="F155" s="2">
        <v>752</v>
      </c>
      <c r="G155" s="2">
        <v>-462</v>
      </c>
      <c r="H155" s="2">
        <v>-10</v>
      </c>
      <c r="I155" s="2">
        <v>-315</v>
      </c>
      <c r="J155" s="2">
        <v>343</v>
      </c>
      <c r="K155" s="2">
        <v>-777</v>
      </c>
      <c r="L155" s="2">
        <v>-513</v>
      </c>
      <c r="M155" s="2">
        <v>-376</v>
      </c>
      <c r="N155" s="2">
        <v>210</v>
      </c>
      <c r="O155" s="2">
        <v>-1019</v>
      </c>
      <c r="P155" s="2">
        <v>-409</v>
      </c>
      <c r="Q155" s="2">
        <v>-451</v>
      </c>
      <c r="R155" s="2">
        <v>534</v>
      </c>
      <c r="S155" s="2">
        <v>-756</v>
      </c>
      <c r="T155" s="2">
        <v>-159</v>
      </c>
      <c r="U155" s="2">
        <v>-204</v>
      </c>
      <c r="V155" s="2">
        <v>1037</v>
      </c>
      <c r="W155" s="2">
        <v>-444</v>
      </c>
      <c r="X155" s="2">
        <v>-3</v>
      </c>
      <c r="Y155" s="2">
        <v>-44</v>
      </c>
      <c r="Z155" s="2">
        <v>582</v>
      </c>
      <c r="AA155" s="2">
        <v>-509</v>
      </c>
      <c r="AH155" s="2">
        <v>-414</v>
      </c>
      <c r="AI155" s="2">
        <v>-444</v>
      </c>
      <c r="AJ155" s="2">
        <v>-1456</v>
      </c>
      <c r="AK155" s="2">
        <v>-1311</v>
      </c>
      <c r="AL155" s="2">
        <v>-81</v>
      </c>
      <c r="AM155" s="2">
        <v>91</v>
      </c>
    </row>
    <row r="156" spans="2:39" s="2" customFormat="1" x14ac:dyDescent="0.25">
      <c r="B156" s="30" t="s">
        <v>47</v>
      </c>
      <c r="C156" s="2">
        <v>91</v>
      </c>
      <c r="D156" s="2">
        <v>138</v>
      </c>
      <c r="E156" s="2">
        <v>453</v>
      </c>
      <c r="F156" s="2">
        <v>-468</v>
      </c>
      <c r="G156" s="2">
        <v>-406</v>
      </c>
      <c r="H156" s="2">
        <v>-11</v>
      </c>
      <c r="I156" s="2">
        <v>-650</v>
      </c>
      <c r="J156" s="2">
        <v>-160</v>
      </c>
      <c r="K156" s="2">
        <v>-407</v>
      </c>
      <c r="L156" s="2">
        <v>30</v>
      </c>
      <c r="M156" s="2">
        <v>-138</v>
      </c>
      <c r="N156" s="2">
        <v>-457</v>
      </c>
      <c r="O156" s="2">
        <v>-1057</v>
      </c>
      <c r="P156" s="2">
        <v>236</v>
      </c>
      <c r="Q156" s="2">
        <v>-384</v>
      </c>
      <c r="R156" s="2">
        <v>-450</v>
      </c>
      <c r="S156" s="2">
        <v>-151</v>
      </c>
      <c r="T156" s="2">
        <v>103</v>
      </c>
      <c r="U156" s="2">
        <v>-208</v>
      </c>
      <c r="V156" s="2">
        <v>-438</v>
      </c>
      <c r="W156" s="2">
        <v>218</v>
      </c>
      <c r="X156" s="2">
        <v>-344</v>
      </c>
      <c r="Y156" s="2">
        <v>-252</v>
      </c>
      <c r="Z156" s="2">
        <v>389</v>
      </c>
      <c r="AA156" s="2">
        <v>-291</v>
      </c>
      <c r="AH156" s="2">
        <v>214</v>
      </c>
      <c r="AI156" s="2">
        <v>-1227</v>
      </c>
      <c r="AJ156" s="2">
        <v>-972</v>
      </c>
      <c r="AK156" s="2">
        <v>-1613</v>
      </c>
      <c r="AL156" s="2">
        <v>-694</v>
      </c>
      <c r="AM156" s="2">
        <v>10</v>
      </c>
    </row>
    <row r="157" spans="2:39" s="2" customFormat="1" x14ac:dyDescent="0.25">
      <c r="B157" s="30" t="s">
        <v>66</v>
      </c>
      <c r="C157" s="2">
        <v>-482</v>
      </c>
      <c r="D157" s="2">
        <v>-96</v>
      </c>
      <c r="E157" s="2">
        <v>1</v>
      </c>
      <c r="F157" s="2">
        <v>644</v>
      </c>
      <c r="G157" s="2">
        <v>-357</v>
      </c>
      <c r="H157" s="2">
        <v>355</v>
      </c>
      <c r="I157" s="2">
        <v>599</v>
      </c>
      <c r="J157" s="2">
        <v>689</v>
      </c>
      <c r="K157" s="2">
        <v>-307</v>
      </c>
      <c r="L157" s="2">
        <v>399</v>
      </c>
      <c r="M157" s="2">
        <v>179</v>
      </c>
      <c r="N157" s="2">
        <v>1080</v>
      </c>
      <c r="O157" s="2">
        <v>-526</v>
      </c>
      <c r="P157" s="2">
        <v>123</v>
      </c>
      <c r="Q157" s="2">
        <v>4</v>
      </c>
      <c r="R157" s="2">
        <v>589</v>
      </c>
      <c r="S157" s="2">
        <v>-623</v>
      </c>
      <c r="T157" s="2">
        <v>-295</v>
      </c>
      <c r="U157" s="2">
        <v>-176</v>
      </c>
      <c r="V157" s="2">
        <v>636</v>
      </c>
      <c r="W157" s="2">
        <v>-400</v>
      </c>
      <c r="X157" s="2">
        <v>180</v>
      </c>
      <c r="Y157" s="2">
        <v>59</v>
      </c>
      <c r="Z157" s="2">
        <v>701</v>
      </c>
      <c r="AA157" s="2">
        <v>-555</v>
      </c>
      <c r="AH157" s="2">
        <v>67</v>
      </c>
      <c r="AI157" s="2">
        <v>1286</v>
      </c>
      <c r="AJ157" s="2">
        <v>1352</v>
      </c>
      <c r="AK157" s="2">
        <v>170</v>
      </c>
      <c r="AL157" s="2">
        <v>-458</v>
      </c>
      <c r="AM157" s="2">
        <v>539</v>
      </c>
    </row>
    <row r="158" spans="2:39" s="2" customFormat="1" x14ac:dyDescent="0.25">
      <c r="B158" s="30" t="s">
        <v>68</v>
      </c>
      <c r="C158" s="2">
        <v>85</v>
      </c>
      <c r="D158" s="2">
        <v>327</v>
      </c>
      <c r="E158" s="2">
        <v>130</v>
      </c>
      <c r="F158" s="2">
        <v>-124</v>
      </c>
      <c r="G158" s="2">
        <v>169</v>
      </c>
      <c r="H158" s="2">
        <v>183</v>
      </c>
      <c r="I158" s="2">
        <v>320</v>
      </c>
      <c r="J158" s="2">
        <v>460</v>
      </c>
      <c r="K158" s="2">
        <v>713</v>
      </c>
      <c r="L158" s="2">
        <v>1002</v>
      </c>
      <c r="M158" s="2">
        <v>523</v>
      </c>
      <c r="N158" s="2">
        <v>-191</v>
      </c>
      <c r="O158" s="2">
        <v>364</v>
      </c>
      <c r="P158" s="2">
        <v>394</v>
      </c>
      <c r="Q158" s="2">
        <v>495</v>
      </c>
      <c r="R158" s="2">
        <v>-184</v>
      </c>
      <c r="S158" s="2">
        <v>578</v>
      </c>
      <c r="T158" s="2">
        <v>488</v>
      </c>
      <c r="U158" s="2">
        <v>-137</v>
      </c>
      <c r="V158" s="2">
        <v>229</v>
      </c>
      <c r="W158" s="2">
        <v>155</v>
      </c>
      <c r="X158" s="2">
        <v>277</v>
      </c>
      <c r="Y158" s="2">
        <v>-112</v>
      </c>
      <c r="Z158" s="2">
        <v>-81</v>
      </c>
      <c r="AA158" s="2">
        <v>222</v>
      </c>
      <c r="AH158" s="2">
        <v>418</v>
      </c>
      <c r="AI158" s="2">
        <v>1132</v>
      </c>
      <c r="AJ158" s="2">
        <v>2046</v>
      </c>
      <c r="AK158" s="2">
        <v>1006</v>
      </c>
      <c r="AL158" s="2">
        <v>1159</v>
      </c>
      <c r="AM158" s="2">
        <v>239</v>
      </c>
    </row>
    <row r="159" spans="2:39" s="2" customFormat="1" x14ac:dyDescent="0.25">
      <c r="B159" s="29" t="s">
        <v>98</v>
      </c>
      <c r="C159" s="2">
        <v>-118</v>
      </c>
      <c r="D159" s="2">
        <v>-139</v>
      </c>
      <c r="E159" s="2">
        <v>-98</v>
      </c>
      <c r="F159" s="2">
        <v>-145</v>
      </c>
      <c r="G159" s="2">
        <v>-111</v>
      </c>
      <c r="H159" s="2">
        <v>-99</v>
      </c>
      <c r="I159" s="2">
        <v>-99</v>
      </c>
      <c r="J159" s="2">
        <v>-154</v>
      </c>
      <c r="K159" s="2">
        <v>-92</v>
      </c>
      <c r="L159" s="2">
        <v>-91</v>
      </c>
      <c r="M159" s="2">
        <v>-95</v>
      </c>
      <c r="N159" s="2">
        <v>-116</v>
      </c>
      <c r="O159" s="2">
        <v>-93</v>
      </c>
      <c r="P159" s="2">
        <v>-113</v>
      </c>
      <c r="Q159" s="2">
        <v>-104</v>
      </c>
      <c r="R159" s="2">
        <v>-134</v>
      </c>
      <c r="S159" s="2">
        <v>-88</v>
      </c>
      <c r="T159" s="2">
        <v>-79</v>
      </c>
      <c r="U159" s="2">
        <v>-114</v>
      </c>
      <c r="V159" s="2">
        <v>-119</v>
      </c>
      <c r="W159" s="2">
        <v>-137</v>
      </c>
      <c r="X159" s="2">
        <v>-87</v>
      </c>
      <c r="Y159" s="2">
        <v>-96</v>
      </c>
      <c r="Z159" s="2">
        <v>-109</v>
      </c>
      <c r="AA159" s="2">
        <v>-83</v>
      </c>
      <c r="AH159" s="2">
        <v>-500</v>
      </c>
      <c r="AI159" s="2">
        <v>-463</v>
      </c>
      <c r="AJ159" s="2">
        <v>-394</v>
      </c>
      <c r="AK159" s="2">
        <v>-444</v>
      </c>
      <c r="AL159" s="2">
        <v>-400</v>
      </c>
      <c r="AM159" s="2">
        <v>-428</v>
      </c>
    </row>
    <row r="160" spans="2:39" s="2" customFormat="1" x14ac:dyDescent="0.25">
      <c r="B160" s="29" t="s">
        <v>99</v>
      </c>
      <c r="C160" s="2">
        <v>-107</v>
      </c>
      <c r="D160" s="2">
        <v>-922</v>
      </c>
      <c r="E160" s="2">
        <v>523</v>
      </c>
      <c r="F160" s="2">
        <v>1689</v>
      </c>
      <c r="G160" s="2">
        <v>297</v>
      </c>
      <c r="H160" s="2">
        <v>-315</v>
      </c>
      <c r="I160" s="2">
        <v>763</v>
      </c>
      <c r="J160" s="2">
        <v>658</v>
      </c>
      <c r="K160" s="2">
        <v>-1216</v>
      </c>
      <c r="L160" s="2">
        <v>-1166</v>
      </c>
      <c r="M160" s="2">
        <v>-192</v>
      </c>
      <c r="N160" s="2">
        <v>-11</v>
      </c>
      <c r="O160" s="2">
        <v>713</v>
      </c>
      <c r="P160" s="2">
        <v>390</v>
      </c>
      <c r="Q160" s="2">
        <v>674</v>
      </c>
      <c r="R160" s="2">
        <v>1408</v>
      </c>
      <c r="S160" s="2">
        <v>-285</v>
      </c>
      <c r="T160" s="2">
        <v>-579</v>
      </c>
      <c r="U160" s="2">
        <v>582</v>
      </c>
      <c r="V160" s="2">
        <v>1147</v>
      </c>
      <c r="W160" s="2">
        <v>-1456</v>
      </c>
      <c r="X160" s="2">
        <v>-289</v>
      </c>
      <c r="Y160" s="2">
        <v>1034</v>
      </c>
      <c r="Z160" s="2">
        <v>1208</v>
      </c>
      <c r="AA160" s="2">
        <v>-1233</v>
      </c>
      <c r="AH160" s="2">
        <v>1183</v>
      </c>
      <c r="AI160" s="2">
        <v>1403</v>
      </c>
      <c r="AJ160" s="2">
        <v>-2584</v>
      </c>
      <c r="AK160" s="2">
        <v>3171</v>
      </c>
      <c r="AL160" s="2">
        <v>865</v>
      </c>
      <c r="AM160" s="2">
        <v>497</v>
      </c>
    </row>
    <row r="161" spans="2:39" s="2" customFormat="1" x14ac:dyDescent="0.25">
      <c r="B161" s="29" t="s">
        <v>100</v>
      </c>
      <c r="C161" s="2">
        <v>-392</v>
      </c>
      <c r="D161" s="2">
        <v>-755</v>
      </c>
      <c r="E161" s="2">
        <v>-313</v>
      </c>
      <c r="F161" s="2">
        <v>-172</v>
      </c>
      <c r="G161" s="2">
        <v>-317</v>
      </c>
      <c r="H161" s="2">
        <v>-1208</v>
      </c>
      <c r="I161" s="2">
        <v>-451</v>
      </c>
      <c r="J161" s="2">
        <v>-348</v>
      </c>
      <c r="K161" s="2">
        <v>-174</v>
      </c>
      <c r="L161" s="2">
        <v>-845</v>
      </c>
      <c r="M161" s="2">
        <v>-623</v>
      </c>
      <c r="N161" s="2">
        <v>-531</v>
      </c>
      <c r="O161" s="2">
        <v>-460</v>
      </c>
      <c r="P161" s="2">
        <v>-1192</v>
      </c>
      <c r="Q161" s="2">
        <v>-735</v>
      </c>
      <c r="R161" s="2">
        <v>-516</v>
      </c>
      <c r="S161" s="2">
        <v>-607</v>
      </c>
      <c r="T161" s="2">
        <v>-1053</v>
      </c>
      <c r="U161" s="2">
        <v>-1187</v>
      </c>
      <c r="V161" s="2">
        <v>-617</v>
      </c>
      <c r="W161" s="2">
        <v>-203</v>
      </c>
      <c r="X161" s="2">
        <v>-1396</v>
      </c>
      <c r="Y161" s="2">
        <v>-768</v>
      </c>
      <c r="Z161" s="2">
        <v>-281</v>
      </c>
      <c r="AA161" s="2">
        <v>-435</v>
      </c>
      <c r="AH161" s="2">
        <v>-1632</v>
      </c>
      <c r="AI161" s="2">
        <v>-2324</v>
      </c>
      <c r="AJ161" s="2">
        <v>-2173</v>
      </c>
      <c r="AK161" s="2">
        <v>-2767</v>
      </c>
      <c r="AL161" s="2">
        <v>-3463</v>
      </c>
      <c r="AM161" s="2">
        <v>-2648</v>
      </c>
    </row>
    <row r="162" spans="2:39" s="2" customFormat="1" x14ac:dyDescent="0.25">
      <c r="B162" s="29" t="s">
        <v>101</v>
      </c>
      <c r="C162" s="2">
        <v>46</v>
      </c>
      <c r="D162" s="2">
        <v>74</v>
      </c>
      <c r="E162" s="2">
        <v>59</v>
      </c>
      <c r="F162" s="2">
        <v>114</v>
      </c>
      <c r="G162" s="2">
        <v>43</v>
      </c>
      <c r="H162" s="2">
        <v>64</v>
      </c>
      <c r="I162" s="2">
        <v>65</v>
      </c>
      <c r="J162" s="2">
        <v>66</v>
      </c>
      <c r="K162" s="2">
        <v>71</v>
      </c>
      <c r="L162" s="2">
        <v>109</v>
      </c>
      <c r="M162" s="2">
        <v>67</v>
      </c>
      <c r="N162" s="2">
        <v>101</v>
      </c>
      <c r="O162" s="2">
        <v>58</v>
      </c>
      <c r="P162" s="2">
        <v>65</v>
      </c>
      <c r="Q162" s="2">
        <v>70</v>
      </c>
      <c r="R162" s="2">
        <v>64</v>
      </c>
      <c r="S162" s="2">
        <v>87</v>
      </c>
      <c r="T162" s="2">
        <v>39</v>
      </c>
      <c r="U162" s="2">
        <v>80</v>
      </c>
      <c r="V162" s="2">
        <v>89</v>
      </c>
      <c r="W162" s="2">
        <v>70</v>
      </c>
      <c r="X162" s="2">
        <v>59</v>
      </c>
      <c r="Y162" s="2">
        <v>67</v>
      </c>
      <c r="Z162" s="2">
        <v>85</v>
      </c>
      <c r="AA162" s="2">
        <v>53</v>
      </c>
      <c r="AH162" s="2">
        <v>293</v>
      </c>
      <c r="AI162" s="2">
        <v>238</v>
      </c>
      <c r="AJ162" s="2">
        <v>348</v>
      </c>
      <c r="AK162" s="2">
        <v>258</v>
      </c>
      <c r="AL162" s="2">
        <v>294</v>
      </c>
      <c r="AM162" s="2">
        <v>281</v>
      </c>
    </row>
    <row r="163" spans="2:39" s="2" customFormat="1" x14ac:dyDescent="0.25">
      <c r="B163" s="29" t="s">
        <v>102</v>
      </c>
      <c r="C163" s="2">
        <v>377</v>
      </c>
      <c r="D163" s="2">
        <v>344</v>
      </c>
      <c r="E163" s="2">
        <v>323</v>
      </c>
      <c r="F163" s="2">
        <v>303</v>
      </c>
      <c r="G163" s="2">
        <v>335</v>
      </c>
      <c r="H163" s="2">
        <v>319</v>
      </c>
      <c r="I163" s="2">
        <v>319</v>
      </c>
      <c r="J163" s="2">
        <v>396</v>
      </c>
      <c r="K163" s="2">
        <v>344</v>
      </c>
      <c r="L163" s="2">
        <v>322</v>
      </c>
      <c r="M163" s="2">
        <v>375</v>
      </c>
      <c r="N163" s="2">
        <v>440</v>
      </c>
      <c r="O163" s="2">
        <v>480</v>
      </c>
      <c r="P163" s="2">
        <v>536</v>
      </c>
      <c r="Q163" s="2">
        <v>573</v>
      </c>
      <c r="R163" s="2">
        <v>617</v>
      </c>
      <c r="S163" s="2">
        <v>686</v>
      </c>
      <c r="T163" s="2">
        <v>665</v>
      </c>
      <c r="U163" s="2">
        <v>671</v>
      </c>
      <c r="V163" s="2">
        <v>661</v>
      </c>
      <c r="W163" s="2">
        <v>699</v>
      </c>
      <c r="X163" s="2">
        <v>676</v>
      </c>
      <c r="Y163" s="2">
        <v>633</v>
      </c>
      <c r="Z163" s="2">
        <v>583</v>
      </c>
      <c r="AA163" s="2">
        <v>644</v>
      </c>
      <c r="AH163" s="2">
        <v>1347</v>
      </c>
      <c r="AI163" s="2">
        <v>1369</v>
      </c>
      <c r="AJ163" s="2">
        <v>1481</v>
      </c>
      <c r="AK163" s="2">
        <v>2205</v>
      </c>
      <c r="AL163" s="2">
        <v>2683</v>
      </c>
      <c r="AM163" s="2">
        <v>2591</v>
      </c>
    </row>
    <row r="164" spans="2:39" s="3" customFormat="1" x14ac:dyDescent="0.25">
      <c r="B164" s="31" t="s">
        <v>103</v>
      </c>
      <c r="C164" s="3">
        <v>336</v>
      </c>
      <c r="D164" s="3">
        <v>1027</v>
      </c>
      <c r="E164" s="3">
        <v>2252</v>
      </c>
      <c r="F164" s="3">
        <v>4236</v>
      </c>
      <c r="G164" s="3">
        <v>1235</v>
      </c>
      <c r="H164" s="3">
        <v>1689</v>
      </c>
      <c r="I164" s="3">
        <v>2703</v>
      </c>
      <c r="J164" s="3">
        <v>4482</v>
      </c>
      <c r="K164" s="3">
        <v>1516</v>
      </c>
      <c r="L164" s="3">
        <v>1908</v>
      </c>
      <c r="M164" s="3">
        <v>2781</v>
      </c>
      <c r="N164" s="3">
        <v>4117</v>
      </c>
      <c r="O164" s="3">
        <v>512</v>
      </c>
      <c r="P164" s="3">
        <v>2891</v>
      </c>
      <c r="Q164" s="3">
        <v>3413</v>
      </c>
      <c r="R164" s="3">
        <v>5465</v>
      </c>
      <c r="S164" s="3">
        <v>1470</v>
      </c>
      <c r="T164" s="3">
        <v>1939</v>
      </c>
      <c r="U164" s="3">
        <v>2687</v>
      </c>
      <c r="V164" s="3">
        <v>5719</v>
      </c>
      <c r="W164" s="3">
        <v>2111</v>
      </c>
      <c r="X164" s="3">
        <v>1679</v>
      </c>
      <c r="Y164" s="3">
        <v>3556</v>
      </c>
      <c r="Z164" s="3">
        <v>6102</v>
      </c>
      <c r="AA164" s="3">
        <v>1176</v>
      </c>
      <c r="AH164" s="3">
        <v>7851</v>
      </c>
      <c r="AI164" s="3">
        <v>10109</v>
      </c>
      <c r="AJ164" s="3">
        <v>10322</v>
      </c>
      <c r="AK164" s="3">
        <v>12293</v>
      </c>
      <c r="AL164" s="3">
        <v>11814</v>
      </c>
      <c r="AM164" s="3">
        <v>13448</v>
      </c>
    </row>
    <row r="165" spans="2:39" s="2" customFormat="1" x14ac:dyDescent="0.25">
      <c r="B165" s="19" t="s">
        <v>104</v>
      </c>
      <c r="C165" s="2">
        <v>196</v>
      </c>
      <c r="D165" s="2">
        <v>-358</v>
      </c>
      <c r="E165" s="2">
        <v>768</v>
      </c>
      <c r="F165" s="2">
        <v>406</v>
      </c>
      <c r="G165" s="2">
        <v>77</v>
      </c>
      <c r="H165" s="2">
        <v>-95</v>
      </c>
      <c r="I165" s="2">
        <v>-11</v>
      </c>
      <c r="J165" s="2">
        <v>-84</v>
      </c>
      <c r="K165" s="2">
        <v>-30</v>
      </c>
      <c r="L165" s="2">
        <v>-70</v>
      </c>
      <c r="M165" s="2">
        <v>-24</v>
      </c>
      <c r="N165" s="2">
        <v>43</v>
      </c>
      <c r="O165" s="2">
        <v>9</v>
      </c>
      <c r="P165" s="2">
        <v>-13</v>
      </c>
      <c r="Q165" s="2">
        <v>36</v>
      </c>
      <c r="R165" s="2">
        <v>-73</v>
      </c>
      <c r="S165" s="2">
        <v>-11</v>
      </c>
      <c r="T165" s="2">
        <v>-95</v>
      </c>
      <c r="U165" s="2">
        <v>-28</v>
      </c>
      <c r="V165" s="2">
        <v>-14</v>
      </c>
      <c r="W165" s="2">
        <v>-24</v>
      </c>
      <c r="X165" s="2">
        <v>-126</v>
      </c>
      <c r="Y165" s="2">
        <v>-83</v>
      </c>
      <c r="Z165" s="2">
        <v>41</v>
      </c>
      <c r="AA165" s="2">
        <v>-5</v>
      </c>
      <c r="AH165" s="2">
        <v>1012</v>
      </c>
      <c r="AI165" s="2">
        <v>-113</v>
      </c>
      <c r="AJ165" s="2">
        <v>-81</v>
      </c>
      <c r="AK165" s="2">
        <v>-54</v>
      </c>
      <c r="AL165" s="2">
        <v>-149</v>
      </c>
      <c r="AM165" s="2">
        <v>-192</v>
      </c>
    </row>
    <row r="166" spans="2:39" s="3" customFormat="1" x14ac:dyDescent="0.25">
      <c r="B166" s="31" t="s">
        <v>105</v>
      </c>
      <c r="C166" s="3">
        <v>531</v>
      </c>
      <c r="D166" s="3">
        <v>669</v>
      </c>
      <c r="E166" s="3">
        <v>3020</v>
      </c>
      <c r="F166" s="3">
        <v>4642</v>
      </c>
      <c r="G166" s="3">
        <v>1312</v>
      </c>
      <c r="H166" s="3">
        <v>1594</v>
      </c>
      <c r="I166" s="3">
        <v>2692</v>
      </c>
      <c r="J166" s="3">
        <v>4398</v>
      </c>
      <c r="K166" s="3">
        <v>1486</v>
      </c>
      <c r="L166" s="3">
        <v>1838</v>
      </c>
      <c r="M166" s="3">
        <v>2757</v>
      </c>
      <c r="N166" s="3">
        <v>4159</v>
      </c>
      <c r="O166" s="3">
        <v>521</v>
      </c>
      <c r="P166" s="3">
        <v>2878</v>
      </c>
      <c r="Q166" s="3">
        <v>3448</v>
      </c>
      <c r="R166" s="3">
        <v>5392</v>
      </c>
      <c r="S166" s="3">
        <v>1459</v>
      </c>
      <c r="T166" s="3">
        <v>1843</v>
      </c>
      <c r="U166" s="3">
        <v>2659</v>
      </c>
      <c r="V166" s="3">
        <v>5705</v>
      </c>
      <c r="W166" s="3">
        <v>2087</v>
      </c>
      <c r="X166" s="3">
        <v>1554</v>
      </c>
      <c r="Y166" s="3">
        <v>3472</v>
      </c>
      <c r="Z166" s="3">
        <v>6143</v>
      </c>
      <c r="AA166" s="3">
        <v>1171</v>
      </c>
      <c r="AH166" s="3">
        <v>8862</v>
      </c>
      <c r="AI166" s="3">
        <v>9996</v>
      </c>
      <c r="AJ166" s="3">
        <v>10241</v>
      </c>
      <c r="AK166" s="3">
        <v>12239</v>
      </c>
      <c r="AL166" s="3">
        <v>11665</v>
      </c>
      <c r="AM166" s="3">
        <v>13257</v>
      </c>
    </row>
    <row r="167" spans="2:39" s="2" customFormat="1" x14ac:dyDescent="0.25">
      <c r="B167" s="13" t="s">
        <v>106</v>
      </c>
      <c r="C167" s="9"/>
      <c r="D167" s="9"/>
      <c r="E167" s="9"/>
      <c r="F167" s="9"/>
      <c r="G167" s="9"/>
      <c r="H167" s="9"/>
      <c r="I167" s="9" t="s">
        <v>31</v>
      </c>
      <c r="J167" s="9" t="s">
        <v>31</v>
      </c>
      <c r="K167" s="9" t="s">
        <v>31</v>
      </c>
      <c r="L167" s="9" t="s">
        <v>31</v>
      </c>
      <c r="M167" s="9" t="s">
        <v>31</v>
      </c>
      <c r="N167" s="9" t="s">
        <v>31</v>
      </c>
      <c r="O167" s="9" t="s">
        <v>31</v>
      </c>
      <c r="P167" s="9" t="s">
        <v>31</v>
      </c>
      <c r="Q167" s="9" t="s">
        <v>31</v>
      </c>
      <c r="R167" s="9" t="s">
        <v>31</v>
      </c>
      <c r="S167" s="9" t="s">
        <v>31</v>
      </c>
      <c r="T167" s="9" t="s">
        <v>31</v>
      </c>
      <c r="U167" s="9" t="s">
        <v>31</v>
      </c>
      <c r="V167" s="9" t="s">
        <v>31</v>
      </c>
      <c r="W167" s="9" t="s">
        <v>31</v>
      </c>
      <c r="X167" s="9" t="s">
        <v>31</v>
      </c>
      <c r="Y167" s="9" t="s">
        <v>31</v>
      </c>
      <c r="Z167" s="9" t="s">
        <v>31</v>
      </c>
      <c r="AA167" s="9" t="s">
        <v>31</v>
      </c>
      <c r="AH167" s="9" t="s">
        <v>31</v>
      </c>
      <c r="AI167" s="9" t="s">
        <v>31</v>
      </c>
      <c r="AJ167" s="9" t="s">
        <v>31</v>
      </c>
      <c r="AK167" s="9" t="s">
        <v>31</v>
      </c>
      <c r="AL167" s="9" t="s">
        <v>31</v>
      </c>
      <c r="AM167" s="9" t="s">
        <v>31</v>
      </c>
    </row>
    <row r="168" spans="2:39" s="2" customFormat="1" x14ac:dyDescent="0.25">
      <c r="B168" s="47" t="s">
        <v>237</v>
      </c>
      <c r="C168" s="2">
        <v>-338</v>
      </c>
      <c r="D168" s="2">
        <v>-342</v>
      </c>
      <c r="E168" s="2">
        <v>-332</v>
      </c>
      <c r="F168" s="2">
        <v>-486</v>
      </c>
      <c r="G168" s="2">
        <v>-329</v>
      </c>
      <c r="H168" s="2">
        <v>-363</v>
      </c>
      <c r="I168" s="2">
        <v>-418</v>
      </c>
      <c r="J168" s="2">
        <v>-620</v>
      </c>
      <c r="K168" s="2">
        <v>-392</v>
      </c>
      <c r="L168" s="2">
        <v>-513</v>
      </c>
      <c r="M168" s="2">
        <v>-471</v>
      </c>
      <c r="N168" s="2">
        <v>-708</v>
      </c>
      <c r="O168" s="2">
        <v>-436</v>
      </c>
      <c r="P168" s="2">
        <v>-528</v>
      </c>
      <c r="Q168" s="2">
        <v>-497</v>
      </c>
      <c r="R168" s="2">
        <v>-757</v>
      </c>
      <c r="S168" s="2">
        <v>-403</v>
      </c>
      <c r="T168" s="2">
        <v>-488</v>
      </c>
      <c r="U168" s="2">
        <v>-519</v>
      </c>
      <c r="V168" s="2">
        <v>-678</v>
      </c>
      <c r="W168" s="2">
        <v>-504</v>
      </c>
      <c r="X168" s="2">
        <v>-551</v>
      </c>
      <c r="Y168" s="2">
        <v>-554</v>
      </c>
      <c r="Z168" s="2">
        <v>-836</v>
      </c>
      <c r="AA168" s="2">
        <v>-494</v>
      </c>
      <c r="AH168" s="2">
        <v>-1498</v>
      </c>
      <c r="AI168" s="2">
        <v>-1730</v>
      </c>
      <c r="AJ168" s="2">
        <v>-2084</v>
      </c>
      <c r="AK168" s="2">
        <v>-2146</v>
      </c>
      <c r="AL168" s="2">
        <v>-2088</v>
      </c>
      <c r="AM168" s="2">
        <v>-2445</v>
      </c>
    </row>
    <row r="169" spans="2:39" s="2" customFormat="1" x14ac:dyDescent="0.25">
      <c r="B169" s="19" t="s">
        <v>107</v>
      </c>
      <c r="C169" s="2">
        <v>-1611</v>
      </c>
      <c r="D169" s="2">
        <v>-45</v>
      </c>
      <c r="E169" s="2">
        <v>-16</v>
      </c>
      <c r="F169" s="2">
        <v>-55</v>
      </c>
      <c r="G169" s="2">
        <v>-2</v>
      </c>
      <c r="H169" s="2">
        <v>-222</v>
      </c>
      <c r="I169" s="2">
        <v>-13542</v>
      </c>
      <c r="J169" s="2">
        <v>-625</v>
      </c>
      <c r="K169" s="2">
        <v>-593</v>
      </c>
      <c r="L169" s="2">
        <v>-19</v>
      </c>
      <c r="M169" s="2">
        <v>-46</v>
      </c>
      <c r="N169" s="2">
        <v>-1550</v>
      </c>
      <c r="O169" s="2">
        <v>-45</v>
      </c>
      <c r="P169" s="2">
        <v>-102</v>
      </c>
      <c r="Q169" s="2">
        <v>-20</v>
      </c>
      <c r="R169" s="2">
        <v>-239</v>
      </c>
      <c r="S169" s="2">
        <v>-348</v>
      </c>
      <c r="T169" s="2">
        <v>-40</v>
      </c>
      <c r="U169" s="2">
        <v>-7</v>
      </c>
      <c r="V169" s="2">
        <v>-18</v>
      </c>
      <c r="W169" s="2">
        <v>-401</v>
      </c>
      <c r="X169" s="2">
        <v>-8703</v>
      </c>
      <c r="Y169" s="2">
        <v>-862</v>
      </c>
      <c r="Z169" s="2">
        <v>-4269</v>
      </c>
      <c r="AA169" s="2">
        <v>-86</v>
      </c>
      <c r="AH169" s="2">
        <v>-1727</v>
      </c>
      <c r="AI169" s="2">
        <v>-14391</v>
      </c>
      <c r="AJ169" s="2">
        <v>-2207</v>
      </c>
      <c r="AK169" s="2">
        <v>-407</v>
      </c>
      <c r="AL169" s="2">
        <v>-413</v>
      </c>
      <c r="AM169" s="2">
        <v>-14236</v>
      </c>
    </row>
    <row r="170" spans="2:39" s="2" customFormat="1" x14ac:dyDescent="0.25">
      <c r="B170" s="19" t="s">
        <v>108</v>
      </c>
      <c r="C170" s="2">
        <v>-344</v>
      </c>
      <c r="D170" s="2">
        <v>-222</v>
      </c>
      <c r="E170" s="2">
        <v>-359</v>
      </c>
      <c r="F170" s="2">
        <v>-344</v>
      </c>
      <c r="G170" s="2">
        <v>-523</v>
      </c>
      <c r="H170" s="2">
        <v>-185</v>
      </c>
      <c r="I170" s="2">
        <v>-315</v>
      </c>
      <c r="J170" s="2">
        <v>-500</v>
      </c>
      <c r="K170" s="2">
        <v>-292</v>
      </c>
      <c r="L170" s="2">
        <v>-291</v>
      </c>
      <c r="M170" s="2">
        <v>-512</v>
      </c>
      <c r="N170" s="2">
        <v>-310</v>
      </c>
      <c r="O170" s="2">
        <v>-197</v>
      </c>
      <c r="P170" s="2">
        <v>-97</v>
      </c>
      <c r="Q170" s="2">
        <v>-220</v>
      </c>
      <c r="R170" s="2">
        <v>-209</v>
      </c>
      <c r="S170" s="2">
        <v>-217</v>
      </c>
      <c r="T170" s="2">
        <v>-163</v>
      </c>
      <c r="U170" s="2">
        <v>-279</v>
      </c>
      <c r="V170" s="2">
        <v>-284</v>
      </c>
      <c r="W170" s="2">
        <v>-283</v>
      </c>
      <c r="X170" s="2">
        <v>-219</v>
      </c>
      <c r="Y170" s="2">
        <v>-424</v>
      </c>
      <c r="Z170" s="2">
        <v>-378</v>
      </c>
      <c r="AA170" s="2">
        <v>-266</v>
      </c>
      <c r="AH170" s="2">
        <v>-1269</v>
      </c>
      <c r="AI170" s="2">
        <v>-1523</v>
      </c>
      <c r="AJ170" s="2">
        <v>-1404</v>
      </c>
      <c r="AK170" s="2">
        <v>-723</v>
      </c>
      <c r="AL170" s="2">
        <v>-942</v>
      </c>
      <c r="AM170" s="2">
        <v>-1304</v>
      </c>
    </row>
    <row r="171" spans="2:39" s="2" customFormat="1" x14ac:dyDescent="0.25">
      <c r="B171" s="19" t="s">
        <v>109</v>
      </c>
      <c r="C171" s="2">
        <v>-218</v>
      </c>
      <c r="D171" s="2">
        <v>-770</v>
      </c>
      <c r="E171" s="2">
        <v>549</v>
      </c>
      <c r="F171" s="2">
        <v>-555</v>
      </c>
      <c r="G171" s="2">
        <v>236</v>
      </c>
      <c r="H171" s="2">
        <v>110</v>
      </c>
      <c r="I171" s="2">
        <v>-664</v>
      </c>
      <c r="J171" s="2">
        <v>-313</v>
      </c>
      <c r="K171" s="2">
        <v>8</v>
      </c>
      <c r="L171" s="2">
        <v>-333</v>
      </c>
      <c r="M171" s="2">
        <v>-358</v>
      </c>
      <c r="N171" s="2">
        <v>-416</v>
      </c>
      <c r="O171" s="2">
        <v>-287</v>
      </c>
      <c r="P171" s="2">
        <v>-253</v>
      </c>
      <c r="Q171" s="2">
        <v>-191</v>
      </c>
      <c r="R171" s="2">
        <v>-730</v>
      </c>
      <c r="S171" s="2">
        <v>224</v>
      </c>
      <c r="T171" s="2">
        <v>-456</v>
      </c>
      <c r="U171" s="2">
        <v>-51</v>
      </c>
      <c r="V171" s="2">
        <v>-866</v>
      </c>
      <c r="W171" s="2">
        <v>226</v>
      </c>
      <c r="X171" s="2">
        <v>-463</v>
      </c>
      <c r="Y171" s="2">
        <v>-277</v>
      </c>
      <c r="Z171" s="2">
        <v>-982</v>
      </c>
      <c r="AA171" s="2">
        <v>131</v>
      </c>
      <c r="AH171" s="2">
        <v>-994</v>
      </c>
      <c r="AI171" s="2">
        <v>-631</v>
      </c>
      <c r="AJ171" s="2">
        <v>-1100</v>
      </c>
      <c r="AK171" s="2">
        <v>-1461</v>
      </c>
      <c r="AL171" s="2">
        <v>-1150</v>
      </c>
      <c r="AM171" s="2">
        <v>-1496</v>
      </c>
    </row>
    <row r="172" spans="2:39" s="2" customFormat="1" x14ac:dyDescent="0.25">
      <c r="B172" s="19" t="s">
        <v>110</v>
      </c>
      <c r="C172" s="2">
        <v>8</v>
      </c>
      <c r="D172" s="2">
        <v>32</v>
      </c>
      <c r="E172" s="2">
        <v>6</v>
      </c>
      <c r="F172" s="2">
        <v>1</v>
      </c>
      <c r="G172" s="2">
        <v>49</v>
      </c>
      <c r="H172" s="2">
        <v>1</v>
      </c>
      <c r="I172" s="2">
        <v>13</v>
      </c>
      <c r="J172" s="2">
        <v>35</v>
      </c>
      <c r="K172" s="2">
        <v>34</v>
      </c>
      <c r="L172" s="2">
        <v>13</v>
      </c>
      <c r="M172" s="2">
        <v>14</v>
      </c>
      <c r="N172" s="2">
        <v>215</v>
      </c>
      <c r="O172" s="2">
        <v>9</v>
      </c>
      <c r="P172" s="2">
        <v>25</v>
      </c>
      <c r="Q172" s="2">
        <v>51</v>
      </c>
      <c r="R172" s="2">
        <v>152</v>
      </c>
      <c r="S172" s="2">
        <v>4</v>
      </c>
      <c r="T172" s="2">
        <v>40</v>
      </c>
      <c r="U172" s="2">
        <v>-1</v>
      </c>
      <c r="V172" s="2">
        <v>193</v>
      </c>
      <c r="W172" s="2">
        <v>38</v>
      </c>
      <c r="X172" s="2">
        <v>26</v>
      </c>
      <c r="Y172" s="2">
        <v>24</v>
      </c>
      <c r="Z172" s="2">
        <v>99</v>
      </c>
      <c r="AA172" s="2">
        <v>15</v>
      </c>
      <c r="AH172" s="2">
        <v>47</v>
      </c>
      <c r="AI172" s="2">
        <v>98</v>
      </c>
      <c r="AJ172" s="2">
        <v>276</v>
      </c>
      <c r="AK172" s="2">
        <v>236</v>
      </c>
      <c r="AL172" s="2">
        <v>237</v>
      </c>
      <c r="AM172" s="2">
        <v>186</v>
      </c>
    </row>
    <row r="173" spans="2:39" s="2" customFormat="1" x14ac:dyDescent="0.25">
      <c r="B173" s="19" t="s">
        <v>111</v>
      </c>
      <c r="C173" s="2">
        <v>-1</v>
      </c>
      <c r="D173" s="2">
        <v>-1</v>
      </c>
      <c r="E173" s="2">
        <v>0</v>
      </c>
      <c r="F173" s="2">
        <v>220</v>
      </c>
      <c r="G173" s="2">
        <v>2</v>
      </c>
      <c r="H173" s="2">
        <v>1</v>
      </c>
      <c r="I173" s="2">
        <v>-3</v>
      </c>
      <c r="J173" s="2">
        <v>2</v>
      </c>
      <c r="K173" s="2">
        <v>0</v>
      </c>
      <c r="L173" s="2">
        <v>-9</v>
      </c>
      <c r="M173" s="2">
        <v>912</v>
      </c>
      <c r="N173" s="2">
        <v>1175</v>
      </c>
      <c r="O173" s="2">
        <v>196</v>
      </c>
      <c r="P173" s="2">
        <v>-12</v>
      </c>
      <c r="Q173" s="2">
        <v>72</v>
      </c>
      <c r="R173" s="2">
        <v>112</v>
      </c>
      <c r="S173" s="2">
        <v>-26</v>
      </c>
      <c r="T173" s="2">
        <v>2</v>
      </c>
      <c r="U173" s="2">
        <v>94</v>
      </c>
      <c r="V173" s="2">
        <v>-10</v>
      </c>
      <c r="W173" s="2">
        <v>35</v>
      </c>
      <c r="X173" s="2">
        <v>375</v>
      </c>
      <c r="Y173" s="2">
        <v>148</v>
      </c>
      <c r="Z173" s="2">
        <v>-4</v>
      </c>
      <c r="AA173" s="2">
        <v>3</v>
      </c>
      <c r="AH173" s="2">
        <v>218</v>
      </c>
      <c r="AI173" s="2">
        <v>2</v>
      </c>
      <c r="AJ173" s="2">
        <v>2078</v>
      </c>
      <c r="AK173" s="2">
        <v>368</v>
      </c>
      <c r="AL173" s="2">
        <v>60</v>
      </c>
      <c r="AM173" s="2">
        <v>553</v>
      </c>
    </row>
    <row r="174" spans="2:39" s="2" customFormat="1" x14ac:dyDescent="0.25">
      <c r="B174" s="19" t="s">
        <v>112</v>
      </c>
      <c r="C174" s="2">
        <v>415</v>
      </c>
      <c r="D174" s="2">
        <v>263</v>
      </c>
      <c r="E174" s="2">
        <v>196</v>
      </c>
      <c r="F174" s="2">
        <v>300</v>
      </c>
      <c r="G174" s="2">
        <v>193</v>
      </c>
      <c r="H174" s="2">
        <v>138</v>
      </c>
      <c r="I174" s="2">
        <v>256</v>
      </c>
      <c r="J174" s="2">
        <v>398</v>
      </c>
      <c r="K174" s="2">
        <v>247</v>
      </c>
      <c r="L174" s="2">
        <v>215</v>
      </c>
      <c r="M174" s="2">
        <v>331</v>
      </c>
      <c r="N174" s="2">
        <v>1179</v>
      </c>
      <c r="O174" s="2">
        <v>124</v>
      </c>
      <c r="P174" s="2">
        <v>239</v>
      </c>
      <c r="Q174" s="2">
        <v>245</v>
      </c>
      <c r="R174" s="2">
        <v>138</v>
      </c>
      <c r="S174" s="2">
        <v>293</v>
      </c>
      <c r="T174" s="2">
        <v>125</v>
      </c>
      <c r="U174" s="2">
        <v>342</v>
      </c>
      <c r="V174" s="2">
        <v>398</v>
      </c>
      <c r="W174" s="2">
        <v>442</v>
      </c>
      <c r="X174" s="2">
        <v>2749</v>
      </c>
      <c r="Y174" s="2">
        <v>544</v>
      </c>
      <c r="Z174" s="2">
        <v>474</v>
      </c>
      <c r="AA174" s="2">
        <v>229</v>
      </c>
      <c r="AH174" s="2">
        <v>1174</v>
      </c>
      <c r="AI174" s="2">
        <v>985</v>
      </c>
      <c r="AJ174" s="2">
        <v>1973</v>
      </c>
      <c r="AK174" s="2">
        <v>746</v>
      </c>
      <c r="AL174" s="2">
        <v>1158</v>
      </c>
      <c r="AM174" s="2">
        <v>4211</v>
      </c>
    </row>
    <row r="175" spans="2:39" s="3" customFormat="1" x14ac:dyDescent="0.25">
      <c r="B175" s="31" t="s">
        <v>113</v>
      </c>
      <c r="C175" s="3">
        <v>-2091</v>
      </c>
      <c r="D175" s="3">
        <v>-1084</v>
      </c>
      <c r="E175" s="3">
        <v>44</v>
      </c>
      <c r="F175" s="3">
        <v>-919</v>
      </c>
      <c r="G175" s="3">
        <v>-378</v>
      </c>
      <c r="H175" s="3">
        <v>-521</v>
      </c>
      <c r="I175" s="3">
        <v>-14671</v>
      </c>
      <c r="J175" s="3">
        <v>-1622</v>
      </c>
      <c r="K175" s="3">
        <v>-987</v>
      </c>
      <c r="L175" s="3">
        <v>-936</v>
      </c>
      <c r="M175" s="3">
        <v>-130</v>
      </c>
      <c r="N175" s="3">
        <v>-414</v>
      </c>
      <c r="O175" s="3">
        <v>-635</v>
      </c>
      <c r="P175" s="3">
        <v>-729</v>
      </c>
      <c r="Q175" s="3">
        <v>-560</v>
      </c>
      <c r="R175" s="3">
        <v>-1533</v>
      </c>
      <c r="S175" s="3">
        <v>-474</v>
      </c>
      <c r="T175" s="3">
        <v>-979</v>
      </c>
      <c r="U175" s="3">
        <v>-421</v>
      </c>
      <c r="V175" s="3">
        <v>-1265</v>
      </c>
      <c r="W175" s="3">
        <v>-447</v>
      </c>
      <c r="X175" s="3">
        <v>-6786</v>
      </c>
      <c r="Y175" s="3">
        <v>-1402</v>
      </c>
      <c r="Z175" s="3">
        <v>-5896</v>
      </c>
      <c r="AA175" s="3">
        <v>-469</v>
      </c>
      <c r="AH175" s="3">
        <v>-4050</v>
      </c>
      <c r="AI175" s="3">
        <v>-17192</v>
      </c>
      <c r="AJ175" s="3">
        <v>-2467</v>
      </c>
      <c r="AK175" s="3">
        <v>-3387</v>
      </c>
      <c r="AL175" s="3">
        <v>-3138</v>
      </c>
      <c r="AM175" s="3">
        <v>-14530</v>
      </c>
    </row>
    <row r="176" spans="2:39" s="2" customFormat="1" x14ac:dyDescent="0.25">
      <c r="B176" s="19" t="s">
        <v>114</v>
      </c>
      <c r="C176" s="2">
        <v>-107</v>
      </c>
      <c r="D176" s="2">
        <v>-322</v>
      </c>
      <c r="E176" s="2">
        <v>-309</v>
      </c>
      <c r="F176" s="2">
        <v>-396</v>
      </c>
      <c r="G176" s="2">
        <v>-71</v>
      </c>
      <c r="H176" s="2">
        <v>1592</v>
      </c>
      <c r="I176" s="2">
        <v>170</v>
      </c>
      <c r="J176" s="2">
        <v>7</v>
      </c>
      <c r="K176" s="2">
        <v>-3</v>
      </c>
      <c r="L176" s="2">
        <v>-2</v>
      </c>
      <c r="M176" s="2">
        <v>-4</v>
      </c>
      <c r="N176" s="2">
        <v>-14</v>
      </c>
      <c r="O176" s="2">
        <v>-1</v>
      </c>
      <c r="P176" s="2">
        <v>2</v>
      </c>
      <c r="Q176" s="2">
        <v>-7</v>
      </c>
      <c r="R176" s="2">
        <v>287</v>
      </c>
      <c r="S176" s="2">
        <v>-9</v>
      </c>
      <c r="T176" s="2">
        <v>-12</v>
      </c>
      <c r="U176" s="2">
        <v>-33</v>
      </c>
      <c r="V176" s="2">
        <v>-90</v>
      </c>
      <c r="W176" s="2">
        <v>3096</v>
      </c>
      <c r="X176" s="2">
        <v>-29</v>
      </c>
      <c r="Y176" s="2">
        <v>152</v>
      </c>
      <c r="Z176" s="2">
        <v>-2</v>
      </c>
      <c r="AA176" s="2">
        <v>46</v>
      </c>
      <c r="AH176" s="2">
        <v>-1134</v>
      </c>
      <c r="AI176" s="2">
        <v>1698</v>
      </c>
      <c r="AJ176" s="2">
        <v>-23</v>
      </c>
      <c r="AK176" s="2">
        <v>210</v>
      </c>
      <c r="AL176" s="2">
        <v>-144</v>
      </c>
      <c r="AM176" s="2">
        <v>3216</v>
      </c>
    </row>
    <row r="177" spans="2:39" s="3" customFormat="1" x14ac:dyDescent="0.25">
      <c r="B177" s="31" t="s">
        <v>115</v>
      </c>
      <c r="C177" s="3">
        <v>-2196</v>
      </c>
      <c r="D177" s="3">
        <v>-1407</v>
      </c>
      <c r="E177" s="3">
        <v>-266</v>
      </c>
      <c r="F177" s="3">
        <v>-1315</v>
      </c>
      <c r="G177" s="3">
        <v>-448</v>
      </c>
      <c r="H177" s="3">
        <v>1071</v>
      </c>
      <c r="I177" s="3">
        <v>-14501</v>
      </c>
      <c r="J177" s="3">
        <v>-1616</v>
      </c>
      <c r="K177" s="3">
        <v>-990</v>
      </c>
      <c r="L177" s="3">
        <v>-938</v>
      </c>
      <c r="M177" s="3">
        <v>-134</v>
      </c>
      <c r="N177" s="3">
        <v>-428</v>
      </c>
      <c r="O177" s="3">
        <v>-636</v>
      </c>
      <c r="P177" s="3">
        <v>-727</v>
      </c>
      <c r="Q177" s="3">
        <v>-567</v>
      </c>
      <c r="R177" s="3">
        <v>-1246</v>
      </c>
      <c r="S177" s="3">
        <v>-482</v>
      </c>
      <c r="T177" s="3">
        <v>-991</v>
      </c>
      <c r="U177" s="3">
        <v>-454</v>
      </c>
      <c r="V177" s="3">
        <v>-1355</v>
      </c>
      <c r="W177" s="3">
        <v>2649</v>
      </c>
      <c r="X177" s="3">
        <v>-6815</v>
      </c>
      <c r="Y177" s="3">
        <v>-1250</v>
      </c>
      <c r="Z177" s="3">
        <v>-5898</v>
      </c>
      <c r="AA177" s="3">
        <v>-422</v>
      </c>
      <c r="AH177" s="3">
        <v>-5184</v>
      </c>
      <c r="AI177" s="3">
        <v>-15494</v>
      </c>
      <c r="AJ177" s="3">
        <v>-2490</v>
      </c>
      <c r="AK177" s="3">
        <v>-3176</v>
      </c>
      <c r="AL177" s="3">
        <v>-3282</v>
      </c>
      <c r="AM177" s="3">
        <v>-11314</v>
      </c>
    </row>
    <row r="178" spans="2:39" s="2" customFormat="1" x14ac:dyDescent="0.25">
      <c r="B178" s="13" t="s">
        <v>116</v>
      </c>
      <c r="C178" s="9"/>
      <c r="D178" s="9"/>
      <c r="E178" s="9"/>
      <c r="F178" s="9"/>
      <c r="G178" s="9"/>
      <c r="H178" s="9"/>
      <c r="I178" s="9" t="s">
        <v>31</v>
      </c>
      <c r="J178" s="9" t="s">
        <v>31</v>
      </c>
      <c r="K178" s="9" t="s">
        <v>31</v>
      </c>
      <c r="L178" s="9" t="s">
        <v>31</v>
      </c>
      <c r="M178" s="9" t="s">
        <v>31</v>
      </c>
      <c r="N178" s="9" t="s">
        <v>31</v>
      </c>
      <c r="O178" s="9" t="s">
        <v>31</v>
      </c>
      <c r="P178" s="9" t="s">
        <v>31</v>
      </c>
      <c r="Q178" s="9" t="s">
        <v>31</v>
      </c>
      <c r="R178" s="9" t="s">
        <v>31</v>
      </c>
      <c r="S178" s="9" t="s">
        <v>31</v>
      </c>
      <c r="T178" s="9" t="s">
        <v>31</v>
      </c>
      <c r="U178" s="9" t="s">
        <v>31</v>
      </c>
      <c r="V178" s="9" t="s">
        <v>31</v>
      </c>
      <c r="W178" s="9" t="s">
        <v>31</v>
      </c>
      <c r="X178" s="9" t="s">
        <v>31</v>
      </c>
      <c r="Y178" s="9" t="s">
        <v>31</v>
      </c>
      <c r="Z178" s="9" t="s">
        <v>31</v>
      </c>
      <c r="AA178" s="9" t="s">
        <v>31</v>
      </c>
      <c r="AH178" s="9" t="s">
        <v>31</v>
      </c>
      <c r="AI178" s="9" t="s">
        <v>31</v>
      </c>
      <c r="AJ178" s="9" t="s">
        <v>31</v>
      </c>
      <c r="AK178" s="9" t="s">
        <v>31</v>
      </c>
      <c r="AL178" s="9" t="s">
        <v>31</v>
      </c>
      <c r="AM178" s="9" t="s">
        <v>31</v>
      </c>
    </row>
    <row r="179" spans="2:39" s="2" customFormat="1" x14ac:dyDescent="0.25">
      <c r="B179" s="19" t="s">
        <v>117</v>
      </c>
      <c r="C179" s="2">
        <v>-128</v>
      </c>
      <c r="D179" s="2">
        <v>-867</v>
      </c>
      <c r="E179" s="2">
        <v>-470</v>
      </c>
      <c r="F179" s="2">
        <v>-52</v>
      </c>
      <c r="G179" s="2">
        <v>-14</v>
      </c>
      <c r="H179" s="2">
        <v>-9</v>
      </c>
      <c r="I179" s="2">
        <v>-6</v>
      </c>
      <c r="J179" s="2">
        <v>-518</v>
      </c>
      <c r="K179" s="2">
        <v>-55</v>
      </c>
      <c r="L179" s="2">
        <v>-217</v>
      </c>
      <c r="M179" s="2">
        <v>-481</v>
      </c>
      <c r="N179" s="2">
        <v>-812</v>
      </c>
      <c r="O179" s="2">
        <v>-360</v>
      </c>
      <c r="P179" s="2">
        <v>-89</v>
      </c>
      <c r="Q179" s="2">
        <v>-104</v>
      </c>
      <c r="R179" s="2">
        <v>-332</v>
      </c>
      <c r="S179" s="2">
        <v>-417</v>
      </c>
      <c r="T179" s="2">
        <v>-236</v>
      </c>
      <c r="U179" s="2">
        <v>-339</v>
      </c>
      <c r="V179" s="2">
        <v>-632</v>
      </c>
      <c r="W179" s="2">
        <v>-314</v>
      </c>
      <c r="X179" s="2">
        <v>-315</v>
      </c>
      <c r="Y179" s="2">
        <v>-827</v>
      </c>
      <c r="Z179" s="2">
        <v>-814</v>
      </c>
      <c r="AA179" s="2">
        <v>-693</v>
      </c>
      <c r="AH179" s="2">
        <v>-1517</v>
      </c>
      <c r="AI179" s="2">
        <v>-547</v>
      </c>
      <c r="AJ179" s="2">
        <v>-1565</v>
      </c>
      <c r="AK179" s="2">
        <v>-884</v>
      </c>
      <c r="AL179" s="2">
        <v>-1625</v>
      </c>
      <c r="AM179" s="2">
        <v>-2269</v>
      </c>
    </row>
    <row r="180" spans="2:39" s="2" customFormat="1" x14ac:dyDescent="0.25">
      <c r="B180" s="19" t="s">
        <v>118</v>
      </c>
      <c r="C180" s="2">
        <v>-58</v>
      </c>
      <c r="D180" s="2">
        <v>-38</v>
      </c>
      <c r="E180" s="2">
        <v>11</v>
      </c>
      <c r="F180" s="2">
        <v>2709</v>
      </c>
      <c r="G180" s="2">
        <v>-130</v>
      </c>
      <c r="H180" s="2">
        <v>2283</v>
      </c>
      <c r="I180" s="2">
        <v>-8</v>
      </c>
      <c r="J180" s="2">
        <v>-90</v>
      </c>
      <c r="K180" s="2">
        <v>0</v>
      </c>
      <c r="L180" s="2">
        <v>-16</v>
      </c>
      <c r="M180" s="2">
        <v>-2</v>
      </c>
      <c r="N180" s="2">
        <v>-220</v>
      </c>
      <c r="O180" s="2">
        <v>0</v>
      </c>
      <c r="P180" s="2">
        <v>-30</v>
      </c>
      <c r="Q180" s="2">
        <v>-297</v>
      </c>
      <c r="R180" s="2">
        <v>-44</v>
      </c>
      <c r="S180" s="2">
        <v>-2081</v>
      </c>
      <c r="T180" s="2">
        <v>-57</v>
      </c>
      <c r="U180" s="2">
        <v>0</v>
      </c>
      <c r="V180" s="2">
        <v>-2</v>
      </c>
      <c r="W180" s="2">
        <v>-7</v>
      </c>
      <c r="X180" s="2">
        <v>1386</v>
      </c>
      <c r="Y180" s="2">
        <v>123</v>
      </c>
      <c r="Z180" s="2">
        <v>1823</v>
      </c>
      <c r="AA180" s="2">
        <v>943</v>
      </c>
      <c r="AH180" s="2">
        <v>2624</v>
      </c>
      <c r="AI180" s="2">
        <v>2055</v>
      </c>
      <c r="AJ180" s="2">
        <v>-305</v>
      </c>
      <c r="AK180" s="2">
        <v>-414</v>
      </c>
      <c r="AL180" s="2">
        <v>-2140</v>
      </c>
      <c r="AM180" s="2">
        <v>3325</v>
      </c>
    </row>
    <row r="181" spans="2:39" s="2" customFormat="1" x14ac:dyDescent="0.25">
      <c r="B181" s="19" t="s">
        <v>159</v>
      </c>
      <c r="C181" s="2">
        <v>1260</v>
      </c>
      <c r="D181" s="2">
        <v>5005</v>
      </c>
      <c r="E181" s="2">
        <v>3990</v>
      </c>
      <c r="F181" s="2">
        <v>0</v>
      </c>
      <c r="G181" s="2">
        <v>0</v>
      </c>
      <c r="H181" s="2">
        <v>8316</v>
      </c>
      <c r="I181" s="2">
        <v>0</v>
      </c>
      <c r="J181" s="2">
        <v>0</v>
      </c>
      <c r="K181" s="2">
        <v>-67</v>
      </c>
      <c r="L181" s="2">
        <v>1980</v>
      </c>
      <c r="M181" s="2">
        <v>0</v>
      </c>
      <c r="N181" s="2">
        <v>2989</v>
      </c>
      <c r="O181" s="2">
        <v>-33</v>
      </c>
      <c r="P181" s="2">
        <v>2470</v>
      </c>
      <c r="Q181" s="2">
        <v>0</v>
      </c>
      <c r="R181" s="2">
        <v>0</v>
      </c>
      <c r="S181" s="2">
        <v>1249</v>
      </c>
      <c r="T181" s="2">
        <v>5439</v>
      </c>
      <c r="U181" s="2">
        <v>0</v>
      </c>
      <c r="V181" s="2">
        <v>0</v>
      </c>
      <c r="X181" s="2">
        <v>761</v>
      </c>
      <c r="Y181" s="2">
        <v>10121</v>
      </c>
      <c r="Z181" s="2">
        <v>0</v>
      </c>
      <c r="AH181" s="2">
        <v>10255</v>
      </c>
      <c r="AI181" s="2">
        <v>8316</v>
      </c>
      <c r="AJ181" s="2">
        <v>4969</v>
      </c>
      <c r="AK181" s="2">
        <v>2470</v>
      </c>
      <c r="AL181" s="2">
        <v>6688</v>
      </c>
      <c r="AM181" s="2">
        <v>10881</v>
      </c>
    </row>
    <row r="182" spans="2:39" s="2" customFormat="1" x14ac:dyDescent="0.25">
      <c r="B182" s="19" t="s">
        <v>119</v>
      </c>
      <c r="C182" s="2">
        <v>-170</v>
      </c>
      <c r="D182" s="2">
        <v>-2884</v>
      </c>
      <c r="E182" s="2">
        <v>-1412</v>
      </c>
      <c r="F182" s="2">
        <v>-6</v>
      </c>
      <c r="G182" s="2">
        <v>-179</v>
      </c>
      <c r="H182" s="2">
        <v>-1430</v>
      </c>
      <c r="I182" s="2">
        <v>-187</v>
      </c>
      <c r="J182" s="2">
        <v>-2498</v>
      </c>
      <c r="K182" s="2">
        <v>-1437</v>
      </c>
      <c r="L182" s="2">
        <v>-1871</v>
      </c>
      <c r="M182" s="2">
        <v>-3327</v>
      </c>
      <c r="N182" s="2">
        <v>-28</v>
      </c>
      <c r="O182" s="2">
        <v>-207</v>
      </c>
      <c r="P182" s="2">
        <v>-2485</v>
      </c>
      <c r="Q182" s="2">
        <v>-703</v>
      </c>
      <c r="R182" s="2">
        <v>-1857</v>
      </c>
      <c r="S182" s="2">
        <v>-197</v>
      </c>
      <c r="T182" s="2">
        <v>-3982</v>
      </c>
      <c r="U182" s="2">
        <v>-1192</v>
      </c>
      <c r="V182" s="2">
        <v>-674</v>
      </c>
      <c r="W182" s="2">
        <v>-622</v>
      </c>
      <c r="X182" s="2">
        <v>-2691</v>
      </c>
      <c r="Y182" s="2">
        <v>-1522</v>
      </c>
      <c r="Z182" s="2">
        <v>-557</v>
      </c>
      <c r="AA182" s="2">
        <v>-955</v>
      </c>
      <c r="AH182" s="2">
        <v>-4472</v>
      </c>
      <c r="AI182" s="2">
        <v>-4294</v>
      </c>
      <c r="AJ182" s="2">
        <v>-6663</v>
      </c>
      <c r="AK182" s="2">
        <v>-5246</v>
      </c>
      <c r="AL182" s="2">
        <v>-6045</v>
      </c>
      <c r="AM182" s="2">
        <v>-5392</v>
      </c>
    </row>
    <row r="183" spans="2:39" s="2" customFormat="1" x14ac:dyDescent="0.25">
      <c r="B183" s="19" t="s">
        <v>120</v>
      </c>
      <c r="C183" s="2">
        <v>12</v>
      </c>
      <c r="D183" s="2">
        <v>2624</v>
      </c>
      <c r="E183" s="2">
        <v>-33</v>
      </c>
      <c r="F183" s="2">
        <v>-1011</v>
      </c>
      <c r="G183" s="2">
        <v>-181</v>
      </c>
      <c r="H183" s="2">
        <v>663</v>
      </c>
      <c r="I183" s="2">
        <v>-758</v>
      </c>
      <c r="J183" s="2">
        <v>-676</v>
      </c>
      <c r="K183" s="2">
        <v>3625</v>
      </c>
      <c r="L183" s="2">
        <v>181</v>
      </c>
      <c r="M183" s="2">
        <v>1745</v>
      </c>
      <c r="N183" s="2">
        <v>-5096</v>
      </c>
      <c r="O183" s="2">
        <v>987</v>
      </c>
      <c r="P183" s="2">
        <v>1159</v>
      </c>
      <c r="Q183" s="2">
        <v>-644</v>
      </c>
      <c r="R183" s="2">
        <v>-1202</v>
      </c>
      <c r="S183" s="2">
        <v>1527</v>
      </c>
      <c r="T183" s="2">
        <v>-734</v>
      </c>
      <c r="U183" s="2">
        <v>58</v>
      </c>
      <c r="V183" s="2">
        <v>-1030</v>
      </c>
      <c r="W183" s="2">
        <v>799</v>
      </c>
      <c r="X183" s="2">
        <v>10008</v>
      </c>
      <c r="Y183" s="2">
        <v>-7368</v>
      </c>
      <c r="Z183" s="2">
        <v>-134</v>
      </c>
      <c r="AA183" s="2">
        <v>1070</v>
      </c>
      <c r="AH183" s="2">
        <v>1592</v>
      </c>
      <c r="AI183" s="2">
        <v>-952</v>
      </c>
      <c r="AJ183" s="2">
        <v>455</v>
      </c>
      <c r="AK183" s="2">
        <v>299</v>
      </c>
      <c r="AL183" s="2">
        <v>-179</v>
      </c>
      <c r="AM183" s="2">
        <v>3305</v>
      </c>
    </row>
    <row r="184" spans="2:39" s="2" customFormat="1" x14ac:dyDescent="0.25">
      <c r="B184" s="19" t="s">
        <v>121</v>
      </c>
      <c r="C184" s="2">
        <v>-167</v>
      </c>
      <c r="D184" s="2">
        <v>-289</v>
      </c>
      <c r="E184" s="2">
        <v>-150</v>
      </c>
      <c r="F184" s="2">
        <v>-227</v>
      </c>
      <c r="G184" s="2">
        <v>-106</v>
      </c>
      <c r="H184" s="2">
        <v>-222</v>
      </c>
      <c r="I184" s="2">
        <v>-117</v>
      </c>
      <c r="J184" s="2">
        <v>-259</v>
      </c>
      <c r="K184" s="2">
        <v>-108</v>
      </c>
      <c r="L184" s="2">
        <v>-260</v>
      </c>
      <c r="M184" s="2">
        <v>-125</v>
      </c>
      <c r="N184" s="2">
        <v>-331</v>
      </c>
      <c r="O184" s="2">
        <v>-144</v>
      </c>
      <c r="P184" s="2">
        <v>-391</v>
      </c>
      <c r="Q184" s="2">
        <v>-222</v>
      </c>
      <c r="R184" s="2">
        <v>-450</v>
      </c>
      <c r="S184" s="2">
        <v>-253</v>
      </c>
      <c r="T184" s="2">
        <v>-557</v>
      </c>
      <c r="U184" s="2">
        <v>-305</v>
      </c>
      <c r="V184" s="2">
        <v>-347</v>
      </c>
      <c r="W184" s="2">
        <v>-273</v>
      </c>
      <c r="X184" s="2">
        <v>-586</v>
      </c>
      <c r="Y184" s="2">
        <v>-287</v>
      </c>
      <c r="Z184" s="2">
        <v>-587</v>
      </c>
      <c r="AA184" s="2">
        <v>-359</v>
      </c>
      <c r="AH184" s="2">
        <v>-833</v>
      </c>
      <c r="AI184" s="2">
        <v>-704</v>
      </c>
      <c r="AJ184" s="2">
        <v>-824</v>
      </c>
      <c r="AK184" s="2">
        <v>-1208</v>
      </c>
      <c r="AL184" s="2">
        <v>-1462</v>
      </c>
      <c r="AM184" s="2">
        <v>-1733</v>
      </c>
    </row>
    <row r="185" spans="2:39" s="2" customFormat="1" x14ac:dyDescent="0.25">
      <c r="B185" s="19" t="s">
        <v>160</v>
      </c>
      <c r="C185" s="2">
        <v>0</v>
      </c>
      <c r="D185" s="2">
        <v>-3174</v>
      </c>
      <c r="E185" s="2">
        <v>0</v>
      </c>
      <c r="F185" s="2">
        <v>0</v>
      </c>
      <c r="G185" s="2">
        <v>0</v>
      </c>
      <c r="H185" s="2">
        <v>-2804</v>
      </c>
      <c r="I185" s="2">
        <v>0</v>
      </c>
      <c r="J185" s="2">
        <v>0</v>
      </c>
      <c r="K185" s="2">
        <v>0</v>
      </c>
      <c r="L185" s="2">
        <v>-3215</v>
      </c>
      <c r="M185" s="2">
        <v>0</v>
      </c>
      <c r="N185" s="2">
        <v>0</v>
      </c>
      <c r="O185" s="2">
        <v>0</v>
      </c>
      <c r="P185" s="2">
        <v>-3362</v>
      </c>
      <c r="Q185" s="2">
        <v>0</v>
      </c>
      <c r="R185" s="2">
        <v>0</v>
      </c>
      <c r="S185" s="2">
        <v>0</v>
      </c>
      <c r="T185" s="2">
        <v>-3709</v>
      </c>
      <c r="U185" s="2">
        <v>0</v>
      </c>
      <c r="V185" s="2">
        <v>0</v>
      </c>
      <c r="X185" s="2">
        <v>-4093</v>
      </c>
      <c r="Y185" s="2">
        <v>0</v>
      </c>
      <c r="Z185" s="2">
        <v>0</v>
      </c>
      <c r="AH185" s="2">
        <v>-3174</v>
      </c>
      <c r="AI185" s="2">
        <v>-2804</v>
      </c>
      <c r="AJ185" s="2">
        <v>-3215</v>
      </c>
      <c r="AK185" s="2">
        <v>-3362</v>
      </c>
      <c r="AL185" s="2">
        <v>-3709</v>
      </c>
      <c r="AM185" s="2">
        <v>-4093</v>
      </c>
    </row>
    <row r="186" spans="2:39" s="2" customFormat="1" x14ac:dyDescent="0.25">
      <c r="B186" s="19" t="s">
        <v>122</v>
      </c>
      <c r="C186" s="2">
        <v>-14</v>
      </c>
      <c r="D186" s="2">
        <v>-152</v>
      </c>
      <c r="E186" s="2">
        <v>-22</v>
      </c>
      <c r="F186" s="2">
        <v>-20</v>
      </c>
      <c r="G186" s="2">
        <v>-10</v>
      </c>
      <c r="H186" s="2">
        <v>-224</v>
      </c>
      <c r="I186" s="2">
        <v>-25</v>
      </c>
      <c r="J186" s="2">
        <v>-26</v>
      </c>
      <c r="K186" s="2">
        <v>-16</v>
      </c>
      <c r="L186" s="2">
        <v>-273</v>
      </c>
      <c r="M186" s="2">
        <v>-27</v>
      </c>
      <c r="N186" s="2">
        <v>-38</v>
      </c>
      <c r="O186" s="2">
        <v>-15</v>
      </c>
      <c r="P186" s="2">
        <v>-304</v>
      </c>
      <c r="Q186" s="2">
        <v>-39</v>
      </c>
      <c r="R186" s="2">
        <v>-31</v>
      </c>
      <c r="S186" s="2">
        <v>-12</v>
      </c>
      <c r="T186" s="2">
        <v>-64</v>
      </c>
      <c r="U186" s="2">
        <v>-279</v>
      </c>
      <c r="V186" s="2">
        <v>-34</v>
      </c>
      <c r="W186" s="2">
        <v>-13</v>
      </c>
      <c r="X186" s="2">
        <v>-315</v>
      </c>
      <c r="Y186" s="2">
        <v>-53</v>
      </c>
      <c r="Z186" s="2">
        <v>-1</v>
      </c>
      <c r="AA186" s="2">
        <v>-27</v>
      </c>
      <c r="AH186" s="2">
        <v>-208</v>
      </c>
      <c r="AI186" s="2">
        <v>-285</v>
      </c>
      <c r="AJ186" s="2">
        <v>-354</v>
      </c>
      <c r="AK186" s="2">
        <v>-389</v>
      </c>
      <c r="AL186" s="2">
        <v>-389</v>
      </c>
      <c r="AM186" s="2">
        <v>-382</v>
      </c>
    </row>
    <row r="187" spans="2:39" s="3" customFormat="1" x14ac:dyDescent="0.25">
      <c r="B187" s="31" t="s">
        <v>123</v>
      </c>
      <c r="C187" s="3">
        <v>736</v>
      </c>
      <c r="D187" s="3">
        <v>224</v>
      </c>
      <c r="E187" s="3">
        <v>1914</v>
      </c>
      <c r="F187" s="3">
        <v>1393</v>
      </c>
      <c r="G187" s="3">
        <v>-619</v>
      </c>
      <c r="H187" s="3">
        <v>6573</v>
      </c>
      <c r="I187" s="3">
        <v>-1101</v>
      </c>
      <c r="J187" s="3">
        <v>-4068</v>
      </c>
      <c r="K187" s="3">
        <v>1943</v>
      </c>
      <c r="L187" s="3">
        <v>-3692</v>
      </c>
      <c r="M187" s="3">
        <v>-2217</v>
      </c>
      <c r="N187" s="3">
        <v>-3535</v>
      </c>
      <c r="O187" s="3">
        <v>228</v>
      </c>
      <c r="P187" s="3">
        <v>-3032</v>
      </c>
      <c r="Q187" s="3">
        <v>-2009</v>
      </c>
      <c r="R187" s="3">
        <v>-3916</v>
      </c>
      <c r="S187" s="3">
        <v>-184</v>
      </c>
      <c r="T187" s="3">
        <v>-3901</v>
      </c>
      <c r="U187" s="3">
        <v>-2057</v>
      </c>
      <c r="V187" s="3">
        <v>-2719</v>
      </c>
      <c r="W187" s="3">
        <v>-430</v>
      </c>
      <c r="X187" s="3">
        <v>4155</v>
      </c>
      <c r="Y187" s="3">
        <v>187</v>
      </c>
      <c r="Z187" s="3">
        <v>-271</v>
      </c>
      <c r="AA187" s="3">
        <v>-20</v>
      </c>
      <c r="AH187" s="3">
        <v>4267</v>
      </c>
      <c r="AI187" s="3">
        <v>785</v>
      </c>
      <c r="AJ187" s="3">
        <v>-7502</v>
      </c>
      <c r="AK187" s="3">
        <v>-8734</v>
      </c>
      <c r="AL187" s="3">
        <v>-8860</v>
      </c>
      <c r="AM187" s="3">
        <v>3641</v>
      </c>
    </row>
    <row r="188" spans="2:39" s="2" customFormat="1" x14ac:dyDescent="0.25">
      <c r="B188" s="19" t="s">
        <v>124</v>
      </c>
      <c r="C188" s="2">
        <v>-33</v>
      </c>
      <c r="D188" s="2">
        <v>-895</v>
      </c>
      <c r="E188" s="2">
        <v>4</v>
      </c>
      <c r="F188" s="2">
        <v>-171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-1</v>
      </c>
      <c r="O188" s="2">
        <v>0</v>
      </c>
      <c r="P188" s="2">
        <v>0</v>
      </c>
      <c r="Q188" s="2">
        <v>0</v>
      </c>
      <c r="R188" s="2">
        <v>-1</v>
      </c>
      <c r="S188" s="2">
        <v>-5</v>
      </c>
      <c r="T188" s="2">
        <v>-10</v>
      </c>
      <c r="U188" s="2">
        <v>1</v>
      </c>
      <c r="V188" s="2">
        <v>-6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H188" s="2">
        <v>-1095</v>
      </c>
      <c r="AI188" s="2">
        <v>0</v>
      </c>
      <c r="AJ188" s="2">
        <v>-1</v>
      </c>
      <c r="AK188" s="2">
        <v>4</v>
      </c>
      <c r="AL188" s="2">
        <v>-20</v>
      </c>
      <c r="AM188" s="2">
        <v>0</v>
      </c>
    </row>
    <row r="189" spans="2:39" s="3" customFormat="1" x14ac:dyDescent="0.25">
      <c r="B189" s="31" t="s">
        <v>125</v>
      </c>
      <c r="C189" s="3">
        <v>704</v>
      </c>
      <c r="D189" s="3">
        <v>-672</v>
      </c>
      <c r="E189" s="3">
        <v>1918</v>
      </c>
      <c r="F189" s="3">
        <v>1222</v>
      </c>
      <c r="G189" s="3">
        <v>-619</v>
      </c>
      <c r="H189" s="3">
        <v>6573</v>
      </c>
      <c r="I189" s="3">
        <v>-1101</v>
      </c>
      <c r="J189" s="3">
        <v>-4068</v>
      </c>
      <c r="K189" s="3">
        <v>1943</v>
      </c>
      <c r="L189" s="3">
        <v>-3692</v>
      </c>
      <c r="M189" s="3">
        <v>-2217</v>
      </c>
      <c r="N189" s="3">
        <v>-3536</v>
      </c>
      <c r="O189" s="3">
        <v>228</v>
      </c>
      <c r="P189" s="3">
        <v>-3033</v>
      </c>
      <c r="Q189" s="3">
        <v>-2009</v>
      </c>
      <c r="R189" s="3">
        <v>-3917</v>
      </c>
      <c r="S189" s="3">
        <v>-189</v>
      </c>
      <c r="T189" s="3">
        <v>-3911</v>
      </c>
      <c r="U189" s="3">
        <v>-2056</v>
      </c>
      <c r="V189" s="3">
        <v>-2724</v>
      </c>
      <c r="W189" s="3">
        <v>-430</v>
      </c>
      <c r="X189" s="3">
        <v>4155</v>
      </c>
      <c r="Y189" s="3">
        <v>187</v>
      </c>
      <c r="Z189" s="3">
        <v>-271</v>
      </c>
      <c r="AA189" s="3">
        <v>-20</v>
      </c>
      <c r="AH189" s="3">
        <v>3172</v>
      </c>
      <c r="AI189" s="3">
        <v>785</v>
      </c>
      <c r="AJ189" s="3">
        <v>-7502</v>
      </c>
      <c r="AK189" s="3">
        <v>-8731</v>
      </c>
      <c r="AL189" s="3">
        <v>-8880</v>
      </c>
      <c r="AM189" s="3">
        <v>3641</v>
      </c>
    </row>
    <row r="190" spans="2:39" s="3" customFormat="1" x14ac:dyDescent="0.25">
      <c r="B190" s="31" t="s">
        <v>186</v>
      </c>
      <c r="C190" s="3">
        <v>0</v>
      </c>
      <c r="F190" s="3">
        <v>-4663</v>
      </c>
      <c r="G190" s="3">
        <v>0</v>
      </c>
      <c r="J190" s="3">
        <v>0</v>
      </c>
      <c r="AH190" s="3">
        <v>-4663</v>
      </c>
    </row>
    <row r="191" spans="2:39" s="2" customFormat="1" x14ac:dyDescent="0.25">
      <c r="B191" s="2" t="s">
        <v>126</v>
      </c>
      <c r="C191" s="2">
        <v>-79</v>
      </c>
      <c r="D191" s="2">
        <v>-71</v>
      </c>
      <c r="E191" s="2">
        <v>-92</v>
      </c>
      <c r="F191" s="2">
        <v>-283</v>
      </c>
      <c r="G191" s="2">
        <v>-215</v>
      </c>
      <c r="H191" s="2">
        <v>318</v>
      </c>
      <c r="I191" s="2">
        <v>-52</v>
      </c>
      <c r="J191" s="2">
        <v>153</v>
      </c>
      <c r="K191" s="2">
        <v>215</v>
      </c>
      <c r="L191" s="2">
        <v>106</v>
      </c>
      <c r="M191" s="2">
        <v>226</v>
      </c>
      <c r="N191" s="2">
        <v>132</v>
      </c>
      <c r="O191" s="2">
        <v>-451</v>
      </c>
      <c r="P191" s="2">
        <v>-67</v>
      </c>
      <c r="Q191" s="2">
        <v>-256</v>
      </c>
      <c r="R191" s="2">
        <v>53</v>
      </c>
      <c r="S191" s="2">
        <v>-103</v>
      </c>
      <c r="T191" s="2">
        <v>10</v>
      </c>
      <c r="U191" s="2">
        <v>19</v>
      </c>
      <c r="V191" s="2">
        <v>-147</v>
      </c>
      <c r="W191" s="2">
        <v>252</v>
      </c>
      <c r="X191" s="2">
        <v>-134</v>
      </c>
      <c r="Y191" s="2">
        <v>-455</v>
      </c>
      <c r="Z191" s="2">
        <v>-113</v>
      </c>
      <c r="AA191" s="2">
        <v>32</v>
      </c>
      <c r="AH191" s="2">
        <v>-525</v>
      </c>
      <c r="AI191" s="2">
        <v>204</v>
      </c>
      <c r="AJ191" s="2">
        <v>679</v>
      </c>
      <c r="AK191" s="2">
        <v>-721</v>
      </c>
      <c r="AL191" s="2">
        <v>-220</v>
      </c>
      <c r="AM191" s="2">
        <v>-449</v>
      </c>
    </row>
    <row r="192" spans="2:39" s="4" customFormat="1" x14ac:dyDescent="0.25">
      <c r="B192" s="32" t="s">
        <v>127</v>
      </c>
      <c r="C192" s="4">
        <v>-1041</v>
      </c>
      <c r="D192" s="4">
        <v>-1480</v>
      </c>
      <c r="E192" s="4">
        <v>4580</v>
      </c>
      <c r="F192" s="4">
        <v>-396</v>
      </c>
      <c r="G192" s="4">
        <v>28</v>
      </c>
      <c r="H192" s="4">
        <v>9556</v>
      </c>
      <c r="I192" s="4">
        <v>-12961</v>
      </c>
      <c r="J192" s="4">
        <v>-1132</v>
      </c>
      <c r="K192" s="4">
        <v>2654</v>
      </c>
      <c r="L192" s="4">
        <v>-2687</v>
      </c>
      <c r="M192" s="4">
        <v>633</v>
      </c>
      <c r="N192" s="4">
        <v>327</v>
      </c>
      <c r="O192" s="4">
        <v>-338</v>
      </c>
      <c r="P192" s="4">
        <v>-949</v>
      </c>
      <c r="Q192" s="4">
        <v>617</v>
      </c>
      <c r="R192" s="4">
        <v>282</v>
      </c>
      <c r="S192" s="4">
        <v>685</v>
      </c>
      <c r="T192" s="4">
        <v>-3048</v>
      </c>
      <c r="U192" s="4">
        <v>168</v>
      </c>
      <c r="V192" s="4">
        <v>1478</v>
      </c>
      <c r="W192" s="4">
        <v>4559</v>
      </c>
      <c r="X192" s="4">
        <v>-1240</v>
      </c>
      <c r="Y192" s="4">
        <v>1955</v>
      </c>
      <c r="Z192" s="4">
        <v>-139</v>
      </c>
      <c r="AA192" s="4">
        <v>761</v>
      </c>
      <c r="AH192" s="4">
        <v>1663</v>
      </c>
      <c r="AI192" s="4">
        <v>-4509</v>
      </c>
      <c r="AJ192" s="4">
        <v>927</v>
      </c>
      <c r="AK192" s="4">
        <v>-388</v>
      </c>
      <c r="AL192" s="4">
        <v>-717</v>
      </c>
      <c r="AM192" s="4">
        <v>5135</v>
      </c>
    </row>
    <row r="193" spans="2:41" s="2" customFormat="1" x14ac:dyDescent="0.25">
      <c r="B193" s="2" t="s">
        <v>128</v>
      </c>
      <c r="C193" s="2">
        <v>-23279</v>
      </c>
      <c r="D193" s="2">
        <v>11350</v>
      </c>
      <c r="E193" s="2">
        <v>9870</v>
      </c>
      <c r="F193" s="2">
        <v>14450</v>
      </c>
      <c r="G193" s="2">
        <v>-34346</v>
      </c>
      <c r="H193" s="2">
        <v>14083</v>
      </c>
      <c r="I193" s="2">
        <v>23639</v>
      </c>
      <c r="J193" s="2">
        <v>10678</v>
      </c>
      <c r="K193" s="2">
        <v>9545</v>
      </c>
      <c r="L193" s="2">
        <v>12199</v>
      </c>
      <c r="M193" s="2">
        <v>9512</v>
      </c>
      <c r="N193" s="2">
        <v>10145</v>
      </c>
      <c r="O193" s="2">
        <v>10472</v>
      </c>
      <c r="P193" s="2">
        <v>10135</v>
      </c>
      <c r="Q193" s="2">
        <v>9186</v>
      </c>
      <c r="R193" s="2">
        <v>9802</v>
      </c>
      <c r="S193" s="2">
        <v>10084</v>
      </c>
      <c r="T193" s="2">
        <v>10769</v>
      </c>
      <c r="U193" s="2">
        <v>7721</v>
      </c>
      <c r="V193" s="2">
        <v>7889</v>
      </c>
      <c r="W193" s="2">
        <v>9368</v>
      </c>
      <c r="X193" s="2">
        <v>13926</v>
      </c>
      <c r="Y193" s="2">
        <v>12686</v>
      </c>
      <c r="Z193" s="2">
        <v>14641</v>
      </c>
      <c r="AA193" s="2">
        <v>14502</v>
      </c>
      <c r="AH193" s="2">
        <v>12391</v>
      </c>
      <c r="AI193" s="2">
        <v>14054</v>
      </c>
      <c r="AJ193" s="2">
        <v>9545</v>
      </c>
      <c r="AK193" s="2">
        <v>10472</v>
      </c>
      <c r="AL193" s="2">
        <v>10084</v>
      </c>
      <c r="AM193" s="2">
        <v>9368</v>
      </c>
    </row>
    <row r="194" spans="2:41" s="4" customFormat="1" x14ac:dyDescent="0.25">
      <c r="B194" s="32" t="s">
        <v>129</v>
      </c>
      <c r="C194" s="4">
        <v>-24320</v>
      </c>
      <c r="D194" s="4">
        <v>9870</v>
      </c>
      <c r="E194" s="4">
        <v>14450</v>
      </c>
      <c r="F194" s="4">
        <v>14054</v>
      </c>
      <c r="G194" s="4">
        <v>-34317</v>
      </c>
      <c r="H194" s="4">
        <v>23639</v>
      </c>
      <c r="I194" s="4">
        <v>10678</v>
      </c>
      <c r="J194" s="4">
        <v>9545</v>
      </c>
      <c r="K194" s="4">
        <v>12199</v>
      </c>
      <c r="L194" s="4">
        <v>9512</v>
      </c>
      <c r="M194" s="4">
        <v>10145</v>
      </c>
      <c r="N194" s="4">
        <v>10472</v>
      </c>
      <c r="O194" s="4">
        <v>10135</v>
      </c>
      <c r="P194" s="4">
        <v>9186</v>
      </c>
      <c r="Q194" s="4">
        <v>9802</v>
      </c>
      <c r="R194" s="4">
        <v>10084</v>
      </c>
      <c r="S194" s="4">
        <v>10769</v>
      </c>
      <c r="T194" s="4">
        <v>7721</v>
      </c>
      <c r="U194" s="4">
        <v>7889</v>
      </c>
      <c r="V194" s="4">
        <v>9368</v>
      </c>
      <c r="W194" s="4">
        <v>13926</v>
      </c>
      <c r="X194" s="4">
        <v>12686</v>
      </c>
      <c r="Y194" s="4">
        <v>14641</v>
      </c>
      <c r="Z194" s="4">
        <v>14502</v>
      </c>
      <c r="AA194" s="4">
        <v>15263</v>
      </c>
      <c r="AH194" s="4">
        <v>14054</v>
      </c>
      <c r="AI194" s="4">
        <v>9545</v>
      </c>
      <c r="AJ194" s="4">
        <v>10472</v>
      </c>
      <c r="AK194" s="4">
        <v>10084</v>
      </c>
      <c r="AL194" s="4">
        <v>9368</v>
      </c>
      <c r="AM194" s="4">
        <v>14502</v>
      </c>
    </row>
    <row r="195" spans="2:41" s="2" customFormat="1" ht="39.6" x14ac:dyDescent="0.25">
      <c r="B195" s="33" t="s">
        <v>130</v>
      </c>
      <c r="C195" s="2">
        <v>-4404</v>
      </c>
      <c r="D195" s="2">
        <v>2038</v>
      </c>
      <c r="E195" s="2">
        <v>2366</v>
      </c>
      <c r="F195" s="2">
        <v>13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18</v>
      </c>
      <c r="M195" s="2">
        <v>48</v>
      </c>
      <c r="N195" s="2">
        <v>7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6</v>
      </c>
      <c r="U195" s="2">
        <v>131</v>
      </c>
      <c r="V195" s="2">
        <v>211</v>
      </c>
      <c r="W195" s="2">
        <v>1</v>
      </c>
      <c r="X195" s="2">
        <v>0</v>
      </c>
      <c r="Y195" s="2">
        <v>0</v>
      </c>
      <c r="Z195" s="2">
        <v>7</v>
      </c>
      <c r="AA195" s="2">
        <v>0</v>
      </c>
      <c r="AH195" s="2">
        <v>13</v>
      </c>
      <c r="AI195" s="2">
        <v>0</v>
      </c>
      <c r="AJ195" s="2">
        <v>7</v>
      </c>
      <c r="AK195" s="2">
        <v>0</v>
      </c>
      <c r="AL195" s="2">
        <v>211</v>
      </c>
      <c r="AM195" s="2">
        <v>7</v>
      </c>
    </row>
    <row r="196" spans="2:41" s="4" customFormat="1" x14ac:dyDescent="0.25">
      <c r="B196" s="32" t="s">
        <v>131</v>
      </c>
      <c r="C196" s="4">
        <v>-19916</v>
      </c>
      <c r="D196" s="4">
        <v>7832</v>
      </c>
      <c r="E196" s="4">
        <v>12084</v>
      </c>
      <c r="F196" s="4">
        <v>14041</v>
      </c>
      <c r="G196" s="4">
        <v>-34317</v>
      </c>
      <c r="H196" s="4">
        <v>23639</v>
      </c>
      <c r="I196" s="4">
        <v>10678</v>
      </c>
      <c r="J196" s="4">
        <v>9545</v>
      </c>
      <c r="K196" s="4">
        <v>12199</v>
      </c>
      <c r="L196" s="4">
        <v>9495</v>
      </c>
      <c r="M196" s="4">
        <v>10097</v>
      </c>
      <c r="N196" s="4">
        <v>10465</v>
      </c>
      <c r="O196" s="4">
        <v>10135</v>
      </c>
      <c r="P196" s="4">
        <v>9186</v>
      </c>
      <c r="Q196" s="4">
        <v>9802</v>
      </c>
      <c r="R196" s="4">
        <v>10084</v>
      </c>
      <c r="S196" s="4">
        <v>10769</v>
      </c>
      <c r="T196" s="4">
        <v>7715</v>
      </c>
      <c r="U196" s="4">
        <v>7758</v>
      </c>
      <c r="V196" s="4">
        <v>9156</v>
      </c>
      <c r="W196" s="4">
        <v>13926</v>
      </c>
      <c r="X196" s="4">
        <v>12686</v>
      </c>
      <c r="Y196" s="4">
        <v>14641</v>
      </c>
      <c r="Z196" s="4">
        <v>14495</v>
      </c>
      <c r="AA196" s="4">
        <v>15263</v>
      </c>
      <c r="AH196" s="4">
        <v>14041</v>
      </c>
      <c r="AI196" s="4">
        <v>9545</v>
      </c>
      <c r="AJ196" s="4">
        <v>10465</v>
      </c>
      <c r="AK196" s="4">
        <v>10084</v>
      </c>
      <c r="AL196" s="4">
        <v>9156</v>
      </c>
      <c r="AM196" s="4">
        <v>14495</v>
      </c>
    </row>
    <row r="197" spans="2:41" x14ac:dyDescent="0.25">
      <c r="V197" s="2"/>
    </row>
    <row r="198" spans="2:41" x14ac:dyDescent="0.25">
      <c r="V198" s="4"/>
    </row>
    <row r="199" spans="2:41" x14ac:dyDescent="0.25">
      <c r="B199" s="1" t="s">
        <v>145</v>
      </c>
      <c r="C199" s="2">
        <f>C166+C168+C172</f>
        <v>201</v>
      </c>
      <c r="D199" s="2">
        <f t="shared" ref="D199:F199" si="58">D166+D168+D172</f>
        <v>359</v>
      </c>
      <c r="E199" s="2">
        <f t="shared" si="58"/>
        <v>2694</v>
      </c>
      <c r="F199" s="2">
        <f t="shared" si="58"/>
        <v>4157</v>
      </c>
      <c r="G199" s="2">
        <f t="shared" ref="G199:AA199" si="59">G166+G168+G172</f>
        <v>1032</v>
      </c>
      <c r="H199" s="2">
        <f t="shared" si="59"/>
        <v>1232</v>
      </c>
      <c r="I199" s="2">
        <f t="shared" si="59"/>
        <v>2287</v>
      </c>
      <c r="J199" s="2">
        <f t="shared" si="59"/>
        <v>3813</v>
      </c>
      <c r="K199" s="2">
        <f t="shared" si="59"/>
        <v>1128</v>
      </c>
      <c r="L199" s="2">
        <f t="shared" si="59"/>
        <v>1338</v>
      </c>
      <c r="M199" s="2">
        <f t="shared" si="59"/>
        <v>2300</v>
      </c>
      <c r="N199" s="2">
        <f t="shared" si="59"/>
        <v>3666</v>
      </c>
      <c r="O199" s="2">
        <f t="shared" si="59"/>
        <v>94</v>
      </c>
      <c r="P199" s="2">
        <f t="shared" si="59"/>
        <v>2375</v>
      </c>
      <c r="Q199" s="2">
        <f t="shared" si="59"/>
        <v>3002</v>
      </c>
      <c r="R199" s="2">
        <f t="shared" si="59"/>
        <v>4787</v>
      </c>
      <c r="S199" s="2">
        <f t="shared" si="59"/>
        <v>1060</v>
      </c>
      <c r="T199" s="2">
        <f t="shared" si="59"/>
        <v>1395</v>
      </c>
      <c r="U199" s="2">
        <f t="shared" si="59"/>
        <v>2139</v>
      </c>
      <c r="V199" s="2">
        <f t="shared" si="59"/>
        <v>5220</v>
      </c>
      <c r="W199" s="2">
        <f t="shared" si="59"/>
        <v>1621</v>
      </c>
      <c r="X199" s="2">
        <f t="shared" si="59"/>
        <v>1029</v>
      </c>
      <c r="Y199" s="2">
        <f t="shared" si="59"/>
        <v>2942</v>
      </c>
      <c r="Z199" s="2">
        <f t="shared" si="59"/>
        <v>5406</v>
      </c>
      <c r="AA199" s="2">
        <f t="shared" si="59"/>
        <v>692</v>
      </c>
      <c r="AB199" s="2">
        <f t="shared" ref="AB199:AD199" si="60">AB166+AB168+AB172</f>
        <v>0</v>
      </c>
      <c r="AC199" s="2">
        <f t="shared" si="60"/>
        <v>0</v>
      </c>
      <c r="AD199" s="2">
        <f t="shared" si="60"/>
        <v>0</v>
      </c>
      <c r="AH199" s="2">
        <f t="shared" ref="AH199:AO199" si="61">AH166+AH168+AH172</f>
        <v>7411</v>
      </c>
      <c r="AI199" s="2">
        <f t="shared" si="61"/>
        <v>8364</v>
      </c>
      <c r="AJ199" s="2">
        <f t="shared" si="61"/>
        <v>8433</v>
      </c>
      <c r="AK199" s="2">
        <f t="shared" si="61"/>
        <v>10329</v>
      </c>
      <c r="AL199" s="2">
        <f t="shared" si="61"/>
        <v>9814</v>
      </c>
      <c r="AM199" s="2">
        <f t="shared" si="61"/>
        <v>10998</v>
      </c>
      <c r="AN199" s="2">
        <f t="shared" si="61"/>
        <v>0</v>
      </c>
      <c r="AO199" s="2">
        <f t="shared" si="61"/>
        <v>0</v>
      </c>
    </row>
    <row r="200" spans="2:41" s="10" customFormat="1" x14ac:dyDescent="0.25">
      <c r="B200" s="10" t="s">
        <v>222</v>
      </c>
      <c r="F200" s="10">
        <f>F199/C199-1</f>
        <v>19.681592039800996</v>
      </c>
      <c r="G200" s="10">
        <f t="shared" ref="G200:AA200" si="62">G199/D199-1</f>
        <v>1.8746518105849583</v>
      </c>
      <c r="H200" s="10">
        <f t="shared" si="62"/>
        <v>-0.54268745360059389</v>
      </c>
      <c r="I200" s="10">
        <f t="shared" si="62"/>
        <v>-0.44984363723839305</v>
      </c>
      <c r="J200" s="10">
        <f t="shared" si="62"/>
        <v>2.6947674418604652</v>
      </c>
      <c r="K200" s="10">
        <f t="shared" si="62"/>
        <v>-8.4415584415584388E-2</v>
      </c>
      <c r="L200" s="10">
        <f t="shared" si="62"/>
        <v>-0.41495408832531699</v>
      </c>
      <c r="M200" s="10">
        <f t="shared" si="62"/>
        <v>-0.39680041961709944</v>
      </c>
      <c r="N200" s="10">
        <f t="shared" si="62"/>
        <v>2.25</v>
      </c>
      <c r="O200" s="10">
        <f t="shared" si="62"/>
        <v>-0.92974588938714497</v>
      </c>
      <c r="P200" s="10">
        <f t="shared" si="62"/>
        <v>3.2608695652173836E-2</v>
      </c>
      <c r="Q200" s="10">
        <f t="shared" si="62"/>
        <v>-0.18112384069830878</v>
      </c>
      <c r="R200" s="10">
        <f t="shared" si="62"/>
        <v>49.925531914893618</v>
      </c>
      <c r="S200" s="10">
        <f t="shared" si="62"/>
        <v>-0.55368421052631578</v>
      </c>
      <c r="T200" s="10">
        <f t="shared" si="62"/>
        <v>-0.53530979347101937</v>
      </c>
      <c r="U200" s="10">
        <f t="shared" si="62"/>
        <v>-0.55316482139126799</v>
      </c>
      <c r="V200" s="10">
        <f t="shared" si="62"/>
        <v>3.9245283018867925</v>
      </c>
      <c r="W200" s="10">
        <f t="shared" si="62"/>
        <v>0.16200716845878138</v>
      </c>
      <c r="X200" s="10">
        <f t="shared" si="62"/>
        <v>-0.5189340813464236</v>
      </c>
      <c r="Y200" s="10">
        <f t="shared" si="62"/>
        <v>-0.43639846743295019</v>
      </c>
      <c r="Z200" s="10">
        <f t="shared" si="62"/>
        <v>2.3349784083898828</v>
      </c>
      <c r="AA200" s="10">
        <f t="shared" si="62"/>
        <v>-0.32750242954324582</v>
      </c>
      <c r="AB200" s="10">
        <f t="shared" ref="AB200" si="63">AB199/Y199-1</f>
        <v>-1</v>
      </c>
      <c r="AC200" s="10">
        <f t="shared" ref="AC200" si="64">AC199/Z199-1</f>
        <v>-1</v>
      </c>
      <c r="AD200" s="10">
        <f t="shared" ref="AD200" si="65">AD199/AA199-1</f>
        <v>-1</v>
      </c>
      <c r="AI200" s="10">
        <f>AI199/AH199-1</f>
        <v>0.12859263257320208</v>
      </c>
      <c r="AJ200" s="10">
        <f t="shared" ref="AJ200:AO200" si="66">AJ199/AI199-1</f>
        <v>8.2496413199426577E-3</v>
      </c>
      <c r="AK200" s="10">
        <f t="shared" si="66"/>
        <v>0.2248310209889719</v>
      </c>
      <c r="AL200" s="10">
        <f t="shared" si="66"/>
        <v>-4.9859618549714435E-2</v>
      </c>
      <c r="AM200" s="10">
        <f t="shared" si="66"/>
        <v>0.12064397799062565</v>
      </c>
      <c r="AN200" s="10">
        <f t="shared" si="66"/>
        <v>-1</v>
      </c>
      <c r="AO200" s="10" t="e">
        <f t="shared" si="66"/>
        <v>#DIV/0!</v>
      </c>
    </row>
    <row r="201" spans="2:41" s="10" customFormat="1" x14ac:dyDescent="0.25"/>
    <row r="202" spans="2:41" s="10" customFormat="1" x14ac:dyDescent="0.25">
      <c r="B202" s="10" t="s">
        <v>214</v>
      </c>
      <c r="C202" s="10">
        <f>-C168/C145</f>
        <v>0.310376492194674</v>
      </c>
      <c r="D202" s="10">
        <f t="shared" ref="D202:F202" si="67">-D168/D145</f>
        <v>0.49067431850789095</v>
      </c>
      <c r="E202" s="10">
        <f t="shared" si="67"/>
        <v>0.6205607476635514</v>
      </c>
      <c r="F202" s="10">
        <f t="shared" si="67"/>
        <v>0.25864821713677488</v>
      </c>
      <c r="G202" s="10">
        <f t="shared" ref="G202:AA202" si="68">-G168/G145</f>
        <v>0.21977287909151635</v>
      </c>
      <c r="H202" s="10">
        <f t="shared" si="68"/>
        <v>0.15188284518828452</v>
      </c>
      <c r="I202" s="10">
        <f t="shared" si="68"/>
        <v>0.28243243243243243</v>
      </c>
      <c r="J202" s="10">
        <f t="shared" si="68"/>
        <v>0.46616541353383456</v>
      </c>
      <c r="K202" s="10">
        <f t="shared" si="68"/>
        <v>0.21826280623608019</v>
      </c>
      <c r="L202" s="10">
        <f t="shared" si="68"/>
        <v>0.4229183841714757</v>
      </c>
      <c r="M202" s="10">
        <f t="shared" si="68"/>
        <v>-0.30764206401045069</v>
      </c>
      <c r="N202" s="10">
        <f t="shared" si="68"/>
        <v>0.24304840370751801</v>
      </c>
      <c r="O202" s="10">
        <f t="shared" si="68"/>
        <v>0.2665036674816626</v>
      </c>
      <c r="P202" s="10">
        <f t="shared" si="68"/>
        <v>0.14869050971557307</v>
      </c>
      <c r="Q202" s="10">
        <f t="shared" si="68"/>
        <v>0.34513888888888888</v>
      </c>
      <c r="R202" s="10">
        <f t="shared" si="68"/>
        <v>0.39800210304942168</v>
      </c>
      <c r="S202" s="10">
        <f t="shared" si="68"/>
        <v>0.15816326530612246</v>
      </c>
      <c r="T202" s="10">
        <f t="shared" si="68"/>
        <v>0.22222222222222221</v>
      </c>
      <c r="U202" s="10">
        <f t="shared" si="68"/>
        <v>0.24331926863572434</v>
      </c>
      <c r="V202" s="10">
        <f t="shared" si="68"/>
        <v>0.32056737588652484</v>
      </c>
      <c r="W202" s="10">
        <f t="shared" si="68"/>
        <v>0.13029989658738367</v>
      </c>
      <c r="X202" s="10">
        <f t="shared" si="68"/>
        <v>0.22591225912259122</v>
      </c>
      <c r="Y202" s="10">
        <f t="shared" si="68"/>
        <v>0.24699063753901027</v>
      </c>
      <c r="Z202" s="10">
        <f t="shared" si="68"/>
        <v>0.45508982035928142</v>
      </c>
      <c r="AA202" s="10">
        <f t="shared" si="68"/>
        <v>0.22232223222322231</v>
      </c>
      <c r="AB202" s="10" t="e">
        <f t="shared" ref="AB202:AD202" si="69">-AB168/AB145</f>
        <v>#DIV/0!</v>
      </c>
      <c r="AC202" s="10" t="e">
        <f t="shared" si="69"/>
        <v>#DIV/0!</v>
      </c>
      <c r="AD202" s="10" t="e">
        <f t="shared" si="69"/>
        <v>#DIV/0!</v>
      </c>
      <c r="AH202" s="10">
        <f t="shared" ref="AH202:AI202" si="70">-AH168/AH145</f>
        <v>0.35666666666666669</v>
      </c>
      <c r="AI202" s="10">
        <f t="shared" si="70"/>
        <v>0.25832462296550696</v>
      </c>
      <c r="AJ202" s="10">
        <f t="shared" ref="AJ202:AO202" si="71">-AJ168/AJ145</f>
        <v>0.47449908925318762</v>
      </c>
      <c r="AK202" s="10">
        <f t="shared" si="71"/>
        <v>0.25161214679329347</v>
      </c>
      <c r="AL202" s="10">
        <f t="shared" si="71"/>
        <v>0.23220640569395018</v>
      </c>
      <c r="AM202" s="10">
        <f t="shared" si="71"/>
        <v>0.23539039183594879</v>
      </c>
      <c r="AN202" s="10" t="e">
        <f t="shared" si="71"/>
        <v>#DIV/0!</v>
      </c>
      <c r="AO202" s="10" t="e">
        <f t="shared" si="71"/>
        <v>#DIV/0!</v>
      </c>
    </row>
    <row r="203" spans="2:41" s="10" customFormat="1" x14ac:dyDescent="0.25">
      <c r="B203" s="10" t="s">
        <v>223</v>
      </c>
      <c r="F203" s="10">
        <f>F168/C168-1</f>
        <v>0.43786982248520712</v>
      </c>
      <c r="G203" s="10">
        <f t="shared" ref="G203:AA203" si="72">G168/D168-1</f>
        <v>-3.8011695906432719E-2</v>
      </c>
      <c r="H203" s="10">
        <f t="shared" si="72"/>
        <v>9.3373493975903665E-2</v>
      </c>
      <c r="I203" s="10">
        <f t="shared" si="72"/>
        <v>-0.13991769547325106</v>
      </c>
      <c r="J203" s="10">
        <f t="shared" si="72"/>
        <v>0.88449848024316102</v>
      </c>
      <c r="K203" s="10">
        <f t="shared" si="72"/>
        <v>7.9889807162534465E-2</v>
      </c>
      <c r="L203" s="10">
        <f t="shared" si="72"/>
        <v>0.22727272727272729</v>
      </c>
      <c r="M203" s="10">
        <f t="shared" si="72"/>
        <v>-0.24032258064516132</v>
      </c>
      <c r="N203" s="10">
        <f t="shared" si="72"/>
        <v>0.80612244897959173</v>
      </c>
      <c r="O203" s="10">
        <f t="shared" si="72"/>
        <v>-0.15009746588693962</v>
      </c>
      <c r="P203" s="10">
        <f t="shared" si="72"/>
        <v>0.12101910828025475</v>
      </c>
      <c r="Q203" s="10">
        <f t="shared" si="72"/>
        <v>-0.29802259887005644</v>
      </c>
      <c r="R203" s="10">
        <f t="shared" si="72"/>
        <v>0.73623853211009171</v>
      </c>
      <c r="S203" s="10">
        <f t="shared" si="72"/>
        <v>-0.2367424242424242</v>
      </c>
      <c r="T203" s="10">
        <f t="shared" si="72"/>
        <v>-1.810865191146882E-2</v>
      </c>
      <c r="U203" s="10">
        <f t="shared" si="72"/>
        <v>-0.31439894319682959</v>
      </c>
      <c r="V203" s="10">
        <f t="shared" si="72"/>
        <v>0.68238213399503711</v>
      </c>
      <c r="W203" s="10">
        <f t="shared" si="72"/>
        <v>3.2786885245901676E-2</v>
      </c>
      <c r="X203" s="10">
        <f t="shared" si="72"/>
        <v>6.1657032755298546E-2</v>
      </c>
      <c r="Y203" s="10">
        <f t="shared" si="72"/>
        <v>-0.18289085545722716</v>
      </c>
      <c r="Z203" s="10">
        <f t="shared" si="72"/>
        <v>0.65873015873015883</v>
      </c>
      <c r="AA203" s="10">
        <f t="shared" si="72"/>
        <v>-0.10344827586206895</v>
      </c>
      <c r="AB203" s="10">
        <f t="shared" ref="AB203" si="73">AB168/Y168-1</f>
        <v>-1</v>
      </c>
      <c r="AC203" s="10">
        <f t="shared" ref="AC203" si="74">AC168/Z168-1</f>
        <v>-1</v>
      </c>
      <c r="AD203" s="10">
        <f t="shared" ref="AD203" si="75">AD168/AA168-1</f>
        <v>-1</v>
      </c>
      <c r="AI203" s="10">
        <f>AI168/AH168-1</f>
        <v>0.15487316421895869</v>
      </c>
      <c r="AJ203" s="10">
        <f t="shared" ref="AJ203:AO203" si="76">AJ168/AI168-1</f>
        <v>0.20462427745664735</v>
      </c>
      <c r="AK203" s="10">
        <f t="shared" si="76"/>
        <v>2.9750479846449185E-2</v>
      </c>
      <c r="AL203" s="10">
        <f t="shared" si="76"/>
        <v>-2.7027027027026973E-2</v>
      </c>
      <c r="AM203" s="10">
        <f t="shared" si="76"/>
        <v>0.17097701149425282</v>
      </c>
      <c r="AN203" s="10">
        <f t="shared" si="76"/>
        <v>-1</v>
      </c>
      <c r="AO203" s="10" t="e">
        <f t="shared" si="76"/>
        <v>#DIV/0!</v>
      </c>
    </row>
    <row r="204" spans="2:41" s="10" customFormat="1" x14ac:dyDescent="0.25"/>
    <row r="205" spans="2:41" s="10" customFormat="1" x14ac:dyDescent="0.25">
      <c r="B205" s="44" t="s">
        <v>247</v>
      </c>
      <c r="G205" s="10">
        <f t="shared" ref="G205:AD205" si="77">G148/F84</f>
        <v>6.9365853658536591E-2</v>
      </c>
      <c r="H205" s="10">
        <f t="shared" si="77"/>
        <v>7.1019824238708354E-2</v>
      </c>
      <c r="I205" s="10">
        <f t="shared" si="77"/>
        <v>8.514223411636436E-2</v>
      </c>
      <c r="J205" s="10">
        <f t="shared" si="77"/>
        <v>7.626400527257321E-2</v>
      </c>
      <c r="K205" s="10">
        <f t="shared" si="77"/>
        <v>7.4389912002177261E-2</v>
      </c>
      <c r="L205" s="10">
        <f t="shared" si="77"/>
        <v>8.6665476615494466E-2</v>
      </c>
      <c r="M205" s="10">
        <f t="shared" si="77"/>
        <v>7.8874249350183737E-2</v>
      </c>
      <c r="N205" s="10">
        <f t="shared" si="77"/>
        <v>7.7886805677238477E-2</v>
      </c>
      <c r="O205" s="10">
        <f t="shared" si="77"/>
        <v>7.3467996249893461E-2</v>
      </c>
      <c r="P205" s="10">
        <f t="shared" si="77"/>
        <v>9.4298245614035089E-2</v>
      </c>
      <c r="Q205" s="10">
        <f t="shared" si="77"/>
        <v>6.9946598966996412E-2</v>
      </c>
      <c r="R205" s="10">
        <f t="shared" si="77"/>
        <v>7.6110674696691985E-2</v>
      </c>
      <c r="S205" s="10">
        <f t="shared" si="77"/>
        <v>6.399731948400067E-2</v>
      </c>
      <c r="T205" s="10">
        <f t="shared" si="77"/>
        <v>6.7643837924353467E-2</v>
      </c>
      <c r="U205" s="10">
        <f t="shared" si="77"/>
        <v>6.4140663694898459E-2</v>
      </c>
      <c r="V205" s="10">
        <f t="shared" si="77"/>
        <v>6.764289874365588E-2</v>
      </c>
      <c r="W205" s="10">
        <f t="shared" si="77"/>
        <v>6.3224963241300447E-2</v>
      </c>
      <c r="X205" s="10">
        <f t="shared" si="77"/>
        <v>6.2412342215988778E-2</v>
      </c>
      <c r="Y205" s="10">
        <f t="shared" si="77"/>
        <v>6.8688739677394459E-2</v>
      </c>
      <c r="Z205" s="10">
        <f t="shared" si="77"/>
        <v>7.3060804933976431E-2</v>
      </c>
      <c r="AA205" s="10">
        <f t="shared" si="77"/>
        <v>6.5883436996083858E-2</v>
      </c>
      <c r="AB205" s="10">
        <f t="shared" si="77"/>
        <v>0</v>
      </c>
      <c r="AC205" s="10" t="e">
        <f t="shared" si="77"/>
        <v>#DIV/0!</v>
      </c>
      <c r="AD205" s="10" t="e">
        <f t="shared" si="77"/>
        <v>#DIV/0!</v>
      </c>
      <c r="AI205" s="10">
        <f t="shared" ref="AI205:AO205" si="78">AI148/AH84</f>
        <v>0.3</v>
      </c>
      <c r="AJ205" s="10">
        <f t="shared" si="78"/>
        <v>0.32305180078018686</v>
      </c>
      <c r="AK205" s="10">
        <f t="shared" si="78"/>
        <v>0.30205403562601213</v>
      </c>
      <c r="AL205" s="10">
        <f t="shared" si="78"/>
        <v>0.26453342268386665</v>
      </c>
      <c r="AM205" s="10">
        <f t="shared" si="78"/>
        <v>0.27683385067799376</v>
      </c>
      <c r="AN205" s="10">
        <f t="shared" si="78"/>
        <v>0</v>
      </c>
      <c r="AO205" s="10" t="e">
        <f t="shared" si="78"/>
        <v>#DIV/0!</v>
      </c>
    </row>
    <row r="206" spans="2:41" s="10" customFormat="1" x14ac:dyDescent="0.25">
      <c r="B206" s="45" t="s">
        <v>248</v>
      </c>
      <c r="C206" s="10">
        <f t="shared" ref="C206:AD206" si="79">-C168/C3</f>
        <v>2.4716636197440585E-2</v>
      </c>
      <c r="D206" s="10">
        <f t="shared" si="79"/>
        <v>2.481137550783517E-2</v>
      </c>
      <c r="E206" s="10">
        <f t="shared" si="79"/>
        <v>2.5579782725941906E-2</v>
      </c>
      <c r="F206" s="10">
        <f t="shared" si="79"/>
        <v>3.2802375809935204E-2</v>
      </c>
      <c r="G206" s="10">
        <f t="shared" si="79"/>
        <v>2.3381422784450288E-2</v>
      </c>
      <c r="H206" s="10">
        <f t="shared" si="79"/>
        <v>2.4752812819638596E-2</v>
      </c>
      <c r="I206" s="10">
        <f t="shared" si="79"/>
        <v>2.5986944358097605E-2</v>
      </c>
      <c r="J206" s="10">
        <f t="shared" si="79"/>
        <v>3.5542306810364598E-2</v>
      </c>
      <c r="K206" s="10">
        <f t="shared" si="79"/>
        <v>2.3761896102321635E-2</v>
      </c>
      <c r="L206" s="10">
        <f t="shared" si="79"/>
        <v>3.0105633802816903E-2</v>
      </c>
      <c r="M206" s="10">
        <f t="shared" si="79"/>
        <v>2.6361448480438799E-2</v>
      </c>
      <c r="N206" s="10">
        <f t="shared" si="79"/>
        <v>3.4414037816555679E-2</v>
      </c>
      <c r="O206" s="10">
        <f t="shared" si="79"/>
        <v>2.4128389596015494E-2</v>
      </c>
      <c r="P206" s="10">
        <f t="shared" si="79"/>
        <v>2.7194066749072928E-2</v>
      </c>
      <c r="Q206" s="10">
        <f t="shared" si="79"/>
        <v>2.6311609931706285E-2</v>
      </c>
      <c r="R206" s="10">
        <f t="shared" si="79"/>
        <v>3.5385406441359325E-2</v>
      </c>
      <c r="S206" s="10">
        <f t="shared" si="79"/>
        <v>2.271062271062271E-2</v>
      </c>
      <c r="T206" s="10">
        <f t="shared" si="79"/>
        <v>2.6415502868896826E-2</v>
      </c>
      <c r="U206" s="10">
        <f t="shared" si="79"/>
        <v>2.7460317460317459E-2</v>
      </c>
      <c r="V206" s="10">
        <f t="shared" si="79"/>
        <v>3.2578924607178893E-2</v>
      </c>
      <c r="W206" s="10">
        <f t="shared" si="79"/>
        <v>2.7461450444069089E-2</v>
      </c>
      <c r="X206" s="10">
        <f t="shared" si="79"/>
        <v>2.7888849521688516E-2</v>
      </c>
      <c r="Y206" s="10">
        <f t="shared" si="79"/>
        <v>2.8590597099654228E-2</v>
      </c>
      <c r="Z206" s="10">
        <f t="shared" si="79"/>
        <v>3.9016194520931538E-2</v>
      </c>
      <c r="AA206" s="10">
        <f t="shared" si="79"/>
        <v>2.5811170907570929E-2</v>
      </c>
      <c r="AB206" s="10" t="e">
        <f t="shared" si="79"/>
        <v>#DIV/0!</v>
      </c>
      <c r="AC206" s="10" t="e">
        <f t="shared" si="79"/>
        <v>#DIV/0!</v>
      </c>
      <c r="AD206" s="10" t="e">
        <f t="shared" si="79"/>
        <v>#DIV/0!</v>
      </c>
      <c r="AH206" s="10">
        <f t="shared" ref="AH206:AO206" si="80">-AH168/AH3</f>
        <v>2.7111159373077062E-2</v>
      </c>
      <c r="AI206" s="10">
        <f t="shared" si="80"/>
        <v>2.7784469605717496E-2</v>
      </c>
      <c r="AJ206" s="10">
        <f t="shared" si="80"/>
        <v>2.8953693540992261E-2</v>
      </c>
      <c r="AK206" s="10">
        <f t="shared" si="80"/>
        <v>2.8658422584866856E-2</v>
      </c>
      <c r="AL206" s="10">
        <f t="shared" si="80"/>
        <v>2.7499012248123272E-2</v>
      </c>
      <c r="AM206" s="10">
        <f t="shared" si="80"/>
        <v>3.0983095521707176E-2</v>
      </c>
      <c r="AN206" s="10" t="e">
        <f t="shared" si="80"/>
        <v>#DIV/0!</v>
      </c>
      <c r="AO206" s="10" t="e">
        <f t="shared" si="80"/>
        <v>#DIV/0!</v>
      </c>
    </row>
    <row r="207" spans="2:41" s="21" customFormat="1" x14ac:dyDescent="0.25">
      <c r="B207" s="46" t="s">
        <v>249</v>
      </c>
      <c r="C207" s="21">
        <f>-C168/C148</f>
        <v>0.461118690313779</v>
      </c>
      <c r="D207" s="21">
        <f t="shared" ref="D207:AD207" si="81">-D168/D148</f>
        <v>0.4665757162346521</v>
      </c>
      <c r="E207" s="21">
        <f t="shared" si="81"/>
        <v>0.43799472295514513</v>
      </c>
      <c r="F207" s="21">
        <f t="shared" si="81"/>
        <v>0.55606407322654461</v>
      </c>
      <c r="G207" s="21">
        <f t="shared" si="81"/>
        <v>0.46272855133614627</v>
      </c>
      <c r="H207" s="21">
        <f t="shared" si="81"/>
        <v>0.52230215827338133</v>
      </c>
      <c r="I207" s="21">
        <f t="shared" si="81"/>
        <v>0.48661233993015135</v>
      </c>
      <c r="J207" s="21">
        <f t="shared" si="81"/>
        <v>0.76543209876543206</v>
      </c>
      <c r="K207" s="21">
        <f t="shared" si="81"/>
        <v>0.47804878048780486</v>
      </c>
      <c r="L207" s="21">
        <f t="shared" si="81"/>
        <v>0.52832131822863027</v>
      </c>
      <c r="M207" s="21">
        <f t="shared" si="81"/>
        <v>0.53522727272727277</v>
      </c>
      <c r="N207" s="21">
        <f t="shared" si="81"/>
        <v>0.79640044994375703</v>
      </c>
      <c r="O207" s="21">
        <f t="shared" si="81"/>
        <v>0.50580046403712298</v>
      </c>
      <c r="P207" s="21">
        <f t="shared" si="81"/>
        <v>0.49116279069767443</v>
      </c>
      <c r="Q207" s="21">
        <f t="shared" si="81"/>
        <v>0.6220275344180225</v>
      </c>
      <c r="R207" s="21">
        <f t="shared" si="81"/>
        <v>0.86811926605504586</v>
      </c>
      <c r="S207" s="21">
        <f t="shared" si="81"/>
        <v>0.52748691099476441</v>
      </c>
      <c r="T207" s="21">
        <f t="shared" si="81"/>
        <v>0.60772104607721045</v>
      </c>
      <c r="U207" s="21">
        <f t="shared" si="81"/>
        <v>0.66795366795366795</v>
      </c>
      <c r="V207" s="21">
        <f t="shared" si="81"/>
        <v>0.83394833948339486</v>
      </c>
      <c r="W207" s="21">
        <f t="shared" si="81"/>
        <v>0.65116279069767447</v>
      </c>
      <c r="X207" s="21">
        <f t="shared" si="81"/>
        <v>0.68789013732833959</v>
      </c>
      <c r="Y207" s="21">
        <f t="shared" si="81"/>
        <v>0.62247191011235958</v>
      </c>
      <c r="Z207" s="21">
        <f t="shared" si="81"/>
        <v>0.90476190476190477</v>
      </c>
      <c r="AA207" s="21">
        <f t="shared" si="81"/>
        <v>0.5757575757575758</v>
      </c>
      <c r="AB207" s="21" t="e">
        <f t="shared" si="81"/>
        <v>#DIV/0!</v>
      </c>
      <c r="AC207" s="21" t="e">
        <f t="shared" si="81"/>
        <v>#DIV/0!</v>
      </c>
      <c r="AD207" s="21" t="e">
        <f t="shared" si="81"/>
        <v>#DIV/0!</v>
      </c>
      <c r="AH207" s="21">
        <f t="shared" ref="AH207:AO207" si="82">-AH168/AH148</f>
        <v>0.48353776630083928</v>
      </c>
      <c r="AI207" s="21">
        <f t="shared" si="82"/>
        <v>0.56260162601626018</v>
      </c>
      <c r="AJ207" s="21">
        <f t="shared" si="82"/>
        <v>0.58522886829542264</v>
      </c>
      <c r="AK207" s="21">
        <f t="shared" si="82"/>
        <v>0.60553047404063209</v>
      </c>
      <c r="AL207" s="21">
        <f t="shared" si="82"/>
        <v>0.66117796073464219</v>
      </c>
      <c r="AM207" s="21">
        <f t="shared" si="82"/>
        <v>0.72145175568014164</v>
      </c>
      <c r="AN207" s="21" t="e">
        <f t="shared" si="82"/>
        <v>#DIV/0!</v>
      </c>
      <c r="AO207" s="21" t="e">
        <f t="shared" si="82"/>
        <v>#DIV/0!</v>
      </c>
    </row>
    <row r="210" spans="2:40" ht="18.600000000000001" x14ac:dyDescent="0.3">
      <c r="B210" s="34" t="s">
        <v>132</v>
      </c>
    </row>
    <row r="211" spans="2:40" ht="16.8" x14ac:dyDescent="0.3">
      <c r="B211" s="35" t="s">
        <v>133</v>
      </c>
    </row>
    <row r="212" spans="2:40" s="2" customFormat="1" x14ac:dyDescent="0.25">
      <c r="B212" s="2" t="s">
        <v>134</v>
      </c>
      <c r="C212" s="2">
        <v>4228</v>
      </c>
      <c r="D212" s="2">
        <v>4171</v>
      </c>
      <c r="E212" s="2">
        <v>3572</v>
      </c>
      <c r="F212" s="2">
        <v>3925</v>
      </c>
      <c r="G212" s="2">
        <v>4119</v>
      </c>
      <c r="H212" s="2">
        <v>4321</v>
      </c>
      <c r="I212" s="2">
        <v>4737</v>
      </c>
      <c r="J212" s="2">
        <v>5250</v>
      </c>
      <c r="K212" s="2">
        <v>7110</v>
      </c>
      <c r="L212" s="2">
        <v>5925</v>
      </c>
      <c r="M212" s="2">
        <v>6544</v>
      </c>
      <c r="N212" s="2">
        <v>5704</v>
      </c>
      <c r="O212" s="2">
        <v>6320</v>
      </c>
      <c r="P212" s="2">
        <v>5270</v>
      </c>
      <c r="Q212" s="2">
        <v>4103</v>
      </c>
      <c r="R212" s="2">
        <v>4927</v>
      </c>
      <c r="S212" s="2">
        <v>3979</v>
      </c>
      <c r="T212" s="2">
        <v>4252</v>
      </c>
      <c r="U212" s="2">
        <v>4540</v>
      </c>
      <c r="V212" s="2">
        <v>4252</v>
      </c>
      <c r="W212" s="2">
        <v>4213</v>
      </c>
      <c r="X212" s="2">
        <v>4270</v>
      </c>
      <c r="Y212" s="2">
        <v>4383</v>
      </c>
      <c r="Z212" s="2">
        <v>5511</v>
      </c>
      <c r="AA212" s="2">
        <v>4848</v>
      </c>
      <c r="AH212" s="2">
        <v>15896</v>
      </c>
      <c r="AI212" s="2">
        <v>18427</v>
      </c>
      <c r="AJ212" s="2">
        <v>25283</v>
      </c>
      <c r="AK212" s="2">
        <v>19387</v>
      </c>
      <c r="AL212" s="2">
        <v>17023</v>
      </c>
      <c r="AM212" s="2">
        <v>18377</v>
      </c>
    </row>
    <row r="213" spans="2:40" s="2" customFormat="1" x14ac:dyDescent="0.25">
      <c r="B213" s="2" t="s">
        <v>135</v>
      </c>
      <c r="C213" s="2">
        <v>3757</v>
      </c>
      <c r="D213" s="2">
        <v>3796</v>
      </c>
      <c r="E213" s="2">
        <v>3399</v>
      </c>
      <c r="F213" s="2">
        <v>3782</v>
      </c>
      <c r="G213" s="2">
        <v>3806</v>
      </c>
      <c r="H213" s="2">
        <v>4001</v>
      </c>
      <c r="I213" s="2">
        <v>4076</v>
      </c>
      <c r="J213" s="2">
        <v>4188</v>
      </c>
      <c r="K213" s="2">
        <v>4938</v>
      </c>
      <c r="L213" s="2">
        <v>5037</v>
      </c>
      <c r="M213" s="2">
        <v>5455</v>
      </c>
      <c r="N213" s="2">
        <v>5368</v>
      </c>
      <c r="O213" s="2">
        <v>5997</v>
      </c>
      <c r="P213" s="2">
        <v>5535</v>
      </c>
      <c r="Q213" s="2">
        <v>5361</v>
      </c>
      <c r="R213" s="2">
        <v>5440</v>
      </c>
      <c r="S213" s="2">
        <v>5831</v>
      </c>
      <c r="T213" s="2">
        <v>6093</v>
      </c>
      <c r="U213" s="2">
        <v>5993</v>
      </c>
      <c r="V213" s="2">
        <v>6106</v>
      </c>
      <c r="W213" s="2">
        <v>6196</v>
      </c>
      <c r="X213" s="2">
        <v>5966</v>
      </c>
      <c r="Y213" s="2">
        <v>5731</v>
      </c>
      <c r="Z213" s="2">
        <v>6184</v>
      </c>
      <c r="AA213" s="2">
        <v>7173</v>
      </c>
      <c r="AH213" s="2">
        <v>14734</v>
      </c>
      <c r="AI213" s="2">
        <v>16071</v>
      </c>
      <c r="AJ213" s="2">
        <v>20798</v>
      </c>
      <c r="AK213" s="2">
        <v>22333</v>
      </c>
      <c r="AL213" s="2">
        <v>24023</v>
      </c>
      <c r="AM213" s="2">
        <v>24077</v>
      </c>
    </row>
    <row r="214" spans="2:40" s="2" customFormat="1" x14ac:dyDescent="0.25">
      <c r="B214" s="2" t="s">
        <v>136</v>
      </c>
      <c r="C214" s="2">
        <v>1665</v>
      </c>
      <c r="D214" s="2">
        <v>2384</v>
      </c>
      <c r="E214" s="2">
        <v>3040</v>
      </c>
      <c r="F214" s="2">
        <v>2080</v>
      </c>
      <c r="G214" s="2">
        <v>2743</v>
      </c>
      <c r="H214" s="2">
        <v>2127</v>
      </c>
      <c r="I214" s="2">
        <v>5067</v>
      </c>
      <c r="J214" s="2">
        <v>2759</v>
      </c>
      <c r="K214" s="2">
        <v>5390</v>
      </c>
      <c r="L214" s="2">
        <v>2484</v>
      </c>
      <c r="M214" s="2">
        <v>2763</v>
      </c>
      <c r="N214" s="2">
        <v>2563</v>
      </c>
      <c r="O214" s="2">
        <v>2971</v>
      </c>
      <c r="P214" s="2">
        <v>6175</v>
      </c>
      <c r="Q214" s="2">
        <v>8330</v>
      </c>
      <c r="R214" s="2">
        <v>3154</v>
      </c>
      <c r="S214" s="2">
        <v>5636</v>
      </c>
      <c r="T214" s="2">
        <v>3155</v>
      </c>
      <c r="U214" s="2">
        <v>2399</v>
      </c>
      <c r="V214" s="2">
        <v>4604</v>
      </c>
      <c r="W214" s="2">
        <v>2660</v>
      </c>
      <c r="X214" s="2">
        <v>3871</v>
      </c>
      <c r="Y214" s="2">
        <v>7940</v>
      </c>
      <c r="Z214" s="2">
        <v>2522</v>
      </c>
      <c r="AA214" s="2">
        <v>2872</v>
      </c>
      <c r="AH214" s="2">
        <v>9169</v>
      </c>
      <c r="AI214" s="2">
        <v>12696</v>
      </c>
      <c r="AJ214" s="2">
        <v>13200</v>
      </c>
      <c r="AK214" s="2">
        <v>20629</v>
      </c>
      <c r="AL214" s="2">
        <v>15795</v>
      </c>
      <c r="AM214" s="2">
        <v>16994</v>
      </c>
    </row>
    <row r="215" spans="2:40" s="2" customFormat="1" x14ac:dyDescent="0.25">
      <c r="B215" s="2" t="s">
        <v>137</v>
      </c>
      <c r="C215" s="2">
        <v>4124</v>
      </c>
      <c r="D215" s="2">
        <v>3816</v>
      </c>
      <c r="E215" s="2">
        <v>3409</v>
      </c>
      <c r="F215" s="2">
        <v>4814</v>
      </c>
      <c r="G215" s="2">
        <v>4387</v>
      </c>
      <c r="H215" s="2">
        <v>4491</v>
      </c>
      <c r="I215" s="2">
        <v>5538</v>
      </c>
      <c r="J215" s="2">
        <v>5904</v>
      </c>
      <c r="K215" s="2">
        <v>5877</v>
      </c>
      <c r="L215" s="2">
        <v>6527</v>
      </c>
      <c r="M215" s="2">
        <v>6092</v>
      </c>
      <c r="N215" s="2">
        <v>7061</v>
      </c>
      <c r="O215" s="2">
        <v>6087</v>
      </c>
      <c r="P215" s="2">
        <v>5588</v>
      </c>
      <c r="Q215" s="2">
        <v>5615</v>
      </c>
      <c r="R215" s="2">
        <v>7209</v>
      </c>
      <c r="S215" s="2">
        <v>5601</v>
      </c>
      <c r="T215" s="2">
        <v>5719</v>
      </c>
      <c r="U215" s="2">
        <v>6079</v>
      </c>
      <c r="V215" s="2">
        <v>7375</v>
      </c>
      <c r="W215" s="2">
        <v>6336</v>
      </c>
      <c r="X215" s="2">
        <v>6534</v>
      </c>
      <c r="Y215" s="2">
        <v>6024</v>
      </c>
      <c r="Z215" s="2">
        <v>7247</v>
      </c>
      <c r="AA215" s="2">
        <v>5845</v>
      </c>
      <c r="AH215" s="2">
        <v>16163</v>
      </c>
      <c r="AI215" s="2">
        <v>20320</v>
      </c>
      <c r="AJ215" s="2">
        <v>25556</v>
      </c>
      <c r="AK215" s="2">
        <v>24499</v>
      </c>
      <c r="AL215" s="2">
        <v>24774</v>
      </c>
      <c r="AM215" s="2">
        <v>26141</v>
      </c>
    </row>
    <row r="216" spans="2:40" s="3" customFormat="1" x14ac:dyDescent="0.25">
      <c r="B216" s="3" t="s">
        <v>138</v>
      </c>
      <c r="C216" s="3">
        <v>13774</v>
      </c>
      <c r="D216" s="3">
        <v>14167</v>
      </c>
      <c r="E216" s="3">
        <v>13421</v>
      </c>
      <c r="F216" s="3">
        <v>14601</v>
      </c>
      <c r="G216" s="3">
        <v>15056</v>
      </c>
      <c r="H216" s="3">
        <v>14939</v>
      </c>
      <c r="I216" s="3">
        <v>19418</v>
      </c>
      <c r="J216" s="3">
        <v>18101</v>
      </c>
      <c r="K216" s="3">
        <v>23314</v>
      </c>
      <c r="L216" s="3">
        <v>19973</v>
      </c>
      <c r="M216" s="3">
        <v>20853</v>
      </c>
      <c r="N216" s="3">
        <v>20696</v>
      </c>
      <c r="O216" s="3">
        <v>21375</v>
      </c>
      <c r="P216" s="3">
        <v>22568</v>
      </c>
      <c r="Q216" s="3">
        <v>23409</v>
      </c>
      <c r="R216" s="3">
        <v>20729</v>
      </c>
      <c r="S216" s="3">
        <v>21047</v>
      </c>
      <c r="T216" s="3">
        <v>19220</v>
      </c>
      <c r="U216" s="3">
        <v>19011</v>
      </c>
      <c r="V216" s="3">
        <v>22337</v>
      </c>
      <c r="W216" s="3">
        <v>19405</v>
      </c>
      <c r="X216" s="3">
        <v>20641</v>
      </c>
      <c r="Y216" s="3">
        <v>24079</v>
      </c>
      <c r="Z216" s="3">
        <v>21464</v>
      </c>
      <c r="AA216" s="3">
        <v>20738</v>
      </c>
      <c r="AH216" s="3">
        <v>55963</v>
      </c>
      <c r="AI216" s="3">
        <v>67514</v>
      </c>
      <c r="AJ216" s="3">
        <v>84837</v>
      </c>
      <c r="AK216" s="3">
        <v>86848</v>
      </c>
      <c r="AL216" s="3">
        <v>81615</v>
      </c>
      <c r="AM216" s="3">
        <v>85589</v>
      </c>
    </row>
    <row r="217" spans="2:40" s="2" customFormat="1" x14ac:dyDescent="0.25">
      <c r="B217" s="2" t="s">
        <v>139</v>
      </c>
      <c r="C217" s="2">
        <v>188</v>
      </c>
      <c r="D217" s="2">
        <v>191</v>
      </c>
      <c r="E217" s="2">
        <v>164</v>
      </c>
      <c r="F217" s="2">
        <v>173</v>
      </c>
      <c r="G217" s="2">
        <v>165</v>
      </c>
      <c r="H217" s="2">
        <v>176</v>
      </c>
      <c r="I217" s="2">
        <v>177</v>
      </c>
      <c r="J217" s="2">
        <v>179</v>
      </c>
      <c r="K217" s="2">
        <v>169</v>
      </c>
      <c r="L217" s="2">
        <v>158</v>
      </c>
      <c r="M217" s="2">
        <v>170</v>
      </c>
      <c r="N217" s="2">
        <v>165</v>
      </c>
      <c r="O217" s="2">
        <v>150</v>
      </c>
      <c r="P217" s="2">
        <v>154</v>
      </c>
      <c r="Q217" s="2">
        <v>136</v>
      </c>
      <c r="R217" s="2">
        <v>28</v>
      </c>
      <c r="S217" s="2">
        <v>112</v>
      </c>
      <c r="T217" s="2">
        <v>109</v>
      </c>
      <c r="U217" s="2">
        <v>88</v>
      </c>
      <c r="V217" s="2">
        <v>105</v>
      </c>
      <c r="W217" s="2">
        <v>95</v>
      </c>
      <c r="X217" s="2">
        <v>93</v>
      </c>
      <c r="Y217" s="2">
        <v>92</v>
      </c>
      <c r="Z217" s="2">
        <v>91</v>
      </c>
      <c r="AA217" s="2">
        <v>69</v>
      </c>
      <c r="AH217" s="2">
        <v>716</v>
      </c>
      <c r="AI217" s="2">
        <v>697</v>
      </c>
      <c r="AJ217" s="2">
        <v>662</v>
      </c>
      <c r="AK217" s="2">
        <v>468</v>
      </c>
      <c r="AL217" s="2">
        <v>414</v>
      </c>
      <c r="AM217" s="2">
        <v>370</v>
      </c>
    </row>
    <row r="218" spans="2:40" s="2" customFormat="1" x14ac:dyDescent="0.25">
      <c r="B218" s="2" t="s">
        <v>174</v>
      </c>
      <c r="C218" s="2">
        <v>910</v>
      </c>
      <c r="D218" s="2">
        <v>727</v>
      </c>
      <c r="E218" s="2">
        <v>699</v>
      </c>
      <c r="F218" s="2">
        <v>688</v>
      </c>
      <c r="G218" s="2">
        <v>791</v>
      </c>
      <c r="H218" s="2">
        <v>833</v>
      </c>
      <c r="I218" s="2">
        <v>988</v>
      </c>
      <c r="J218" s="2">
        <v>904</v>
      </c>
      <c r="K218" s="2">
        <v>870</v>
      </c>
      <c r="L218" s="2">
        <v>961</v>
      </c>
      <c r="M218" s="2">
        <v>1067</v>
      </c>
      <c r="N218" s="2">
        <v>1097</v>
      </c>
      <c r="O218" s="2">
        <v>1127</v>
      </c>
      <c r="P218" s="2">
        <v>987</v>
      </c>
      <c r="Q218" s="2">
        <v>730</v>
      </c>
      <c r="R218" s="2">
        <v>1172</v>
      </c>
      <c r="AH218" s="2">
        <v>3024</v>
      </c>
      <c r="AI218" s="2">
        <v>3516</v>
      </c>
      <c r="AJ218" s="2">
        <v>3995</v>
      </c>
    </row>
    <row r="219" spans="2:40" s="2" customFormat="1" ht="26.4" x14ac:dyDescent="0.25">
      <c r="B219" s="33" t="s">
        <v>140</v>
      </c>
      <c r="C219" s="2">
        <v>-511</v>
      </c>
      <c r="D219" s="2">
        <v>-421</v>
      </c>
      <c r="E219" s="2">
        <v>-378</v>
      </c>
      <c r="F219" s="2">
        <v>-362</v>
      </c>
      <c r="G219" s="2">
        <v>-70</v>
      </c>
      <c r="H219" s="2">
        <v>-70</v>
      </c>
      <c r="I219" s="2">
        <v>-98</v>
      </c>
      <c r="J219" s="2">
        <v>-115</v>
      </c>
      <c r="K219" s="2">
        <v>-144</v>
      </c>
      <c r="L219" s="2">
        <v>-114</v>
      </c>
      <c r="M219" s="2">
        <v>-85</v>
      </c>
      <c r="N219" s="2">
        <v>-141</v>
      </c>
      <c r="O219" s="2">
        <v>-31</v>
      </c>
      <c r="P219" s="2">
        <v>-72</v>
      </c>
      <c r="Q219" s="2">
        <v>-31</v>
      </c>
      <c r="R219" s="2">
        <v>-126</v>
      </c>
      <c r="S219" s="2">
        <v>480</v>
      </c>
      <c r="T219" s="2">
        <v>372</v>
      </c>
      <c r="U219" s="2">
        <v>683</v>
      </c>
      <c r="V219" s="2">
        <v>491</v>
      </c>
      <c r="W219" s="2">
        <v>565</v>
      </c>
      <c r="X219" s="2">
        <v>909</v>
      </c>
      <c r="Y219" s="2">
        <v>549</v>
      </c>
      <c r="Z219" s="2">
        <v>384</v>
      </c>
      <c r="AA219" s="2">
        <v>564</v>
      </c>
      <c r="AH219" s="2">
        <v>-1672</v>
      </c>
      <c r="AI219" s="2">
        <v>-353</v>
      </c>
      <c r="AJ219" s="2">
        <v>-483</v>
      </c>
      <c r="AK219" s="2">
        <v>2054</v>
      </c>
      <c r="AL219" s="2">
        <v>2027</v>
      </c>
      <c r="AM219" s="2">
        <v>2407</v>
      </c>
    </row>
    <row r="220" spans="2:40" s="4" customFormat="1" x14ac:dyDescent="0.25">
      <c r="B220" s="4" t="s">
        <v>141</v>
      </c>
      <c r="C220" s="4">
        <v>14360</v>
      </c>
      <c r="D220" s="4">
        <v>14664</v>
      </c>
      <c r="E220" s="4">
        <v>13906</v>
      </c>
      <c r="F220" s="4">
        <v>15100</v>
      </c>
      <c r="G220" s="4">
        <v>15939</v>
      </c>
      <c r="H220" s="4">
        <v>15879</v>
      </c>
      <c r="I220" s="4">
        <v>20486</v>
      </c>
      <c r="J220" s="4">
        <v>19070</v>
      </c>
      <c r="K220" s="4">
        <v>24209</v>
      </c>
      <c r="L220" s="4">
        <v>20978</v>
      </c>
      <c r="M220" s="4">
        <v>22006</v>
      </c>
      <c r="N220" s="4">
        <v>21817</v>
      </c>
      <c r="O220" s="4">
        <v>22620</v>
      </c>
      <c r="P220" s="4">
        <v>23638</v>
      </c>
      <c r="Q220" s="4">
        <v>24244</v>
      </c>
      <c r="R220" s="4">
        <v>21803</v>
      </c>
      <c r="S220" s="4">
        <v>21639</v>
      </c>
      <c r="T220" s="4">
        <v>19701</v>
      </c>
      <c r="U220" s="4">
        <v>19782</v>
      </c>
      <c r="V220" s="4">
        <v>22933</v>
      </c>
      <c r="W220" s="4">
        <v>20065</v>
      </c>
      <c r="X220" s="4">
        <v>21643</v>
      </c>
      <c r="Y220" s="4">
        <v>24719</v>
      </c>
      <c r="Z220" s="4">
        <v>21939</v>
      </c>
      <c r="AA220" s="4">
        <v>21371</v>
      </c>
      <c r="AH220" s="4">
        <v>58030</v>
      </c>
      <c r="AI220" s="4">
        <v>71374</v>
      </c>
      <c r="AJ220" s="4">
        <v>89010</v>
      </c>
      <c r="AK220" s="4">
        <v>89371</v>
      </c>
      <c r="AL220" s="4">
        <v>84056</v>
      </c>
      <c r="AM220" s="4">
        <v>88366</v>
      </c>
    </row>
    <row r="222" spans="2:40" ht="16.8" x14ac:dyDescent="0.3">
      <c r="B222" s="35" t="s">
        <v>142</v>
      </c>
      <c r="K222" s="1" t="s">
        <v>31</v>
      </c>
    </row>
    <row r="223" spans="2:40" s="10" customFormat="1" x14ac:dyDescent="0.25">
      <c r="B223" s="10" t="s">
        <v>134</v>
      </c>
      <c r="G223" s="10">
        <f t="shared" ref="G223:P228" si="83">G212/C212-1</f>
        <v>-2.5780510879848673E-2</v>
      </c>
      <c r="H223" s="10">
        <f t="shared" si="83"/>
        <v>3.5962598897147036E-2</v>
      </c>
      <c r="I223" s="10">
        <f t="shared" si="83"/>
        <v>0.32614781634938406</v>
      </c>
      <c r="J223" s="10">
        <f t="shared" si="83"/>
        <v>0.33757961783439483</v>
      </c>
      <c r="K223" s="10">
        <f t="shared" si="83"/>
        <v>0.72614712308812823</v>
      </c>
      <c r="L223" s="10">
        <f t="shared" si="83"/>
        <v>0.37121036797037732</v>
      </c>
      <c r="M223" s="10">
        <f t="shared" si="83"/>
        <v>0.38146506227570187</v>
      </c>
      <c r="N223" s="10">
        <f t="shared" si="83"/>
        <v>8.6476190476190373E-2</v>
      </c>
      <c r="O223" s="10">
        <f t="shared" si="83"/>
        <v>-0.11111111111111116</v>
      </c>
      <c r="P223" s="10">
        <f t="shared" si="83"/>
        <v>-0.11054852320675101</v>
      </c>
      <c r="Q223" s="10">
        <f t="shared" ref="Q223:Z228" si="84">Q212/M212-1</f>
        <v>-0.37301344743276288</v>
      </c>
      <c r="R223" s="10">
        <f t="shared" si="84"/>
        <v>-0.13622019635343618</v>
      </c>
      <c r="S223" s="10">
        <f t="shared" si="84"/>
        <v>-0.37041139240506327</v>
      </c>
      <c r="T223" s="10">
        <f t="shared" si="84"/>
        <v>-0.19316888045540792</v>
      </c>
      <c r="U223" s="10">
        <f t="shared" si="84"/>
        <v>0.10650743358518167</v>
      </c>
      <c r="V223" s="10">
        <f t="shared" si="84"/>
        <v>-0.13700020296326365</v>
      </c>
      <c r="W223" s="10">
        <f t="shared" si="84"/>
        <v>5.8808745916059335E-2</v>
      </c>
      <c r="X223" s="10">
        <f t="shared" si="84"/>
        <v>4.2333019755409484E-3</v>
      </c>
      <c r="Y223" s="10">
        <f t="shared" si="84"/>
        <v>-3.4581497797356864E-2</v>
      </c>
      <c r="Z223" s="10">
        <f t="shared" si="84"/>
        <v>0.29609595484477902</v>
      </c>
      <c r="AA223" s="10">
        <f t="shared" ref="AA223:AC228" si="85">AA212/W212-1</f>
        <v>0.15072394967956315</v>
      </c>
      <c r="AB223" s="10">
        <f t="shared" si="85"/>
        <v>-1</v>
      </c>
      <c r="AC223" s="10">
        <f t="shared" si="85"/>
        <v>-1</v>
      </c>
      <c r="AI223" s="10">
        <f t="shared" ref="AI223:AN228" si="86">AI212/AH212-1</f>
        <v>0.15922244589833912</v>
      </c>
      <c r="AJ223" s="10">
        <f t="shared" si="86"/>
        <v>0.37206273403158407</v>
      </c>
      <c r="AK223" s="10">
        <f t="shared" si="86"/>
        <v>-0.23320017402998061</v>
      </c>
      <c r="AL223" s="10">
        <f t="shared" si="86"/>
        <v>-0.12193738071903848</v>
      </c>
      <c r="AM223" s="10">
        <f t="shared" si="86"/>
        <v>7.9539446631028632E-2</v>
      </c>
      <c r="AN223" s="10">
        <f t="shared" si="86"/>
        <v>-1</v>
      </c>
    </row>
    <row r="224" spans="2:40" s="10" customFormat="1" x14ac:dyDescent="0.25">
      <c r="B224" s="10" t="s">
        <v>135</v>
      </c>
      <c r="G224" s="10">
        <f t="shared" si="83"/>
        <v>1.3042321000798607E-2</v>
      </c>
      <c r="H224" s="10">
        <f t="shared" si="83"/>
        <v>5.4004214963119024E-2</v>
      </c>
      <c r="I224" s="10">
        <f t="shared" si="83"/>
        <v>0.19917622830244186</v>
      </c>
      <c r="J224" s="10">
        <f t="shared" si="83"/>
        <v>0.10735060814383934</v>
      </c>
      <c r="K224" s="10">
        <f t="shared" si="83"/>
        <v>0.29742511823436679</v>
      </c>
      <c r="L224" s="10">
        <f t="shared" si="83"/>
        <v>0.25893526618345408</v>
      </c>
      <c r="M224" s="10">
        <f t="shared" si="83"/>
        <v>0.33832188420019627</v>
      </c>
      <c r="N224" s="10">
        <f t="shared" si="83"/>
        <v>0.28175740210124167</v>
      </c>
      <c r="O224" s="10">
        <f t="shared" si="83"/>
        <v>0.21445929526123941</v>
      </c>
      <c r="P224" s="10">
        <f t="shared" si="83"/>
        <v>9.8868374032162087E-2</v>
      </c>
      <c r="Q224" s="10">
        <f t="shared" si="84"/>
        <v>-1.7231897341888125E-2</v>
      </c>
      <c r="R224" s="10">
        <f t="shared" si="84"/>
        <v>1.3412816691505292E-2</v>
      </c>
      <c r="S224" s="10">
        <f t="shared" si="84"/>
        <v>-2.7680506920126691E-2</v>
      </c>
      <c r="T224" s="10">
        <f t="shared" si="84"/>
        <v>0.10081300813008132</v>
      </c>
      <c r="U224" s="10">
        <f t="shared" si="84"/>
        <v>0.11788845364670775</v>
      </c>
      <c r="V224" s="10">
        <f t="shared" si="84"/>
        <v>0.12242647058823519</v>
      </c>
      <c r="W224" s="10">
        <f t="shared" si="84"/>
        <v>6.2596467158291924E-2</v>
      </c>
      <c r="X224" s="10">
        <f t="shared" si="84"/>
        <v>-2.0843591006072582E-2</v>
      </c>
      <c r="Y224" s="10">
        <f t="shared" si="84"/>
        <v>-4.3717670615718296E-2</v>
      </c>
      <c r="Z224" s="10">
        <f t="shared" si="84"/>
        <v>1.2774320340648515E-2</v>
      </c>
      <c r="AA224" s="10">
        <f t="shared" si="85"/>
        <v>0.15768237572627508</v>
      </c>
      <c r="AB224" s="10">
        <f t="shared" si="85"/>
        <v>-1</v>
      </c>
      <c r="AC224" s="10">
        <f t="shared" si="85"/>
        <v>-1</v>
      </c>
      <c r="AI224" s="10">
        <f t="shared" si="86"/>
        <v>9.0742500339351162E-2</v>
      </c>
      <c r="AJ224" s="10">
        <f t="shared" si="86"/>
        <v>0.29413228797212376</v>
      </c>
      <c r="AK224" s="10">
        <f t="shared" si="86"/>
        <v>7.3805173574382099E-2</v>
      </c>
      <c r="AL224" s="10">
        <f t="shared" si="86"/>
        <v>7.5672771235391512E-2</v>
      </c>
      <c r="AM224" s="10">
        <f t="shared" si="86"/>
        <v>2.2478458144279401E-3</v>
      </c>
      <c r="AN224" s="10">
        <f t="shared" si="86"/>
        <v>-1</v>
      </c>
    </row>
    <row r="225" spans="2:40" s="10" customFormat="1" x14ac:dyDescent="0.25">
      <c r="B225" s="10" t="s">
        <v>136</v>
      </c>
      <c r="G225" s="10">
        <f t="shared" si="83"/>
        <v>0.64744744744744742</v>
      </c>
      <c r="H225" s="10">
        <f t="shared" si="83"/>
        <v>-0.10780201342281881</v>
      </c>
      <c r="I225" s="10">
        <f t="shared" si="83"/>
        <v>0.66677631578947372</v>
      </c>
      <c r="J225" s="10">
        <f t="shared" si="83"/>
        <v>0.32644230769230775</v>
      </c>
      <c r="K225" s="10">
        <f t="shared" si="83"/>
        <v>0.96500182282172808</v>
      </c>
      <c r="L225" s="10">
        <f t="shared" si="83"/>
        <v>0.16784203102961914</v>
      </c>
      <c r="M225" s="10">
        <f t="shared" si="83"/>
        <v>-0.45470692717584371</v>
      </c>
      <c r="N225" s="10">
        <f t="shared" si="83"/>
        <v>-7.1040231968104384E-2</v>
      </c>
      <c r="O225" s="10">
        <f t="shared" si="83"/>
        <v>-0.44879406307977732</v>
      </c>
      <c r="P225" s="10">
        <f t="shared" si="83"/>
        <v>1.4859098228663448</v>
      </c>
      <c r="Q225" s="10">
        <f t="shared" si="84"/>
        <v>2.0148389431777054</v>
      </c>
      <c r="R225" s="10">
        <f t="shared" si="84"/>
        <v>0.23058915333593455</v>
      </c>
      <c r="S225" s="10">
        <f t="shared" si="84"/>
        <v>0.89700437563110058</v>
      </c>
      <c r="T225" s="10">
        <f t="shared" si="84"/>
        <v>-0.48906882591093115</v>
      </c>
      <c r="U225" s="10">
        <f t="shared" si="84"/>
        <v>-0.71200480192076832</v>
      </c>
      <c r="V225" s="10">
        <f t="shared" si="84"/>
        <v>0.45973367152821809</v>
      </c>
      <c r="W225" s="10">
        <f t="shared" si="84"/>
        <v>-0.52803406671398156</v>
      </c>
      <c r="X225" s="10">
        <f t="shared" si="84"/>
        <v>0.22694136291600642</v>
      </c>
      <c r="Y225" s="10">
        <f t="shared" si="84"/>
        <v>2.3097123801583992</v>
      </c>
      <c r="Z225" s="10">
        <f t="shared" si="84"/>
        <v>-0.45221546481320596</v>
      </c>
      <c r="AA225" s="10">
        <f t="shared" si="85"/>
        <v>7.9699248120300714E-2</v>
      </c>
      <c r="AB225" s="10">
        <f t="shared" si="85"/>
        <v>-1</v>
      </c>
      <c r="AC225" s="10">
        <f t="shared" si="85"/>
        <v>-1</v>
      </c>
      <c r="AI225" s="10">
        <f t="shared" si="86"/>
        <v>0.38466572145272115</v>
      </c>
      <c r="AJ225" s="10">
        <f t="shared" si="86"/>
        <v>3.969754253308122E-2</v>
      </c>
      <c r="AK225" s="10">
        <f t="shared" si="86"/>
        <v>0.56280303030303025</v>
      </c>
      <c r="AL225" s="10">
        <f t="shared" si="86"/>
        <v>-0.23433031169712537</v>
      </c>
      <c r="AM225" s="10">
        <f t="shared" si="86"/>
        <v>7.5910098132320414E-2</v>
      </c>
      <c r="AN225" s="10">
        <f t="shared" si="86"/>
        <v>-1</v>
      </c>
    </row>
    <row r="226" spans="2:40" s="10" customFormat="1" x14ac:dyDescent="0.25">
      <c r="B226" s="10" t="s">
        <v>137</v>
      </c>
      <c r="G226" s="10">
        <f t="shared" si="83"/>
        <v>6.377303588748795E-2</v>
      </c>
      <c r="H226" s="10">
        <f t="shared" si="83"/>
        <v>0.17688679245283012</v>
      </c>
      <c r="I226" s="10">
        <f t="shared" si="83"/>
        <v>0.6245233206218832</v>
      </c>
      <c r="J226" s="10">
        <f t="shared" si="83"/>
        <v>0.22642293311175732</v>
      </c>
      <c r="K226" s="10">
        <f t="shared" si="83"/>
        <v>0.33963984499658073</v>
      </c>
      <c r="L226" s="10">
        <f t="shared" si="83"/>
        <v>0.45335114673792032</v>
      </c>
      <c r="M226" s="10">
        <f t="shared" si="83"/>
        <v>0.10003611412062119</v>
      </c>
      <c r="N226" s="10">
        <f t="shared" si="83"/>
        <v>0.1959688346883468</v>
      </c>
      <c r="O226" s="10">
        <f t="shared" si="83"/>
        <v>3.5732516590097019E-2</v>
      </c>
      <c r="P226" s="10">
        <f t="shared" si="83"/>
        <v>-0.14386394974720396</v>
      </c>
      <c r="Q226" s="10">
        <f t="shared" si="84"/>
        <v>-7.8299409061063696E-2</v>
      </c>
      <c r="R226" s="10">
        <f t="shared" si="84"/>
        <v>2.0960203937119282E-2</v>
      </c>
      <c r="S226" s="10">
        <f t="shared" si="84"/>
        <v>-7.9842286840808296E-2</v>
      </c>
      <c r="T226" s="10">
        <f t="shared" si="84"/>
        <v>2.3443092340730054E-2</v>
      </c>
      <c r="U226" s="10">
        <f t="shared" si="84"/>
        <v>8.2635796972395426E-2</v>
      </c>
      <c r="V226" s="10">
        <f t="shared" si="84"/>
        <v>2.302677209044246E-2</v>
      </c>
      <c r="W226" s="10">
        <f t="shared" si="84"/>
        <v>0.13122656668452071</v>
      </c>
      <c r="X226" s="10">
        <f t="shared" si="84"/>
        <v>0.14250743136912059</v>
      </c>
      <c r="Y226" s="10">
        <f t="shared" si="84"/>
        <v>-9.0475407139332109E-3</v>
      </c>
      <c r="Z226" s="10">
        <f t="shared" si="84"/>
        <v>-1.7355932203389823E-2</v>
      </c>
      <c r="AA226" s="10">
        <f t="shared" si="85"/>
        <v>-7.7493686868686851E-2</v>
      </c>
      <c r="AB226" s="10">
        <f t="shared" si="85"/>
        <v>-1</v>
      </c>
      <c r="AC226" s="10">
        <f t="shared" si="85"/>
        <v>-1</v>
      </c>
      <c r="AI226" s="10">
        <f t="shared" si="86"/>
        <v>0.2571923529047826</v>
      </c>
      <c r="AJ226" s="10">
        <f t="shared" si="86"/>
        <v>0.25767716535433061</v>
      </c>
      <c r="AK226" s="10">
        <f t="shared" si="86"/>
        <v>-4.1360150258256345E-2</v>
      </c>
      <c r="AL226" s="10">
        <f t="shared" si="86"/>
        <v>1.1224947957059417E-2</v>
      </c>
      <c r="AM226" s="10">
        <f t="shared" si="86"/>
        <v>5.5178816501170624E-2</v>
      </c>
      <c r="AN226" s="10">
        <f t="shared" si="86"/>
        <v>-1</v>
      </c>
    </row>
    <row r="227" spans="2:40" s="14" customFormat="1" x14ac:dyDescent="0.25">
      <c r="B227" s="14" t="s">
        <v>138</v>
      </c>
      <c r="G227" s="14">
        <f t="shared" si="83"/>
        <v>9.3073907361695962E-2</v>
      </c>
      <c r="H227" s="14">
        <f t="shared" si="83"/>
        <v>5.4492835462695011E-2</v>
      </c>
      <c r="I227" s="14">
        <f t="shared" si="83"/>
        <v>0.44683704641978994</v>
      </c>
      <c r="J227" s="14">
        <f t="shared" si="83"/>
        <v>0.23970960893089521</v>
      </c>
      <c r="K227" s="14">
        <f t="shared" si="83"/>
        <v>0.54848565356004242</v>
      </c>
      <c r="L227" s="14">
        <f t="shared" si="83"/>
        <v>0.33697034607403431</v>
      </c>
      <c r="M227" s="14">
        <f t="shared" si="83"/>
        <v>7.3900504686373436E-2</v>
      </c>
      <c r="N227" s="14">
        <f t="shared" si="83"/>
        <v>0.14336224517982421</v>
      </c>
      <c r="O227" s="14">
        <f t="shared" si="83"/>
        <v>-8.3168911383717958E-2</v>
      </c>
      <c r="P227" s="14">
        <f t="shared" si="83"/>
        <v>0.12992539928904012</v>
      </c>
      <c r="Q227" s="14">
        <f t="shared" si="84"/>
        <v>0.12257229175658169</v>
      </c>
      <c r="R227" s="14">
        <f t="shared" si="84"/>
        <v>1.5945110166215581E-3</v>
      </c>
      <c r="S227" s="14">
        <f t="shared" si="84"/>
        <v>-1.5345029239766106E-2</v>
      </c>
      <c r="T227" s="14">
        <f t="shared" si="84"/>
        <v>-0.14835164835164838</v>
      </c>
      <c r="U227" s="14">
        <f t="shared" si="84"/>
        <v>-0.1878764577726515</v>
      </c>
      <c r="V227" s="14">
        <f t="shared" si="84"/>
        <v>7.7572482994838099E-2</v>
      </c>
      <c r="W227" s="14">
        <f t="shared" si="84"/>
        <v>-7.8015869245023017E-2</v>
      </c>
      <c r="X227" s="14">
        <f t="shared" si="84"/>
        <v>7.3933402705515183E-2</v>
      </c>
      <c r="Y227" s="14">
        <f t="shared" si="84"/>
        <v>0.26658250486560409</v>
      </c>
      <c r="Z227" s="14">
        <f t="shared" si="84"/>
        <v>-3.9083135604602193E-2</v>
      </c>
      <c r="AA227" s="14">
        <f t="shared" si="85"/>
        <v>6.8693635660912244E-2</v>
      </c>
      <c r="AB227" s="14">
        <f t="shared" si="85"/>
        <v>-1</v>
      </c>
      <c r="AC227" s="14">
        <f t="shared" si="85"/>
        <v>-1</v>
      </c>
      <c r="AI227" s="14">
        <f t="shared" si="86"/>
        <v>0.20640423136715325</v>
      </c>
      <c r="AJ227" s="14">
        <f t="shared" si="86"/>
        <v>0.25658381965222032</v>
      </c>
      <c r="AK227" s="14">
        <f t="shared" si="86"/>
        <v>2.3704279972182052E-2</v>
      </c>
      <c r="AL227" s="14">
        <f t="shared" si="86"/>
        <v>-6.0254697862932916E-2</v>
      </c>
      <c r="AM227" s="14">
        <f t="shared" si="86"/>
        <v>4.8692029651412172E-2</v>
      </c>
      <c r="AN227" s="14">
        <f t="shared" si="86"/>
        <v>-1</v>
      </c>
    </row>
    <row r="228" spans="2:40" s="10" customFormat="1" x14ac:dyDescent="0.25">
      <c r="B228" s="10" t="s">
        <v>139</v>
      </c>
      <c r="G228" s="10">
        <f t="shared" si="83"/>
        <v>-0.12234042553191493</v>
      </c>
      <c r="H228" s="10">
        <f t="shared" si="83"/>
        <v>-7.8534031413612593E-2</v>
      </c>
      <c r="I228" s="10">
        <f t="shared" si="83"/>
        <v>7.92682926829269E-2</v>
      </c>
      <c r="J228" s="10">
        <f t="shared" si="83"/>
        <v>3.4682080924855585E-2</v>
      </c>
      <c r="K228" s="10">
        <f t="shared" si="83"/>
        <v>2.4242424242424176E-2</v>
      </c>
      <c r="L228" s="10">
        <f t="shared" si="83"/>
        <v>-0.10227272727272729</v>
      </c>
      <c r="M228" s="10">
        <f t="shared" si="83"/>
        <v>-3.9548022598870025E-2</v>
      </c>
      <c r="N228" s="10">
        <f t="shared" si="83"/>
        <v>-7.8212290502793325E-2</v>
      </c>
      <c r="O228" s="10">
        <f t="shared" si="83"/>
        <v>-0.1124260355029586</v>
      </c>
      <c r="P228" s="10">
        <f t="shared" si="83"/>
        <v>-2.5316455696202556E-2</v>
      </c>
      <c r="Q228" s="10">
        <f t="shared" si="84"/>
        <v>-0.19999999999999996</v>
      </c>
      <c r="R228" s="10">
        <f t="shared" si="84"/>
        <v>-0.83030303030303032</v>
      </c>
      <c r="S228" s="10">
        <f t="shared" si="84"/>
        <v>-0.2533333333333333</v>
      </c>
      <c r="T228" s="10">
        <f t="shared" si="84"/>
        <v>-0.29220779220779225</v>
      </c>
      <c r="U228" s="10">
        <f t="shared" si="84"/>
        <v>-0.3529411764705882</v>
      </c>
      <c r="V228" s="10">
        <f t="shared" si="84"/>
        <v>2.75</v>
      </c>
      <c r="W228" s="10">
        <f t="shared" si="84"/>
        <v>-0.1517857142857143</v>
      </c>
      <c r="X228" s="10">
        <f t="shared" si="84"/>
        <v>-0.14678899082568808</v>
      </c>
      <c r="Y228" s="10">
        <f t="shared" si="84"/>
        <v>4.5454545454545414E-2</v>
      </c>
      <c r="Z228" s="10">
        <f t="shared" si="84"/>
        <v>-0.1333333333333333</v>
      </c>
      <c r="AA228" s="10">
        <f t="shared" si="85"/>
        <v>-0.27368421052631575</v>
      </c>
      <c r="AB228" s="10">
        <f t="shared" si="85"/>
        <v>-1</v>
      </c>
      <c r="AC228" s="10">
        <f t="shared" si="85"/>
        <v>-1</v>
      </c>
      <c r="AI228" s="10">
        <f t="shared" si="86"/>
        <v>-2.6536312849162025E-2</v>
      </c>
      <c r="AJ228" s="10">
        <f t="shared" si="86"/>
        <v>-5.0215208034433245E-2</v>
      </c>
      <c r="AK228" s="10">
        <f t="shared" si="86"/>
        <v>-0.29305135951661632</v>
      </c>
      <c r="AL228" s="10">
        <f t="shared" si="86"/>
        <v>-0.11538461538461542</v>
      </c>
      <c r="AM228" s="10">
        <f t="shared" si="86"/>
        <v>-0.106280193236715</v>
      </c>
      <c r="AN228" s="10">
        <f t="shared" si="86"/>
        <v>-1</v>
      </c>
    </row>
    <row r="229" spans="2:40" s="10" customFormat="1" ht="26.4" x14ac:dyDescent="0.25">
      <c r="B229" s="15" t="s">
        <v>140</v>
      </c>
      <c r="G229" s="10">
        <f t="shared" ref="G229:P230" si="87">G219/C219-1</f>
        <v>-0.86301369863013699</v>
      </c>
      <c r="H229" s="10">
        <f t="shared" si="87"/>
        <v>-0.833729216152019</v>
      </c>
      <c r="I229" s="10">
        <f t="shared" si="87"/>
        <v>-0.7407407407407407</v>
      </c>
      <c r="J229" s="10">
        <f t="shared" si="87"/>
        <v>-0.68232044198895025</v>
      </c>
      <c r="K229" s="10">
        <f t="shared" si="87"/>
        <v>1.0571428571428569</v>
      </c>
      <c r="L229" s="10">
        <f t="shared" si="87"/>
        <v>0.62857142857142856</v>
      </c>
      <c r="M229" s="10">
        <f t="shared" si="87"/>
        <v>-0.13265306122448983</v>
      </c>
      <c r="N229" s="10">
        <f t="shared" si="87"/>
        <v>0.22608695652173916</v>
      </c>
      <c r="O229" s="10">
        <f t="shared" si="87"/>
        <v>-0.78472222222222221</v>
      </c>
      <c r="P229" s="10">
        <f t="shared" si="87"/>
        <v>-0.36842105263157898</v>
      </c>
      <c r="Q229" s="10">
        <f t="shared" ref="Q229:Z230" si="88">Q219/M219-1</f>
        <v>-0.63529411764705879</v>
      </c>
      <c r="R229" s="10">
        <f t="shared" si="88"/>
        <v>-0.1063829787234043</v>
      </c>
      <c r="S229" s="10">
        <f t="shared" si="88"/>
        <v>-16.483870967741936</v>
      </c>
      <c r="T229" s="10">
        <f t="shared" si="88"/>
        <v>-6.166666666666667</v>
      </c>
      <c r="U229" s="10">
        <f t="shared" si="88"/>
        <v>-23.032258064516128</v>
      </c>
      <c r="V229" s="10">
        <f t="shared" si="88"/>
        <v>-4.8968253968253972</v>
      </c>
      <c r="W229" s="10">
        <f t="shared" si="88"/>
        <v>0.17708333333333326</v>
      </c>
      <c r="X229" s="10">
        <f t="shared" si="88"/>
        <v>1.443548387096774</v>
      </c>
      <c r="Y229" s="10">
        <f t="shared" si="88"/>
        <v>-0.19619326500732059</v>
      </c>
      <c r="Z229" s="10">
        <f t="shared" si="88"/>
        <v>-0.2179226069246436</v>
      </c>
      <c r="AA229" s="10">
        <f t="shared" ref="AA229:AC230" si="89">AA219/W219-1</f>
        <v>-1.7699115044247371E-3</v>
      </c>
      <c r="AB229" s="10">
        <f t="shared" si="89"/>
        <v>-1</v>
      </c>
      <c r="AC229" s="10">
        <f t="shared" si="89"/>
        <v>-1</v>
      </c>
      <c r="AI229" s="10">
        <f t="shared" ref="AI229:AN230" si="90">AI219/AH219-1</f>
        <v>-0.7888755980861244</v>
      </c>
      <c r="AJ229" s="10">
        <f t="shared" si="90"/>
        <v>0.36827195467422102</v>
      </c>
      <c r="AK229" s="10">
        <f t="shared" si="90"/>
        <v>-5.2525879917184266</v>
      </c>
      <c r="AL229" s="10">
        <f t="shared" si="90"/>
        <v>-1.314508276533588E-2</v>
      </c>
      <c r="AM229" s="10">
        <f t="shared" si="90"/>
        <v>0.1874691662555501</v>
      </c>
      <c r="AN229" s="10">
        <f t="shared" si="90"/>
        <v>-1</v>
      </c>
    </row>
    <row r="230" spans="2:40" s="16" customFormat="1" x14ac:dyDescent="0.25">
      <c r="B230" s="16" t="s">
        <v>141</v>
      </c>
      <c r="G230" s="16">
        <f t="shared" si="87"/>
        <v>0.10995821727019495</v>
      </c>
      <c r="H230" s="16">
        <f t="shared" si="87"/>
        <v>8.2855973813420691E-2</v>
      </c>
      <c r="I230" s="16">
        <f t="shared" si="87"/>
        <v>0.4731770458794764</v>
      </c>
      <c r="J230" s="16">
        <f t="shared" si="87"/>
        <v>0.26291390728476816</v>
      </c>
      <c r="K230" s="16">
        <f t="shared" si="87"/>
        <v>0.51885312754877977</v>
      </c>
      <c r="L230" s="16">
        <f t="shared" si="87"/>
        <v>0.32111593929088733</v>
      </c>
      <c r="M230" s="16">
        <f t="shared" si="87"/>
        <v>7.4197012593966605E-2</v>
      </c>
      <c r="N230" s="16">
        <f t="shared" si="87"/>
        <v>0.14404824331410593</v>
      </c>
      <c r="O230" s="16">
        <f t="shared" si="87"/>
        <v>-6.5636746664463619E-2</v>
      </c>
      <c r="P230" s="16">
        <f t="shared" si="87"/>
        <v>0.12679950424253983</v>
      </c>
      <c r="Q230" s="16">
        <f t="shared" si="88"/>
        <v>0.10169953649004815</v>
      </c>
      <c r="R230" s="16">
        <f t="shared" si="88"/>
        <v>-6.417014254939124E-4</v>
      </c>
      <c r="S230" s="16">
        <f t="shared" si="88"/>
        <v>-4.3368700265251969E-2</v>
      </c>
      <c r="T230" s="16">
        <f t="shared" si="88"/>
        <v>-0.16655385396395639</v>
      </c>
      <c r="U230" s="16">
        <f t="shared" si="88"/>
        <v>-0.18404553704009241</v>
      </c>
      <c r="V230" s="16">
        <f t="shared" si="88"/>
        <v>5.1827730128881422E-2</v>
      </c>
      <c r="W230" s="16">
        <f t="shared" si="88"/>
        <v>-7.2739035999815127E-2</v>
      </c>
      <c r="X230" s="16">
        <f t="shared" si="88"/>
        <v>9.8573676463123761E-2</v>
      </c>
      <c r="Y230" s="16">
        <f t="shared" si="88"/>
        <v>0.24957031644929728</v>
      </c>
      <c r="Z230" s="16">
        <f t="shared" si="88"/>
        <v>-4.3343653250773939E-2</v>
      </c>
      <c r="AA230" s="16">
        <f t="shared" si="89"/>
        <v>6.5088462496885047E-2</v>
      </c>
      <c r="AB230" s="16">
        <f t="shared" si="89"/>
        <v>-1</v>
      </c>
      <c r="AC230" s="16">
        <f t="shared" si="89"/>
        <v>-1</v>
      </c>
      <c r="AI230" s="16">
        <f t="shared" si="90"/>
        <v>0.22995002584869906</v>
      </c>
      <c r="AJ230" s="16">
        <f t="shared" si="90"/>
        <v>0.24709277888306658</v>
      </c>
      <c r="AK230" s="16">
        <f t="shared" si="90"/>
        <v>4.0557240759464541E-3</v>
      </c>
      <c r="AL230" s="16">
        <f t="shared" si="90"/>
        <v>-5.9471193116335308E-2</v>
      </c>
      <c r="AM230" s="16">
        <f t="shared" si="90"/>
        <v>5.1275340249357537E-2</v>
      </c>
      <c r="AN230" s="16">
        <f t="shared" si="90"/>
        <v>-1</v>
      </c>
    </row>
    <row r="231" spans="2:40" s="16" customFormat="1" x14ac:dyDescent="0.25"/>
    <row r="232" spans="2:40" s="16" customFormat="1" ht="16.8" x14ac:dyDescent="0.3">
      <c r="B232" s="35" t="s">
        <v>224</v>
      </c>
    </row>
    <row r="233" spans="2:40" s="10" customFormat="1" x14ac:dyDescent="0.25">
      <c r="B233" s="2" t="s">
        <v>134</v>
      </c>
      <c r="C233" s="10">
        <f>C212/C$220</f>
        <v>0.29442896935933149</v>
      </c>
      <c r="D233" s="10">
        <f t="shared" ref="D233:AC239" si="91">D212/D$220</f>
        <v>0.28443807965084561</v>
      </c>
      <c r="E233" s="10">
        <f t="shared" si="91"/>
        <v>0.25686753919171579</v>
      </c>
      <c r="F233" s="10">
        <f t="shared" si="91"/>
        <v>0.25993377483443708</v>
      </c>
      <c r="G233" s="10">
        <f t="shared" si="91"/>
        <v>0.25842273668360627</v>
      </c>
      <c r="H233" s="10">
        <f t="shared" si="91"/>
        <v>0.27212041060520181</v>
      </c>
      <c r="I233" s="10">
        <f t="shared" si="91"/>
        <v>0.23123108464317094</v>
      </c>
      <c r="J233" s="10">
        <f t="shared" si="91"/>
        <v>0.27530152071316205</v>
      </c>
      <c r="K233" s="10">
        <f t="shared" si="91"/>
        <v>0.29369242843570575</v>
      </c>
      <c r="L233" s="10">
        <f t="shared" si="91"/>
        <v>0.28243874535227381</v>
      </c>
      <c r="M233" s="10">
        <f t="shared" si="91"/>
        <v>0.2973734436062892</v>
      </c>
      <c r="N233" s="10">
        <f t="shared" si="91"/>
        <v>0.26144749507264975</v>
      </c>
      <c r="O233" s="10">
        <f t="shared" si="91"/>
        <v>0.27939876215738285</v>
      </c>
      <c r="P233" s="10">
        <f t="shared" si="91"/>
        <v>0.22294610373128015</v>
      </c>
      <c r="Q233" s="10">
        <f t="shared" si="91"/>
        <v>0.16923774954627949</v>
      </c>
      <c r="R233" s="10">
        <f t="shared" si="91"/>
        <v>0.225978076411503</v>
      </c>
      <c r="S233" s="10">
        <f t="shared" si="91"/>
        <v>0.18388095568187068</v>
      </c>
      <c r="T233" s="10">
        <f t="shared" si="91"/>
        <v>0.21582660778640678</v>
      </c>
      <c r="U233" s="10">
        <f t="shared" si="91"/>
        <v>0.22950156708118491</v>
      </c>
      <c r="V233" s="10">
        <f t="shared" si="91"/>
        <v>0.18540967165220426</v>
      </c>
      <c r="W233" s="10">
        <f t="shared" si="91"/>
        <v>0.20996760528283079</v>
      </c>
      <c r="X233" s="10">
        <f t="shared" si="91"/>
        <v>0.19729242711269232</v>
      </c>
      <c r="Y233" s="10">
        <f t="shared" si="91"/>
        <v>0.17731299809862858</v>
      </c>
      <c r="Z233" s="10">
        <f t="shared" si="91"/>
        <v>0.25119649938465743</v>
      </c>
      <c r="AA233" s="10">
        <f t="shared" si="91"/>
        <v>0.22684946890646202</v>
      </c>
      <c r="AB233" s="10" t="e">
        <f t="shared" si="91"/>
        <v>#DIV/0!</v>
      </c>
      <c r="AC233" s="10" t="e">
        <f t="shared" si="91"/>
        <v>#DIV/0!</v>
      </c>
      <c r="AI233" s="10">
        <f t="shared" ref="AI233:AN233" si="92">AI212/AI$220</f>
        <v>0.25817524588785834</v>
      </c>
      <c r="AJ233" s="10">
        <f t="shared" si="92"/>
        <v>0.28404673632176158</v>
      </c>
      <c r="AK233" s="10">
        <f t="shared" si="92"/>
        <v>0.21692719114701636</v>
      </c>
      <c r="AL233" s="10">
        <f t="shared" si="92"/>
        <v>0.20251974873893594</v>
      </c>
      <c r="AM233" s="10">
        <f t="shared" si="92"/>
        <v>0.20796460176991149</v>
      </c>
      <c r="AN233" s="10" t="e">
        <f t="shared" si="92"/>
        <v>#DIV/0!</v>
      </c>
    </row>
    <row r="234" spans="2:40" s="10" customFormat="1" x14ac:dyDescent="0.25">
      <c r="B234" s="2" t="s">
        <v>135</v>
      </c>
      <c r="C234" s="10">
        <f t="shared" ref="C234:R239" si="93">C213/C$220</f>
        <v>0.26162952646239557</v>
      </c>
      <c r="D234" s="10">
        <f t="shared" si="93"/>
        <v>0.25886524822695034</v>
      </c>
      <c r="E234" s="10">
        <f t="shared" si="93"/>
        <v>0.24442686610096362</v>
      </c>
      <c r="F234" s="10">
        <f t="shared" si="93"/>
        <v>0.25046357615894038</v>
      </c>
      <c r="G234" s="10">
        <f t="shared" si="93"/>
        <v>0.23878536922015184</v>
      </c>
      <c r="H234" s="10">
        <f t="shared" si="93"/>
        <v>0.25196800806096104</v>
      </c>
      <c r="I234" s="10">
        <f t="shared" si="93"/>
        <v>0.19896514692961045</v>
      </c>
      <c r="J234" s="10">
        <f t="shared" si="93"/>
        <v>0.2196119559517567</v>
      </c>
      <c r="K234" s="10">
        <f t="shared" si="93"/>
        <v>0.20397372877855344</v>
      </c>
      <c r="L234" s="10">
        <f t="shared" si="93"/>
        <v>0.24010868528935075</v>
      </c>
      <c r="M234" s="10">
        <f t="shared" si="93"/>
        <v>0.24788693992547486</v>
      </c>
      <c r="N234" s="10">
        <f t="shared" si="93"/>
        <v>0.24604666086079663</v>
      </c>
      <c r="O234" s="10">
        <f t="shared" si="93"/>
        <v>0.26511936339522546</v>
      </c>
      <c r="P234" s="10">
        <f t="shared" si="93"/>
        <v>0.2341568660631187</v>
      </c>
      <c r="Q234" s="10">
        <f t="shared" si="93"/>
        <v>0.22112687675301104</v>
      </c>
      <c r="R234" s="10">
        <f t="shared" si="93"/>
        <v>0.24950694858505709</v>
      </c>
      <c r="S234" s="10">
        <f t="shared" si="91"/>
        <v>0.26946716576551599</v>
      </c>
      <c r="T234" s="10">
        <f t="shared" si="91"/>
        <v>0.30927364093193238</v>
      </c>
      <c r="U234" s="10">
        <f t="shared" si="91"/>
        <v>0.30295217874835711</v>
      </c>
      <c r="V234" s="10">
        <f t="shared" si="91"/>
        <v>0.26625386996904027</v>
      </c>
      <c r="W234" s="10">
        <f t="shared" si="91"/>
        <v>0.3087964116620982</v>
      </c>
      <c r="X234" s="10">
        <f t="shared" si="91"/>
        <v>0.27565494617197245</v>
      </c>
      <c r="Y234" s="10">
        <f t="shared" si="91"/>
        <v>0.23184594846069825</v>
      </c>
      <c r="Z234" s="10">
        <f t="shared" si="91"/>
        <v>0.28187246456082776</v>
      </c>
      <c r="AA234" s="10">
        <f t="shared" si="91"/>
        <v>0.33564175752187542</v>
      </c>
      <c r="AB234" s="10" t="e">
        <f t="shared" si="91"/>
        <v>#DIV/0!</v>
      </c>
      <c r="AC234" s="10" t="e">
        <f t="shared" si="91"/>
        <v>#DIV/0!</v>
      </c>
      <c r="AI234" s="10">
        <f t="shared" ref="AI234:AN234" si="94">AI213/AI$220</f>
        <v>0.2251660268445092</v>
      </c>
      <c r="AJ234" s="10">
        <f t="shared" si="94"/>
        <v>0.2336591394225368</v>
      </c>
      <c r="AK234" s="10">
        <f t="shared" si="94"/>
        <v>0.24989090420830024</v>
      </c>
      <c r="AL234" s="10">
        <f t="shared" si="94"/>
        <v>0.28579756352907587</v>
      </c>
      <c r="AM234" s="10">
        <f t="shared" si="94"/>
        <v>0.27246904918181203</v>
      </c>
      <c r="AN234" s="10" t="e">
        <f t="shared" si="94"/>
        <v>#DIV/0!</v>
      </c>
    </row>
    <row r="235" spans="2:40" s="10" customFormat="1" x14ac:dyDescent="0.25">
      <c r="B235" s="2" t="s">
        <v>136</v>
      </c>
      <c r="C235" s="10">
        <f t="shared" si="93"/>
        <v>0.11594707520891365</v>
      </c>
      <c r="D235" s="10">
        <f t="shared" si="91"/>
        <v>0.16257501363884341</v>
      </c>
      <c r="E235" s="10">
        <f t="shared" si="91"/>
        <v>0.2186106716525241</v>
      </c>
      <c r="F235" s="10">
        <f t="shared" si="91"/>
        <v>0.13774834437086092</v>
      </c>
      <c r="G235" s="10">
        <f t="shared" si="91"/>
        <v>0.17209360687621558</v>
      </c>
      <c r="H235" s="10">
        <f t="shared" si="91"/>
        <v>0.13395050066125072</v>
      </c>
      <c r="I235" s="10">
        <f t="shared" si="91"/>
        <v>0.24733964658791369</v>
      </c>
      <c r="J235" s="10">
        <f t="shared" si="91"/>
        <v>0.14467750393287887</v>
      </c>
      <c r="K235" s="10">
        <f t="shared" si="91"/>
        <v>0.22264447106448015</v>
      </c>
      <c r="L235" s="10">
        <f t="shared" si="91"/>
        <v>0.11840976260844695</v>
      </c>
      <c r="M235" s="10">
        <f t="shared" si="91"/>
        <v>0.12555666636371898</v>
      </c>
      <c r="N235" s="10">
        <f t="shared" si="91"/>
        <v>0.11747719668148691</v>
      </c>
      <c r="O235" s="10">
        <f t="shared" si="91"/>
        <v>0.13134394341290892</v>
      </c>
      <c r="P235" s="10">
        <f t="shared" si="91"/>
        <v>0.26123191471359675</v>
      </c>
      <c r="Q235" s="10">
        <f t="shared" si="91"/>
        <v>0.34359016663916847</v>
      </c>
      <c r="R235" s="10">
        <f t="shared" si="91"/>
        <v>0.14465899188185113</v>
      </c>
      <c r="S235" s="10">
        <f t="shared" si="91"/>
        <v>0.26045565876426824</v>
      </c>
      <c r="T235" s="10">
        <f t="shared" si="91"/>
        <v>0.16014415511902949</v>
      </c>
      <c r="U235" s="10">
        <f t="shared" si="91"/>
        <v>0.12127186331007987</v>
      </c>
      <c r="V235" s="10">
        <f t="shared" si="91"/>
        <v>0.20075873195831334</v>
      </c>
      <c r="W235" s="10">
        <f t="shared" si="91"/>
        <v>0.13256915026164964</v>
      </c>
      <c r="X235" s="10">
        <f t="shared" si="91"/>
        <v>0.17885690523494893</v>
      </c>
      <c r="Y235" s="10">
        <f t="shared" si="91"/>
        <v>0.32121040495165665</v>
      </c>
      <c r="Z235" s="10">
        <f t="shared" si="91"/>
        <v>0.11495510278499475</v>
      </c>
      <c r="AA235" s="10">
        <f t="shared" si="91"/>
        <v>0.13438772167891067</v>
      </c>
      <c r="AB235" s="10" t="e">
        <f t="shared" si="91"/>
        <v>#DIV/0!</v>
      </c>
      <c r="AC235" s="10" t="e">
        <f t="shared" si="91"/>
        <v>#DIV/0!</v>
      </c>
      <c r="AI235" s="10">
        <f t="shared" ref="AI235:AN235" si="95">AI214/AI$220</f>
        <v>0.17787990024378625</v>
      </c>
      <c r="AJ235" s="10">
        <f t="shared" si="95"/>
        <v>0.1482979440512302</v>
      </c>
      <c r="AK235" s="10">
        <f t="shared" si="95"/>
        <v>0.23082431661277147</v>
      </c>
      <c r="AL235" s="10">
        <f t="shared" si="95"/>
        <v>0.18791044065860854</v>
      </c>
      <c r="AM235" s="10">
        <f t="shared" si="95"/>
        <v>0.19231378584523459</v>
      </c>
      <c r="AN235" s="10" t="e">
        <f t="shared" si="95"/>
        <v>#DIV/0!</v>
      </c>
    </row>
    <row r="236" spans="2:40" s="10" customFormat="1" x14ac:dyDescent="0.25">
      <c r="B236" s="2" t="s">
        <v>137</v>
      </c>
      <c r="C236" s="10">
        <f t="shared" si="93"/>
        <v>0.2871866295264624</v>
      </c>
      <c r="D236" s="10">
        <f t="shared" si="91"/>
        <v>0.2602291325695581</v>
      </c>
      <c r="E236" s="10">
        <f t="shared" si="91"/>
        <v>0.24514598015245218</v>
      </c>
      <c r="F236" s="10">
        <f t="shared" si="91"/>
        <v>0.31880794701986753</v>
      </c>
      <c r="G236" s="10">
        <f t="shared" si="91"/>
        <v>0.27523684045423175</v>
      </c>
      <c r="H236" s="10">
        <f t="shared" si="91"/>
        <v>0.28282637445682979</v>
      </c>
      <c r="I236" s="10">
        <f t="shared" si="91"/>
        <v>0.27033095772722837</v>
      </c>
      <c r="J236" s="10">
        <f t="shared" si="91"/>
        <v>0.30959622443628737</v>
      </c>
      <c r="K236" s="10">
        <f t="shared" si="91"/>
        <v>0.2427609566690074</v>
      </c>
      <c r="L236" s="10">
        <f t="shared" si="91"/>
        <v>0.31113547525979596</v>
      </c>
      <c r="M236" s="10">
        <f t="shared" si="91"/>
        <v>0.27683359083886211</v>
      </c>
      <c r="N236" s="10">
        <f t="shared" si="91"/>
        <v>0.32364669752944952</v>
      </c>
      <c r="O236" s="10">
        <f t="shared" si="91"/>
        <v>0.26909814323607428</v>
      </c>
      <c r="P236" s="10">
        <f t="shared" si="91"/>
        <v>0.23639901852948642</v>
      </c>
      <c r="Q236" s="10">
        <f t="shared" si="91"/>
        <v>0.2316036957597756</v>
      </c>
      <c r="R236" s="10">
        <f t="shared" si="91"/>
        <v>0.33064257212310233</v>
      </c>
      <c r="S236" s="10">
        <f t="shared" si="91"/>
        <v>0.25883820878968528</v>
      </c>
      <c r="T236" s="10">
        <f t="shared" si="91"/>
        <v>0.29028983300340083</v>
      </c>
      <c r="U236" s="10">
        <f t="shared" si="91"/>
        <v>0.30729956526134872</v>
      </c>
      <c r="V236" s="10">
        <f t="shared" si="91"/>
        <v>0.32158897658396196</v>
      </c>
      <c r="W236" s="10">
        <f t="shared" si="91"/>
        <v>0.31577373536007974</v>
      </c>
      <c r="X236" s="10">
        <f t="shared" si="91"/>
        <v>0.301898997366354</v>
      </c>
      <c r="Y236" s="10">
        <f t="shared" si="91"/>
        <v>0.2436991787693677</v>
      </c>
      <c r="Z236" s="10">
        <f t="shared" si="91"/>
        <v>0.33032499202333743</v>
      </c>
      <c r="AA236" s="10">
        <f t="shared" si="91"/>
        <v>0.27350147396003932</v>
      </c>
      <c r="AB236" s="10" t="e">
        <f t="shared" si="91"/>
        <v>#DIV/0!</v>
      </c>
      <c r="AC236" s="10" t="e">
        <f t="shared" si="91"/>
        <v>#DIV/0!</v>
      </c>
      <c r="AI236" s="10">
        <f t="shared" ref="AI236:AN236" si="96">AI215/AI$220</f>
        <v>0.28469750889679718</v>
      </c>
      <c r="AJ236" s="10">
        <f t="shared" si="96"/>
        <v>0.28711380743736659</v>
      </c>
      <c r="AK236" s="10">
        <f t="shared" si="96"/>
        <v>0.27412695393360265</v>
      </c>
      <c r="AL236" s="10">
        <f t="shared" si="96"/>
        <v>0.29473208337298945</v>
      </c>
      <c r="AM236" s="10">
        <f t="shared" si="96"/>
        <v>0.29582644908675282</v>
      </c>
      <c r="AN236" s="10" t="e">
        <f t="shared" si="96"/>
        <v>#DIV/0!</v>
      </c>
    </row>
    <row r="237" spans="2:40" s="14" customFormat="1" x14ac:dyDescent="0.25">
      <c r="B237" s="3" t="s">
        <v>138</v>
      </c>
      <c r="C237" s="14">
        <f t="shared" si="93"/>
        <v>0.95919220055710308</v>
      </c>
      <c r="D237" s="14">
        <f t="shared" si="91"/>
        <v>0.96610747408619746</v>
      </c>
      <c r="E237" s="14">
        <f t="shared" si="91"/>
        <v>0.96512296850280455</v>
      </c>
      <c r="F237" s="14">
        <f t="shared" si="91"/>
        <v>0.96695364238410597</v>
      </c>
      <c r="G237" s="14">
        <f t="shared" si="91"/>
        <v>0.94460129242737934</v>
      </c>
      <c r="H237" s="14">
        <f t="shared" si="91"/>
        <v>0.94080231752629262</v>
      </c>
      <c r="I237" s="14">
        <f t="shared" si="91"/>
        <v>0.94786683588792342</v>
      </c>
      <c r="J237" s="14">
        <f t="shared" si="91"/>
        <v>0.94918720503408494</v>
      </c>
      <c r="K237" s="14">
        <f t="shared" si="91"/>
        <v>0.96303027799578667</v>
      </c>
      <c r="L237" s="14">
        <f t="shared" si="91"/>
        <v>0.95209266850986751</v>
      </c>
      <c r="M237" s="14">
        <f t="shared" si="91"/>
        <v>0.94760519858220482</v>
      </c>
      <c r="N237" s="14">
        <f t="shared" si="91"/>
        <v>0.94861805014438283</v>
      </c>
      <c r="O237" s="14">
        <f t="shared" si="91"/>
        <v>0.94496021220159154</v>
      </c>
      <c r="P237" s="14">
        <f t="shared" si="91"/>
        <v>0.95473390303748207</v>
      </c>
      <c r="Q237" s="14">
        <f t="shared" si="91"/>
        <v>0.96555848869823457</v>
      </c>
      <c r="R237" s="14">
        <f t="shared" si="91"/>
        <v>0.95074072375361185</v>
      </c>
      <c r="S237" s="14">
        <f t="shared" si="91"/>
        <v>0.97264198900134013</v>
      </c>
      <c r="T237" s="14">
        <f t="shared" si="91"/>
        <v>0.97558499568549817</v>
      </c>
      <c r="U237" s="14">
        <f t="shared" si="91"/>
        <v>0.96102517440097057</v>
      </c>
      <c r="V237" s="14">
        <f t="shared" si="91"/>
        <v>0.97401125016351986</v>
      </c>
      <c r="W237" s="14">
        <f t="shared" si="91"/>
        <v>0.96710690256665832</v>
      </c>
      <c r="X237" s="14">
        <f t="shared" si="91"/>
        <v>0.95370327588596771</v>
      </c>
      <c r="Y237" s="14">
        <f t="shared" si="91"/>
        <v>0.97410898499130227</v>
      </c>
      <c r="Z237" s="14">
        <f t="shared" si="91"/>
        <v>0.97834905875381739</v>
      </c>
      <c r="AA237" s="14">
        <f t="shared" si="91"/>
        <v>0.97038042206728747</v>
      </c>
      <c r="AB237" s="14" t="e">
        <f t="shared" si="91"/>
        <v>#DIV/0!</v>
      </c>
      <c r="AC237" s="14" t="e">
        <f t="shared" si="91"/>
        <v>#DIV/0!</v>
      </c>
      <c r="AI237" s="14">
        <f t="shared" ref="AI237:AN237" si="97">AI216/AI$220</f>
        <v>0.94591868187295092</v>
      </c>
      <c r="AJ237" s="14">
        <f t="shared" si="97"/>
        <v>0.95311762723289517</v>
      </c>
      <c r="AK237" s="14">
        <f t="shared" si="97"/>
        <v>0.97176936590169072</v>
      </c>
      <c r="AL237" s="14">
        <f t="shared" si="97"/>
        <v>0.9709598362996098</v>
      </c>
      <c r="AM237" s="14">
        <f t="shared" si="97"/>
        <v>0.96857388588371096</v>
      </c>
      <c r="AN237" s="14" t="e">
        <f t="shared" si="97"/>
        <v>#DIV/0!</v>
      </c>
    </row>
    <row r="238" spans="2:40" s="10" customFormat="1" x14ac:dyDescent="0.25">
      <c r="B238" s="2" t="s">
        <v>139</v>
      </c>
      <c r="C238" s="10">
        <f t="shared" si="93"/>
        <v>1.309192200557103E-2</v>
      </c>
      <c r="D238" s="10">
        <f t="shared" si="91"/>
        <v>1.3025095471903983E-2</v>
      </c>
      <c r="E238" s="10">
        <f t="shared" si="91"/>
        <v>1.1793470444412485E-2</v>
      </c>
      <c r="F238" s="10">
        <f t="shared" si="91"/>
        <v>1.1456953642384107E-2</v>
      </c>
      <c r="G238" s="10">
        <f t="shared" si="91"/>
        <v>1.0351966873706004E-2</v>
      </c>
      <c r="H238" s="10">
        <f t="shared" si="91"/>
        <v>1.1083821399332451E-2</v>
      </c>
      <c r="I238" s="10">
        <f t="shared" si="91"/>
        <v>8.6400468612711119E-3</v>
      </c>
      <c r="J238" s="10">
        <f t="shared" si="91"/>
        <v>9.3864708966963813E-3</v>
      </c>
      <c r="K238" s="10">
        <f t="shared" si="91"/>
        <v>6.9808748812425128E-3</v>
      </c>
      <c r="L238" s="10">
        <f t="shared" si="91"/>
        <v>7.5316998760606348E-3</v>
      </c>
      <c r="M238" s="10">
        <f t="shared" si="91"/>
        <v>7.7251658638553119E-3</v>
      </c>
      <c r="N238" s="10">
        <f t="shared" si="91"/>
        <v>7.5629096576064533E-3</v>
      </c>
      <c r="O238" s="10">
        <f t="shared" si="91"/>
        <v>6.6312997347480109E-3</v>
      </c>
      <c r="P238" s="10">
        <f t="shared" si="91"/>
        <v>6.5149335815212796E-3</v>
      </c>
      <c r="Q238" s="10">
        <f t="shared" si="91"/>
        <v>5.6096353737007092E-3</v>
      </c>
      <c r="R238" s="10">
        <f t="shared" si="91"/>
        <v>1.2842269412466174E-3</v>
      </c>
      <c r="S238" s="10">
        <f t="shared" si="91"/>
        <v>5.1758399186653727E-3</v>
      </c>
      <c r="T238" s="10">
        <f t="shared" si="91"/>
        <v>5.5327140754276435E-3</v>
      </c>
      <c r="U238" s="10">
        <f t="shared" si="91"/>
        <v>4.4484885249216457E-3</v>
      </c>
      <c r="V238" s="10">
        <f t="shared" si="91"/>
        <v>4.5785549208564079E-3</v>
      </c>
      <c r="W238" s="10">
        <f t="shared" si="91"/>
        <v>4.7346125093446299E-3</v>
      </c>
      <c r="X238" s="10">
        <f t="shared" si="91"/>
        <v>4.2970013399251487E-3</v>
      </c>
      <c r="Y238" s="10">
        <f t="shared" si="91"/>
        <v>3.7218334075003034E-3</v>
      </c>
      <c r="Z238" s="10">
        <f t="shared" si="91"/>
        <v>4.1478645334791925E-3</v>
      </c>
      <c r="AA238" s="10">
        <f t="shared" si="91"/>
        <v>3.2286743718122689E-3</v>
      </c>
      <c r="AB238" s="10" t="e">
        <f t="shared" si="91"/>
        <v>#DIV/0!</v>
      </c>
      <c r="AC238" s="10" t="e">
        <f t="shared" si="91"/>
        <v>#DIV/0!</v>
      </c>
      <c r="AI238" s="10">
        <f t="shared" ref="AI238:AN238" si="98">AI217/AI$220</f>
        <v>9.7654608120604138E-3</v>
      </c>
      <c r="AJ238" s="10">
        <f t="shared" si="98"/>
        <v>7.4373665880238179E-3</v>
      </c>
      <c r="AK238" s="10">
        <f t="shared" si="98"/>
        <v>5.2365980015888821E-3</v>
      </c>
      <c r="AL238" s="10">
        <f t="shared" si="98"/>
        <v>4.9252879033025599E-3</v>
      </c>
      <c r="AM238" s="10">
        <f t="shared" si="98"/>
        <v>4.1871307969128394E-3</v>
      </c>
      <c r="AN238" s="10" t="e">
        <f t="shared" si="98"/>
        <v>#DIV/0!</v>
      </c>
    </row>
    <row r="239" spans="2:40" s="10" customFormat="1" x14ac:dyDescent="0.25">
      <c r="B239" s="2" t="s">
        <v>174</v>
      </c>
      <c r="C239" s="10">
        <f t="shared" si="93"/>
        <v>6.3370473537604458E-2</v>
      </c>
      <c r="D239" s="10">
        <f t="shared" si="91"/>
        <v>4.9577195853791597E-2</v>
      </c>
      <c r="E239" s="10">
        <f t="shared" si="91"/>
        <v>5.0266072199050771E-2</v>
      </c>
      <c r="F239" s="10">
        <f t="shared" si="91"/>
        <v>4.5562913907284772E-2</v>
      </c>
      <c r="G239" s="10">
        <f t="shared" si="91"/>
        <v>4.9626701800614847E-2</v>
      </c>
      <c r="H239" s="10">
        <f t="shared" si="91"/>
        <v>5.2459222872976885E-2</v>
      </c>
      <c r="I239" s="10">
        <f t="shared" si="91"/>
        <v>4.8228058186078296E-2</v>
      </c>
      <c r="J239" s="10">
        <f t="shared" si="91"/>
        <v>4.7404299947561616E-2</v>
      </c>
      <c r="K239" s="10">
        <f t="shared" si="91"/>
        <v>3.5937048205212936E-2</v>
      </c>
      <c r="L239" s="10">
        <f t="shared" si="91"/>
        <v>4.5809896081609305E-2</v>
      </c>
      <c r="M239" s="10">
        <f t="shared" si="91"/>
        <v>4.8486776333727166E-2</v>
      </c>
      <c r="N239" s="10">
        <f t="shared" si="91"/>
        <v>5.0281890269056238E-2</v>
      </c>
      <c r="O239" s="10">
        <f t="shared" si="91"/>
        <v>4.9823165340406719E-2</v>
      </c>
      <c r="P239" s="10">
        <f t="shared" si="91"/>
        <v>4.1754801590659106E-2</v>
      </c>
      <c r="Q239" s="10">
        <f t="shared" si="91"/>
        <v>3.0110542814717044E-2</v>
      </c>
      <c r="R239" s="10">
        <f t="shared" si="91"/>
        <v>5.3754070540751271E-2</v>
      </c>
      <c r="S239" s="10">
        <f t="shared" si="91"/>
        <v>0</v>
      </c>
      <c r="T239" s="10">
        <f t="shared" si="91"/>
        <v>0</v>
      </c>
      <c r="U239" s="10">
        <f t="shared" si="91"/>
        <v>0</v>
      </c>
      <c r="V239" s="10">
        <f t="shared" si="91"/>
        <v>0</v>
      </c>
      <c r="W239" s="10">
        <f t="shared" si="91"/>
        <v>0</v>
      </c>
      <c r="X239" s="10">
        <f t="shared" si="91"/>
        <v>0</v>
      </c>
      <c r="Y239" s="10">
        <f t="shared" si="91"/>
        <v>0</v>
      </c>
      <c r="Z239" s="10">
        <f t="shared" si="91"/>
        <v>0</v>
      </c>
      <c r="AA239" s="10">
        <f t="shared" si="91"/>
        <v>0</v>
      </c>
      <c r="AB239" s="10" t="e">
        <f t="shared" si="91"/>
        <v>#DIV/0!</v>
      </c>
      <c r="AC239" s="10" t="e">
        <f t="shared" si="91"/>
        <v>#DIV/0!</v>
      </c>
      <c r="AI239" s="10">
        <f t="shared" ref="AI239:AN239" si="99">AI218/AI$220</f>
        <v>4.926163588981982E-2</v>
      </c>
      <c r="AJ239" s="10">
        <f t="shared" si="99"/>
        <v>4.4882597460959441E-2</v>
      </c>
      <c r="AK239" s="10">
        <f t="shared" si="99"/>
        <v>0</v>
      </c>
      <c r="AL239" s="10">
        <f t="shared" si="99"/>
        <v>0</v>
      </c>
      <c r="AM239" s="10">
        <f t="shared" si="99"/>
        <v>0</v>
      </c>
      <c r="AN239" s="10" t="e">
        <f t="shared" si="99"/>
        <v>#DIV/0!</v>
      </c>
    </row>
    <row r="240" spans="2:40" s="10" customFormat="1" ht="26.4" x14ac:dyDescent="0.25">
      <c r="B240" s="33" t="s">
        <v>140</v>
      </c>
      <c r="C240" s="10">
        <f>C219/C$220</f>
        <v>-3.5584958217270195E-2</v>
      </c>
      <c r="D240" s="10">
        <f t="shared" ref="D240:AC240" si="100">D219/D$220</f>
        <v>-2.870976541189307E-2</v>
      </c>
      <c r="E240" s="10">
        <f t="shared" si="100"/>
        <v>-2.7182511146267799E-2</v>
      </c>
      <c r="F240" s="10">
        <f t="shared" si="100"/>
        <v>-2.3973509933774836E-2</v>
      </c>
      <c r="G240" s="10">
        <f t="shared" si="100"/>
        <v>-4.391743522178305E-3</v>
      </c>
      <c r="H240" s="10">
        <f t="shared" si="100"/>
        <v>-4.4083380565526796E-3</v>
      </c>
      <c r="I240" s="10">
        <f t="shared" si="100"/>
        <v>-4.7837547593478471E-3</v>
      </c>
      <c r="J240" s="10">
        <f t="shared" si="100"/>
        <v>-6.0304142632406918E-3</v>
      </c>
      <c r="K240" s="10">
        <f t="shared" si="100"/>
        <v>-5.9482010822421412E-3</v>
      </c>
      <c r="L240" s="10">
        <f t="shared" si="100"/>
        <v>-5.4342644675374205E-3</v>
      </c>
      <c r="M240" s="10">
        <f t="shared" si="100"/>
        <v>-3.862582931927656E-3</v>
      </c>
      <c r="N240" s="10">
        <f t="shared" si="100"/>
        <v>-6.462850071045515E-3</v>
      </c>
      <c r="O240" s="10">
        <f t="shared" si="100"/>
        <v>-1.3704686118479223E-3</v>
      </c>
      <c r="P240" s="10">
        <f t="shared" si="100"/>
        <v>-3.04594297317878E-3</v>
      </c>
      <c r="Q240" s="10">
        <f t="shared" si="100"/>
        <v>-1.2786668866523675E-3</v>
      </c>
      <c r="R240" s="10">
        <f t="shared" si="100"/>
        <v>-5.7790212356097787E-3</v>
      </c>
      <c r="S240" s="10">
        <f t="shared" si="100"/>
        <v>2.2182171079994456E-2</v>
      </c>
      <c r="T240" s="10">
        <f t="shared" si="100"/>
        <v>1.8882290239074159E-2</v>
      </c>
      <c r="U240" s="10">
        <f t="shared" si="100"/>
        <v>3.4526337074107773E-2</v>
      </c>
      <c r="V240" s="10">
        <f t="shared" si="100"/>
        <v>2.1410194915623775E-2</v>
      </c>
      <c r="W240" s="10">
        <f t="shared" si="100"/>
        <v>2.8158484923997008E-2</v>
      </c>
      <c r="X240" s="10">
        <f t="shared" si="100"/>
        <v>4.1999722774107101E-2</v>
      </c>
      <c r="Y240" s="10">
        <f t="shared" si="100"/>
        <v>2.2209636312148551E-2</v>
      </c>
      <c r="Z240" s="10">
        <f t="shared" si="100"/>
        <v>1.7503076712703406E-2</v>
      </c>
      <c r="AA240" s="10">
        <f t="shared" si="100"/>
        <v>2.6390903560900285E-2</v>
      </c>
      <c r="AB240" s="10" t="e">
        <f t="shared" si="100"/>
        <v>#DIV/0!</v>
      </c>
      <c r="AC240" s="10" t="e">
        <f t="shared" si="100"/>
        <v>#DIV/0!</v>
      </c>
      <c r="AI240" s="10">
        <f t="shared" ref="AI240:AN240" si="101">AI219/AI$220</f>
        <v>-4.945778574831171E-3</v>
      </c>
      <c r="AJ240" s="10">
        <f t="shared" si="101"/>
        <v>-5.4263565891472867E-3</v>
      </c>
      <c r="AK240" s="10">
        <f t="shared" si="101"/>
        <v>2.2982846784751206E-2</v>
      </c>
      <c r="AL240" s="10">
        <f t="shared" si="101"/>
        <v>2.4114875797087657E-2</v>
      </c>
      <c r="AM240" s="10">
        <f t="shared" si="101"/>
        <v>2.7238983319376232E-2</v>
      </c>
      <c r="AN240" s="10" t="e">
        <f t="shared" si="101"/>
        <v>#DIV/0!</v>
      </c>
    </row>
    <row r="241" spans="2:40" s="16" customFormat="1" x14ac:dyDescent="0.25">
      <c r="B241" s="4" t="s">
        <v>141</v>
      </c>
      <c r="C241" s="16">
        <f>C220/C$220</f>
        <v>1</v>
      </c>
      <c r="D241" s="16">
        <f t="shared" ref="D241:AC241" si="102">D220/D$220</f>
        <v>1</v>
      </c>
      <c r="E241" s="16">
        <f t="shared" si="102"/>
        <v>1</v>
      </c>
      <c r="F241" s="16">
        <f t="shared" si="102"/>
        <v>1</v>
      </c>
      <c r="G241" s="16">
        <f t="shared" si="102"/>
        <v>1</v>
      </c>
      <c r="H241" s="16">
        <f t="shared" si="102"/>
        <v>1</v>
      </c>
      <c r="I241" s="16">
        <f t="shared" si="102"/>
        <v>1</v>
      </c>
      <c r="J241" s="16">
        <f t="shared" si="102"/>
        <v>1</v>
      </c>
      <c r="K241" s="16">
        <f t="shared" si="102"/>
        <v>1</v>
      </c>
      <c r="L241" s="16">
        <f t="shared" si="102"/>
        <v>1</v>
      </c>
      <c r="M241" s="16">
        <f t="shared" si="102"/>
        <v>1</v>
      </c>
      <c r="N241" s="16">
        <f t="shared" si="102"/>
        <v>1</v>
      </c>
      <c r="O241" s="16">
        <f t="shared" si="102"/>
        <v>1</v>
      </c>
      <c r="P241" s="16">
        <f t="shared" si="102"/>
        <v>1</v>
      </c>
      <c r="Q241" s="16">
        <f t="shared" si="102"/>
        <v>1</v>
      </c>
      <c r="R241" s="16">
        <f t="shared" si="102"/>
        <v>1</v>
      </c>
      <c r="S241" s="16">
        <f t="shared" si="102"/>
        <v>1</v>
      </c>
      <c r="T241" s="16">
        <f t="shared" si="102"/>
        <v>1</v>
      </c>
      <c r="U241" s="16">
        <f t="shared" si="102"/>
        <v>1</v>
      </c>
      <c r="V241" s="16">
        <f t="shared" si="102"/>
        <v>1</v>
      </c>
      <c r="W241" s="16">
        <f t="shared" si="102"/>
        <v>1</v>
      </c>
      <c r="X241" s="16">
        <f t="shared" si="102"/>
        <v>1</v>
      </c>
      <c r="Y241" s="16">
        <f t="shared" si="102"/>
        <v>1</v>
      </c>
      <c r="Z241" s="16">
        <f t="shared" si="102"/>
        <v>1</v>
      </c>
      <c r="AA241" s="16">
        <f t="shared" si="102"/>
        <v>1</v>
      </c>
      <c r="AB241" s="16" t="e">
        <f t="shared" si="102"/>
        <v>#DIV/0!</v>
      </c>
      <c r="AC241" s="16" t="e">
        <f t="shared" si="102"/>
        <v>#DIV/0!</v>
      </c>
      <c r="AI241" s="16">
        <f t="shared" ref="AI241:AN241" si="103">AI220/AI$220</f>
        <v>1</v>
      </c>
      <c r="AJ241" s="16">
        <f t="shared" si="103"/>
        <v>1</v>
      </c>
      <c r="AK241" s="16">
        <f t="shared" si="103"/>
        <v>1</v>
      </c>
      <c r="AL241" s="16">
        <f t="shared" si="103"/>
        <v>1</v>
      </c>
      <c r="AM241" s="16">
        <f t="shared" si="103"/>
        <v>1</v>
      </c>
      <c r="AN241" s="16" t="e">
        <f t="shared" si="103"/>
        <v>#DIV/0!</v>
      </c>
    </row>
    <row r="242" spans="2:40" s="16" customFormat="1" x14ac:dyDescent="0.25">
      <c r="B242" s="4"/>
    </row>
    <row r="243" spans="2:40" s="16" customFormat="1" x14ac:dyDescent="0.25"/>
    <row r="244" spans="2:40" ht="16.8" x14ac:dyDescent="0.3">
      <c r="B244" s="35" t="s">
        <v>6</v>
      </c>
    </row>
    <row r="245" spans="2:40" s="2" customFormat="1" x14ac:dyDescent="0.25">
      <c r="B245" s="2" t="s">
        <v>134</v>
      </c>
      <c r="C245" s="2">
        <v>3762</v>
      </c>
      <c r="D245" s="2">
        <v>3684</v>
      </c>
      <c r="E245" s="2">
        <v>3670</v>
      </c>
      <c r="F245" s="2">
        <v>3881</v>
      </c>
      <c r="G245" s="2">
        <v>3765</v>
      </c>
      <c r="H245" s="2">
        <v>4031</v>
      </c>
      <c r="I245" s="2">
        <v>4176</v>
      </c>
      <c r="J245" s="2">
        <v>4542</v>
      </c>
      <c r="K245" s="2">
        <v>4347</v>
      </c>
      <c r="L245" s="2">
        <v>4565</v>
      </c>
      <c r="M245" s="2">
        <v>4930</v>
      </c>
      <c r="N245" s="2">
        <v>5676</v>
      </c>
      <c r="O245" s="2">
        <v>5114</v>
      </c>
      <c r="P245" s="2">
        <v>5537</v>
      </c>
      <c r="Q245" s="2">
        <v>5301</v>
      </c>
      <c r="R245" s="2">
        <v>5967</v>
      </c>
      <c r="S245" s="2">
        <v>4562</v>
      </c>
      <c r="T245" s="2">
        <v>4505</v>
      </c>
      <c r="U245" s="2">
        <v>4893</v>
      </c>
      <c r="V245" s="2">
        <v>4576</v>
      </c>
      <c r="W245" s="2">
        <v>4052</v>
      </c>
      <c r="X245" s="2">
        <v>4284</v>
      </c>
      <c r="Y245" s="2">
        <v>4421</v>
      </c>
      <c r="Z245" s="2">
        <v>5030</v>
      </c>
      <c r="AA245" s="2">
        <v>4526</v>
      </c>
      <c r="AH245" s="2">
        <v>14997</v>
      </c>
      <c r="AI245" s="2">
        <v>16514</v>
      </c>
      <c r="AJ245" s="2">
        <v>19517</v>
      </c>
      <c r="AK245" s="2">
        <v>20636</v>
      </c>
      <c r="AL245" s="2">
        <v>18536</v>
      </c>
      <c r="AM245" s="2">
        <v>17788</v>
      </c>
    </row>
    <row r="246" spans="2:40" s="2" customFormat="1" x14ac:dyDescent="0.25">
      <c r="B246" s="2" t="s">
        <v>135</v>
      </c>
      <c r="C246" s="2">
        <v>3529</v>
      </c>
      <c r="D246" s="2">
        <v>3517</v>
      </c>
      <c r="E246" s="2">
        <v>3372</v>
      </c>
      <c r="F246" s="2">
        <v>3905</v>
      </c>
      <c r="G246" s="2">
        <v>3476</v>
      </c>
      <c r="H246" s="2">
        <v>3562</v>
      </c>
      <c r="I246" s="2">
        <v>3770</v>
      </c>
      <c r="J246" s="2">
        <v>4207</v>
      </c>
      <c r="K246" s="2">
        <v>3809</v>
      </c>
      <c r="L246" s="2">
        <v>4009</v>
      </c>
      <c r="M246" s="2">
        <v>4369</v>
      </c>
      <c r="N246" s="2">
        <v>5165</v>
      </c>
      <c r="O246" s="2">
        <v>4585</v>
      </c>
      <c r="P246" s="2">
        <v>4908</v>
      </c>
      <c r="Q246" s="2">
        <v>4924</v>
      </c>
      <c r="R246" s="2">
        <v>5528</v>
      </c>
      <c r="S246" s="2">
        <v>4827</v>
      </c>
      <c r="T246" s="2">
        <v>5149</v>
      </c>
      <c r="U246" s="2">
        <v>5416</v>
      </c>
      <c r="V246" s="2">
        <v>5976</v>
      </c>
      <c r="W246" s="2">
        <v>5286</v>
      </c>
      <c r="X246" s="2">
        <v>5744</v>
      </c>
      <c r="Y246" s="2">
        <v>5711</v>
      </c>
      <c r="Z246" s="2">
        <v>6248</v>
      </c>
      <c r="AA246" s="2">
        <v>5534</v>
      </c>
      <c r="AH246" s="2">
        <v>14323</v>
      </c>
      <c r="AI246" s="2">
        <v>15015</v>
      </c>
      <c r="AJ246" s="2">
        <v>17353</v>
      </c>
      <c r="AK246" s="2">
        <v>19946</v>
      </c>
      <c r="AL246" s="2">
        <v>21368</v>
      </c>
      <c r="AM246" s="2">
        <v>22989</v>
      </c>
    </row>
    <row r="247" spans="2:40" s="2" customFormat="1" x14ac:dyDescent="0.25">
      <c r="B247" s="2" t="s">
        <v>136</v>
      </c>
      <c r="C247" s="2">
        <v>2181</v>
      </c>
      <c r="D247" s="2">
        <v>2263</v>
      </c>
      <c r="E247" s="2">
        <v>2162</v>
      </c>
      <c r="F247" s="2">
        <v>2446</v>
      </c>
      <c r="G247" s="2">
        <v>2193</v>
      </c>
      <c r="H247" s="2">
        <v>2271</v>
      </c>
      <c r="I247" s="2">
        <v>2258</v>
      </c>
      <c r="J247" s="2">
        <v>2510</v>
      </c>
      <c r="K247" s="2">
        <v>2410</v>
      </c>
      <c r="L247" s="2">
        <v>2136</v>
      </c>
      <c r="M247" s="2">
        <v>2456</v>
      </c>
      <c r="N247" s="2">
        <v>2691</v>
      </c>
      <c r="O247" s="2">
        <v>2446</v>
      </c>
      <c r="P247" s="2">
        <v>2666</v>
      </c>
      <c r="Q247" s="2">
        <v>2560</v>
      </c>
      <c r="R247" s="2">
        <v>2878</v>
      </c>
      <c r="S247" s="2">
        <v>2700</v>
      </c>
      <c r="T247" s="2">
        <v>2822</v>
      </c>
      <c r="U247" s="2">
        <v>2608</v>
      </c>
      <c r="V247" s="2">
        <v>3291</v>
      </c>
      <c r="W247" s="2">
        <v>2972</v>
      </c>
      <c r="X247" s="2">
        <v>3183</v>
      </c>
      <c r="Y247" s="2">
        <v>3073</v>
      </c>
      <c r="Z247" s="2">
        <v>3216</v>
      </c>
      <c r="AA247" s="2">
        <v>3174</v>
      </c>
      <c r="AH247" s="2">
        <v>9052</v>
      </c>
      <c r="AI247" s="2">
        <v>9232</v>
      </c>
      <c r="AJ247" s="2">
        <v>9692</v>
      </c>
      <c r="AK247" s="2">
        <v>10549</v>
      </c>
      <c r="AL247" s="2">
        <v>11420</v>
      </c>
      <c r="AM247" s="2">
        <v>12444</v>
      </c>
    </row>
    <row r="248" spans="2:40" s="2" customFormat="1" x14ac:dyDescent="0.25">
      <c r="B248" s="2" t="s">
        <v>137</v>
      </c>
      <c r="C248" s="2">
        <v>3587</v>
      </c>
      <c r="D248" s="2">
        <v>3685</v>
      </c>
      <c r="E248" s="2">
        <v>3312</v>
      </c>
      <c r="F248" s="2">
        <v>3876</v>
      </c>
      <c r="G248" s="2">
        <v>3868</v>
      </c>
      <c r="H248" s="2">
        <v>3965</v>
      </c>
      <c r="I248" s="2">
        <v>5000</v>
      </c>
      <c r="J248" s="2">
        <v>5164</v>
      </c>
      <c r="K248" s="2">
        <v>5068</v>
      </c>
      <c r="L248" s="2">
        <v>5460</v>
      </c>
      <c r="M248" s="2">
        <v>5186</v>
      </c>
      <c r="N248" s="2">
        <v>6001</v>
      </c>
      <c r="O248" s="2">
        <v>5079</v>
      </c>
      <c r="P248" s="2">
        <v>5345</v>
      </c>
      <c r="Q248" s="2">
        <v>5201</v>
      </c>
      <c r="R248" s="2">
        <v>6056</v>
      </c>
      <c r="S248" s="2">
        <v>5175</v>
      </c>
      <c r="T248" s="2">
        <v>5435</v>
      </c>
      <c r="U248" s="2">
        <v>5423</v>
      </c>
      <c r="V248" s="2">
        <v>6328</v>
      </c>
      <c r="W248" s="2">
        <v>5482</v>
      </c>
      <c r="X248" s="2">
        <v>5909</v>
      </c>
      <c r="Y248" s="2">
        <v>5662</v>
      </c>
      <c r="Z248" s="2">
        <v>6322</v>
      </c>
      <c r="AA248" s="2">
        <v>5402</v>
      </c>
      <c r="AH248" s="2">
        <v>14460</v>
      </c>
      <c r="AI248" s="2">
        <v>17997</v>
      </c>
      <c r="AJ248" s="2">
        <v>21715</v>
      </c>
      <c r="AK248" s="2">
        <v>21681</v>
      </c>
      <c r="AL248" s="2">
        <v>22362</v>
      </c>
      <c r="AM248" s="2">
        <v>23375</v>
      </c>
    </row>
    <row r="249" spans="2:40" s="3" customFormat="1" x14ac:dyDescent="0.25">
      <c r="B249" s="3" t="s">
        <v>138</v>
      </c>
      <c r="C249" s="3">
        <v>13058</v>
      </c>
      <c r="D249" s="3">
        <v>13149</v>
      </c>
      <c r="E249" s="3">
        <v>12516</v>
      </c>
      <c r="F249" s="3">
        <v>14109</v>
      </c>
      <c r="G249" s="3">
        <v>13304</v>
      </c>
      <c r="H249" s="3">
        <v>13829</v>
      </c>
      <c r="I249" s="3">
        <v>15203</v>
      </c>
      <c r="J249" s="3">
        <v>16423</v>
      </c>
      <c r="K249" s="3">
        <v>15634</v>
      </c>
      <c r="L249" s="3">
        <v>16171</v>
      </c>
      <c r="M249" s="3">
        <v>16941</v>
      </c>
      <c r="N249" s="3">
        <v>19532</v>
      </c>
      <c r="O249" s="3">
        <v>17224</v>
      </c>
      <c r="P249" s="3">
        <v>18456</v>
      </c>
      <c r="Q249" s="3">
        <v>17985</v>
      </c>
      <c r="R249" s="3">
        <v>20430</v>
      </c>
      <c r="S249" s="3">
        <v>17265</v>
      </c>
      <c r="T249" s="3">
        <v>17911</v>
      </c>
      <c r="U249" s="3">
        <v>18340</v>
      </c>
      <c r="V249" s="3">
        <v>20171</v>
      </c>
      <c r="W249" s="3">
        <v>17793</v>
      </c>
      <c r="X249" s="3">
        <v>19120</v>
      </c>
      <c r="Y249" s="3">
        <v>18866</v>
      </c>
      <c r="Z249" s="3">
        <v>20816</v>
      </c>
      <c r="AA249" s="3">
        <v>18635</v>
      </c>
      <c r="AH249" s="3">
        <v>52832</v>
      </c>
      <c r="AI249" s="3">
        <v>58759</v>
      </c>
      <c r="AJ249" s="3">
        <v>68277</v>
      </c>
      <c r="AK249" s="3">
        <v>72812</v>
      </c>
      <c r="AL249" s="3">
        <v>73687</v>
      </c>
      <c r="AM249" s="3">
        <v>76596</v>
      </c>
    </row>
    <row r="250" spans="2:40" s="2" customFormat="1" x14ac:dyDescent="0.25">
      <c r="B250" s="2" t="s">
        <v>139</v>
      </c>
      <c r="C250" s="2">
        <v>188</v>
      </c>
      <c r="D250" s="2">
        <v>191</v>
      </c>
      <c r="E250" s="2">
        <v>164</v>
      </c>
      <c r="F250" s="2">
        <v>173</v>
      </c>
      <c r="G250" s="2">
        <v>165</v>
      </c>
      <c r="H250" s="2">
        <v>176</v>
      </c>
      <c r="I250" s="2">
        <v>177</v>
      </c>
      <c r="J250" s="2">
        <v>179</v>
      </c>
      <c r="K250" s="2">
        <v>169</v>
      </c>
      <c r="L250" s="2">
        <v>158</v>
      </c>
      <c r="M250" s="2">
        <v>170</v>
      </c>
      <c r="N250" s="2">
        <v>164</v>
      </c>
      <c r="O250" s="2">
        <v>150</v>
      </c>
      <c r="P250" s="2">
        <v>154</v>
      </c>
      <c r="Q250" s="2">
        <v>136</v>
      </c>
      <c r="R250" s="2">
        <v>28</v>
      </c>
      <c r="S250" s="2">
        <v>112</v>
      </c>
      <c r="T250" s="2">
        <v>109</v>
      </c>
      <c r="U250" s="2">
        <v>88</v>
      </c>
      <c r="V250" s="2">
        <v>105</v>
      </c>
      <c r="W250" s="2">
        <v>95</v>
      </c>
      <c r="X250" s="2">
        <v>93</v>
      </c>
      <c r="Y250" s="2">
        <v>92</v>
      </c>
      <c r="Z250" s="2">
        <v>91</v>
      </c>
      <c r="AA250" s="2">
        <v>69</v>
      </c>
      <c r="AH250" s="2">
        <v>716</v>
      </c>
      <c r="AI250" s="2">
        <v>697</v>
      </c>
      <c r="AJ250" s="2">
        <v>661</v>
      </c>
      <c r="AK250" s="2">
        <v>468</v>
      </c>
      <c r="AL250" s="2">
        <v>414</v>
      </c>
      <c r="AM250" s="2">
        <v>370</v>
      </c>
    </row>
    <row r="251" spans="2:40" s="2" customFormat="1" x14ac:dyDescent="0.25">
      <c r="B251" s="2" t="s">
        <v>174</v>
      </c>
      <c r="C251" s="2">
        <v>841</v>
      </c>
      <c r="D251" s="2">
        <v>857</v>
      </c>
      <c r="E251" s="2">
        <v>617</v>
      </c>
      <c r="F251" s="2">
        <v>894</v>
      </c>
      <c r="G251" s="2">
        <v>649</v>
      </c>
      <c r="H251" s="2">
        <v>723</v>
      </c>
      <c r="I251" s="2">
        <v>747</v>
      </c>
      <c r="J251" s="2">
        <v>939</v>
      </c>
      <c r="K251" s="2">
        <v>708</v>
      </c>
      <c r="L251" s="2">
        <v>778</v>
      </c>
      <c r="M251" s="2">
        <v>801</v>
      </c>
      <c r="N251" s="2">
        <v>946</v>
      </c>
      <c r="O251" s="2">
        <v>700</v>
      </c>
      <c r="P251" s="2">
        <v>825</v>
      </c>
      <c r="Q251" s="2">
        <v>815</v>
      </c>
      <c r="R251" s="2">
        <v>974</v>
      </c>
      <c r="AH251" s="2">
        <v>3209</v>
      </c>
      <c r="AI251" s="2">
        <v>3058</v>
      </c>
      <c r="AJ251" s="2">
        <v>3234</v>
      </c>
    </row>
    <row r="252" spans="2:40" s="2" customFormat="1" ht="26.4" x14ac:dyDescent="0.25">
      <c r="B252" s="33" t="s">
        <v>140</v>
      </c>
      <c r="C252" s="2">
        <v>-411</v>
      </c>
      <c r="D252" s="2">
        <v>-412</v>
      </c>
      <c r="E252" s="2">
        <v>-318</v>
      </c>
      <c r="F252" s="2">
        <v>-361</v>
      </c>
      <c r="G252" s="2">
        <v>-47</v>
      </c>
      <c r="H252" s="2">
        <v>-63</v>
      </c>
      <c r="I252" s="2">
        <v>-43</v>
      </c>
      <c r="J252" s="2">
        <v>-96</v>
      </c>
      <c r="K252" s="2">
        <v>-14</v>
      </c>
      <c r="L252" s="2">
        <v>-67</v>
      </c>
      <c r="M252" s="2">
        <v>-45</v>
      </c>
      <c r="N252" s="2">
        <v>-70</v>
      </c>
      <c r="O252" s="2">
        <v>-3</v>
      </c>
      <c r="P252" s="2">
        <v>-19</v>
      </c>
      <c r="Q252" s="2">
        <v>-46</v>
      </c>
      <c r="R252" s="2">
        <v>-40</v>
      </c>
      <c r="S252" s="2">
        <v>368</v>
      </c>
      <c r="T252" s="2">
        <v>454</v>
      </c>
      <c r="U252" s="2">
        <v>471</v>
      </c>
      <c r="V252" s="2">
        <v>535</v>
      </c>
      <c r="W252" s="2">
        <v>465</v>
      </c>
      <c r="X252" s="2">
        <v>543</v>
      </c>
      <c r="Y252" s="2">
        <v>419</v>
      </c>
      <c r="Z252" s="2">
        <v>520</v>
      </c>
      <c r="AA252" s="2">
        <v>434</v>
      </c>
      <c r="AH252" s="2">
        <v>-1502</v>
      </c>
      <c r="AI252" s="2">
        <v>-249</v>
      </c>
      <c r="AJ252" s="2">
        <v>-195</v>
      </c>
      <c r="AK252" s="2">
        <v>1602</v>
      </c>
      <c r="AL252" s="2">
        <v>1829</v>
      </c>
      <c r="AM252" s="2">
        <v>1948</v>
      </c>
    </row>
    <row r="253" spans="2:40" s="4" customFormat="1" x14ac:dyDescent="0.25">
      <c r="B253" s="4" t="s">
        <v>141</v>
      </c>
      <c r="C253" s="4">
        <v>13675</v>
      </c>
      <c r="D253" s="4">
        <v>13784</v>
      </c>
      <c r="E253" s="4">
        <v>12979</v>
      </c>
      <c r="F253" s="4">
        <v>14816</v>
      </c>
      <c r="G253" s="4">
        <v>14071</v>
      </c>
      <c r="H253" s="4">
        <v>14665</v>
      </c>
      <c r="I253" s="4">
        <v>16085</v>
      </c>
      <c r="J253" s="4">
        <v>17444</v>
      </c>
      <c r="K253" s="4">
        <v>16497</v>
      </c>
      <c r="L253" s="4">
        <v>17040</v>
      </c>
      <c r="M253" s="4">
        <v>17867</v>
      </c>
      <c r="N253" s="4">
        <v>20573</v>
      </c>
      <c r="O253" s="4">
        <v>18070</v>
      </c>
      <c r="P253" s="4">
        <v>19416</v>
      </c>
      <c r="Q253" s="4">
        <v>18889</v>
      </c>
      <c r="R253" s="4">
        <v>21393</v>
      </c>
      <c r="S253" s="4">
        <v>17745</v>
      </c>
      <c r="T253" s="4">
        <v>18474</v>
      </c>
      <c r="U253" s="4">
        <v>18900</v>
      </c>
      <c r="V253" s="4">
        <v>20811</v>
      </c>
      <c r="W253" s="4">
        <v>18353</v>
      </c>
      <c r="X253" s="4">
        <v>19757</v>
      </c>
      <c r="Y253" s="4">
        <v>19377</v>
      </c>
      <c r="Z253" s="4">
        <v>21427</v>
      </c>
      <c r="AA253" s="4">
        <v>19139</v>
      </c>
      <c r="AH253" s="4">
        <v>55254</v>
      </c>
      <c r="AI253" s="4">
        <v>62265</v>
      </c>
      <c r="AJ253" s="4">
        <v>71977</v>
      </c>
      <c r="AK253" s="4">
        <v>74882</v>
      </c>
      <c r="AL253" s="4">
        <v>75930</v>
      </c>
      <c r="AM253" s="4">
        <v>78914</v>
      </c>
    </row>
    <row r="255" spans="2:40" ht="16.8" x14ac:dyDescent="0.3">
      <c r="B255" s="35" t="s">
        <v>142</v>
      </c>
    </row>
    <row r="256" spans="2:40" s="10" customFormat="1" x14ac:dyDescent="0.25">
      <c r="B256" s="10" t="s">
        <v>134</v>
      </c>
      <c r="G256" s="10">
        <f t="shared" ref="G256:G261" si="104">G245/C245-1</f>
        <v>7.9744816586924117E-4</v>
      </c>
      <c r="H256" s="10">
        <f t="shared" ref="H256:H261" si="105">H245/D245-1</f>
        <v>9.4191096634093308E-2</v>
      </c>
      <c r="I256" s="10">
        <f t="shared" ref="I256:I261" si="106">I245/E245-1</f>
        <v>0.13787465940054489</v>
      </c>
      <c r="J256" s="10">
        <f t="shared" ref="J256:J261" si="107">J245/F245-1</f>
        <v>0.17031692862664261</v>
      </c>
      <c r="K256" s="10">
        <f t="shared" ref="K256:K261" si="108">K245/G245-1</f>
        <v>0.15458167330677286</v>
      </c>
      <c r="L256" s="10">
        <f t="shared" ref="L256:L261" si="109">L245/H245-1</f>
        <v>0.13247333167948394</v>
      </c>
      <c r="M256" s="10">
        <f t="shared" ref="M256:M261" si="110">M245/I245-1</f>
        <v>0.18055555555555558</v>
      </c>
      <c r="N256" s="10">
        <f t="shared" ref="N256:N261" si="111">N245/J245-1</f>
        <v>0.24966974900924699</v>
      </c>
      <c r="O256" s="10">
        <f t="shared" ref="O256:O261" si="112">O245/K245-1</f>
        <v>0.17644352426961118</v>
      </c>
      <c r="P256" s="10">
        <f t="shared" ref="P256:P261" si="113">P245/L245-1</f>
        <v>0.21292442497261765</v>
      </c>
      <c r="Q256" s="10">
        <f t="shared" ref="Q256:Q261" si="114">Q245/M245-1</f>
        <v>7.5253549695740274E-2</v>
      </c>
      <c r="R256" s="10">
        <f t="shared" ref="R256:R261" si="115">R245/N245-1</f>
        <v>5.1268498942917518E-2</v>
      </c>
      <c r="S256" s="10">
        <f t="shared" ref="S256:S261" si="116">S245/O245-1</f>
        <v>-0.10793899100508408</v>
      </c>
      <c r="T256" s="10">
        <f t="shared" ref="T256:T261" si="117">T245/P245-1</f>
        <v>-0.18638251760881341</v>
      </c>
      <c r="U256" s="10">
        <f t="shared" ref="U256:U261" si="118">U245/Q245-1</f>
        <v>-7.6966610073570974E-2</v>
      </c>
      <c r="V256" s="10">
        <f t="shared" ref="V256:X256" si="119">V245/R245-1</f>
        <v>-0.23311546840958608</v>
      </c>
      <c r="W256" s="10">
        <f>W245/S245-1</f>
        <v>-0.11179307321350285</v>
      </c>
      <c r="X256" s="10">
        <f t="shared" si="119"/>
        <v>-4.9056603773584895E-2</v>
      </c>
      <c r="Y256" s="10">
        <f t="shared" ref="Y256:AA261" si="120">Y245/U245-1</f>
        <v>-9.6464336807684403E-2</v>
      </c>
      <c r="Z256" s="10">
        <f t="shared" si="120"/>
        <v>9.9213286713286664E-2</v>
      </c>
      <c r="AA256" s="10">
        <f t="shared" si="120"/>
        <v>0.11697926949654502</v>
      </c>
      <c r="AB256" s="10">
        <f t="shared" ref="AB256:AC256" si="121">AB245/X245-1</f>
        <v>-1</v>
      </c>
      <c r="AC256" s="10">
        <f t="shared" si="121"/>
        <v>-1</v>
      </c>
      <c r="AI256" s="10">
        <f t="shared" ref="AI256:AK256" si="122">AI245/AH245-1</f>
        <v>0.10115356404614251</v>
      </c>
      <c r="AJ256" s="10">
        <f t="shared" si="122"/>
        <v>0.18184570667312583</v>
      </c>
      <c r="AK256" s="10">
        <f t="shared" si="122"/>
        <v>5.7334631347030873E-2</v>
      </c>
      <c r="AL256" s="10">
        <f>AL245/AK245-1</f>
        <v>-0.10176390773405697</v>
      </c>
      <c r="AM256" s="10">
        <f>AM245/AL245-1</f>
        <v>-4.0353905912818289E-2</v>
      </c>
      <c r="AN256" s="10">
        <f>AN245/AM245-1</f>
        <v>-1</v>
      </c>
    </row>
    <row r="257" spans="2:40" s="10" customFormat="1" x14ac:dyDescent="0.25">
      <c r="B257" s="10" t="s">
        <v>135</v>
      </c>
      <c r="G257" s="10">
        <f t="shared" si="104"/>
        <v>-1.5018418815528456E-2</v>
      </c>
      <c r="H257" s="10">
        <f t="shared" si="105"/>
        <v>1.2794995735001313E-2</v>
      </c>
      <c r="I257" s="10">
        <f t="shared" si="106"/>
        <v>0.11803084223013038</v>
      </c>
      <c r="J257" s="10">
        <f t="shared" si="107"/>
        <v>7.7336747759283009E-2</v>
      </c>
      <c r="K257" s="10">
        <f t="shared" si="108"/>
        <v>9.5799769850402727E-2</v>
      </c>
      <c r="L257" s="10">
        <f t="shared" si="109"/>
        <v>0.12549129702414374</v>
      </c>
      <c r="M257" s="10">
        <f t="shared" si="110"/>
        <v>0.15888594164456227</v>
      </c>
      <c r="N257" s="10">
        <f t="shared" si="111"/>
        <v>0.22771571190872364</v>
      </c>
      <c r="O257" s="10">
        <f t="shared" si="112"/>
        <v>0.20372801260173268</v>
      </c>
      <c r="P257" s="10">
        <f t="shared" si="113"/>
        <v>0.22424544774257926</v>
      </c>
      <c r="Q257" s="10">
        <f t="shared" si="114"/>
        <v>0.1270313572899977</v>
      </c>
      <c r="R257" s="10">
        <f t="shared" si="115"/>
        <v>7.0280735721200305E-2</v>
      </c>
      <c r="S257" s="10">
        <f t="shared" si="116"/>
        <v>5.2780806979280337E-2</v>
      </c>
      <c r="T257" s="10">
        <f t="shared" si="117"/>
        <v>4.9103504482477689E-2</v>
      </c>
      <c r="U257" s="10">
        <f t="shared" si="118"/>
        <v>9.9918765231518991E-2</v>
      </c>
      <c r="V257" s="10">
        <f t="shared" ref="V257:X257" si="123">V246/R246-1</f>
        <v>8.1041968162083977E-2</v>
      </c>
      <c r="W257" s="10">
        <f t="shared" si="123"/>
        <v>9.5090118085767505E-2</v>
      </c>
      <c r="X257" s="10">
        <f t="shared" si="123"/>
        <v>0.11555641872208189</v>
      </c>
      <c r="Y257" s="10">
        <f t="shared" si="120"/>
        <v>5.4468242245199416E-2</v>
      </c>
      <c r="Z257" s="10">
        <f t="shared" si="120"/>
        <v>4.5515394912985174E-2</v>
      </c>
      <c r="AA257" s="10">
        <f t="shared" si="120"/>
        <v>4.6916382898221753E-2</v>
      </c>
      <c r="AB257" s="10">
        <f t="shared" ref="AB257:AC257" si="124">AB246/X246-1</f>
        <v>-1</v>
      </c>
      <c r="AC257" s="10">
        <f t="shared" si="124"/>
        <v>-1</v>
      </c>
      <c r="AI257" s="10">
        <f t="shared" ref="AI257:AK257" si="125">AI246/AH246-1</f>
        <v>4.8313900719123115E-2</v>
      </c>
      <c r="AJ257" s="10">
        <f t="shared" si="125"/>
        <v>0.15571095571095572</v>
      </c>
      <c r="AK257" s="10">
        <f t="shared" si="125"/>
        <v>0.14942661211317931</v>
      </c>
      <c r="AL257" s="10">
        <f t="shared" ref="AL257:AN257" si="126">AL246/AK246-1</f>
        <v>7.1292489722249996E-2</v>
      </c>
      <c r="AM257" s="10">
        <f t="shared" si="126"/>
        <v>7.5861100711344109E-2</v>
      </c>
      <c r="AN257" s="10">
        <f t="shared" si="126"/>
        <v>-1</v>
      </c>
    </row>
    <row r="258" spans="2:40" s="10" customFormat="1" x14ac:dyDescent="0.25">
      <c r="B258" s="10" t="s">
        <v>136</v>
      </c>
      <c r="G258" s="10">
        <f t="shared" si="104"/>
        <v>5.5020632737277086E-3</v>
      </c>
      <c r="H258" s="10">
        <f t="shared" si="105"/>
        <v>3.5351303579318483E-3</v>
      </c>
      <c r="I258" s="10">
        <f t="shared" si="106"/>
        <v>4.4403330249768835E-2</v>
      </c>
      <c r="J258" s="10">
        <f t="shared" si="107"/>
        <v>2.6165167620605168E-2</v>
      </c>
      <c r="K258" s="10">
        <f t="shared" si="108"/>
        <v>9.8951208390332779E-2</v>
      </c>
      <c r="L258" s="10">
        <f t="shared" si="109"/>
        <v>-5.9445178335534976E-2</v>
      </c>
      <c r="M258" s="10">
        <f t="shared" si="110"/>
        <v>8.7688219663418998E-2</v>
      </c>
      <c r="N258" s="10">
        <f t="shared" si="111"/>
        <v>7.2111553784860449E-2</v>
      </c>
      <c r="O258" s="10">
        <f t="shared" si="112"/>
        <v>1.4937759336099532E-2</v>
      </c>
      <c r="P258" s="10">
        <f t="shared" si="113"/>
        <v>0.24812734082397014</v>
      </c>
      <c r="Q258" s="10">
        <f t="shared" si="114"/>
        <v>4.2345276872964188E-2</v>
      </c>
      <c r="R258" s="10">
        <f t="shared" si="115"/>
        <v>6.9490895577852152E-2</v>
      </c>
      <c r="S258" s="10">
        <f t="shared" si="116"/>
        <v>0.10384300899427634</v>
      </c>
      <c r="T258" s="10">
        <f t="shared" si="117"/>
        <v>5.851462865716428E-2</v>
      </c>
      <c r="U258" s="10">
        <f t="shared" si="118"/>
        <v>1.8750000000000044E-2</v>
      </c>
      <c r="V258" s="10">
        <f t="shared" ref="V258:X258" si="127">V247/R247-1</f>
        <v>0.14350243224461434</v>
      </c>
      <c r="W258" s="10">
        <f t="shared" si="127"/>
        <v>0.1007407407407408</v>
      </c>
      <c r="X258" s="10">
        <f t="shared" si="127"/>
        <v>0.12792345854004261</v>
      </c>
      <c r="Y258" s="10">
        <f t="shared" si="120"/>
        <v>0.17829754601226999</v>
      </c>
      <c r="Z258" s="10">
        <f t="shared" si="120"/>
        <v>-2.2789425706472244E-2</v>
      </c>
      <c r="AA258" s="10">
        <f t="shared" si="120"/>
        <v>6.7967698519515451E-2</v>
      </c>
      <c r="AB258" s="10">
        <f t="shared" ref="AB258:AC258" si="128">AB247/X247-1</f>
        <v>-1</v>
      </c>
      <c r="AC258" s="10">
        <f t="shared" si="128"/>
        <v>-1</v>
      </c>
      <c r="AI258" s="10">
        <f t="shared" ref="AI258:AK258" si="129">AI247/AH247-1</f>
        <v>1.9885108263367313E-2</v>
      </c>
      <c r="AJ258" s="10">
        <f t="shared" si="129"/>
        <v>4.982668977469662E-2</v>
      </c>
      <c r="AK258" s="10">
        <f t="shared" si="129"/>
        <v>8.8423442014032183E-2</v>
      </c>
      <c r="AL258" s="10">
        <f t="shared" ref="AL258:AN258" si="130">AL247/AK247-1</f>
        <v>8.2567067968527752E-2</v>
      </c>
      <c r="AM258" s="10">
        <f t="shared" si="130"/>
        <v>8.9667250437828416E-2</v>
      </c>
      <c r="AN258" s="10">
        <f t="shared" si="130"/>
        <v>-1</v>
      </c>
    </row>
    <row r="259" spans="2:40" s="10" customFormat="1" x14ac:dyDescent="0.25">
      <c r="B259" s="10" t="s">
        <v>137</v>
      </c>
      <c r="G259" s="10">
        <f t="shared" si="104"/>
        <v>7.8338444382492378E-2</v>
      </c>
      <c r="H259" s="10">
        <f t="shared" si="105"/>
        <v>7.5983717774762649E-2</v>
      </c>
      <c r="I259" s="10">
        <f t="shared" si="106"/>
        <v>0.50966183574879231</v>
      </c>
      <c r="J259" s="10">
        <f t="shared" si="107"/>
        <v>0.33230134158926727</v>
      </c>
      <c r="K259" s="10">
        <f t="shared" si="108"/>
        <v>0.31023784901758011</v>
      </c>
      <c r="L259" s="10">
        <f t="shared" si="109"/>
        <v>0.37704918032786883</v>
      </c>
      <c r="M259" s="10">
        <f t="shared" si="110"/>
        <v>3.71999999999999E-2</v>
      </c>
      <c r="N259" s="10">
        <f t="shared" si="111"/>
        <v>0.16208365608055764</v>
      </c>
      <c r="O259" s="10">
        <f t="shared" si="112"/>
        <v>2.1704814522494065E-3</v>
      </c>
      <c r="P259" s="10">
        <f t="shared" si="113"/>
        <v>-2.1062271062271098E-2</v>
      </c>
      <c r="Q259" s="10">
        <f t="shared" si="114"/>
        <v>2.8924026224450561E-3</v>
      </c>
      <c r="R259" s="10">
        <f t="shared" si="115"/>
        <v>9.1651391434761642E-3</v>
      </c>
      <c r="S259" s="10">
        <f t="shared" si="116"/>
        <v>1.8901358535144741E-2</v>
      </c>
      <c r="T259" s="10">
        <f t="shared" si="117"/>
        <v>1.6838166510757757E-2</v>
      </c>
      <c r="U259" s="10">
        <f t="shared" si="118"/>
        <v>4.2684099211690141E-2</v>
      </c>
      <c r="V259" s="10">
        <f t="shared" ref="V259:X259" si="131">V248/R248-1</f>
        <v>4.4914134742404244E-2</v>
      </c>
      <c r="W259" s="10">
        <f t="shared" si="131"/>
        <v>5.932367149758444E-2</v>
      </c>
      <c r="X259" s="10">
        <f t="shared" si="131"/>
        <v>8.7212511499540124E-2</v>
      </c>
      <c r="Y259" s="10">
        <f t="shared" si="120"/>
        <v>4.4071547114143517E-2</v>
      </c>
      <c r="Z259" s="10">
        <f t="shared" si="120"/>
        <v>-9.481668773704266E-4</v>
      </c>
      <c r="AA259" s="10">
        <f t="shared" si="120"/>
        <v>-1.45932141554177E-2</v>
      </c>
      <c r="AB259" s="10">
        <f t="shared" ref="AB259:AC259" si="132">AB248/X248-1</f>
        <v>-1</v>
      </c>
      <c r="AC259" s="10">
        <f t="shared" si="132"/>
        <v>-1</v>
      </c>
      <c r="AI259" s="10">
        <f t="shared" ref="AI259:AK259" si="133">AI248/AH248-1</f>
        <v>0.24460580912863072</v>
      </c>
      <c r="AJ259" s="10">
        <f t="shared" si="133"/>
        <v>0.20658998722009225</v>
      </c>
      <c r="AK259" s="10">
        <f t="shared" si="133"/>
        <v>-1.5657379691457196E-3</v>
      </c>
      <c r="AL259" s="10">
        <f t="shared" ref="AL259:AN259" si="134">AL248/AK248-1</f>
        <v>3.1409990314099856E-2</v>
      </c>
      <c r="AM259" s="10">
        <f t="shared" si="134"/>
        <v>4.5300062606207003E-2</v>
      </c>
      <c r="AN259" s="10">
        <f t="shared" si="134"/>
        <v>-1</v>
      </c>
    </row>
    <row r="260" spans="2:40" s="14" customFormat="1" x14ac:dyDescent="0.25">
      <c r="B260" s="14" t="s">
        <v>138</v>
      </c>
      <c r="G260" s="14">
        <f t="shared" si="104"/>
        <v>1.8839025884515248E-2</v>
      </c>
      <c r="H260" s="14">
        <f t="shared" si="105"/>
        <v>5.1714959312495257E-2</v>
      </c>
      <c r="I260" s="14">
        <f t="shared" si="106"/>
        <v>0.21468520294023641</v>
      </c>
      <c r="J260" s="14">
        <f t="shared" si="107"/>
        <v>0.1640087887164221</v>
      </c>
      <c r="K260" s="14">
        <f t="shared" si="108"/>
        <v>0.17513529765484059</v>
      </c>
      <c r="L260" s="14">
        <f t="shared" si="109"/>
        <v>0.16935425554993122</v>
      </c>
      <c r="M260" s="14">
        <f t="shared" si="110"/>
        <v>0.11431954219561935</v>
      </c>
      <c r="N260" s="14">
        <f t="shared" si="111"/>
        <v>0.18930767825610428</v>
      </c>
      <c r="O260" s="14">
        <f t="shared" si="112"/>
        <v>0.10170141998209026</v>
      </c>
      <c r="P260" s="14">
        <f t="shared" si="113"/>
        <v>0.14130233133386927</v>
      </c>
      <c r="Q260" s="14">
        <f t="shared" si="114"/>
        <v>6.1625641933770181E-2</v>
      </c>
      <c r="R260" s="14">
        <f t="shared" si="115"/>
        <v>4.5975834527954174E-2</v>
      </c>
      <c r="S260" s="14">
        <f t="shared" si="116"/>
        <v>2.3803994426381259E-3</v>
      </c>
      <c r="T260" s="14">
        <f t="shared" si="117"/>
        <v>-2.9529692241005656E-2</v>
      </c>
      <c r="U260" s="14">
        <f t="shared" si="118"/>
        <v>1.9738671114817974E-2</v>
      </c>
      <c r="V260" s="14">
        <f t="shared" ref="V260:X260" si="135">V249/R249-1</f>
        <v>-1.2677435144395455E-2</v>
      </c>
      <c r="W260" s="14">
        <f t="shared" si="135"/>
        <v>3.0582102519548293E-2</v>
      </c>
      <c r="X260" s="14">
        <f t="shared" si="135"/>
        <v>6.7500418737088896E-2</v>
      </c>
      <c r="Y260" s="14">
        <f t="shared" si="120"/>
        <v>2.8680479825518024E-2</v>
      </c>
      <c r="Z260" s="14">
        <f t="shared" si="120"/>
        <v>3.1976600069406613E-2</v>
      </c>
      <c r="AA260" s="14">
        <f t="shared" si="120"/>
        <v>4.7321980554150489E-2</v>
      </c>
      <c r="AB260" s="14">
        <f t="shared" ref="AB260:AC260" si="136">AB249/X249-1</f>
        <v>-1</v>
      </c>
      <c r="AC260" s="14">
        <f t="shared" si="136"/>
        <v>-1</v>
      </c>
      <c r="AI260" s="14">
        <f t="shared" ref="AI260:AK260" si="137">AI249/AH249-1</f>
        <v>0.11218579648697768</v>
      </c>
      <c r="AJ260" s="14">
        <f t="shared" si="137"/>
        <v>0.1619836961146377</v>
      </c>
      <c r="AK260" s="14">
        <f t="shared" si="137"/>
        <v>6.6420610161547877E-2</v>
      </c>
      <c r="AL260" s="14">
        <f t="shared" ref="AL260:AN260" si="138">AL249/AK249-1</f>
        <v>1.2017249903861993E-2</v>
      </c>
      <c r="AM260" s="14">
        <f t="shared" si="138"/>
        <v>3.9477791197904732E-2</v>
      </c>
      <c r="AN260" s="14">
        <f t="shared" si="138"/>
        <v>-1</v>
      </c>
    </row>
    <row r="261" spans="2:40" s="10" customFormat="1" x14ac:dyDescent="0.25">
      <c r="B261" s="10" t="s">
        <v>139</v>
      </c>
      <c r="G261" s="10">
        <f t="shared" si="104"/>
        <v>-0.12234042553191493</v>
      </c>
      <c r="H261" s="10">
        <f t="shared" si="105"/>
        <v>-7.8534031413612593E-2</v>
      </c>
      <c r="I261" s="10">
        <f t="shared" si="106"/>
        <v>7.92682926829269E-2</v>
      </c>
      <c r="J261" s="10">
        <f t="shared" si="107"/>
        <v>3.4682080924855585E-2</v>
      </c>
      <c r="K261" s="10">
        <f t="shared" si="108"/>
        <v>2.4242424242424176E-2</v>
      </c>
      <c r="L261" s="10">
        <f t="shared" si="109"/>
        <v>-0.10227272727272729</v>
      </c>
      <c r="M261" s="10">
        <f t="shared" si="110"/>
        <v>-3.9548022598870025E-2</v>
      </c>
      <c r="N261" s="10">
        <f t="shared" si="111"/>
        <v>-8.3798882681564213E-2</v>
      </c>
      <c r="O261" s="10">
        <f t="shared" si="112"/>
        <v>-0.1124260355029586</v>
      </c>
      <c r="P261" s="10">
        <f t="shared" si="113"/>
        <v>-2.5316455696202556E-2</v>
      </c>
      <c r="Q261" s="10">
        <f t="shared" si="114"/>
        <v>-0.19999999999999996</v>
      </c>
      <c r="R261" s="10">
        <f t="shared" si="115"/>
        <v>-0.82926829268292679</v>
      </c>
      <c r="S261" s="10">
        <f t="shared" si="116"/>
        <v>-0.2533333333333333</v>
      </c>
      <c r="T261" s="10">
        <f t="shared" si="117"/>
        <v>-0.29220779220779225</v>
      </c>
      <c r="U261" s="10">
        <f t="shared" si="118"/>
        <v>-0.3529411764705882</v>
      </c>
      <c r="V261" s="10">
        <f t="shared" ref="V261:X261" si="139">V250/R250-1</f>
        <v>2.75</v>
      </c>
      <c r="W261" s="10">
        <f t="shared" si="139"/>
        <v>-0.1517857142857143</v>
      </c>
      <c r="X261" s="10">
        <f t="shared" si="139"/>
        <v>-0.14678899082568808</v>
      </c>
      <c r="Y261" s="10">
        <f t="shared" si="120"/>
        <v>4.5454545454545414E-2</v>
      </c>
      <c r="Z261" s="10">
        <f t="shared" si="120"/>
        <v>-0.1333333333333333</v>
      </c>
      <c r="AA261" s="10">
        <f t="shared" si="120"/>
        <v>-0.27368421052631575</v>
      </c>
      <c r="AB261" s="10">
        <f t="shared" ref="AB261:AC261" si="140">AB250/X250-1</f>
        <v>-1</v>
      </c>
      <c r="AC261" s="10">
        <f t="shared" si="140"/>
        <v>-1</v>
      </c>
      <c r="AI261" s="10">
        <f t="shared" ref="AI261:AK261" si="141">AI250/AH250-1</f>
        <v>-2.6536312849162025E-2</v>
      </c>
      <c r="AJ261" s="10">
        <f t="shared" si="141"/>
        <v>-5.1649928263988509E-2</v>
      </c>
      <c r="AK261" s="10">
        <f t="shared" si="141"/>
        <v>-0.29198184568835095</v>
      </c>
      <c r="AL261" s="10">
        <f t="shared" ref="AL261:AN261" si="142">AL250/AK250-1</f>
        <v>-0.11538461538461542</v>
      </c>
      <c r="AM261" s="10">
        <f t="shared" si="142"/>
        <v>-0.106280193236715</v>
      </c>
      <c r="AN261" s="10">
        <f t="shared" si="142"/>
        <v>-1</v>
      </c>
    </row>
    <row r="262" spans="2:40" s="10" customFormat="1" ht="26.4" x14ac:dyDescent="0.25">
      <c r="B262" s="15" t="s">
        <v>140</v>
      </c>
      <c r="G262" s="10">
        <f t="shared" ref="G262:G263" si="143">G252/C252-1</f>
        <v>-0.88564476885644772</v>
      </c>
      <c r="H262" s="10">
        <f t="shared" ref="H262:H263" si="144">H252/D252-1</f>
        <v>-0.84708737864077666</v>
      </c>
      <c r="I262" s="10">
        <f t="shared" ref="I262:I263" si="145">I252/E252-1</f>
        <v>-0.86477987421383651</v>
      </c>
      <c r="J262" s="10">
        <f t="shared" ref="J262:J263" si="146">J252/F252-1</f>
        <v>-0.73407202216066481</v>
      </c>
      <c r="K262" s="10">
        <f t="shared" ref="K262:K263" si="147">K252/G252-1</f>
        <v>-0.7021276595744681</v>
      </c>
      <c r="L262" s="10">
        <f t="shared" ref="L262:L263" si="148">L252/H252-1</f>
        <v>6.3492063492063489E-2</v>
      </c>
      <c r="M262" s="10">
        <f t="shared" ref="M262:M263" si="149">M252/I252-1</f>
        <v>4.6511627906976827E-2</v>
      </c>
      <c r="N262" s="10">
        <f t="shared" ref="N262:N263" si="150">N252/J252-1</f>
        <v>-0.27083333333333337</v>
      </c>
      <c r="O262" s="10">
        <f t="shared" ref="O262:O263" si="151">O252/K252-1</f>
        <v>-0.7857142857142857</v>
      </c>
      <c r="P262" s="10">
        <f t="shared" ref="P262:P263" si="152">P252/L252-1</f>
        <v>-0.71641791044776126</v>
      </c>
      <c r="Q262" s="10">
        <f t="shared" ref="Q262:Q263" si="153">Q252/M252-1</f>
        <v>2.2222222222222143E-2</v>
      </c>
      <c r="R262" s="10">
        <f t="shared" ref="R262:R263" si="154">R252/N252-1</f>
        <v>-0.4285714285714286</v>
      </c>
      <c r="S262" s="10">
        <f t="shared" ref="S262:S263" si="155">S252/O252-1</f>
        <v>-123.66666666666667</v>
      </c>
      <c r="T262" s="10">
        <f t="shared" ref="T262:T263" si="156">T252/P252-1</f>
        <v>-24.894736842105264</v>
      </c>
      <c r="U262" s="10">
        <f t="shared" ref="U262:U263" si="157">U252/Q252-1</f>
        <v>-11.239130434782609</v>
      </c>
      <c r="V262" s="10">
        <f t="shared" ref="V262:X262" si="158">V252/R252-1</f>
        <v>-14.375</v>
      </c>
      <c r="W262" s="10">
        <f t="shared" si="158"/>
        <v>0.26358695652173902</v>
      </c>
      <c r="X262" s="10">
        <f t="shared" si="158"/>
        <v>0.19603524229074898</v>
      </c>
      <c r="Y262" s="10">
        <f t="shared" ref="Y262:AA263" si="159">Y252/U252-1</f>
        <v>-0.11040339702760082</v>
      </c>
      <c r="Z262" s="10">
        <f t="shared" si="159"/>
        <v>-2.8037383177570097E-2</v>
      </c>
      <c r="AA262" s="10">
        <f t="shared" si="159"/>
        <v>-6.6666666666666652E-2</v>
      </c>
      <c r="AB262" s="10">
        <f t="shared" ref="AB262:AC262" si="160">AB252/X252-1</f>
        <v>-1</v>
      </c>
      <c r="AC262" s="10">
        <f t="shared" si="160"/>
        <v>-1</v>
      </c>
      <c r="AI262" s="10">
        <f t="shared" ref="AI262:AK262" si="161">AI252/AH252-1</f>
        <v>-0.83422103861517982</v>
      </c>
      <c r="AJ262" s="10">
        <f t="shared" si="161"/>
        <v>-0.2168674698795181</v>
      </c>
      <c r="AK262" s="10">
        <f t="shared" si="161"/>
        <v>-9.2153846153846146</v>
      </c>
      <c r="AL262" s="10">
        <f t="shared" ref="AL262:AN262" si="162">AL252/AK252-1</f>
        <v>0.14169787765293385</v>
      </c>
      <c r="AM262" s="10">
        <f t="shared" si="162"/>
        <v>6.5062875888463712E-2</v>
      </c>
      <c r="AN262" s="10">
        <f t="shared" si="162"/>
        <v>-1</v>
      </c>
    </row>
    <row r="263" spans="2:40" s="16" customFormat="1" x14ac:dyDescent="0.25">
      <c r="B263" s="16" t="s">
        <v>141</v>
      </c>
      <c r="G263" s="16">
        <f t="shared" si="143"/>
        <v>2.8957952468007253E-2</v>
      </c>
      <c r="H263" s="16">
        <f t="shared" si="144"/>
        <v>6.3914683691236318E-2</v>
      </c>
      <c r="I263" s="16">
        <f t="shared" si="145"/>
        <v>0.23930965405655291</v>
      </c>
      <c r="J263" s="16">
        <f t="shared" si="146"/>
        <v>0.17737580993520519</v>
      </c>
      <c r="K263" s="16">
        <f t="shared" si="147"/>
        <v>0.17241134247743584</v>
      </c>
      <c r="L263" s="16">
        <f t="shared" si="148"/>
        <v>0.16195022161609285</v>
      </c>
      <c r="M263" s="16">
        <f t="shared" si="149"/>
        <v>0.11078644700031082</v>
      </c>
      <c r="N263" s="16">
        <f t="shared" si="150"/>
        <v>0.17937399678972721</v>
      </c>
      <c r="O263" s="16">
        <f t="shared" si="151"/>
        <v>9.5350669818754952E-2</v>
      </c>
      <c r="P263" s="16">
        <f t="shared" si="152"/>
        <v>0.1394366197183099</v>
      </c>
      <c r="Q263" s="16">
        <f t="shared" si="153"/>
        <v>5.7200425365198315E-2</v>
      </c>
      <c r="R263" s="16">
        <f t="shared" si="154"/>
        <v>3.9858066397705727E-2</v>
      </c>
      <c r="S263" s="16">
        <f t="shared" si="155"/>
        <v>-1.7985611510791366E-2</v>
      </c>
      <c r="T263" s="16">
        <f t="shared" si="156"/>
        <v>-4.8516687268232439E-2</v>
      </c>
      <c r="U263" s="16">
        <f t="shared" si="157"/>
        <v>5.8234951559099635E-4</v>
      </c>
      <c r="V263" s="16">
        <f t="shared" ref="V263:X263" si="163">V253/R253-1</f>
        <v>-2.7205160566540432E-2</v>
      </c>
      <c r="W263" s="16">
        <f t="shared" si="163"/>
        <v>3.4263172724711133E-2</v>
      </c>
      <c r="X263" s="16">
        <f t="shared" si="163"/>
        <v>6.9448955288513581E-2</v>
      </c>
      <c r="Y263" s="16">
        <f t="shared" si="159"/>
        <v>2.5238095238095282E-2</v>
      </c>
      <c r="Z263" s="16">
        <f t="shared" si="159"/>
        <v>2.9599730911537225E-2</v>
      </c>
      <c r="AA263" s="16">
        <f t="shared" si="159"/>
        <v>4.2826785811583834E-2</v>
      </c>
      <c r="AB263" s="16">
        <f t="shared" ref="AB263:AC263" si="164">AB253/X253-1</f>
        <v>-1</v>
      </c>
      <c r="AC263" s="16">
        <f t="shared" si="164"/>
        <v>-1</v>
      </c>
      <c r="AI263" s="16">
        <f t="shared" ref="AI263:AK263" si="165">AI253/AH253-1</f>
        <v>0.12688674123140409</v>
      </c>
      <c r="AJ263" s="16">
        <f t="shared" si="165"/>
        <v>0.15597847908134588</v>
      </c>
      <c r="AK263" s="16">
        <f t="shared" si="165"/>
        <v>4.0360115036747857E-2</v>
      </c>
      <c r="AL263" s="16">
        <f t="shared" ref="AL263:AN263" si="166">AL253/AK253-1</f>
        <v>1.399535268822949E-2</v>
      </c>
      <c r="AM263" s="16">
        <f t="shared" si="166"/>
        <v>3.9299354668773878E-2</v>
      </c>
      <c r="AN263" s="16">
        <f t="shared" si="166"/>
        <v>-1</v>
      </c>
    </row>
    <row r="265" spans="2:40" ht="16.8" x14ac:dyDescent="0.3">
      <c r="B265" s="35" t="s">
        <v>225</v>
      </c>
    </row>
    <row r="266" spans="2:40" x14ac:dyDescent="0.25">
      <c r="B266" s="2" t="s">
        <v>134</v>
      </c>
      <c r="C266" s="10">
        <f>C245/C$253</f>
        <v>0.27510054844606946</v>
      </c>
      <c r="D266" s="10">
        <f t="shared" ref="D266:AC274" si="167">D245/D$253</f>
        <v>0.26726639582124201</v>
      </c>
      <c r="E266" s="10">
        <f t="shared" si="167"/>
        <v>0.28276446567532165</v>
      </c>
      <c r="F266" s="10">
        <f t="shared" si="167"/>
        <v>0.26194654427645786</v>
      </c>
      <c r="G266" s="10">
        <f t="shared" si="167"/>
        <v>0.26757160116551776</v>
      </c>
      <c r="H266" s="10">
        <f t="shared" si="167"/>
        <v>0.27487214456188203</v>
      </c>
      <c r="I266" s="10">
        <f t="shared" si="167"/>
        <v>0.25962076468759715</v>
      </c>
      <c r="J266" s="10">
        <f t="shared" si="167"/>
        <v>0.26037606053657419</v>
      </c>
      <c r="K266" s="10">
        <f t="shared" si="167"/>
        <v>0.26350245499181668</v>
      </c>
      <c r="L266" s="10">
        <f t="shared" si="167"/>
        <v>0.26789906103286387</v>
      </c>
      <c r="M266" s="10">
        <f t="shared" si="167"/>
        <v>0.2759276879162702</v>
      </c>
      <c r="N266" s="10">
        <f t="shared" si="167"/>
        <v>0.27589559130899721</v>
      </c>
      <c r="O266" s="10">
        <f t="shared" si="167"/>
        <v>0.28301051466519095</v>
      </c>
      <c r="P266" s="10">
        <f t="shared" si="167"/>
        <v>0.28517717346518334</v>
      </c>
      <c r="Q266" s="10">
        <f t="shared" si="167"/>
        <v>0.28063952564984912</v>
      </c>
      <c r="R266" s="10">
        <f t="shared" si="167"/>
        <v>0.2789230122002524</v>
      </c>
      <c r="S266" s="10">
        <f t="shared" si="167"/>
        <v>0.25708650324034937</v>
      </c>
      <c r="T266" s="10">
        <f t="shared" si="167"/>
        <v>0.2438562303778283</v>
      </c>
      <c r="U266" s="10">
        <f t="shared" si="167"/>
        <v>0.25888888888888889</v>
      </c>
      <c r="V266" s="10">
        <f t="shared" si="167"/>
        <v>0.21988371534284754</v>
      </c>
      <c r="W266" s="10">
        <f t="shared" si="167"/>
        <v>0.22078134364953958</v>
      </c>
      <c r="X266" s="10">
        <f t="shared" si="167"/>
        <v>0.2168345396568305</v>
      </c>
      <c r="Y266" s="10">
        <f t="shared" si="167"/>
        <v>0.22815709346132013</v>
      </c>
      <c r="Z266" s="10">
        <f t="shared" si="167"/>
        <v>0.23475054837354739</v>
      </c>
      <c r="AA266" s="10">
        <f t="shared" si="167"/>
        <v>0.23648048487381787</v>
      </c>
      <c r="AB266" s="10" t="e">
        <f t="shared" si="167"/>
        <v>#DIV/0!</v>
      </c>
      <c r="AC266" s="10" t="e">
        <f t="shared" si="167"/>
        <v>#DIV/0!</v>
      </c>
      <c r="AI266" s="10">
        <f t="shared" ref="AI266:AN266" si="168">AI245/AI$253</f>
        <v>0.26522123183168717</v>
      </c>
      <c r="AJ266" s="10">
        <f t="shared" si="168"/>
        <v>0.27115606374258444</v>
      </c>
      <c r="AK266" s="10">
        <f t="shared" si="168"/>
        <v>0.27558024625410649</v>
      </c>
      <c r="AL266" s="10">
        <f t="shared" si="168"/>
        <v>0.24411958382720927</v>
      </c>
      <c r="AM266" s="10">
        <f t="shared" si="168"/>
        <v>0.22540993993461236</v>
      </c>
      <c r="AN266" s="10" t="e">
        <f t="shared" si="168"/>
        <v>#DIV/0!</v>
      </c>
    </row>
    <row r="267" spans="2:40" x14ac:dyDescent="0.25">
      <c r="B267" s="2" t="s">
        <v>135</v>
      </c>
      <c r="C267" s="10">
        <f t="shared" ref="C267:R274" si="169">C246/C$253</f>
        <v>0.25806215722120657</v>
      </c>
      <c r="D267" s="10">
        <f t="shared" si="169"/>
        <v>0.25515089959373188</v>
      </c>
      <c r="E267" s="10">
        <f t="shared" si="169"/>
        <v>0.25980429925263887</v>
      </c>
      <c r="F267" s="10">
        <f t="shared" si="169"/>
        <v>0.26356641468682507</v>
      </c>
      <c r="G267" s="10">
        <f t="shared" si="169"/>
        <v>0.2470329045554687</v>
      </c>
      <c r="H267" s="10">
        <f t="shared" si="169"/>
        <v>0.24289123764064099</v>
      </c>
      <c r="I267" s="10">
        <f t="shared" si="169"/>
        <v>0.23437985700963632</v>
      </c>
      <c r="J267" s="10">
        <f t="shared" si="169"/>
        <v>0.2411717495987159</v>
      </c>
      <c r="K267" s="10">
        <f t="shared" si="169"/>
        <v>0.23089046493301812</v>
      </c>
      <c r="L267" s="10">
        <f t="shared" si="169"/>
        <v>0.23526995305164319</v>
      </c>
      <c r="M267" s="10">
        <f t="shared" si="169"/>
        <v>0.24452901998097051</v>
      </c>
      <c r="N267" s="10">
        <f t="shared" si="169"/>
        <v>0.25105721090750011</v>
      </c>
      <c r="O267" s="10">
        <f t="shared" si="169"/>
        <v>0.25373547315993361</v>
      </c>
      <c r="P267" s="10">
        <f t="shared" si="169"/>
        <v>0.25278121137206427</v>
      </c>
      <c r="Q267" s="10">
        <f t="shared" si="169"/>
        <v>0.26068081952459105</v>
      </c>
      <c r="R267" s="10">
        <f t="shared" si="169"/>
        <v>0.25840228111999253</v>
      </c>
      <c r="S267" s="10">
        <f t="shared" si="167"/>
        <v>0.27202028740490281</v>
      </c>
      <c r="T267" s="10">
        <f t="shared" si="167"/>
        <v>0.27871603334415934</v>
      </c>
      <c r="U267" s="10">
        <f t="shared" si="167"/>
        <v>0.28656084656084657</v>
      </c>
      <c r="V267" s="10">
        <f t="shared" si="167"/>
        <v>0.28715583105088655</v>
      </c>
      <c r="W267" s="10">
        <f t="shared" si="167"/>
        <v>0.2880183076336294</v>
      </c>
      <c r="X267" s="10">
        <f t="shared" si="167"/>
        <v>0.29073239864351874</v>
      </c>
      <c r="Y267" s="10">
        <f t="shared" si="167"/>
        <v>0.29473086649120089</v>
      </c>
      <c r="Z267" s="10">
        <f t="shared" si="167"/>
        <v>0.29159471694590938</v>
      </c>
      <c r="AA267" s="10">
        <f t="shared" si="167"/>
        <v>0.28914781336537959</v>
      </c>
      <c r="AB267" s="10" t="e">
        <f t="shared" si="167"/>
        <v>#DIV/0!</v>
      </c>
      <c r="AC267" s="10" t="e">
        <f t="shared" si="167"/>
        <v>#DIV/0!</v>
      </c>
      <c r="AI267" s="10">
        <f t="shared" ref="AI267:AN267" si="170">AI246/AI$253</f>
        <v>0.24114671163575041</v>
      </c>
      <c r="AJ267" s="10">
        <f t="shared" si="170"/>
        <v>0.24109090403879016</v>
      </c>
      <c r="AK267" s="10">
        <f t="shared" si="170"/>
        <v>0.2663657487780775</v>
      </c>
      <c r="AL267" s="10">
        <f t="shared" si="170"/>
        <v>0.28141709469247994</v>
      </c>
      <c r="AM267" s="10">
        <f t="shared" si="170"/>
        <v>0.29131713004029702</v>
      </c>
      <c r="AN267" s="10" t="e">
        <f t="shared" si="170"/>
        <v>#DIV/0!</v>
      </c>
    </row>
    <row r="268" spans="2:40" x14ac:dyDescent="0.25">
      <c r="B268" s="2" t="s">
        <v>136</v>
      </c>
      <c r="C268" s="10">
        <f t="shared" si="169"/>
        <v>0.15948811700182816</v>
      </c>
      <c r="D268" s="10">
        <f t="shared" si="167"/>
        <v>0.1641758560650029</v>
      </c>
      <c r="E268" s="10">
        <f t="shared" si="167"/>
        <v>0.166576777871947</v>
      </c>
      <c r="F268" s="10">
        <f t="shared" si="167"/>
        <v>0.16509179265658747</v>
      </c>
      <c r="G268" s="10">
        <f t="shared" si="167"/>
        <v>0.15585246251154858</v>
      </c>
      <c r="H268" s="10">
        <f t="shared" si="167"/>
        <v>0.15485850664848277</v>
      </c>
      <c r="I268" s="10">
        <f t="shared" si="167"/>
        <v>0.14037923531240287</v>
      </c>
      <c r="J268" s="10">
        <f t="shared" si="167"/>
        <v>0.14388901628066958</v>
      </c>
      <c r="K268" s="10">
        <f t="shared" si="167"/>
        <v>0.14608716736376312</v>
      </c>
      <c r="L268" s="10">
        <f t="shared" si="167"/>
        <v>0.12535211267605634</v>
      </c>
      <c r="M268" s="10">
        <f t="shared" si="167"/>
        <v>0.13746012201264901</v>
      </c>
      <c r="N268" s="10">
        <f t="shared" si="167"/>
        <v>0.13080250814173916</v>
      </c>
      <c r="O268" s="10">
        <f t="shared" si="167"/>
        <v>0.13536247924737133</v>
      </c>
      <c r="P268" s="10">
        <f t="shared" si="167"/>
        <v>0.13730943551709929</v>
      </c>
      <c r="Q268" s="10">
        <f t="shared" si="167"/>
        <v>0.13552861453756154</v>
      </c>
      <c r="R268" s="10">
        <f t="shared" si="167"/>
        <v>0.13452998644416397</v>
      </c>
      <c r="S268" s="10">
        <f t="shared" si="167"/>
        <v>0.15215553677092139</v>
      </c>
      <c r="T268" s="10">
        <f t="shared" si="167"/>
        <v>0.15275522355743207</v>
      </c>
      <c r="U268" s="10">
        <f t="shared" si="167"/>
        <v>0.137989417989418</v>
      </c>
      <c r="V268" s="10">
        <f t="shared" si="167"/>
        <v>0.15813752342511173</v>
      </c>
      <c r="W268" s="10">
        <f t="shared" si="167"/>
        <v>0.16193537841224867</v>
      </c>
      <c r="X268" s="10">
        <f t="shared" si="167"/>
        <v>0.16110745558536216</v>
      </c>
      <c r="Y268" s="10">
        <f t="shared" si="167"/>
        <v>0.1585900810238943</v>
      </c>
      <c r="Z268" s="10">
        <f t="shared" si="167"/>
        <v>0.15009100667382275</v>
      </c>
      <c r="AA268" s="10">
        <f t="shared" si="167"/>
        <v>0.16583938554783426</v>
      </c>
      <c r="AB268" s="10" t="e">
        <f t="shared" si="167"/>
        <v>#DIV/0!</v>
      </c>
      <c r="AC268" s="10" t="e">
        <f t="shared" si="167"/>
        <v>#DIV/0!</v>
      </c>
      <c r="AI268" s="10">
        <f t="shared" ref="AI268:AN268" si="171">AI247/AI$253</f>
        <v>0.14826949329478842</v>
      </c>
      <c r="AJ268" s="10">
        <f t="shared" si="171"/>
        <v>0.13465412562346304</v>
      </c>
      <c r="AK268" s="10">
        <f t="shared" si="171"/>
        <v>0.1408749766298977</v>
      </c>
      <c r="AL268" s="10">
        <f t="shared" si="171"/>
        <v>0.15040168576320295</v>
      </c>
      <c r="AM268" s="10">
        <f t="shared" si="171"/>
        <v>0.15769065058164583</v>
      </c>
      <c r="AN268" s="10" t="e">
        <f t="shared" si="171"/>
        <v>#DIV/0!</v>
      </c>
    </row>
    <row r="269" spans="2:40" x14ac:dyDescent="0.25">
      <c r="B269" s="2" t="s">
        <v>137</v>
      </c>
      <c r="C269" s="10">
        <f t="shared" si="169"/>
        <v>0.2623034734917733</v>
      </c>
      <c r="D269" s="10">
        <f t="shared" si="167"/>
        <v>0.26733894370284389</v>
      </c>
      <c r="E269" s="10">
        <f t="shared" si="167"/>
        <v>0.25518144695276984</v>
      </c>
      <c r="F269" s="10">
        <f t="shared" si="167"/>
        <v>0.26160907127429806</v>
      </c>
      <c r="G269" s="10">
        <f t="shared" si="167"/>
        <v>0.27489162106460097</v>
      </c>
      <c r="H269" s="10">
        <f t="shared" si="167"/>
        <v>0.27037163314012957</v>
      </c>
      <c r="I269" s="10">
        <f t="shared" si="167"/>
        <v>0.3108486167236556</v>
      </c>
      <c r="J269" s="10">
        <f t="shared" si="167"/>
        <v>0.29603301994955283</v>
      </c>
      <c r="K269" s="10">
        <f t="shared" si="167"/>
        <v>0.30720737103715828</v>
      </c>
      <c r="L269" s="10">
        <f t="shared" si="167"/>
        <v>0.32042253521126762</v>
      </c>
      <c r="M269" s="10">
        <f t="shared" si="167"/>
        <v>0.29025577881009684</v>
      </c>
      <c r="N269" s="10">
        <f t="shared" si="167"/>
        <v>0.29169299567394158</v>
      </c>
      <c r="O269" s="10">
        <f t="shared" si="167"/>
        <v>0.28107360265633646</v>
      </c>
      <c r="P269" s="10">
        <f t="shared" si="167"/>
        <v>0.27528842192006592</v>
      </c>
      <c r="Q269" s="10">
        <f t="shared" si="167"/>
        <v>0.27534543914447562</v>
      </c>
      <c r="R269" s="10">
        <f t="shared" si="167"/>
        <v>0.2830832515308746</v>
      </c>
      <c r="S269" s="10">
        <f t="shared" si="167"/>
        <v>0.29163144547759934</v>
      </c>
      <c r="T269" s="10">
        <f t="shared" si="167"/>
        <v>0.29419725018945547</v>
      </c>
      <c r="U269" s="10">
        <f t="shared" si="167"/>
        <v>0.28693121693121693</v>
      </c>
      <c r="V269" s="10">
        <f t="shared" si="167"/>
        <v>0.30406996300033634</v>
      </c>
      <c r="W269" s="10">
        <f t="shared" si="167"/>
        <v>0.29869776058410069</v>
      </c>
      <c r="X269" s="10">
        <f t="shared" si="167"/>
        <v>0.29908386900845269</v>
      </c>
      <c r="Y269" s="10">
        <f t="shared" si="167"/>
        <v>0.29220209526758528</v>
      </c>
      <c r="Z269" s="10">
        <f t="shared" si="167"/>
        <v>0.29504830354225975</v>
      </c>
      <c r="AA269" s="10">
        <f t="shared" si="167"/>
        <v>0.28225090130100844</v>
      </c>
      <c r="AB269" s="10" t="e">
        <f t="shared" si="167"/>
        <v>#DIV/0!</v>
      </c>
      <c r="AC269" s="10" t="e">
        <f t="shared" si="167"/>
        <v>#DIV/0!</v>
      </c>
      <c r="AI269" s="10">
        <f t="shared" ref="AI269:AN269" si="172">AI248/AI$253</f>
        <v>0.28903878583473863</v>
      </c>
      <c r="AJ269" s="10">
        <f t="shared" si="172"/>
        <v>0.30169359656556954</v>
      </c>
      <c r="AK269" s="10">
        <f t="shared" si="172"/>
        <v>0.28953553590983144</v>
      </c>
      <c r="AL269" s="10">
        <f t="shared" si="172"/>
        <v>0.29450809956538915</v>
      </c>
      <c r="AM269" s="10">
        <f t="shared" si="172"/>
        <v>0.29620853080568721</v>
      </c>
      <c r="AN269" s="10" t="e">
        <f t="shared" si="172"/>
        <v>#DIV/0!</v>
      </c>
    </row>
    <row r="270" spans="2:40" s="27" customFormat="1" x14ac:dyDescent="0.25">
      <c r="B270" s="3" t="s">
        <v>138</v>
      </c>
      <c r="C270" s="14">
        <f t="shared" si="169"/>
        <v>0.95488117001828154</v>
      </c>
      <c r="D270" s="14">
        <f t="shared" si="167"/>
        <v>0.95393209518282063</v>
      </c>
      <c r="E270" s="14">
        <f t="shared" si="167"/>
        <v>0.96432698975267739</v>
      </c>
      <c r="F270" s="14">
        <f t="shared" si="167"/>
        <v>0.95228131749460043</v>
      </c>
      <c r="G270" s="14">
        <f t="shared" si="167"/>
        <v>0.94549072560585601</v>
      </c>
      <c r="H270" s="14">
        <f t="shared" si="167"/>
        <v>0.9429935219911354</v>
      </c>
      <c r="I270" s="14">
        <f t="shared" si="167"/>
        <v>0.94516630400994717</v>
      </c>
      <c r="J270" s="14">
        <f t="shared" si="167"/>
        <v>0.94146984636551245</v>
      </c>
      <c r="K270" s="14">
        <f t="shared" si="167"/>
        <v>0.94768745832575618</v>
      </c>
      <c r="L270" s="14">
        <f t="shared" si="167"/>
        <v>0.9490023474178404</v>
      </c>
      <c r="M270" s="14">
        <f t="shared" si="167"/>
        <v>0.94817260871998654</v>
      </c>
      <c r="N270" s="14">
        <f t="shared" si="167"/>
        <v>0.94939969863413209</v>
      </c>
      <c r="O270" s="14">
        <f t="shared" si="167"/>
        <v>0.95318206972883235</v>
      </c>
      <c r="P270" s="14">
        <f t="shared" si="167"/>
        <v>0.95055624227441282</v>
      </c>
      <c r="Q270" s="14">
        <f t="shared" si="167"/>
        <v>0.95214145799142358</v>
      </c>
      <c r="R270" s="14">
        <f t="shared" si="167"/>
        <v>0.95498527555742529</v>
      </c>
      <c r="S270" s="14">
        <f t="shared" si="167"/>
        <v>0.97295012679628068</v>
      </c>
      <c r="T270" s="14">
        <f t="shared" si="167"/>
        <v>0.96952473746887513</v>
      </c>
      <c r="U270" s="14">
        <f t="shared" si="167"/>
        <v>0.97037037037037033</v>
      </c>
      <c r="V270" s="14">
        <f t="shared" si="167"/>
        <v>0.96924703281918212</v>
      </c>
      <c r="W270" s="14">
        <f t="shared" si="167"/>
        <v>0.96948727728436768</v>
      </c>
      <c r="X270" s="14">
        <f t="shared" si="167"/>
        <v>0.96775826289416411</v>
      </c>
      <c r="Y270" s="14">
        <f t="shared" si="167"/>
        <v>0.97362852866800842</v>
      </c>
      <c r="Z270" s="14">
        <f t="shared" si="167"/>
        <v>0.97148457553553924</v>
      </c>
      <c r="AA270" s="14">
        <f t="shared" si="167"/>
        <v>0.97366633575421913</v>
      </c>
      <c r="AB270" s="14" t="e">
        <f t="shared" si="167"/>
        <v>#DIV/0!</v>
      </c>
      <c r="AC270" s="14" t="e">
        <f t="shared" si="167"/>
        <v>#DIV/0!</v>
      </c>
      <c r="AI270" s="14">
        <f t="shared" ref="AI270:AN270" si="173">AI249/AI$253</f>
        <v>0.94369228298401997</v>
      </c>
      <c r="AJ270" s="14">
        <f t="shared" si="173"/>
        <v>0.94859468997040719</v>
      </c>
      <c r="AK270" s="14">
        <f t="shared" si="173"/>
        <v>0.97235650757191316</v>
      </c>
      <c r="AL270" s="14">
        <f t="shared" si="173"/>
        <v>0.97045963387330436</v>
      </c>
      <c r="AM270" s="14">
        <f t="shared" si="173"/>
        <v>0.97062625136224245</v>
      </c>
      <c r="AN270" s="14" t="e">
        <f t="shared" si="173"/>
        <v>#DIV/0!</v>
      </c>
    </row>
    <row r="271" spans="2:40" x14ac:dyDescent="0.25">
      <c r="B271" s="2" t="s">
        <v>139</v>
      </c>
      <c r="C271" s="10">
        <f t="shared" si="169"/>
        <v>1.3747714808043876E-2</v>
      </c>
      <c r="D271" s="10">
        <f t="shared" si="167"/>
        <v>1.3856645385954731E-2</v>
      </c>
      <c r="E271" s="10">
        <f t="shared" si="167"/>
        <v>1.2635796286308652E-2</v>
      </c>
      <c r="F271" s="10">
        <f t="shared" si="167"/>
        <v>1.1676565874730021E-2</v>
      </c>
      <c r="G271" s="10">
        <f t="shared" si="167"/>
        <v>1.172624546940516E-2</v>
      </c>
      <c r="H271" s="10">
        <f t="shared" si="167"/>
        <v>1.2001363791339925E-2</v>
      </c>
      <c r="I271" s="10">
        <f t="shared" si="167"/>
        <v>1.1004041032017407E-2</v>
      </c>
      <c r="J271" s="10">
        <f t="shared" si="167"/>
        <v>1.02614079339601E-2</v>
      </c>
      <c r="K271" s="10">
        <f t="shared" si="167"/>
        <v>1.024428684003152E-2</v>
      </c>
      <c r="L271" s="10">
        <f t="shared" si="167"/>
        <v>9.2723004694835673E-3</v>
      </c>
      <c r="M271" s="10">
        <f t="shared" si="167"/>
        <v>9.5147478591817315E-3</v>
      </c>
      <c r="N271" s="10">
        <f t="shared" si="167"/>
        <v>7.9716132795411461E-3</v>
      </c>
      <c r="O271" s="10">
        <f t="shared" si="167"/>
        <v>8.3010514665190927E-3</v>
      </c>
      <c r="P271" s="10">
        <f t="shared" si="167"/>
        <v>7.9316028018129384E-3</v>
      </c>
      <c r="Q271" s="10">
        <f t="shared" si="167"/>
        <v>7.1999576473079571E-3</v>
      </c>
      <c r="R271" s="10">
        <f t="shared" si="167"/>
        <v>1.3088393399710186E-3</v>
      </c>
      <c r="S271" s="10">
        <f t="shared" si="167"/>
        <v>6.3116370808678499E-3</v>
      </c>
      <c r="T271" s="10">
        <f t="shared" si="167"/>
        <v>5.9001840424380211E-3</v>
      </c>
      <c r="U271" s="10">
        <f t="shared" si="167"/>
        <v>4.6560846560846558E-3</v>
      </c>
      <c r="V271" s="10">
        <f t="shared" si="167"/>
        <v>5.0454086781029266E-3</v>
      </c>
      <c r="W271" s="10">
        <f t="shared" si="167"/>
        <v>5.1762654606876263E-3</v>
      </c>
      <c r="X271" s="10">
        <f t="shared" si="167"/>
        <v>4.707192387508225E-3</v>
      </c>
      <c r="Y271" s="10">
        <f t="shared" si="167"/>
        <v>4.7478969912783196E-3</v>
      </c>
      <c r="Z271" s="10">
        <f t="shared" si="167"/>
        <v>4.2469781117281937E-3</v>
      </c>
      <c r="AA271" s="10">
        <f t="shared" si="167"/>
        <v>3.6052040336485708E-3</v>
      </c>
      <c r="AB271" s="10" t="e">
        <f t="shared" si="167"/>
        <v>#DIV/0!</v>
      </c>
      <c r="AC271" s="10" t="e">
        <f t="shared" si="167"/>
        <v>#DIV/0!</v>
      </c>
      <c r="AI271" s="10">
        <f t="shared" ref="AI271:AN271" si="174">AI250/AI$253</f>
        <v>1.1194089777563639E-2</v>
      </c>
      <c r="AJ271" s="10">
        <f t="shared" si="174"/>
        <v>9.1834891701515764E-3</v>
      </c>
      <c r="AK271" s="10">
        <f t="shared" si="174"/>
        <v>6.2498330706978978E-3</v>
      </c>
      <c r="AL271" s="10">
        <f t="shared" si="174"/>
        <v>5.4523903595416834E-3</v>
      </c>
      <c r="AM271" s="10">
        <f t="shared" si="174"/>
        <v>4.6886484020579365E-3</v>
      </c>
      <c r="AN271" s="10" t="e">
        <f t="shared" si="174"/>
        <v>#DIV/0!</v>
      </c>
    </row>
    <row r="272" spans="2:40" x14ac:dyDescent="0.25">
      <c r="B272" s="2" t="s">
        <v>174</v>
      </c>
      <c r="C272" s="10">
        <f t="shared" si="169"/>
        <v>6.1499085923217553E-2</v>
      </c>
      <c r="D272" s="10">
        <f t="shared" si="167"/>
        <v>6.217353453279164E-2</v>
      </c>
      <c r="E272" s="10">
        <f t="shared" si="167"/>
        <v>4.7538331150319746E-2</v>
      </c>
      <c r="F272" s="10">
        <f t="shared" si="167"/>
        <v>6.0340172786177107E-2</v>
      </c>
      <c r="G272" s="10">
        <f t="shared" si="167"/>
        <v>4.6123232179660294E-2</v>
      </c>
      <c r="H272" s="10">
        <f t="shared" si="167"/>
        <v>4.9301056938288443E-2</v>
      </c>
      <c r="I272" s="10">
        <f t="shared" si="167"/>
        <v>4.6440783338514147E-2</v>
      </c>
      <c r="J272" s="10">
        <f t="shared" si="167"/>
        <v>5.3829396927310251E-2</v>
      </c>
      <c r="K272" s="10">
        <f t="shared" si="167"/>
        <v>4.2916893980723771E-2</v>
      </c>
      <c r="L272" s="10">
        <f t="shared" si="167"/>
        <v>4.5657276995305161E-2</v>
      </c>
      <c r="M272" s="10">
        <f t="shared" si="167"/>
        <v>4.4831253148262161E-2</v>
      </c>
      <c r="N272" s="10">
        <f t="shared" si="167"/>
        <v>4.598259855149954E-2</v>
      </c>
      <c r="O272" s="10">
        <f t="shared" si="167"/>
        <v>3.8738240177089101E-2</v>
      </c>
      <c r="P272" s="10">
        <f t="shared" si="167"/>
        <v>4.2490729295426452E-2</v>
      </c>
      <c r="Q272" s="10">
        <f t="shared" si="167"/>
        <v>4.3146805018794004E-2</v>
      </c>
      <c r="R272" s="10">
        <f t="shared" si="167"/>
        <v>4.5528911326134715E-2</v>
      </c>
      <c r="S272" s="10">
        <f t="shared" si="167"/>
        <v>0</v>
      </c>
      <c r="T272" s="10">
        <f t="shared" si="167"/>
        <v>0</v>
      </c>
      <c r="U272" s="10">
        <f t="shared" si="167"/>
        <v>0</v>
      </c>
      <c r="V272" s="10">
        <f t="shared" si="167"/>
        <v>0</v>
      </c>
      <c r="W272" s="10">
        <f t="shared" si="167"/>
        <v>0</v>
      </c>
      <c r="X272" s="10">
        <f t="shared" si="167"/>
        <v>0</v>
      </c>
      <c r="Y272" s="10">
        <f t="shared" si="167"/>
        <v>0</v>
      </c>
      <c r="Z272" s="10">
        <f t="shared" si="167"/>
        <v>0</v>
      </c>
      <c r="AA272" s="10">
        <f t="shared" si="167"/>
        <v>0</v>
      </c>
      <c r="AB272" s="10" t="e">
        <f t="shared" si="167"/>
        <v>#DIV/0!</v>
      </c>
      <c r="AC272" s="10" t="e">
        <f t="shared" si="167"/>
        <v>#DIV/0!</v>
      </c>
      <c r="AI272" s="10">
        <f t="shared" ref="AI272:AN272" si="175">AI251/AI$253</f>
        <v>4.9112663615193126E-2</v>
      </c>
      <c r="AJ272" s="10">
        <f t="shared" si="175"/>
        <v>4.49310196312711E-2</v>
      </c>
      <c r="AK272" s="10">
        <f t="shared" si="175"/>
        <v>0</v>
      </c>
      <c r="AL272" s="10">
        <f t="shared" si="175"/>
        <v>0</v>
      </c>
      <c r="AM272" s="10">
        <f t="shared" si="175"/>
        <v>0</v>
      </c>
      <c r="AN272" s="10" t="e">
        <f t="shared" si="175"/>
        <v>#DIV/0!</v>
      </c>
    </row>
    <row r="273" spans="2:40" ht="26.4" x14ac:dyDescent="0.25">
      <c r="B273" s="33" t="s">
        <v>140</v>
      </c>
      <c r="C273" s="10">
        <f t="shared" si="169"/>
        <v>-3.0054844606946983E-2</v>
      </c>
      <c r="D273" s="10">
        <f t="shared" si="167"/>
        <v>-2.9889727219965176E-2</v>
      </c>
      <c r="E273" s="10">
        <f t="shared" si="167"/>
        <v>-2.4501117189305803E-2</v>
      </c>
      <c r="F273" s="10">
        <f t="shared" si="167"/>
        <v>-2.4365550755939526E-2</v>
      </c>
      <c r="G273" s="10">
        <f t="shared" si="167"/>
        <v>-3.3402032549214697E-3</v>
      </c>
      <c r="H273" s="10">
        <f t="shared" si="167"/>
        <v>-4.2959427207637235E-3</v>
      </c>
      <c r="I273" s="10">
        <f t="shared" si="167"/>
        <v>-2.6732981038234379E-3</v>
      </c>
      <c r="J273" s="10">
        <f t="shared" si="167"/>
        <v>-5.5033249254758084E-3</v>
      </c>
      <c r="K273" s="10">
        <f t="shared" si="167"/>
        <v>-8.4863914651148696E-4</v>
      </c>
      <c r="L273" s="10">
        <f t="shared" si="167"/>
        <v>-3.9319248826291077E-3</v>
      </c>
      <c r="M273" s="10">
        <f t="shared" si="167"/>
        <v>-2.5186097274304585E-3</v>
      </c>
      <c r="N273" s="10">
        <f t="shared" si="167"/>
        <v>-3.4025178632187819E-3</v>
      </c>
      <c r="O273" s="10">
        <f t="shared" si="167"/>
        <v>-1.6602102933038185E-4</v>
      </c>
      <c r="P273" s="10">
        <f t="shared" si="167"/>
        <v>-9.785743716522455E-4</v>
      </c>
      <c r="Q273" s="10">
        <f t="shared" si="167"/>
        <v>-2.4352797924718089E-3</v>
      </c>
      <c r="R273" s="10">
        <f t="shared" si="167"/>
        <v>-1.8697704856728836E-3</v>
      </c>
      <c r="S273" s="10">
        <f t="shared" si="167"/>
        <v>2.0738236122851507E-2</v>
      </c>
      <c r="T273" s="10">
        <f t="shared" si="167"/>
        <v>2.4575078488686803E-2</v>
      </c>
      <c r="U273" s="10">
        <f t="shared" si="167"/>
        <v>2.492063492063492E-2</v>
      </c>
      <c r="V273" s="10">
        <f t="shared" si="167"/>
        <v>2.570755850271491E-2</v>
      </c>
      <c r="W273" s="10">
        <f t="shared" si="167"/>
        <v>2.5336457254944697E-2</v>
      </c>
      <c r="X273" s="10">
        <f t="shared" si="167"/>
        <v>2.748392974641899E-2</v>
      </c>
      <c r="Y273" s="10">
        <f t="shared" si="167"/>
        <v>2.1623574340713218E-2</v>
      </c>
      <c r="Z273" s="10">
        <f t="shared" si="167"/>
        <v>2.4268446352732533E-2</v>
      </c>
      <c r="AA273" s="10">
        <f t="shared" si="167"/>
        <v>2.2676210878311301E-2</v>
      </c>
      <c r="AB273" s="10" t="e">
        <f t="shared" si="167"/>
        <v>#DIV/0!</v>
      </c>
      <c r="AC273" s="10" t="e">
        <f t="shared" si="167"/>
        <v>#DIV/0!</v>
      </c>
      <c r="AI273" s="10">
        <f t="shared" ref="AI273:AN273" si="176">AI252/AI$253</f>
        <v>-3.9990363767766803E-3</v>
      </c>
      <c r="AJ273" s="10">
        <f t="shared" si="176"/>
        <v>-2.7091987718298903E-3</v>
      </c>
      <c r="AK273" s="10">
        <f t="shared" si="176"/>
        <v>2.1393659357388958E-2</v>
      </c>
      <c r="AL273" s="10">
        <f t="shared" si="176"/>
        <v>2.4087975767153956E-2</v>
      </c>
      <c r="AM273" s="10">
        <f t="shared" si="176"/>
        <v>2.4685100235699621E-2</v>
      </c>
      <c r="AN273" s="10" t="e">
        <f t="shared" si="176"/>
        <v>#DIV/0!</v>
      </c>
    </row>
    <row r="274" spans="2:40" s="25" customFormat="1" x14ac:dyDescent="0.25">
      <c r="B274" s="4" t="s">
        <v>141</v>
      </c>
      <c r="C274" s="16">
        <f t="shared" si="169"/>
        <v>1</v>
      </c>
      <c r="D274" s="16">
        <f t="shared" si="167"/>
        <v>1</v>
      </c>
      <c r="E274" s="16">
        <f t="shared" si="167"/>
        <v>1</v>
      </c>
      <c r="F274" s="16">
        <f t="shared" si="167"/>
        <v>1</v>
      </c>
      <c r="G274" s="16">
        <f t="shared" si="167"/>
        <v>1</v>
      </c>
      <c r="H274" s="16">
        <f t="shared" si="167"/>
        <v>1</v>
      </c>
      <c r="I274" s="16">
        <f t="shared" si="167"/>
        <v>1</v>
      </c>
      <c r="J274" s="16">
        <f t="shared" si="167"/>
        <v>1</v>
      </c>
      <c r="K274" s="16">
        <f t="shared" si="167"/>
        <v>1</v>
      </c>
      <c r="L274" s="16">
        <f t="shared" si="167"/>
        <v>1</v>
      </c>
      <c r="M274" s="16">
        <f t="shared" si="167"/>
        <v>1</v>
      </c>
      <c r="N274" s="16">
        <f t="shared" si="167"/>
        <v>1</v>
      </c>
      <c r="O274" s="16">
        <f t="shared" si="167"/>
        <v>1</v>
      </c>
      <c r="P274" s="16">
        <f t="shared" si="167"/>
        <v>1</v>
      </c>
      <c r="Q274" s="16">
        <f t="shared" si="167"/>
        <v>1</v>
      </c>
      <c r="R274" s="16">
        <f t="shared" si="167"/>
        <v>1</v>
      </c>
      <c r="S274" s="16">
        <f t="shared" si="167"/>
        <v>1</v>
      </c>
      <c r="T274" s="16">
        <f t="shared" si="167"/>
        <v>1</v>
      </c>
      <c r="U274" s="16">
        <f t="shared" si="167"/>
        <v>1</v>
      </c>
      <c r="V274" s="16">
        <f t="shared" si="167"/>
        <v>1</v>
      </c>
      <c r="W274" s="16">
        <f t="shared" si="167"/>
        <v>1</v>
      </c>
      <c r="X274" s="16">
        <f t="shared" si="167"/>
        <v>1</v>
      </c>
      <c r="Y274" s="16">
        <f t="shared" si="167"/>
        <v>1</v>
      </c>
      <c r="Z274" s="16">
        <f t="shared" si="167"/>
        <v>1</v>
      </c>
      <c r="AA274" s="16">
        <f t="shared" si="167"/>
        <v>1</v>
      </c>
      <c r="AB274" s="16" t="e">
        <f t="shared" si="167"/>
        <v>#DIV/0!</v>
      </c>
      <c r="AC274" s="16" t="e">
        <f t="shared" si="167"/>
        <v>#DIV/0!</v>
      </c>
      <c r="AI274" s="16">
        <f t="shared" ref="AI274:AN274" si="177">AI253/AI$253</f>
        <v>1</v>
      </c>
      <c r="AJ274" s="16">
        <f t="shared" si="177"/>
        <v>1</v>
      </c>
      <c r="AK274" s="16">
        <f t="shared" si="177"/>
        <v>1</v>
      </c>
      <c r="AL274" s="16">
        <f t="shared" si="177"/>
        <v>1</v>
      </c>
      <c r="AM274" s="16">
        <f t="shared" si="177"/>
        <v>1</v>
      </c>
      <c r="AN274" s="16" t="e">
        <f t="shared" si="177"/>
        <v>#DIV/0!</v>
      </c>
    </row>
    <row r="277" spans="2:40" ht="16.8" x14ac:dyDescent="0.3">
      <c r="B277" s="35" t="s">
        <v>143</v>
      </c>
    </row>
    <row r="278" spans="2:40" s="2" customFormat="1" x14ac:dyDescent="0.25">
      <c r="B278" s="2" t="s">
        <v>134</v>
      </c>
      <c r="C278" s="2">
        <v>541</v>
      </c>
      <c r="D278" s="2">
        <v>585</v>
      </c>
      <c r="E278" s="2">
        <v>899</v>
      </c>
      <c r="F278" s="2">
        <v>1227</v>
      </c>
      <c r="G278" s="2">
        <v>846</v>
      </c>
      <c r="H278" s="2">
        <v>811</v>
      </c>
      <c r="I278" s="2">
        <v>847</v>
      </c>
      <c r="J278" s="2">
        <v>856</v>
      </c>
      <c r="K278" s="2">
        <v>947</v>
      </c>
      <c r="L278" s="2">
        <v>826</v>
      </c>
      <c r="M278" s="2">
        <v>901</v>
      </c>
      <c r="N278" s="2">
        <v>1218</v>
      </c>
      <c r="O278" s="2">
        <v>1152</v>
      </c>
      <c r="P278" s="2">
        <v>1300</v>
      </c>
      <c r="Q278" s="2">
        <v>1119</v>
      </c>
      <c r="R278" s="2">
        <v>1377</v>
      </c>
      <c r="S278" s="2">
        <v>895</v>
      </c>
      <c r="T278" s="2">
        <v>741</v>
      </c>
      <c r="U278" s="2">
        <v>1121</v>
      </c>
      <c r="V278" s="2">
        <v>741</v>
      </c>
      <c r="W278" s="2">
        <v>588</v>
      </c>
      <c r="X278" s="2">
        <v>634</v>
      </c>
      <c r="Y278" s="2">
        <v>642</v>
      </c>
      <c r="Z278" s="2">
        <v>779</v>
      </c>
      <c r="AA278" s="2">
        <v>804</v>
      </c>
      <c r="AH278" s="2">
        <v>3252</v>
      </c>
      <c r="AI278" s="2">
        <v>3360</v>
      </c>
      <c r="AJ278" s="2">
        <v>3892</v>
      </c>
      <c r="AK278" s="2">
        <v>4833</v>
      </c>
      <c r="AL278" s="2">
        <v>3498</v>
      </c>
      <c r="AM278" s="2">
        <v>2643</v>
      </c>
    </row>
    <row r="279" spans="2:40" s="2" customFormat="1" x14ac:dyDescent="0.25">
      <c r="B279" s="2" t="s">
        <v>135</v>
      </c>
      <c r="C279" s="2">
        <v>281</v>
      </c>
      <c r="D279" s="2">
        <v>185</v>
      </c>
      <c r="E279" s="2">
        <v>250</v>
      </c>
      <c r="F279" s="2">
        <v>586</v>
      </c>
      <c r="G279" s="2">
        <v>378</v>
      </c>
      <c r="H279" s="2">
        <v>390</v>
      </c>
      <c r="I279" s="2">
        <v>456</v>
      </c>
      <c r="J279" s="2">
        <v>505</v>
      </c>
      <c r="K279" s="2">
        <v>480</v>
      </c>
      <c r="L279" s="2">
        <v>445</v>
      </c>
      <c r="M279" s="2">
        <v>562</v>
      </c>
      <c r="N279" s="2">
        <v>735</v>
      </c>
      <c r="O279" s="2">
        <v>704</v>
      </c>
      <c r="P279" s="2">
        <v>779</v>
      </c>
      <c r="Q279" s="2">
        <v>769</v>
      </c>
      <c r="R279" s="2">
        <v>823</v>
      </c>
      <c r="S279" s="2">
        <v>885</v>
      </c>
      <c r="T279" s="2">
        <v>854</v>
      </c>
      <c r="U279" s="2">
        <v>923</v>
      </c>
      <c r="V279" s="2">
        <v>1044</v>
      </c>
      <c r="W279" s="2">
        <v>891</v>
      </c>
      <c r="X279" s="2">
        <v>1377</v>
      </c>
      <c r="Y279" s="2">
        <v>1071</v>
      </c>
      <c r="Z279" s="2">
        <v>1166</v>
      </c>
      <c r="AA279" s="2">
        <v>1054</v>
      </c>
      <c r="AH279" s="2">
        <v>1302</v>
      </c>
      <c r="AI279" s="2">
        <v>1729</v>
      </c>
      <c r="AJ279" s="2">
        <v>2222</v>
      </c>
      <c r="AK279" s="2">
        <v>3074</v>
      </c>
      <c r="AL279" s="2">
        <v>3707</v>
      </c>
      <c r="AM279" s="2">
        <v>4506</v>
      </c>
    </row>
    <row r="280" spans="2:40" s="2" customFormat="1" x14ac:dyDescent="0.25">
      <c r="B280" s="2" t="s">
        <v>136</v>
      </c>
      <c r="C280" s="2">
        <v>218</v>
      </c>
      <c r="D280" s="2">
        <v>210</v>
      </c>
      <c r="E280" s="2">
        <v>153</v>
      </c>
      <c r="F280" s="2">
        <v>241</v>
      </c>
      <c r="G280" s="2">
        <v>211</v>
      </c>
      <c r="H280" s="2">
        <v>208</v>
      </c>
      <c r="I280" s="2">
        <v>204</v>
      </c>
      <c r="J280" s="2">
        <v>227</v>
      </c>
      <c r="K280" s="2">
        <v>224</v>
      </c>
      <c r="L280" s="2">
        <v>-369</v>
      </c>
      <c r="M280" s="2">
        <v>704</v>
      </c>
      <c r="N280" s="2">
        <v>236</v>
      </c>
      <c r="O280" s="2">
        <v>195</v>
      </c>
      <c r="P280" s="2">
        <v>247</v>
      </c>
      <c r="Q280" s="2">
        <v>208</v>
      </c>
      <c r="R280" s="2">
        <v>232</v>
      </c>
      <c r="S280" s="2">
        <v>251</v>
      </c>
      <c r="T280" s="2">
        <v>237</v>
      </c>
      <c r="U280" s="2">
        <v>227</v>
      </c>
      <c r="V280" s="2">
        <v>298</v>
      </c>
      <c r="W280" s="2">
        <v>249</v>
      </c>
      <c r="X280" s="2">
        <v>291</v>
      </c>
      <c r="Y280" s="2">
        <v>286</v>
      </c>
      <c r="Z280" s="2">
        <v>273</v>
      </c>
      <c r="AA280" s="2">
        <v>286</v>
      </c>
      <c r="AH280" s="2">
        <v>822</v>
      </c>
      <c r="AI280" s="2">
        <v>850</v>
      </c>
      <c r="AJ280" s="2">
        <v>794</v>
      </c>
      <c r="AK280" s="2">
        <v>882</v>
      </c>
      <c r="AL280" s="2">
        <v>1013</v>
      </c>
      <c r="AM280" s="2">
        <v>1099</v>
      </c>
    </row>
    <row r="281" spans="2:40" s="2" customFormat="1" x14ac:dyDescent="0.25">
      <c r="B281" s="2" t="s">
        <v>137</v>
      </c>
      <c r="C281" s="2">
        <v>493</v>
      </c>
      <c r="D281" s="2">
        <v>612</v>
      </c>
      <c r="E281" s="2">
        <v>489</v>
      </c>
      <c r="F281" s="2">
        <v>590</v>
      </c>
      <c r="G281" s="2">
        <v>670</v>
      </c>
      <c r="H281" s="2">
        <v>679</v>
      </c>
      <c r="I281" s="2">
        <v>812</v>
      </c>
      <c r="J281" s="2">
        <v>686</v>
      </c>
      <c r="K281" s="2">
        <v>810</v>
      </c>
      <c r="L281" s="2">
        <v>875</v>
      </c>
      <c r="M281" s="2">
        <v>715</v>
      </c>
      <c r="N281" s="2">
        <v>969</v>
      </c>
      <c r="O281" s="2">
        <v>636</v>
      </c>
      <c r="P281" s="2">
        <v>288</v>
      </c>
      <c r="Q281" s="2">
        <v>656</v>
      </c>
      <c r="R281" s="2">
        <v>946</v>
      </c>
      <c r="S281" s="2">
        <v>692</v>
      </c>
      <c r="T281" s="2">
        <v>681</v>
      </c>
      <c r="U281" s="2">
        <v>762</v>
      </c>
      <c r="V281" s="2">
        <v>1037</v>
      </c>
      <c r="W281" s="2">
        <v>789</v>
      </c>
      <c r="X281" s="2">
        <v>937</v>
      </c>
      <c r="Y281" s="2">
        <v>821</v>
      </c>
      <c r="Z281" s="2">
        <v>972</v>
      </c>
      <c r="AA281" s="2">
        <v>761</v>
      </c>
      <c r="AH281" s="2">
        <v>2184</v>
      </c>
      <c r="AI281" s="2">
        <v>2847</v>
      </c>
      <c r="AJ281" s="2">
        <v>3369</v>
      </c>
      <c r="AK281" s="2">
        <v>2527</v>
      </c>
      <c r="AL281" s="2">
        <v>3172</v>
      </c>
      <c r="AM281" s="2">
        <v>3519</v>
      </c>
    </row>
    <row r="282" spans="2:40" s="3" customFormat="1" x14ac:dyDescent="0.25">
      <c r="B282" s="3" t="s">
        <v>138</v>
      </c>
      <c r="C282" s="3">
        <v>1532</v>
      </c>
      <c r="D282" s="3">
        <v>1592</v>
      </c>
      <c r="E282" s="3">
        <v>1792</v>
      </c>
      <c r="F282" s="3">
        <v>2644</v>
      </c>
      <c r="G282" s="3">
        <v>2106</v>
      </c>
      <c r="H282" s="3">
        <v>2088</v>
      </c>
      <c r="I282" s="3">
        <v>2319</v>
      </c>
      <c r="J282" s="3">
        <v>2273</v>
      </c>
      <c r="K282" s="3">
        <v>2460</v>
      </c>
      <c r="L282" s="3">
        <v>1777</v>
      </c>
      <c r="M282" s="3">
        <v>2882</v>
      </c>
      <c r="N282" s="3">
        <v>3159</v>
      </c>
      <c r="O282" s="3">
        <v>2687</v>
      </c>
      <c r="P282" s="3">
        <v>2614</v>
      </c>
      <c r="Q282" s="3">
        <v>2752</v>
      </c>
      <c r="R282" s="3">
        <v>3378</v>
      </c>
      <c r="S282" s="3">
        <v>2723</v>
      </c>
      <c r="T282" s="3">
        <v>2513</v>
      </c>
      <c r="U282" s="3">
        <v>3033</v>
      </c>
      <c r="V282" s="3">
        <v>3120</v>
      </c>
      <c r="W282" s="3">
        <v>2517</v>
      </c>
      <c r="X282" s="3">
        <v>3239</v>
      </c>
      <c r="Y282" s="3">
        <v>2820</v>
      </c>
      <c r="Z282" s="3">
        <v>3190</v>
      </c>
      <c r="AA282" s="3">
        <v>2904</v>
      </c>
      <c r="AH282" s="3">
        <v>7560</v>
      </c>
      <c r="AI282" s="3">
        <v>8786</v>
      </c>
      <c r="AJ282" s="3">
        <v>10277</v>
      </c>
      <c r="AK282" s="3">
        <v>11316</v>
      </c>
      <c r="AL282" s="3">
        <v>11390</v>
      </c>
      <c r="AM282" s="3">
        <v>11766</v>
      </c>
    </row>
    <row r="283" spans="2:40" s="2" customFormat="1" x14ac:dyDescent="0.25">
      <c r="B283" s="2" t="s">
        <v>139</v>
      </c>
      <c r="C283" s="2">
        <v>212</v>
      </c>
      <c r="D283" s="2">
        <v>93</v>
      </c>
      <c r="E283" s="2">
        <v>36</v>
      </c>
      <c r="F283" s="2">
        <v>4</v>
      </c>
      <c r="G283" s="2">
        <v>116</v>
      </c>
      <c r="H283" s="2">
        <v>156</v>
      </c>
      <c r="I283" s="2">
        <v>120</v>
      </c>
      <c r="J283" s="2">
        <v>120</v>
      </c>
      <c r="K283" s="2">
        <v>196</v>
      </c>
      <c r="L283" s="2">
        <v>138</v>
      </c>
      <c r="M283" s="2">
        <v>75</v>
      </c>
      <c r="N283" s="2">
        <v>88</v>
      </c>
      <c r="O283" s="2">
        <v>132</v>
      </c>
      <c r="P283" s="2">
        <v>171</v>
      </c>
      <c r="Q283" s="2">
        <v>165</v>
      </c>
      <c r="R283" s="2">
        <v>95</v>
      </c>
      <c r="S283" s="2">
        <v>260</v>
      </c>
      <c r="T283" s="2">
        <v>149</v>
      </c>
      <c r="U283" s="2">
        <v>131</v>
      </c>
      <c r="V283" s="2">
        <v>97</v>
      </c>
      <c r="W283" s="2">
        <v>113</v>
      </c>
      <c r="X283" s="2">
        <v>306</v>
      </c>
      <c r="Y283" s="2">
        <v>112</v>
      </c>
      <c r="Z283" s="2">
        <v>91</v>
      </c>
      <c r="AA283" s="2">
        <v>135</v>
      </c>
      <c r="AH283" s="2">
        <v>345</v>
      </c>
      <c r="AI283" s="2">
        <v>512</v>
      </c>
      <c r="AJ283" s="2">
        <v>498</v>
      </c>
      <c r="AK283" s="2">
        <v>563</v>
      </c>
      <c r="AL283" s="2">
        <v>637</v>
      </c>
      <c r="AM283" s="2">
        <v>622</v>
      </c>
    </row>
    <row r="284" spans="2:40" s="2" customFormat="1" x14ac:dyDescent="0.25">
      <c r="B284" s="2" t="s">
        <v>174</v>
      </c>
      <c r="C284" s="2">
        <v>-16</v>
      </c>
      <c r="D284" s="2">
        <v>-38</v>
      </c>
      <c r="E284" s="2">
        <v>-47</v>
      </c>
      <c r="F284" s="2">
        <v>-572</v>
      </c>
      <c r="G284" s="2">
        <v>-3</v>
      </c>
      <c r="H284" s="2">
        <v>-68</v>
      </c>
      <c r="I284" s="2">
        <v>-16</v>
      </c>
      <c r="J284" s="2">
        <v>3</v>
      </c>
      <c r="K284" s="2">
        <v>28</v>
      </c>
      <c r="L284" s="2">
        <v>324</v>
      </c>
      <c r="M284" s="2">
        <v>5</v>
      </c>
      <c r="N284" s="2">
        <v>1163</v>
      </c>
      <c r="O284" s="2">
        <v>168</v>
      </c>
      <c r="P284" s="2">
        <v>60</v>
      </c>
      <c r="Q284" s="2">
        <v>44</v>
      </c>
      <c r="R284" s="2">
        <v>71</v>
      </c>
      <c r="AH284" s="2">
        <v>-673</v>
      </c>
      <c r="AI284" s="2">
        <v>-84</v>
      </c>
      <c r="AJ284" s="2">
        <v>1520</v>
      </c>
    </row>
    <row r="285" spans="2:40" s="2" customFormat="1" ht="26.4" x14ac:dyDescent="0.25">
      <c r="B285" s="33" t="s">
        <v>140</v>
      </c>
      <c r="C285" s="2">
        <v>-274</v>
      </c>
      <c r="D285" s="2">
        <v>-359</v>
      </c>
      <c r="E285" s="2">
        <v>-433</v>
      </c>
      <c r="F285" s="2">
        <v>-665</v>
      </c>
      <c r="G285" s="2">
        <v>-255</v>
      </c>
      <c r="H285" s="2">
        <v>-192</v>
      </c>
      <c r="I285" s="2">
        <v>-715</v>
      </c>
      <c r="J285" s="2">
        <v>-555</v>
      </c>
      <c r="K285" s="2">
        <v>-238</v>
      </c>
      <c r="L285" s="2">
        <v>-489</v>
      </c>
      <c r="M285" s="2">
        <v>-3874</v>
      </c>
      <c r="N285" s="2">
        <v>-541</v>
      </c>
      <c r="O285" s="2">
        <v>-763</v>
      </c>
      <c r="P285" s="2">
        <v>1297</v>
      </c>
      <c r="Q285" s="2">
        <v>-976</v>
      </c>
      <c r="R285" s="2">
        <v>-692</v>
      </c>
      <c r="S285" s="2">
        <v>234</v>
      </c>
      <c r="T285" s="2">
        <v>-407</v>
      </c>
      <c r="U285" s="2">
        <v>-313</v>
      </c>
      <c r="V285" s="2">
        <v>-314</v>
      </c>
      <c r="W285" s="2">
        <v>-250</v>
      </c>
      <c r="X285" s="2">
        <v>-371</v>
      </c>
      <c r="Y285" s="2">
        <v>-41</v>
      </c>
      <c r="Z285" s="2">
        <v>-896</v>
      </c>
      <c r="AA285" s="2">
        <v>-96</v>
      </c>
      <c r="AH285" s="2">
        <v>-1731</v>
      </c>
      <c r="AI285" s="2">
        <v>-1717</v>
      </c>
      <c r="AJ285" s="2">
        <v>-5141</v>
      </c>
      <c r="AK285" s="2">
        <v>-753</v>
      </c>
      <c r="AL285" s="2">
        <v>-800</v>
      </c>
      <c r="AM285" s="2">
        <v>-1558</v>
      </c>
    </row>
    <row r="286" spans="2:40" s="4" customFormat="1" x14ac:dyDescent="0.25">
      <c r="B286" s="4" t="s">
        <v>141</v>
      </c>
      <c r="C286" s="4">
        <v>1457</v>
      </c>
      <c r="D286" s="4">
        <v>1287</v>
      </c>
      <c r="E286" s="4">
        <v>1347</v>
      </c>
      <c r="F286" s="4">
        <v>1411</v>
      </c>
      <c r="G286" s="4">
        <v>1963</v>
      </c>
      <c r="H286" s="4">
        <v>1984</v>
      </c>
      <c r="I286" s="4">
        <v>1708</v>
      </c>
      <c r="J286" s="4">
        <v>1841</v>
      </c>
      <c r="K286" s="4">
        <v>2447</v>
      </c>
      <c r="L286" s="4">
        <v>1750</v>
      </c>
      <c r="M286" s="4">
        <v>-912</v>
      </c>
      <c r="N286" s="4">
        <v>3869</v>
      </c>
      <c r="O286" s="4">
        <v>2223</v>
      </c>
      <c r="P286" s="4">
        <v>4141</v>
      </c>
      <c r="Q286" s="4">
        <v>1985</v>
      </c>
      <c r="R286" s="4">
        <v>2851</v>
      </c>
      <c r="S286" s="4">
        <v>3217</v>
      </c>
      <c r="T286" s="4">
        <v>2256</v>
      </c>
      <c r="U286" s="4">
        <v>2852</v>
      </c>
      <c r="V286" s="4">
        <v>2903</v>
      </c>
      <c r="W286" s="4">
        <v>2381</v>
      </c>
      <c r="X286" s="4">
        <v>3173</v>
      </c>
      <c r="Y286" s="4">
        <v>2890</v>
      </c>
      <c r="Z286" s="4">
        <v>2385</v>
      </c>
      <c r="AA286" s="4">
        <v>2944</v>
      </c>
      <c r="AH286" s="4">
        <v>5502</v>
      </c>
      <c r="AI286" s="4">
        <v>7496</v>
      </c>
      <c r="AJ286" s="4">
        <v>7154</v>
      </c>
      <c r="AK286" s="4">
        <v>11126</v>
      </c>
      <c r="AL286" s="4">
        <v>11227</v>
      </c>
      <c r="AM286" s="4">
        <v>10830</v>
      </c>
    </row>
    <row r="287" spans="2:40" x14ac:dyDescent="0.25">
      <c r="AB287" s="2"/>
      <c r="AC287" s="2"/>
      <c r="AD287" s="2"/>
      <c r="AE287" s="2"/>
      <c r="AF287" s="2"/>
    </row>
    <row r="288" spans="2:40" x14ac:dyDescent="0.25">
      <c r="AB288" s="2"/>
      <c r="AC288" s="2"/>
      <c r="AD288" s="2"/>
      <c r="AE288" s="2"/>
      <c r="AF288" s="2"/>
    </row>
    <row r="289" spans="2:39" x14ac:dyDescent="0.25">
      <c r="AB289" s="2"/>
      <c r="AC289" s="2"/>
      <c r="AD289" s="2"/>
      <c r="AE289" s="2"/>
      <c r="AF289" s="2"/>
    </row>
    <row r="290" spans="2:39" ht="16.8" x14ac:dyDescent="0.3">
      <c r="B290" s="35" t="s">
        <v>144</v>
      </c>
      <c r="AB290" s="2"/>
      <c r="AC290" s="2"/>
      <c r="AD290" s="2"/>
      <c r="AE290" s="2"/>
      <c r="AF290" s="2"/>
    </row>
    <row r="291" spans="2:39" s="10" customFormat="1" x14ac:dyDescent="0.25">
      <c r="B291" s="10" t="s">
        <v>134</v>
      </c>
      <c r="C291" s="10">
        <v>0.14399999999999999</v>
      </c>
      <c r="D291" s="10">
        <v>0.159</v>
      </c>
      <c r="E291" s="10">
        <v>0.245</v>
      </c>
      <c r="F291" s="10">
        <v>0.316</v>
      </c>
      <c r="G291" s="10">
        <v>0.22500000000000001</v>
      </c>
      <c r="H291" s="10">
        <v>0.20100000000000001</v>
      </c>
      <c r="I291" s="10">
        <v>0.20300000000000001</v>
      </c>
      <c r="J291" s="10">
        <v>0.188</v>
      </c>
      <c r="K291" s="10">
        <v>0.218</v>
      </c>
      <c r="L291" s="10">
        <v>0.18099999999999999</v>
      </c>
      <c r="M291" s="10">
        <v>0.183</v>
      </c>
      <c r="N291" s="10">
        <v>0.215</v>
      </c>
      <c r="O291" s="10">
        <v>0.22500000000000001</v>
      </c>
      <c r="P291" s="10">
        <v>0.23499999999999999</v>
      </c>
      <c r="Q291" s="10">
        <v>0.21099999999999999</v>
      </c>
      <c r="R291" s="10">
        <v>0.23100000000000001</v>
      </c>
      <c r="S291" s="10">
        <v>0.19600000000000001</v>
      </c>
      <c r="T291" s="10">
        <v>0.16500000000000001</v>
      </c>
      <c r="U291" s="10">
        <v>0.22900000000000001</v>
      </c>
      <c r="V291" s="10">
        <v>0.16200000000000001</v>
      </c>
      <c r="W291" s="10">
        <v>0.14499999999999999</v>
      </c>
      <c r="X291" s="10">
        <v>0.14799999999999999</v>
      </c>
      <c r="Y291" s="10">
        <v>0.14499999999999999</v>
      </c>
      <c r="Z291" s="10">
        <f>Z278/Z245</f>
        <v>0.15487077534791252</v>
      </c>
      <c r="AA291" s="10">
        <v>0.17799999999999999</v>
      </c>
      <c r="AH291" s="10">
        <v>0.217</v>
      </c>
      <c r="AI291" s="10">
        <v>0.20300000000000001</v>
      </c>
      <c r="AJ291" s="10">
        <v>0.19900000000000001</v>
      </c>
      <c r="AK291" s="10">
        <v>0.23400000000000001</v>
      </c>
      <c r="AL291" s="10">
        <v>0.189</v>
      </c>
      <c r="AM291" s="10">
        <v>0.14899999999999999</v>
      </c>
    </row>
    <row r="292" spans="2:39" s="10" customFormat="1" x14ac:dyDescent="0.25">
      <c r="B292" s="10" t="s">
        <v>135</v>
      </c>
      <c r="C292" s="10">
        <v>0.08</v>
      </c>
      <c r="D292" s="10">
        <v>5.1999999999999998E-2</v>
      </c>
      <c r="E292" s="10">
        <v>7.3999999999999996E-2</v>
      </c>
      <c r="F292" s="10">
        <v>0.15</v>
      </c>
      <c r="G292" s="10">
        <v>0.112</v>
      </c>
      <c r="H292" s="10">
        <v>0.11</v>
      </c>
      <c r="I292" s="10">
        <v>0.121</v>
      </c>
      <c r="J292" s="10">
        <v>0.12</v>
      </c>
      <c r="K292" s="10">
        <v>0.126</v>
      </c>
      <c r="L292" s="10">
        <v>0.111</v>
      </c>
      <c r="M292" s="10">
        <v>0.129</v>
      </c>
      <c r="N292" s="10">
        <v>0.14199999999999999</v>
      </c>
      <c r="O292" s="10">
        <v>0.153</v>
      </c>
      <c r="P292" s="10">
        <v>0.159</v>
      </c>
      <c r="Q292" s="10">
        <v>0.156</v>
      </c>
      <c r="R292" s="10">
        <v>0.14899999999999999</v>
      </c>
      <c r="S292" s="10">
        <v>0.183</v>
      </c>
      <c r="T292" s="10">
        <v>0.16600000000000001</v>
      </c>
      <c r="U292" s="10">
        <v>0.17</v>
      </c>
      <c r="V292" s="10">
        <v>0.17499999999999999</v>
      </c>
      <c r="W292" s="10">
        <v>0.16900000000000001</v>
      </c>
      <c r="X292" s="10">
        <v>0.24</v>
      </c>
      <c r="Y292" s="10">
        <v>0.188</v>
      </c>
      <c r="Z292" s="10">
        <v>0.187</v>
      </c>
      <c r="AA292" s="10">
        <v>0.19</v>
      </c>
      <c r="AH292" s="10">
        <v>9.0999999999999998E-2</v>
      </c>
      <c r="AI292" s="10">
        <v>0.115</v>
      </c>
      <c r="AJ292" s="10">
        <v>0.128</v>
      </c>
      <c r="AK292" s="10">
        <v>0.154</v>
      </c>
      <c r="AL292" s="10">
        <v>0.17299999999999999</v>
      </c>
      <c r="AM292" s="10">
        <v>0.19600000000000001</v>
      </c>
    </row>
    <row r="293" spans="2:39" s="10" customFormat="1" x14ac:dyDescent="0.25">
      <c r="B293" s="10" t="s">
        <v>136</v>
      </c>
      <c r="C293" s="10">
        <v>0.1</v>
      </c>
      <c r="D293" s="10">
        <v>9.2999999999999999E-2</v>
      </c>
      <c r="E293" s="10">
        <v>7.0999999999999994E-2</v>
      </c>
      <c r="F293" s="10">
        <v>9.9000000000000005E-2</v>
      </c>
      <c r="G293" s="10">
        <v>9.9000000000000005E-2</v>
      </c>
      <c r="H293" s="10">
        <v>9.1999999999999998E-2</v>
      </c>
      <c r="I293" s="10">
        <v>0.09</v>
      </c>
      <c r="J293" s="10">
        <v>0.09</v>
      </c>
      <c r="K293" s="10">
        <v>9.2999999999999999E-2</v>
      </c>
      <c r="L293" s="10">
        <v>-0.17299999999999999</v>
      </c>
      <c r="M293" s="10">
        <v>0.28699999999999998</v>
      </c>
      <c r="N293" s="10">
        <v>8.7999999999999995E-2</v>
      </c>
      <c r="O293" s="10">
        <v>0.08</v>
      </c>
      <c r="P293" s="10">
        <v>9.1999999999999998E-2</v>
      </c>
      <c r="Q293" s="10">
        <v>8.1000000000000003E-2</v>
      </c>
      <c r="R293" s="10">
        <v>0.08</v>
      </c>
      <c r="S293" s="10">
        <v>9.2999999999999999E-2</v>
      </c>
      <c r="T293" s="10">
        <v>8.4000000000000005E-2</v>
      </c>
      <c r="U293" s="10">
        <v>8.6999999999999994E-2</v>
      </c>
      <c r="V293" s="10">
        <v>0.09</v>
      </c>
      <c r="W293" s="10">
        <v>8.4000000000000005E-2</v>
      </c>
      <c r="X293" s="10">
        <v>9.0999999999999998E-2</v>
      </c>
      <c r="Y293" s="10">
        <v>9.2999999999999999E-2</v>
      </c>
      <c r="Z293" s="10">
        <v>8.5000000000000006E-2</v>
      </c>
      <c r="AA293" s="10">
        <v>0.09</v>
      </c>
      <c r="AH293" s="10">
        <v>9.0999999999999998E-2</v>
      </c>
      <c r="AI293" s="10">
        <v>9.1999999999999998E-2</v>
      </c>
      <c r="AJ293" s="10">
        <v>8.2000000000000003E-2</v>
      </c>
      <c r="AK293" s="10">
        <v>8.4000000000000005E-2</v>
      </c>
      <c r="AL293" s="10">
        <v>8.8999999999999996E-2</v>
      </c>
      <c r="AM293" s="10">
        <v>8.7999999999999995E-2</v>
      </c>
    </row>
    <row r="294" spans="2:39" s="10" customFormat="1" x14ac:dyDescent="0.25">
      <c r="B294" s="10" t="s">
        <v>137</v>
      </c>
      <c r="C294" s="10">
        <v>0.13700000000000001</v>
      </c>
      <c r="D294" s="10">
        <v>0.16600000000000001</v>
      </c>
      <c r="E294" s="10">
        <v>0.14799999999999999</v>
      </c>
      <c r="F294" s="10">
        <v>0.152</v>
      </c>
      <c r="G294" s="10">
        <v>0.189</v>
      </c>
      <c r="H294" s="10">
        <v>0.17100000000000001</v>
      </c>
      <c r="I294" s="10">
        <v>0.16200000000000001</v>
      </c>
      <c r="J294" s="10">
        <v>0.13300000000000001</v>
      </c>
      <c r="K294" s="10">
        <v>0.16</v>
      </c>
      <c r="L294" s="10">
        <v>0.16</v>
      </c>
      <c r="M294" s="10">
        <v>0.13800000000000001</v>
      </c>
      <c r="N294" s="10">
        <v>0.161</v>
      </c>
      <c r="O294" s="10">
        <v>0.125</v>
      </c>
      <c r="P294" s="10">
        <v>5.3999999999999999E-2</v>
      </c>
      <c r="Q294" s="10">
        <v>0.126</v>
      </c>
      <c r="R294" s="10">
        <v>0.156</v>
      </c>
      <c r="S294" s="10">
        <v>0.13400000000000001</v>
      </c>
      <c r="T294" s="10">
        <v>0.125</v>
      </c>
      <c r="U294" s="10">
        <v>0.14099999999999999</v>
      </c>
      <c r="V294" s="10">
        <v>0.16400000000000001</v>
      </c>
      <c r="W294" s="10">
        <v>0.14399999999999999</v>
      </c>
      <c r="X294" s="10">
        <v>0.159</v>
      </c>
      <c r="Y294" s="10">
        <v>0.14499999999999999</v>
      </c>
      <c r="Z294" s="10">
        <v>0.154</v>
      </c>
      <c r="AA294" s="10">
        <v>0.14099999999999999</v>
      </c>
      <c r="AH294" s="10">
        <v>0.151</v>
      </c>
      <c r="AI294" s="10">
        <v>0.158</v>
      </c>
      <c r="AJ294" s="10">
        <v>0.155</v>
      </c>
      <c r="AK294" s="10">
        <v>0.11700000000000001</v>
      </c>
      <c r="AL294" s="10">
        <v>0.14199999999999999</v>
      </c>
      <c r="AM294" s="10">
        <v>0.151</v>
      </c>
    </row>
    <row r="295" spans="2:39" s="14" customFormat="1" x14ac:dyDescent="0.25">
      <c r="B295" s="14" t="s">
        <v>138</v>
      </c>
      <c r="C295" s="14">
        <v>0.11700000000000001</v>
      </c>
      <c r="D295" s="14">
        <v>0.121</v>
      </c>
      <c r="E295" s="14">
        <v>0.14299999999999999</v>
      </c>
      <c r="F295" s="14">
        <v>0.187</v>
      </c>
      <c r="G295" s="14">
        <v>0.16500000000000001</v>
      </c>
      <c r="H295" s="14">
        <v>0.151</v>
      </c>
      <c r="I295" s="14">
        <v>0.153</v>
      </c>
      <c r="J295" s="14">
        <v>0.13800000000000001</v>
      </c>
      <c r="K295" s="14">
        <v>0.157</v>
      </c>
      <c r="L295" s="14">
        <v>0.11</v>
      </c>
      <c r="M295" s="14">
        <v>0.17</v>
      </c>
      <c r="N295" s="14">
        <v>0.16200000000000001</v>
      </c>
      <c r="O295" s="14">
        <v>0.156</v>
      </c>
      <c r="P295" s="14">
        <v>0.14199999999999999</v>
      </c>
      <c r="Q295" s="14">
        <v>0.153</v>
      </c>
      <c r="R295" s="14">
        <v>0.16500000000000001</v>
      </c>
      <c r="S295" s="14">
        <v>0.158</v>
      </c>
      <c r="T295" s="14">
        <v>0.14000000000000001</v>
      </c>
      <c r="U295" s="14">
        <v>0.16500000000000001</v>
      </c>
      <c r="V295" s="14">
        <v>0.155</v>
      </c>
      <c r="W295" s="14">
        <v>0.14099999999999999</v>
      </c>
      <c r="X295" s="14">
        <v>0.16900000000000001</v>
      </c>
      <c r="Y295" s="14">
        <v>0.14899999999999999</v>
      </c>
      <c r="Z295" s="14">
        <v>0.153</v>
      </c>
      <c r="AA295" s="14">
        <v>0.156</v>
      </c>
      <c r="AH295" s="14">
        <v>0.14299999999999999</v>
      </c>
      <c r="AI295" s="14">
        <v>0.15</v>
      </c>
      <c r="AJ295" s="14">
        <v>0.151</v>
      </c>
      <c r="AK295" s="14">
        <v>0.155</v>
      </c>
      <c r="AL295" s="14">
        <v>0.155</v>
      </c>
      <c r="AM295" s="14">
        <v>0.154</v>
      </c>
    </row>
    <row r="296" spans="2:39" s="10" customFormat="1" x14ac:dyDescent="0.25">
      <c r="B296" s="10" t="s">
        <v>139</v>
      </c>
      <c r="C296" s="10">
        <v>0.27700000000000002</v>
      </c>
      <c r="D296" s="10">
        <v>0.126</v>
      </c>
      <c r="E296" s="10">
        <v>4.5999999999999999E-2</v>
      </c>
      <c r="F296" s="10">
        <v>0.01</v>
      </c>
      <c r="G296" s="10">
        <v>0.153</v>
      </c>
      <c r="H296" s="10">
        <v>0.189</v>
      </c>
      <c r="I296" s="10">
        <v>0.14199999999999999</v>
      </c>
      <c r="J296" s="10">
        <v>0.13600000000000001</v>
      </c>
      <c r="K296" s="10">
        <v>0.23300000000000001</v>
      </c>
      <c r="L296" s="10">
        <v>0.16400000000000001</v>
      </c>
      <c r="M296" s="10">
        <v>0.12</v>
      </c>
      <c r="N296" s="10">
        <v>0.115</v>
      </c>
      <c r="O296" s="10">
        <v>0.14499999999999999</v>
      </c>
      <c r="P296" s="10">
        <v>0.20200000000000001</v>
      </c>
      <c r="Q296" s="10">
        <v>0.21199999999999999</v>
      </c>
      <c r="R296" s="10">
        <v>0.10100000000000001</v>
      </c>
      <c r="S296" s="10">
        <v>0.312</v>
      </c>
      <c r="T296" s="10">
        <v>0.16600000000000001</v>
      </c>
      <c r="U296" s="10">
        <v>0.128</v>
      </c>
      <c r="V296" s="10">
        <v>0.10199999999999999</v>
      </c>
      <c r="W296" s="10">
        <v>0.13300000000000001</v>
      </c>
      <c r="X296" s="10">
        <v>0.36099999999999999</v>
      </c>
      <c r="Y296" s="10">
        <v>0.10299999999999999</v>
      </c>
      <c r="Z296" s="10">
        <v>0.08</v>
      </c>
      <c r="AA296" s="10">
        <v>0.13900000000000001</v>
      </c>
      <c r="AH296" s="10">
        <v>0.11700000000000001</v>
      </c>
      <c r="AI296" s="10">
        <v>0.155</v>
      </c>
      <c r="AJ296" s="10">
        <v>0.156</v>
      </c>
      <c r="AK296" s="10">
        <v>0.16300000000000001</v>
      </c>
      <c r="AL296" s="10">
        <v>0.17599999999999999</v>
      </c>
      <c r="AM296" s="10">
        <v>0.17</v>
      </c>
    </row>
    <row r="297" spans="2:39" s="10" customFormat="1" x14ac:dyDescent="0.25">
      <c r="B297" s="10" t="s">
        <v>174</v>
      </c>
      <c r="C297" s="10">
        <v>-1.7999999999999999E-2</v>
      </c>
      <c r="D297" s="10">
        <v>-4.4999999999999998E-2</v>
      </c>
      <c r="E297" s="10">
        <v>-7.6999999999999999E-2</v>
      </c>
      <c r="F297" s="10">
        <v>-0.63900000000000001</v>
      </c>
      <c r="G297" s="10">
        <v>-5.0000000000000001E-3</v>
      </c>
      <c r="H297" s="10">
        <v>-9.4E-2</v>
      </c>
      <c r="I297" s="10">
        <v>-2.1999999999999999E-2</v>
      </c>
      <c r="J297" s="10">
        <v>3.0000000000000001E-3</v>
      </c>
      <c r="K297" s="10">
        <v>0.04</v>
      </c>
      <c r="L297" s="10">
        <v>0.41599999999999998</v>
      </c>
      <c r="M297" s="10">
        <v>6.0000000000000001E-3</v>
      </c>
      <c r="N297" s="10">
        <v>1.23</v>
      </c>
      <c r="O297" s="10">
        <v>0.24</v>
      </c>
      <c r="P297" s="10">
        <v>7.2999999999999995E-2</v>
      </c>
      <c r="Q297" s="10">
        <v>5.3999999999999999E-2</v>
      </c>
      <c r="R297" s="10">
        <v>7.2999999999999995E-2</v>
      </c>
      <c r="AH297" s="10">
        <v>-0.21</v>
      </c>
      <c r="AI297" s="10">
        <v>-2.8000000000000001E-2</v>
      </c>
      <c r="AJ297" s="10">
        <v>0.47</v>
      </c>
    </row>
    <row r="298" spans="2:39" s="10" customFormat="1" ht="26.4" x14ac:dyDescent="0.25">
      <c r="B298" s="15" t="s">
        <v>140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</row>
    <row r="299" spans="2:39" s="10" customFormat="1" x14ac:dyDescent="0.25">
      <c r="B299" s="14" t="s">
        <v>141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</row>
    <row r="300" spans="2:39" x14ac:dyDescent="0.25">
      <c r="AB300" s="2"/>
      <c r="AC300" s="2"/>
      <c r="AD300" s="2"/>
      <c r="AE300" s="2"/>
      <c r="AF300" s="2"/>
    </row>
    <row r="301" spans="2:39" x14ac:dyDescent="0.25">
      <c r="AB301" s="2"/>
      <c r="AC301" s="2"/>
      <c r="AD301" s="2"/>
      <c r="AE301" s="2"/>
      <c r="AF301" s="2"/>
    </row>
    <row r="302" spans="2:39" x14ac:dyDescent="0.25">
      <c r="AB302" s="2"/>
      <c r="AC302" s="2"/>
      <c r="AD302" s="2"/>
      <c r="AE302" s="2"/>
      <c r="AF302" s="2"/>
    </row>
    <row r="303" spans="2:39" ht="16.8" x14ac:dyDescent="0.3">
      <c r="B303" s="35" t="s">
        <v>146</v>
      </c>
      <c r="AB303" s="2"/>
      <c r="AC303" s="2"/>
      <c r="AD303" s="2"/>
      <c r="AE303" s="2"/>
      <c r="AF303" s="2"/>
    </row>
    <row r="304" spans="2:39" s="2" customFormat="1" x14ac:dyDescent="0.25">
      <c r="B304" s="2" t="s">
        <v>134</v>
      </c>
      <c r="F304" s="2">
        <v>10756</v>
      </c>
      <c r="G304" s="2">
        <v>9842</v>
      </c>
      <c r="H304" s="2">
        <v>9891</v>
      </c>
      <c r="I304" s="2">
        <v>9629</v>
      </c>
      <c r="J304" s="2">
        <v>10123</v>
      </c>
      <c r="K304" s="2">
        <v>10747</v>
      </c>
      <c r="L304" s="2">
        <v>10123</v>
      </c>
      <c r="M304" s="2">
        <v>10608</v>
      </c>
      <c r="N304" s="2">
        <v>10861</v>
      </c>
      <c r="O304" s="2">
        <v>10777</v>
      </c>
      <c r="P304" s="2">
        <v>10845</v>
      </c>
      <c r="Q304" s="2">
        <v>10759</v>
      </c>
      <c r="R304" s="2">
        <v>10523</v>
      </c>
      <c r="S304" s="2">
        <v>10600</v>
      </c>
      <c r="T304" s="2">
        <v>10901</v>
      </c>
      <c r="U304" s="2">
        <v>11031</v>
      </c>
      <c r="V304" s="2">
        <v>10476</v>
      </c>
      <c r="W304" s="2">
        <v>10927</v>
      </c>
      <c r="X304" s="2">
        <v>19988</v>
      </c>
      <c r="Y304" s="2">
        <v>18921</v>
      </c>
      <c r="Z304" s="2">
        <v>22885</v>
      </c>
      <c r="AA304" s="2">
        <v>23253</v>
      </c>
      <c r="AH304" s="2">
        <v>10756</v>
      </c>
      <c r="AI304" s="2">
        <v>10123</v>
      </c>
      <c r="AJ304" s="2">
        <v>10861</v>
      </c>
      <c r="AK304" s="2">
        <v>10523</v>
      </c>
      <c r="AL304" s="2">
        <v>10476</v>
      </c>
      <c r="AM304" s="2">
        <v>22885</v>
      </c>
    </row>
    <row r="305" spans="2:39" s="2" customFormat="1" x14ac:dyDescent="0.25">
      <c r="B305" s="2" t="s">
        <v>135</v>
      </c>
      <c r="F305" s="2">
        <v>4340</v>
      </c>
      <c r="G305" s="2">
        <v>4538</v>
      </c>
      <c r="H305" s="2">
        <v>4808</v>
      </c>
      <c r="I305" s="2">
        <v>4726</v>
      </c>
      <c r="J305" s="2">
        <v>4385</v>
      </c>
      <c r="K305" s="2">
        <v>4818</v>
      </c>
      <c r="L305" s="2">
        <v>4385</v>
      </c>
      <c r="M305" s="2">
        <v>5315</v>
      </c>
      <c r="N305" s="2">
        <v>6501</v>
      </c>
      <c r="O305" s="2">
        <v>6963</v>
      </c>
      <c r="P305" s="2">
        <v>6877</v>
      </c>
      <c r="Q305" s="2">
        <v>6918</v>
      </c>
      <c r="R305" s="2">
        <v>6386</v>
      </c>
      <c r="S305" s="2">
        <v>7155</v>
      </c>
      <c r="T305" s="2">
        <v>7260</v>
      </c>
      <c r="U305" s="2">
        <v>7239</v>
      </c>
      <c r="V305" s="2">
        <v>6650</v>
      </c>
      <c r="W305" s="2">
        <v>7331</v>
      </c>
      <c r="X305" s="2">
        <v>7223</v>
      </c>
      <c r="Y305" s="2">
        <v>7044</v>
      </c>
      <c r="Z305" s="2">
        <v>6709</v>
      </c>
      <c r="AA305" s="2">
        <v>7220</v>
      </c>
      <c r="AH305" s="2">
        <v>4340</v>
      </c>
      <c r="AI305" s="2">
        <v>4385</v>
      </c>
      <c r="AJ305" s="2">
        <v>6501</v>
      </c>
      <c r="AK305" s="2">
        <v>6386</v>
      </c>
      <c r="AL305" s="2">
        <v>6650</v>
      </c>
      <c r="AM305" s="2">
        <v>6709</v>
      </c>
    </row>
    <row r="306" spans="2:39" s="2" customFormat="1" x14ac:dyDescent="0.25">
      <c r="B306" s="2" t="s">
        <v>136</v>
      </c>
      <c r="F306" s="2">
        <v>3424</v>
      </c>
      <c r="G306" s="2">
        <v>2963</v>
      </c>
      <c r="H306" s="2">
        <v>3185</v>
      </c>
      <c r="I306" s="2">
        <v>3591</v>
      </c>
      <c r="J306" s="2">
        <v>2661</v>
      </c>
      <c r="K306" s="2">
        <v>3384</v>
      </c>
      <c r="L306" s="2">
        <v>2661</v>
      </c>
      <c r="M306" s="2">
        <v>2633</v>
      </c>
      <c r="N306" s="2">
        <v>2547</v>
      </c>
      <c r="O306" s="2">
        <v>2874</v>
      </c>
      <c r="P306" s="2">
        <v>3066</v>
      </c>
      <c r="Q306" s="2">
        <v>2588</v>
      </c>
      <c r="R306" s="2">
        <v>2244</v>
      </c>
      <c r="S306" s="2">
        <v>2517</v>
      </c>
      <c r="T306" s="2">
        <v>2499</v>
      </c>
      <c r="U306" s="2">
        <v>2963</v>
      </c>
      <c r="V306" s="2">
        <v>2018</v>
      </c>
      <c r="W306" s="2">
        <v>2636</v>
      </c>
      <c r="X306" s="2">
        <v>2836</v>
      </c>
      <c r="Y306" s="2">
        <v>3194</v>
      </c>
      <c r="Z306" s="2">
        <v>2165</v>
      </c>
      <c r="AA306" s="2">
        <v>2847</v>
      </c>
      <c r="AH306" s="2">
        <v>3424</v>
      </c>
      <c r="AI306" s="2">
        <v>2661</v>
      </c>
      <c r="AJ306" s="2">
        <v>2547</v>
      </c>
      <c r="AK306" s="2">
        <v>2244</v>
      </c>
      <c r="AL306" s="2">
        <v>2018</v>
      </c>
      <c r="AM306" s="2">
        <v>2165</v>
      </c>
    </row>
    <row r="307" spans="2:39" s="2" customFormat="1" x14ac:dyDescent="0.25">
      <c r="B307" s="2" t="s">
        <v>137</v>
      </c>
      <c r="F307" s="2">
        <v>15338</v>
      </c>
      <c r="G307" s="2">
        <v>14396</v>
      </c>
      <c r="H307" s="2">
        <v>15272</v>
      </c>
      <c r="I307" s="2">
        <v>30626</v>
      </c>
      <c r="J307" s="2">
        <v>31205</v>
      </c>
      <c r="K307" s="2">
        <v>31980</v>
      </c>
      <c r="L307" s="2">
        <v>31205</v>
      </c>
      <c r="M307" s="2">
        <v>34675</v>
      </c>
      <c r="N307" s="2">
        <v>36948</v>
      </c>
      <c r="O307" s="2">
        <v>34680</v>
      </c>
      <c r="P307" s="2">
        <v>33582</v>
      </c>
      <c r="Q307" s="2">
        <v>33452</v>
      </c>
      <c r="R307" s="2">
        <v>34415</v>
      </c>
      <c r="S307" s="2">
        <v>33693</v>
      </c>
      <c r="T307" s="2">
        <v>34266</v>
      </c>
      <c r="U307" s="2">
        <v>34473</v>
      </c>
      <c r="V307" s="2">
        <v>33457</v>
      </c>
      <c r="W307" s="2">
        <v>35413</v>
      </c>
      <c r="X307" s="2">
        <v>34862</v>
      </c>
      <c r="Y307" s="2">
        <v>32715</v>
      </c>
      <c r="Z307" s="2">
        <v>32465</v>
      </c>
      <c r="AA307" s="2">
        <v>32762</v>
      </c>
      <c r="AH307" s="2">
        <v>15338</v>
      </c>
      <c r="AI307" s="2">
        <v>31205</v>
      </c>
      <c r="AJ307" s="2">
        <v>36948</v>
      </c>
      <c r="AK307" s="2">
        <v>34415</v>
      </c>
      <c r="AL307" s="2">
        <v>33457</v>
      </c>
      <c r="AM307" s="2">
        <v>32465</v>
      </c>
    </row>
    <row r="308" spans="2:39" s="3" customFormat="1" x14ac:dyDescent="0.25">
      <c r="B308" s="3" t="s">
        <v>138</v>
      </c>
      <c r="F308" s="3">
        <v>33859</v>
      </c>
      <c r="G308" s="3">
        <v>31739</v>
      </c>
      <c r="H308" s="3">
        <v>33157</v>
      </c>
      <c r="I308" s="3">
        <v>48572</v>
      </c>
      <c r="J308" s="3">
        <v>48374</v>
      </c>
      <c r="K308" s="3">
        <v>50929</v>
      </c>
      <c r="L308" s="3">
        <v>48374</v>
      </c>
      <c r="M308" s="3">
        <v>53230</v>
      </c>
      <c r="N308" s="3">
        <v>56857</v>
      </c>
      <c r="O308" s="3">
        <v>55294</v>
      </c>
      <c r="P308" s="3">
        <v>54369</v>
      </c>
      <c r="Q308" s="3">
        <v>53716</v>
      </c>
      <c r="R308" s="3">
        <v>53568</v>
      </c>
      <c r="S308" s="3">
        <v>53965</v>
      </c>
      <c r="T308" s="3">
        <v>54926</v>
      </c>
      <c r="U308" s="3">
        <v>55706</v>
      </c>
      <c r="V308" s="3">
        <v>52601</v>
      </c>
      <c r="W308" s="3">
        <v>56307</v>
      </c>
      <c r="X308" s="3">
        <v>64910</v>
      </c>
      <c r="Y308" s="3">
        <v>61874</v>
      </c>
      <c r="Z308" s="3">
        <v>64224</v>
      </c>
      <c r="AA308" s="3">
        <v>66082</v>
      </c>
      <c r="AH308" s="3">
        <v>33859</v>
      </c>
      <c r="AI308" s="3">
        <v>48374</v>
      </c>
      <c r="AJ308" s="3">
        <v>56857</v>
      </c>
      <c r="AK308" s="3">
        <v>53568</v>
      </c>
      <c r="AL308" s="3">
        <v>52601</v>
      </c>
      <c r="AM308" s="3">
        <v>64224</v>
      </c>
    </row>
    <row r="309" spans="2:39" s="2" customFormat="1" x14ac:dyDescent="0.25">
      <c r="B309" s="2" t="s">
        <v>139</v>
      </c>
      <c r="F309" s="2">
        <v>28946</v>
      </c>
      <c r="G309" s="2">
        <v>28946</v>
      </c>
      <c r="H309" s="2">
        <v>29053</v>
      </c>
      <c r="I309" s="2">
        <v>29667</v>
      </c>
      <c r="J309" s="2">
        <v>30384</v>
      </c>
      <c r="K309" s="2">
        <v>30843</v>
      </c>
      <c r="L309" s="2">
        <v>30384</v>
      </c>
      <c r="M309" s="2">
        <v>32682</v>
      </c>
      <c r="N309" s="2">
        <v>33263</v>
      </c>
      <c r="O309" s="2">
        <v>31536</v>
      </c>
      <c r="P309" s="2">
        <v>31280</v>
      </c>
      <c r="Q309" s="2">
        <v>31540</v>
      </c>
      <c r="R309" s="2">
        <v>32915</v>
      </c>
      <c r="S309" s="2">
        <v>32013</v>
      </c>
      <c r="T309" s="2">
        <v>32623</v>
      </c>
      <c r="U309" s="2">
        <v>32697</v>
      </c>
      <c r="V309" s="2">
        <v>32841</v>
      </c>
      <c r="W309" s="2">
        <v>33602</v>
      </c>
      <c r="X309" s="2">
        <v>33313</v>
      </c>
      <c r="Y309" s="2">
        <v>32044</v>
      </c>
      <c r="Z309" s="2">
        <v>33110</v>
      </c>
      <c r="AA309" s="2">
        <v>32892</v>
      </c>
      <c r="AH309" s="2">
        <v>28946</v>
      </c>
      <c r="AI309" s="2">
        <v>30384</v>
      </c>
      <c r="AJ309" s="2">
        <v>33263</v>
      </c>
      <c r="AK309" s="2">
        <v>32915</v>
      </c>
      <c r="AL309" s="2">
        <v>32841</v>
      </c>
      <c r="AM309" s="2">
        <v>33110</v>
      </c>
    </row>
    <row r="310" spans="2:39" s="2" customFormat="1" x14ac:dyDescent="0.25">
      <c r="B310" s="2" t="s">
        <v>174</v>
      </c>
      <c r="F310" s="2">
        <v>767</v>
      </c>
      <c r="G310" s="2">
        <v>767</v>
      </c>
      <c r="H310" s="2">
        <v>711</v>
      </c>
      <c r="I310" s="2">
        <v>684</v>
      </c>
      <c r="J310" s="2">
        <v>576</v>
      </c>
      <c r="K310" s="2">
        <v>584</v>
      </c>
      <c r="L310" s="2">
        <v>576</v>
      </c>
      <c r="M310" s="2">
        <v>1123</v>
      </c>
      <c r="N310" s="2">
        <v>659</v>
      </c>
      <c r="O310" s="2">
        <v>680</v>
      </c>
      <c r="P310" s="2">
        <v>657</v>
      </c>
      <c r="Q310" s="2">
        <v>664</v>
      </c>
      <c r="S310" s="2">
        <v>1106</v>
      </c>
      <c r="T310" s="2">
        <v>1180</v>
      </c>
      <c r="AH310" s="2">
        <v>767</v>
      </c>
      <c r="AI310" s="2">
        <v>576</v>
      </c>
      <c r="AJ310" s="2">
        <v>659</v>
      </c>
    </row>
    <row r="311" spans="2:39" s="2" customFormat="1" ht="26.4" x14ac:dyDescent="0.25">
      <c r="B311" s="33" t="s">
        <v>140</v>
      </c>
      <c r="F311" s="2">
        <v>60325</v>
      </c>
      <c r="G311" s="2">
        <v>60537</v>
      </c>
      <c r="H311" s="2">
        <v>68737</v>
      </c>
      <c r="I311" s="2">
        <v>57909</v>
      </c>
      <c r="J311" s="2">
        <v>60038</v>
      </c>
      <c r="K311" s="2">
        <v>62053</v>
      </c>
      <c r="L311" s="2">
        <v>60038</v>
      </c>
      <c r="M311" s="2">
        <v>58953</v>
      </c>
      <c r="N311" s="2">
        <v>60724</v>
      </c>
      <c r="O311" s="2">
        <v>56420</v>
      </c>
      <c r="P311" s="2">
        <v>56691</v>
      </c>
      <c r="Q311" s="2">
        <v>57764</v>
      </c>
      <c r="R311" s="2">
        <v>58588</v>
      </c>
      <c r="S311" s="2">
        <v>57701</v>
      </c>
      <c r="T311" s="2">
        <v>56021</v>
      </c>
      <c r="U311" s="2">
        <v>59718</v>
      </c>
      <c r="V311" s="2">
        <v>62369</v>
      </c>
      <c r="W311" s="2">
        <v>67947</v>
      </c>
      <c r="X311" s="2">
        <v>64371</v>
      </c>
      <c r="Y311" s="2">
        <v>68538</v>
      </c>
      <c r="Z311" s="2">
        <v>68868</v>
      </c>
      <c r="AA311" s="2">
        <v>71160</v>
      </c>
      <c r="AH311" s="2">
        <v>60325</v>
      </c>
      <c r="AI311" s="2">
        <v>60038</v>
      </c>
      <c r="AJ311" s="2">
        <v>60724</v>
      </c>
      <c r="AK311" s="2">
        <v>58588</v>
      </c>
      <c r="AL311" s="2">
        <v>62369</v>
      </c>
      <c r="AM311" s="2">
        <v>68868</v>
      </c>
    </row>
    <row r="312" spans="2:39" s="4" customFormat="1" x14ac:dyDescent="0.25">
      <c r="B312" s="4" t="s">
        <v>141</v>
      </c>
      <c r="F312" s="4">
        <v>123897</v>
      </c>
      <c r="G312" s="4">
        <v>121433</v>
      </c>
      <c r="H312" s="4">
        <v>131658</v>
      </c>
      <c r="I312" s="4">
        <v>136831</v>
      </c>
      <c r="J312" s="4">
        <v>139372</v>
      </c>
      <c r="K312" s="4">
        <v>144409</v>
      </c>
      <c r="L312" s="4">
        <v>139372</v>
      </c>
      <c r="M312" s="4">
        <v>145988</v>
      </c>
      <c r="N312" s="4">
        <v>151502</v>
      </c>
      <c r="O312" s="4">
        <v>143929</v>
      </c>
      <c r="P312" s="4">
        <v>142997</v>
      </c>
      <c r="Q312" s="4">
        <v>143684</v>
      </c>
      <c r="R312" s="4">
        <v>145071</v>
      </c>
      <c r="S312" s="4">
        <v>144784</v>
      </c>
      <c r="T312" s="4">
        <v>144751</v>
      </c>
      <c r="U312" s="4">
        <v>148121</v>
      </c>
      <c r="V312" s="4">
        <v>147812</v>
      </c>
      <c r="W312" s="4">
        <v>157855</v>
      </c>
      <c r="X312" s="4">
        <v>162593</v>
      </c>
      <c r="Y312" s="4">
        <v>162455</v>
      </c>
      <c r="Z312" s="4">
        <v>166202</v>
      </c>
      <c r="AA312" s="4">
        <v>170134</v>
      </c>
      <c r="AH312" s="4">
        <v>123897</v>
      </c>
      <c r="AI312" s="4">
        <v>139372</v>
      </c>
      <c r="AJ312" s="4">
        <v>151502</v>
      </c>
      <c r="AK312" s="4">
        <v>145071</v>
      </c>
      <c r="AL312" s="4">
        <v>147812</v>
      </c>
      <c r="AM312" s="4">
        <v>166202</v>
      </c>
    </row>
    <row r="313" spans="2:39" x14ac:dyDescent="0.25">
      <c r="AB313" s="2"/>
      <c r="AC313" s="2"/>
      <c r="AD313" s="2"/>
      <c r="AE313" s="2"/>
      <c r="AF313" s="2"/>
    </row>
    <row r="314" spans="2:39" x14ac:dyDescent="0.25">
      <c r="AB314" s="2"/>
      <c r="AC314" s="2"/>
      <c r="AD314" s="2"/>
      <c r="AE314" s="2"/>
      <c r="AF314" s="2"/>
    </row>
    <row r="315" spans="2:39" x14ac:dyDescent="0.25">
      <c r="AB315" s="2"/>
      <c r="AC315" s="2"/>
      <c r="AD315" s="2"/>
      <c r="AE315" s="2"/>
      <c r="AF315" s="2"/>
    </row>
    <row r="316" spans="2:39" ht="16.8" x14ac:dyDescent="0.3">
      <c r="B316" s="35" t="s">
        <v>145</v>
      </c>
      <c r="AB316" s="2"/>
      <c r="AC316" s="2"/>
      <c r="AD316" s="2"/>
      <c r="AE316" s="2"/>
      <c r="AF316" s="2"/>
    </row>
    <row r="317" spans="2:39" s="2" customFormat="1" x14ac:dyDescent="0.25">
      <c r="B317" s="2" t="s">
        <v>134</v>
      </c>
      <c r="C317" s="2">
        <v>393</v>
      </c>
      <c r="D317" s="2">
        <v>652</v>
      </c>
      <c r="E317" s="2">
        <v>827</v>
      </c>
      <c r="F317" s="2">
        <v>982</v>
      </c>
      <c r="G317" s="2">
        <v>563</v>
      </c>
      <c r="H317" s="2">
        <v>1015</v>
      </c>
      <c r="I317" s="2">
        <v>1115</v>
      </c>
      <c r="J317" s="2">
        <v>1057</v>
      </c>
      <c r="K317" s="2">
        <v>478</v>
      </c>
      <c r="L317" s="2">
        <v>1030</v>
      </c>
      <c r="M317" s="2">
        <v>1244</v>
      </c>
      <c r="N317" s="2">
        <v>1337</v>
      </c>
      <c r="O317" s="2">
        <v>593</v>
      </c>
      <c r="P317" s="2">
        <v>1180</v>
      </c>
      <c r="Q317" s="2">
        <v>1109</v>
      </c>
      <c r="R317" s="2">
        <v>1318</v>
      </c>
      <c r="S317" s="2">
        <v>606</v>
      </c>
      <c r="T317" s="2">
        <v>565</v>
      </c>
      <c r="U317" s="2">
        <v>951</v>
      </c>
      <c r="V317" s="2">
        <v>1036</v>
      </c>
      <c r="W317" s="2">
        <v>638</v>
      </c>
      <c r="X317" s="2">
        <v>512</v>
      </c>
      <c r="Y317" s="2">
        <v>1103</v>
      </c>
      <c r="Z317" s="2">
        <v>1229</v>
      </c>
      <c r="AA317" s="2">
        <v>393</v>
      </c>
      <c r="AH317" s="2">
        <v>2854</v>
      </c>
      <c r="AI317" s="2">
        <v>3750</v>
      </c>
      <c r="AJ317" s="2">
        <v>4090</v>
      </c>
      <c r="AK317" s="2">
        <v>4127</v>
      </c>
      <c r="AL317" s="2">
        <v>3158</v>
      </c>
      <c r="AM317" s="2">
        <v>3482</v>
      </c>
    </row>
    <row r="318" spans="2:39" s="2" customFormat="1" x14ac:dyDescent="0.25">
      <c r="B318" s="2" t="s">
        <v>135</v>
      </c>
      <c r="C318" s="2">
        <v>19</v>
      </c>
      <c r="D318" s="2">
        <v>280</v>
      </c>
      <c r="E318" s="2">
        <v>315</v>
      </c>
      <c r="F318" s="2">
        <v>884</v>
      </c>
      <c r="G318" s="2">
        <v>223</v>
      </c>
      <c r="H318" s="2">
        <v>463</v>
      </c>
      <c r="I318" s="2">
        <v>511</v>
      </c>
      <c r="J318" s="2">
        <v>901</v>
      </c>
      <c r="K318" s="2">
        <v>107</v>
      </c>
      <c r="L318" s="2">
        <v>330</v>
      </c>
      <c r="M318" s="2">
        <v>402</v>
      </c>
      <c r="N318" s="2">
        <v>1363</v>
      </c>
      <c r="O318" s="2">
        <v>-50</v>
      </c>
      <c r="P318" s="2">
        <v>796</v>
      </c>
      <c r="Q318" s="2">
        <v>733</v>
      </c>
      <c r="R318" s="2">
        <v>1429</v>
      </c>
      <c r="S318" s="2">
        <v>290</v>
      </c>
      <c r="T318" s="2">
        <v>770</v>
      </c>
      <c r="U318" s="2">
        <v>1007</v>
      </c>
      <c r="V318" s="2">
        <v>1522</v>
      </c>
      <c r="W318" s="2">
        <v>640</v>
      </c>
      <c r="X318" s="2">
        <v>979</v>
      </c>
      <c r="Y318" s="2">
        <v>1011</v>
      </c>
      <c r="Z318" s="2">
        <v>1441</v>
      </c>
      <c r="AA318" s="2">
        <v>571</v>
      </c>
      <c r="AH318" s="2">
        <v>1498</v>
      </c>
      <c r="AI318" s="2">
        <v>2098</v>
      </c>
      <c r="AJ318" s="2">
        <v>2203</v>
      </c>
      <c r="AK318" s="2">
        <v>2908</v>
      </c>
      <c r="AL318" s="2">
        <v>3588</v>
      </c>
      <c r="AM318" s="2">
        <v>4070</v>
      </c>
    </row>
    <row r="319" spans="2:39" s="2" customFormat="1" x14ac:dyDescent="0.25">
      <c r="B319" s="2" t="s">
        <v>136</v>
      </c>
      <c r="C319" s="2">
        <v>0</v>
      </c>
      <c r="D319" s="2">
        <v>-80</v>
      </c>
      <c r="E319" s="2">
        <v>500</v>
      </c>
      <c r="F319" s="2">
        <v>442</v>
      </c>
      <c r="G319" s="2">
        <v>-115</v>
      </c>
      <c r="H319" s="2">
        <v>7</v>
      </c>
      <c r="I319" s="2">
        <v>-240</v>
      </c>
      <c r="J319" s="2">
        <v>1246</v>
      </c>
      <c r="K319" s="2">
        <v>106</v>
      </c>
      <c r="L319" s="2">
        <v>140</v>
      </c>
      <c r="M319" s="2">
        <v>47</v>
      </c>
      <c r="N319" s="2">
        <v>478</v>
      </c>
      <c r="O319" s="2">
        <v>-257</v>
      </c>
      <c r="P319" s="2">
        <v>2</v>
      </c>
      <c r="Q319" s="2">
        <v>709</v>
      </c>
      <c r="R319" s="2">
        <v>593</v>
      </c>
      <c r="S319" s="2">
        <v>-57</v>
      </c>
      <c r="T319" s="2">
        <v>331</v>
      </c>
      <c r="U319" s="2">
        <v>-263</v>
      </c>
      <c r="V319" s="2">
        <v>1148</v>
      </c>
      <c r="W319" s="2">
        <v>-271</v>
      </c>
      <c r="X319" s="2">
        <v>53</v>
      </c>
      <c r="Y319" s="2">
        <v>-115</v>
      </c>
      <c r="Z319" s="2">
        <v>1361</v>
      </c>
      <c r="AA319" s="2">
        <v>-419</v>
      </c>
      <c r="AH319" s="2">
        <v>862</v>
      </c>
      <c r="AI319" s="2">
        <v>898</v>
      </c>
      <c r="AJ319" s="2">
        <v>771</v>
      </c>
      <c r="AK319" s="2">
        <v>1046</v>
      </c>
      <c r="AL319" s="2">
        <v>1159</v>
      </c>
      <c r="AM319" s="2">
        <v>1027</v>
      </c>
    </row>
    <row r="320" spans="2:39" s="2" customFormat="1" x14ac:dyDescent="0.25">
      <c r="B320" s="2" t="s">
        <v>137</v>
      </c>
      <c r="C320" s="2">
        <v>377</v>
      </c>
      <c r="D320" s="2">
        <v>249</v>
      </c>
      <c r="E320" s="2">
        <v>466</v>
      </c>
      <c r="F320" s="2">
        <v>836</v>
      </c>
      <c r="G320" s="2">
        <v>795</v>
      </c>
      <c r="H320" s="2">
        <v>660</v>
      </c>
      <c r="I320" s="2">
        <v>1034</v>
      </c>
      <c r="J320" s="2">
        <v>612</v>
      </c>
      <c r="K320" s="2">
        <v>743</v>
      </c>
      <c r="L320" s="2">
        <v>410</v>
      </c>
      <c r="M320" s="2">
        <v>773</v>
      </c>
      <c r="N320" s="2">
        <v>698</v>
      </c>
      <c r="O320" s="2">
        <v>109</v>
      </c>
      <c r="P320" s="2">
        <v>736</v>
      </c>
      <c r="Q320" s="2">
        <v>597</v>
      </c>
      <c r="R320" s="2">
        <v>779</v>
      </c>
      <c r="S320" s="2">
        <v>442</v>
      </c>
      <c r="T320" s="2">
        <v>434</v>
      </c>
      <c r="U320" s="2">
        <v>838</v>
      </c>
      <c r="V320" s="2">
        <v>1280</v>
      </c>
      <c r="W320" s="2">
        <v>725</v>
      </c>
      <c r="X320" s="2">
        <v>561</v>
      </c>
      <c r="Y320" s="2">
        <v>1007</v>
      </c>
      <c r="Z320" s="2">
        <v>1022</v>
      </c>
      <c r="AA320" s="2">
        <v>455</v>
      </c>
      <c r="AH320" s="2">
        <v>1928</v>
      </c>
      <c r="AI320" s="2">
        <v>3101</v>
      </c>
      <c r="AJ320" s="2">
        <v>2625</v>
      </c>
      <c r="AK320" s="2">
        <v>2221</v>
      </c>
      <c r="AL320" s="2">
        <v>2994</v>
      </c>
      <c r="AM320" s="2">
        <v>3315</v>
      </c>
    </row>
    <row r="321" spans="2:39" s="3" customFormat="1" x14ac:dyDescent="0.25">
      <c r="B321" s="3" t="s">
        <v>138</v>
      </c>
      <c r="C321" s="3">
        <v>789</v>
      </c>
      <c r="D321" s="3">
        <v>1101</v>
      </c>
      <c r="E321" s="3">
        <v>2108</v>
      </c>
      <c r="F321" s="3">
        <v>3144</v>
      </c>
      <c r="G321" s="3">
        <v>1467</v>
      </c>
      <c r="H321" s="3">
        <v>2144</v>
      </c>
      <c r="I321" s="3">
        <v>2420</v>
      </c>
      <c r="J321" s="3">
        <v>3816</v>
      </c>
      <c r="K321" s="3">
        <v>1435</v>
      </c>
      <c r="L321" s="3">
        <v>1910</v>
      </c>
      <c r="M321" s="3">
        <v>2466</v>
      </c>
      <c r="N321" s="3">
        <v>3877</v>
      </c>
      <c r="O321" s="3">
        <v>395</v>
      </c>
      <c r="P321" s="3">
        <v>2713</v>
      </c>
      <c r="Q321" s="3">
        <v>3149</v>
      </c>
      <c r="R321" s="3">
        <v>4120</v>
      </c>
      <c r="S321" s="3">
        <v>1281</v>
      </c>
      <c r="T321" s="3">
        <v>2100</v>
      </c>
      <c r="U321" s="3">
        <v>2532</v>
      </c>
      <c r="V321" s="3">
        <v>4987</v>
      </c>
      <c r="W321" s="3">
        <v>1732</v>
      </c>
      <c r="X321" s="3">
        <v>2104</v>
      </c>
      <c r="Y321" s="3">
        <v>3005</v>
      </c>
      <c r="Z321" s="3">
        <v>5052</v>
      </c>
      <c r="AA321" s="3">
        <v>1000</v>
      </c>
      <c r="AH321" s="3">
        <v>7142</v>
      </c>
      <c r="AI321" s="3">
        <v>9847</v>
      </c>
      <c r="AJ321" s="3">
        <v>9689</v>
      </c>
      <c r="AK321" s="3">
        <v>10303</v>
      </c>
      <c r="AL321" s="3">
        <v>10899</v>
      </c>
      <c r="AM321" s="3">
        <v>11894</v>
      </c>
    </row>
    <row r="322" spans="2:39" s="2" customFormat="1" x14ac:dyDescent="0.25">
      <c r="B322" s="2" t="s">
        <v>139</v>
      </c>
      <c r="C322" s="2">
        <v>182</v>
      </c>
      <c r="D322" s="2">
        <v>157</v>
      </c>
      <c r="E322" s="2">
        <v>121</v>
      </c>
      <c r="F322" s="2">
        <v>151</v>
      </c>
      <c r="G322" s="2">
        <v>213</v>
      </c>
      <c r="H322" s="2">
        <v>228</v>
      </c>
      <c r="I322" s="2">
        <v>171</v>
      </c>
      <c r="J322" s="2">
        <v>208</v>
      </c>
      <c r="K322" s="2">
        <v>184</v>
      </c>
      <c r="L322" s="2">
        <v>257</v>
      </c>
      <c r="M322" s="2">
        <v>284</v>
      </c>
      <c r="N322" s="2">
        <v>260</v>
      </c>
      <c r="O322" s="2">
        <v>270</v>
      </c>
      <c r="P322" s="2">
        <v>255</v>
      </c>
      <c r="Q322" s="2">
        <v>180</v>
      </c>
      <c r="R322" s="2">
        <v>147</v>
      </c>
      <c r="S322" s="2">
        <v>210</v>
      </c>
      <c r="T322" s="2">
        <v>142</v>
      </c>
      <c r="U322" s="2">
        <v>236</v>
      </c>
      <c r="V322" s="2">
        <v>197</v>
      </c>
      <c r="W322" s="2">
        <v>200</v>
      </c>
      <c r="X322" s="2">
        <v>184</v>
      </c>
      <c r="Y322" s="2">
        <v>175</v>
      </c>
      <c r="Z322" s="2">
        <v>189</v>
      </c>
      <c r="AA322" s="2">
        <v>180</v>
      </c>
      <c r="AH322" s="2">
        <v>611</v>
      </c>
      <c r="AI322" s="2">
        <v>820</v>
      </c>
      <c r="AJ322" s="2">
        <v>985</v>
      </c>
      <c r="AK322" s="2">
        <v>852</v>
      </c>
      <c r="AL322" s="2">
        <v>785</v>
      </c>
      <c r="AM322" s="2">
        <v>747</v>
      </c>
    </row>
    <row r="323" spans="2:39" s="2" customFormat="1" x14ac:dyDescent="0.25">
      <c r="B323" s="2" t="s">
        <v>174</v>
      </c>
      <c r="C323" s="2">
        <v>-19</v>
      </c>
      <c r="D323" s="2">
        <v>63</v>
      </c>
      <c r="E323" s="2">
        <v>74</v>
      </c>
      <c r="F323" s="2">
        <v>152</v>
      </c>
      <c r="G323" s="2">
        <v>60</v>
      </c>
      <c r="H323" s="2">
        <v>42</v>
      </c>
      <c r="I323" s="2">
        <v>65</v>
      </c>
      <c r="J323" s="2">
        <v>187</v>
      </c>
      <c r="K323" s="2">
        <v>25</v>
      </c>
      <c r="L323" s="2">
        <v>-46</v>
      </c>
      <c r="M323" s="2">
        <v>-37</v>
      </c>
      <c r="N323" s="2">
        <v>156</v>
      </c>
      <c r="O323" s="2">
        <v>-94</v>
      </c>
      <c r="P323" s="2">
        <v>84</v>
      </c>
      <c r="Q323" s="2">
        <v>44</v>
      </c>
      <c r="R323" s="2">
        <v>163</v>
      </c>
      <c r="AH323" s="2">
        <v>270</v>
      </c>
      <c r="AI323" s="2">
        <v>354</v>
      </c>
      <c r="AJ323" s="2">
        <v>97</v>
      </c>
    </row>
    <row r="324" spans="2:39" s="2" customFormat="1" ht="26.4" x14ac:dyDescent="0.25">
      <c r="B324" s="33" t="s">
        <v>140</v>
      </c>
      <c r="C324" s="2">
        <v>-953</v>
      </c>
      <c r="D324" s="2">
        <v>-636</v>
      </c>
      <c r="E324" s="2">
        <v>-383</v>
      </c>
      <c r="F324" s="2">
        <v>302</v>
      </c>
      <c r="G324" s="2">
        <v>-833</v>
      </c>
      <c r="H324" s="2">
        <v>-1089</v>
      </c>
      <c r="I324" s="2">
        <v>-370</v>
      </c>
      <c r="J324" s="2">
        <v>-350</v>
      </c>
      <c r="K324" s="2">
        <v>-519</v>
      </c>
      <c r="L324" s="2">
        <v>-727</v>
      </c>
      <c r="M324" s="2">
        <v>-402</v>
      </c>
      <c r="N324" s="2">
        <v>-884</v>
      </c>
      <c r="O324" s="2">
        <v>-493</v>
      </c>
      <c r="P324" s="2">
        <v>-690</v>
      </c>
      <c r="Q324" s="2">
        <v>-458</v>
      </c>
      <c r="R324" s="2">
        <v>278</v>
      </c>
      <c r="S324" s="2">
        <v>-424</v>
      </c>
      <c r="T324" s="2">
        <v>-791</v>
      </c>
      <c r="U324" s="2">
        <v>-600</v>
      </c>
      <c r="V324" s="2">
        <v>-143</v>
      </c>
      <c r="W324" s="2">
        <v>-325</v>
      </c>
      <c r="X324" s="2">
        <v>-1160</v>
      </c>
      <c r="Y324" s="2">
        <v>-178</v>
      </c>
      <c r="Z324" s="2">
        <v>25</v>
      </c>
      <c r="AA324" s="2">
        <v>-499</v>
      </c>
      <c r="AH324" s="2">
        <v>-1670</v>
      </c>
      <c r="AI324" s="2">
        <v>-2642</v>
      </c>
      <c r="AJ324" s="2">
        <v>-2533</v>
      </c>
      <c r="AK324" s="2">
        <v>-1008</v>
      </c>
      <c r="AL324" s="2">
        <v>-1958</v>
      </c>
      <c r="AM324" s="2">
        <v>-1638</v>
      </c>
    </row>
    <row r="325" spans="2:39" s="4" customFormat="1" x14ac:dyDescent="0.25">
      <c r="B325" s="4" t="s">
        <v>141</v>
      </c>
      <c r="C325" s="4">
        <v>-3</v>
      </c>
      <c r="D325" s="4">
        <v>685</v>
      </c>
      <c r="E325" s="4">
        <v>1920</v>
      </c>
      <c r="F325" s="4">
        <v>3750</v>
      </c>
      <c r="G325" s="4">
        <v>906</v>
      </c>
      <c r="H325" s="4">
        <v>1326</v>
      </c>
      <c r="I325" s="4">
        <v>2285</v>
      </c>
      <c r="J325" s="4">
        <v>3862</v>
      </c>
      <c r="K325" s="4">
        <v>1124</v>
      </c>
      <c r="L325" s="4">
        <v>1394</v>
      </c>
      <c r="M325" s="4">
        <v>2311</v>
      </c>
      <c r="N325" s="4">
        <v>3409</v>
      </c>
      <c r="O325" s="4">
        <v>77</v>
      </c>
      <c r="P325" s="4">
        <v>2363</v>
      </c>
      <c r="Q325" s="4">
        <v>2915</v>
      </c>
      <c r="R325" s="4">
        <v>4708</v>
      </c>
      <c r="S325" s="4">
        <v>1067</v>
      </c>
      <c r="T325" s="4">
        <v>1451</v>
      </c>
      <c r="U325" s="4">
        <v>2168</v>
      </c>
      <c r="V325" s="4">
        <v>5041</v>
      </c>
      <c r="W325" s="4">
        <v>1607</v>
      </c>
      <c r="X325" s="4">
        <v>1128</v>
      </c>
      <c r="Y325" s="4">
        <v>3001</v>
      </c>
      <c r="Z325" s="4">
        <v>5266</v>
      </c>
      <c r="AA325" s="4">
        <v>681</v>
      </c>
      <c r="AH325" s="4">
        <v>6352</v>
      </c>
      <c r="AI325" s="4">
        <v>8379</v>
      </c>
      <c r="AJ325" s="4">
        <v>8238</v>
      </c>
      <c r="AK325" s="4">
        <v>10146</v>
      </c>
      <c r="AL325" s="4">
        <v>9726</v>
      </c>
      <c r="AM325" s="4">
        <v>11004</v>
      </c>
    </row>
    <row r="326" spans="2:39" x14ac:dyDescent="0.25">
      <c r="AB326" s="2"/>
      <c r="AC326" s="2"/>
      <c r="AD326" s="2"/>
      <c r="AE326" s="2"/>
      <c r="AF326" s="2"/>
    </row>
    <row r="327" spans="2:39" x14ac:dyDescent="0.25">
      <c r="AB327" s="2"/>
      <c r="AC327" s="2"/>
      <c r="AD327" s="2"/>
      <c r="AE327" s="2"/>
      <c r="AF327" s="2"/>
    </row>
    <row r="328" spans="2:39" x14ac:dyDescent="0.25">
      <c r="AB328" s="2"/>
      <c r="AC328" s="2"/>
      <c r="AD328" s="2"/>
      <c r="AE328" s="2"/>
      <c r="AF328" s="2"/>
    </row>
    <row r="329" spans="2:39" ht="16.8" x14ac:dyDescent="0.3">
      <c r="B329" s="35" t="s">
        <v>147</v>
      </c>
      <c r="AB329" s="2"/>
      <c r="AC329" s="2"/>
      <c r="AD329" s="2"/>
      <c r="AE329" s="2"/>
      <c r="AF329" s="2"/>
    </row>
    <row r="330" spans="2:39" s="2" customFormat="1" x14ac:dyDescent="0.25">
      <c r="B330" s="2" t="s">
        <v>134</v>
      </c>
      <c r="C330" s="2">
        <v>587</v>
      </c>
      <c r="D330" s="2">
        <v>659</v>
      </c>
      <c r="E330" s="2">
        <v>767</v>
      </c>
      <c r="F330" s="2">
        <v>773</v>
      </c>
      <c r="G330" s="2">
        <v>918</v>
      </c>
      <c r="H330" s="2">
        <v>881</v>
      </c>
      <c r="I330" s="2">
        <v>918</v>
      </c>
      <c r="J330" s="2">
        <v>928</v>
      </c>
      <c r="K330" s="2">
        <v>1017</v>
      </c>
      <c r="L330" s="2">
        <v>902</v>
      </c>
      <c r="M330" s="2">
        <v>977</v>
      </c>
      <c r="N330" s="2">
        <v>1303</v>
      </c>
      <c r="O330" s="2">
        <v>1227</v>
      </c>
      <c r="P330" s="2">
        <v>1379</v>
      </c>
      <c r="Q330" s="2">
        <v>1202</v>
      </c>
      <c r="R330" s="2">
        <v>1470</v>
      </c>
      <c r="S330" s="2">
        <v>968</v>
      </c>
      <c r="T330" s="2">
        <v>817</v>
      </c>
      <c r="U330" s="2">
        <v>1200</v>
      </c>
      <c r="V330" s="2">
        <v>821</v>
      </c>
      <c r="W330" s="2">
        <v>661</v>
      </c>
      <c r="X330" s="2">
        <v>711</v>
      </c>
      <c r="Y330" s="2">
        <v>719</v>
      </c>
      <c r="Z330" s="2">
        <v>874</v>
      </c>
      <c r="AA330" s="2">
        <v>881</v>
      </c>
      <c r="AH330" s="2">
        <v>2786</v>
      </c>
      <c r="AI330" s="2">
        <v>3645</v>
      </c>
      <c r="AJ330" s="2">
        <v>4199</v>
      </c>
      <c r="AK330" s="2">
        <v>5126</v>
      </c>
      <c r="AL330" s="2">
        <v>3805</v>
      </c>
      <c r="AM330" s="2">
        <v>2965</v>
      </c>
    </row>
    <row r="331" spans="2:39" s="2" customFormat="1" x14ac:dyDescent="0.25">
      <c r="B331" s="2" t="s">
        <v>135</v>
      </c>
      <c r="C331" s="2">
        <v>350</v>
      </c>
      <c r="D331" s="2">
        <v>257</v>
      </c>
      <c r="E331" s="2">
        <v>322</v>
      </c>
      <c r="F331" s="2">
        <v>665</v>
      </c>
      <c r="G331" s="2">
        <v>450</v>
      </c>
      <c r="H331" s="2">
        <v>454</v>
      </c>
      <c r="I331" s="2">
        <v>525</v>
      </c>
      <c r="J331" s="2">
        <v>580</v>
      </c>
      <c r="K331" s="2">
        <v>545</v>
      </c>
      <c r="L331" s="2">
        <v>513</v>
      </c>
      <c r="M331" s="2">
        <v>632</v>
      </c>
      <c r="N331" s="2">
        <v>812</v>
      </c>
      <c r="O331" s="2">
        <v>772</v>
      </c>
      <c r="P331" s="2">
        <v>849</v>
      </c>
      <c r="Q331" s="2">
        <v>842</v>
      </c>
      <c r="R331" s="2">
        <v>901</v>
      </c>
      <c r="S331" s="2">
        <v>954</v>
      </c>
      <c r="T331" s="2">
        <v>927</v>
      </c>
      <c r="U331" s="2">
        <v>999</v>
      </c>
      <c r="V331" s="2">
        <v>1126</v>
      </c>
      <c r="W331" s="2">
        <v>966</v>
      </c>
      <c r="X331" s="2">
        <v>1458</v>
      </c>
      <c r="Y331" s="2">
        <v>1151</v>
      </c>
      <c r="Z331" s="2">
        <v>1256</v>
      </c>
      <c r="AA331" s="2">
        <v>1149</v>
      </c>
      <c r="AH331" s="2">
        <v>1594</v>
      </c>
      <c r="AI331" s="2">
        <v>2009</v>
      </c>
      <c r="AJ331" s="2">
        <v>2503</v>
      </c>
      <c r="AK331" s="2">
        <v>3363</v>
      </c>
      <c r="AL331" s="2">
        <v>4007</v>
      </c>
      <c r="AM331" s="2">
        <v>4831</v>
      </c>
    </row>
    <row r="332" spans="2:39" s="2" customFormat="1" x14ac:dyDescent="0.25">
      <c r="B332" s="2" t="s">
        <v>136</v>
      </c>
      <c r="C332" s="2">
        <v>265</v>
      </c>
      <c r="D332" s="2">
        <v>262</v>
      </c>
      <c r="E332" s="2">
        <v>211</v>
      </c>
      <c r="F332" s="2">
        <v>301</v>
      </c>
      <c r="G332" s="2">
        <v>256</v>
      </c>
      <c r="H332" s="2">
        <v>232</v>
      </c>
      <c r="I332" s="2">
        <v>230</v>
      </c>
      <c r="J332" s="2">
        <v>257</v>
      </c>
      <c r="K332" s="2">
        <v>255</v>
      </c>
      <c r="L332" s="2">
        <v>-319</v>
      </c>
      <c r="M332" s="2">
        <v>734</v>
      </c>
      <c r="N332" s="2">
        <v>271</v>
      </c>
      <c r="O332" s="2">
        <v>227</v>
      </c>
      <c r="P332" s="2">
        <v>280</v>
      </c>
      <c r="Q332" s="2">
        <v>243</v>
      </c>
      <c r="R332" s="2">
        <v>270</v>
      </c>
      <c r="S332" s="2">
        <v>287</v>
      </c>
      <c r="T332" s="2">
        <v>274</v>
      </c>
      <c r="U332" s="2">
        <v>265</v>
      </c>
      <c r="V332" s="2">
        <v>341</v>
      </c>
      <c r="W332" s="2">
        <v>288</v>
      </c>
      <c r="X332" s="2">
        <v>333</v>
      </c>
      <c r="Y332" s="2">
        <v>328</v>
      </c>
      <c r="Z332" s="2">
        <v>318</v>
      </c>
      <c r="AA332" s="2">
        <v>325</v>
      </c>
      <c r="AH332" s="2">
        <v>1039</v>
      </c>
      <c r="AI332" s="2">
        <v>975</v>
      </c>
      <c r="AJ332" s="2">
        <v>941</v>
      </c>
      <c r="AK332" s="2">
        <v>1020</v>
      </c>
      <c r="AL332" s="2">
        <v>1167</v>
      </c>
      <c r="AM332" s="2">
        <v>1267</v>
      </c>
    </row>
    <row r="333" spans="2:39" s="2" customFormat="1" x14ac:dyDescent="0.25">
      <c r="B333" s="2" t="s">
        <v>137</v>
      </c>
      <c r="C333" s="2">
        <v>647</v>
      </c>
      <c r="D333" s="2">
        <v>756</v>
      </c>
      <c r="E333" s="2">
        <v>644</v>
      </c>
      <c r="F333" s="2">
        <v>760</v>
      </c>
      <c r="G333" s="2">
        <v>897</v>
      </c>
      <c r="H333" s="2">
        <v>811</v>
      </c>
      <c r="I333" s="2">
        <v>1009</v>
      </c>
      <c r="J333" s="2">
        <v>908</v>
      </c>
      <c r="K333" s="2">
        <v>1018</v>
      </c>
      <c r="L333" s="2">
        <v>1112</v>
      </c>
      <c r="M333" s="2">
        <v>935</v>
      </c>
      <c r="N333" s="2">
        <v>1208</v>
      </c>
      <c r="O333" s="2">
        <v>865</v>
      </c>
      <c r="P333" s="2">
        <v>772</v>
      </c>
      <c r="Q333" s="2">
        <v>883</v>
      </c>
      <c r="R333" s="2">
        <v>1184</v>
      </c>
      <c r="S333" s="2">
        <v>891</v>
      </c>
      <c r="T333" s="2">
        <v>918</v>
      </c>
      <c r="U333" s="2">
        <v>971</v>
      </c>
      <c r="V333" s="2">
        <v>1258</v>
      </c>
      <c r="W333" s="2">
        <v>1005</v>
      </c>
      <c r="X333" s="2">
        <v>1159</v>
      </c>
      <c r="Y333" s="2">
        <v>1105</v>
      </c>
      <c r="Z333" s="2">
        <v>1197</v>
      </c>
      <c r="AA333" s="2">
        <v>975</v>
      </c>
      <c r="AH333" s="2">
        <v>2807</v>
      </c>
      <c r="AI333" s="2">
        <v>3625</v>
      </c>
      <c r="AJ333" s="2">
        <v>4273</v>
      </c>
      <c r="AK333" s="2">
        <v>3704</v>
      </c>
      <c r="AL333" s="2">
        <v>4039</v>
      </c>
      <c r="AM333" s="2">
        <v>4465</v>
      </c>
    </row>
    <row r="334" spans="2:39" s="3" customFormat="1" x14ac:dyDescent="0.25">
      <c r="B334" s="3" t="s">
        <v>138</v>
      </c>
      <c r="C334" s="3">
        <v>1850</v>
      </c>
      <c r="D334" s="3">
        <v>1934</v>
      </c>
      <c r="E334" s="3">
        <v>1944</v>
      </c>
      <c r="F334" s="3">
        <v>2498</v>
      </c>
      <c r="G334" s="3">
        <v>2522</v>
      </c>
      <c r="H334" s="3">
        <v>2378</v>
      </c>
      <c r="I334" s="3">
        <v>2682</v>
      </c>
      <c r="J334" s="3">
        <v>2672</v>
      </c>
      <c r="K334" s="3">
        <v>2836</v>
      </c>
      <c r="L334" s="3">
        <v>2208</v>
      </c>
      <c r="M334" s="3">
        <v>3278</v>
      </c>
      <c r="N334" s="3">
        <v>3594</v>
      </c>
      <c r="O334" s="3">
        <v>3091</v>
      </c>
      <c r="P334" s="3">
        <v>3280</v>
      </c>
      <c r="Q334" s="3">
        <v>3170</v>
      </c>
      <c r="R334" s="3">
        <v>3824</v>
      </c>
      <c r="S334" s="3">
        <v>3099</v>
      </c>
      <c r="T334" s="3">
        <v>2937</v>
      </c>
      <c r="U334" s="3">
        <v>3435</v>
      </c>
      <c r="V334" s="3">
        <v>3547</v>
      </c>
      <c r="W334" s="3">
        <v>2921</v>
      </c>
      <c r="X334" s="3">
        <v>3661</v>
      </c>
      <c r="Y334" s="3">
        <v>3303</v>
      </c>
      <c r="Z334" s="3">
        <v>3645</v>
      </c>
      <c r="AA334" s="3">
        <v>3330</v>
      </c>
      <c r="AH334" s="3">
        <v>8226</v>
      </c>
      <c r="AI334" s="3">
        <v>10254</v>
      </c>
      <c r="AJ334" s="3">
        <v>11916</v>
      </c>
      <c r="AK334" s="3">
        <v>13214</v>
      </c>
      <c r="AL334" s="3">
        <v>13017</v>
      </c>
      <c r="AM334" s="3">
        <v>13530</v>
      </c>
    </row>
    <row r="335" spans="2:39" s="2" customFormat="1" x14ac:dyDescent="0.25">
      <c r="B335" s="2" t="s">
        <v>139</v>
      </c>
      <c r="C335" s="2">
        <v>82</v>
      </c>
      <c r="D335" s="2">
        <v>25</v>
      </c>
      <c r="E335" s="2">
        <v>-33</v>
      </c>
      <c r="F335" s="2">
        <v>-43</v>
      </c>
      <c r="G335" s="2">
        <v>3</v>
      </c>
      <c r="H335" s="2">
        <v>2</v>
      </c>
      <c r="I335" s="2">
        <v>-30</v>
      </c>
      <c r="J335" s="2">
        <v>-39</v>
      </c>
      <c r="K335" s="2">
        <v>-10</v>
      </c>
      <c r="L335" s="2">
        <v>-25</v>
      </c>
      <c r="M335" s="2">
        <v>-10</v>
      </c>
      <c r="N335" s="2">
        <v>-29</v>
      </c>
      <c r="O335" s="2">
        <v>-23</v>
      </c>
      <c r="P335" s="2">
        <v>14</v>
      </c>
      <c r="Q335" s="2">
        <v>44</v>
      </c>
      <c r="R335" s="2">
        <v>-72</v>
      </c>
      <c r="S335" s="2">
        <v>88</v>
      </c>
      <c r="T335" s="2">
        <v>-20</v>
      </c>
      <c r="U335" s="2">
        <v>-66</v>
      </c>
      <c r="V335" s="2">
        <v>-76</v>
      </c>
      <c r="W335" s="2">
        <v>-29</v>
      </c>
      <c r="X335" s="2">
        <v>138</v>
      </c>
      <c r="Y335" s="2">
        <v>-50</v>
      </c>
      <c r="Z335" s="2">
        <v>-108</v>
      </c>
      <c r="AA335" s="2">
        <v>-48</v>
      </c>
      <c r="AH335" s="2">
        <v>31</v>
      </c>
      <c r="AI335" s="2">
        <v>-64</v>
      </c>
      <c r="AJ335" s="2">
        <v>-74</v>
      </c>
      <c r="AK335" s="2">
        <v>-37</v>
      </c>
      <c r="AL335" s="2">
        <v>-75</v>
      </c>
      <c r="AM335" s="2">
        <v>-49</v>
      </c>
    </row>
    <row r="336" spans="2:39" s="2" customFormat="1" x14ac:dyDescent="0.25">
      <c r="B336" s="2" t="s">
        <v>174</v>
      </c>
      <c r="C336" s="2">
        <v>-10</v>
      </c>
      <c r="D336" s="2">
        <v>-21</v>
      </c>
      <c r="E336" s="2">
        <v>-40</v>
      </c>
      <c r="F336" s="2">
        <v>-465</v>
      </c>
      <c r="G336" s="2">
        <v>37</v>
      </c>
      <c r="H336" s="2">
        <v>-64</v>
      </c>
      <c r="I336" s="2">
        <v>-13</v>
      </c>
      <c r="J336" s="2">
        <v>7</v>
      </c>
      <c r="K336" s="2">
        <v>40</v>
      </c>
      <c r="L336" s="2">
        <v>333</v>
      </c>
      <c r="M336" s="2">
        <v>12</v>
      </c>
      <c r="N336" s="2">
        <v>1173</v>
      </c>
      <c r="O336" s="2">
        <v>178</v>
      </c>
      <c r="P336" s="2">
        <v>70</v>
      </c>
      <c r="Q336" s="2">
        <v>55</v>
      </c>
      <c r="R336" s="2">
        <v>90</v>
      </c>
      <c r="AH336" s="2">
        <v>-536</v>
      </c>
      <c r="AI336" s="2">
        <v>-33</v>
      </c>
      <c r="AJ336" s="2">
        <v>1559</v>
      </c>
    </row>
    <row r="337" spans="2:39" s="2" customFormat="1" ht="26.4" x14ac:dyDescent="0.25">
      <c r="B337" s="33" t="s">
        <v>140</v>
      </c>
      <c r="C337" s="2">
        <v>27</v>
      </c>
      <c r="D337" s="2">
        <v>14</v>
      </c>
      <c r="E337" s="2">
        <v>-73</v>
      </c>
      <c r="F337" s="2">
        <v>-316</v>
      </c>
      <c r="G337" s="2">
        <v>-105</v>
      </c>
      <c r="H337" s="2">
        <v>-175</v>
      </c>
      <c r="I337" s="2">
        <v>-274</v>
      </c>
      <c r="J337" s="2">
        <v>-463</v>
      </c>
      <c r="K337" s="2">
        <v>160</v>
      </c>
      <c r="L337" s="2">
        <v>-132</v>
      </c>
      <c r="M337" s="2">
        <v>-2784</v>
      </c>
      <c r="N337" s="2">
        <v>115</v>
      </c>
      <c r="O337" s="2">
        <v>-337</v>
      </c>
      <c r="P337" s="2">
        <v>1752</v>
      </c>
      <c r="Q337" s="2">
        <v>-711</v>
      </c>
      <c r="R337" s="2">
        <v>-263</v>
      </c>
      <c r="S337" s="2">
        <v>525</v>
      </c>
      <c r="T337" s="2">
        <v>3</v>
      </c>
      <c r="U337" s="2">
        <v>61</v>
      </c>
      <c r="V337" s="2">
        <v>46</v>
      </c>
      <c r="W337" s="2">
        <v>36</v>
      </c>
      <c r="X337" s="2">
        <v>-74</v>
      </c>
      <c r="Y337" s="2">
        <v>287</v>
      </c>
      <c r="Z337" s="2">
        <v>-349</v>
      </c>
      <c r="AA337" s="2">
        <v>354</v>
      </c>
      <c r="AH337" s="2">
        <v>-348</v>
      </c>
      <c r="AI337" s="2">
        <v>-1017</v>
      </c>
      <c r="AJ337" s="2">
        <v>-2642</v>
      </c>
      <c r="AK337" s="2">
        <v>848</v>
      </c>
      <c r="AL337" s="2">
        <v>634</v>
      </c>
      <c r="AM337" s="2">
        <v>-100</v>
      </c>
    </row>
    <row r="338" spans="2:39" s="4" customFormat="1" x14ac:dyDescent="0.25">
      <c r="B338" s="4" t="s">
        <v>141</v>
      </c>
      <c r="C338" s="4">
        <v>1950</v>
      </c>
      <c r="D338" s="4">
        <v>1952</v>
      </c>
      <c r="E338" s="4">
        <v>1798</v>
      </c>
      <c r="F338" s="4">
        <v>1673</v>
      </c>
      <c r="G338" s="4">
        <v>2454</v>
      </c>
      <c r="H338" s="4">
        <v>2141</v>
      </c>
      <c r="I338" s="4">
        <v>2366</v>
      </c>
      <c r="J338" s="4">
        <v>2178</v>
      </c>
      <c r="K338" s="4">
        <v>3025</v>
      </c>
      <c r="L338" s="4">
        <v>2385</v>
      </c>
      <c r="M338" s="4">
        <v>496</v>
      </c>
      <c r="N338" s="4">
        <v>4853</v>
      </c>
      <c r="O338" s="4">
        <v>2910</v>
      </c>
      <c r="P338" s="4">
        <v>5116</v>
      </c>
      <c r="Q338" s="4">
        <v>2558</v>
      </c>
      <c r="R338" s="4">
        <v>3579</v>
      </c>
      <c r="S338" s="4">
        <v>3712</v>
      </c>
      <c r="T338" s="4">
        <v>2920</v>
      </c>
      <c r="U338" s="4">
        <v>3429</v>
      </c>
      <c r="V338" s="4">
        <v>3517</v>
      </c>
      <c r="W338" s="4">
        <v>2927</v>
      </c>
      <c r="X338" s="4">
        <v>3725</v>
      </c>
      <c r="Y338" s="4">
        <v>3540</v>
      </c>
      <c r="Z338" s="4">
        <v>3188</v>
      </c>
      <c r="AA338" s="4">
        <v>3636</v>
      </c>
      <c r="AH338" s="4">
        <v>7373</v>
      </c>
      <c r="AI338" s="4">
        <v>9139</v>
      </c>
      <c r="AJ338" s="4">
        <v>10759</v>
      </c>
      <c r="AK338" s="4">
        <v>14026</v>
      </c>
      <c r="AL338" s="4">
        <v>13577</v>
      </c>
      <c r="AM338" s="4">
        <v>13380</v>
      </c>
    </row>
    <row r="339" spans="2:39" s="2" customFormat="1" x14ac:dyDescent="0.25"/>
    <row r="340" spans="2:39" s="2" customFormat="1" x14ac:dyDescent="0.25"/>
    <row r="341" spans="2:39" s="2" customFormat="1" x14ac:dyDescent="0.25"/>
    <row r="342" spans="2:39" s="2" customFormat="1" x14ac:dyDescent="0.25"/>
    <row r="343" spans="2:39" s="2" customFormat="1" ht="18.600000000000001" x14ac:dyDescent="0.3">
      <c r="B343" s="36" t="s">
        <v>154</v>
      </c>
    </row>
    <row r="344" spans="2:39" s="2" customFormat="1" ht="16.8" x14ac:dyDescent="0.3">
      <c r="B344" s="35" t="s">
        <v>133</v>
      </c>
    </row>
    <row r="345" spans="2:39" s="2" customFormat="1" x14ac:dyDescent="0.25">
      <c r="B345" s="2" t="s">
        <v>148</v>
      </c>
      <c r="C345" s="2">
        <v>6775</v>
      </c>
      <c r="D345" s="2">
        <v>7667</v>
      </c>
      <c r="E345" s="2">
        <v>6950</v>
      </c>
      <c r="F345" s="2">
        <v>6386</v>
      </c>
      <c r="G345" s="2">
        <v>8790</v>
      </c>
      <c r="H345" s="2">
        <v>8118</v>
      </c>
      <c r="I345" s="2">
        <v>8443</v>
      </c>
      <c r="J345" s="2">
        <v>8960</v>
      </c>
      <c r="K345" s="2">
        <v>13540</v>
      </c>
      <c r="L345" s="2">
        <v>9922</v>
      </c>
      <c r="M345" s="2">
        <v>9802</v>
      </c>
      <c r="N345" s="2">
        <v>9109</v>
      </c>
      <c r="O345" s="2">
        <v>9984</v>
      </c>
      <c r="P345" s="2">
        <v>9776</v>
      </c>
      <c r="Q345" s="2">
        <v>13451</v>
      </c>
      <c r="R345" s="2">
        <v>9469</v>
      </c>
      <c r="S345" s="2">
        <v>12577</v>
      </c>
      <c r="T345" s="2">
        <v>9104</v>
      </c>
      <c r="U345" s="2">
        <v>8305</v>
      </c>
      <c r="V345" s="2">
        <v>9189</v>
      </c>
      <c r="W345" s="2">
        <v>9607</v>
      </c>
      <c r="X345" s="2">
        <v>9871</v>
      </c>
      <c r="Y345" s="2">
        <v>12483</v>
      </c>
      <c r="Z345" s="2">
        <v>9005</v>
      </c>
      <c r="AA345" s="2">
        <v>10215</v>
      </c>
      <c r="AH345" s="2">
        <v>27778</v>
      </c>
      <c r="AI345" s="2">
        <v>34311</v>
      </c>
      <c r="AJ345" s="2">
        <v>42373</v>
      </c>
      <c r="AK345" s="2">
        <v>41362</v>
      </c>
      <c r="AL345" s="2">
        <v>39175</v>
      </c>
      <c r="AM345" s="2">
        <v>40967</v>
      </c>
    </row>
    <row r="346" spans="2:39" s="2" customFormat="1" x14ac:dyDescent="0.25">
      <c r="B346" s="20" t="s">
        <v>149</v>
      </c>
      <c r="C346" s="8">
        <v>2182</v>
      </c>
      <c r="D346" s="8">
        <v>2783</v>
      </c>
      <c r="E346" s="8">
        <v>3396</v>
      </c>
      <c r="F346" s="8">
        <v>2285</v>
      </c>
      <c r="G346" s="8">
        <v>3366</v>
      </c>
      <c r="H346" s="8">
        <v>2827</v>
      </c>
      <c r="I346" s="8">
        <v>2894</v>
      </c>
      <c r="J346" s="8">
        <v>3031</v>
      </c>
      <c r="K346" s="8">
        <v>5678</v>
      </c>
      <c r="L346" s="8">
        <v>3388</v>
      </c>
      <c r="M346" s="8">
        <v>2960</v>
      </c>
      <c r="N346" s="8">
        <v>3021</v>
      </c>
      <c r="O346" s="8">
        <v>3102</v>
      </c>
      <c r="P346" s="8">
        <v>3446</v>
      </c>
      <c r="Q346" s="8">
        <v>5013</v>
      </c>
      <c r="R346" s="8">
        <v>3602</v>
      </c>
      <c r="S346" s="8">
        <v>2791</v>
      </c>
      <c r="T346" s="8">
        <v>2955</v>
      </c>
      <c r="U346" s="8">
        <v>2609</v>
      </c>
      <c r="V346" s="8">
        <v>2934</v>
      </c>
      <c r="W346" s="8">
        <v>2629</v>
      </c>
      <c r="X346" s="8">
        <v>3198</v>
      </c>
      <c r="Y346" s="8">
        <v>2822</v>
      </c>
      <c r="Z346" s="8">
        <v>2797</v>
      </c>
      <c r="AA346" s="8">
        <v>3481</v>
      </c>
      <c r="AH346" s="8">
        <v>10646</v>
      </c>
      <c r="AI346" s="8">
        <v>12118</v>
      </c>
      <c r="AJ346" s="8">
        <v>15046</v>
      </c>
      <c r="AK346" s="8">
        <v>14676</v>
      </c>
      <c r="AL346" s="8">
        <v>11289</v>
      </c>
      <c r="AM346" s="8">
        <v>11446</v>
      </c>
    </row>
    <row r="347" spans="2:39" s="2" customFormat="1" x14ac:dyDescent="0.25">
      <c r="B347" s="2" t="s">
        <v>150</v>
      </c>
      <c r="C347" s="2">
        <v>4103</v>
      </c>
      <c r="D347" s="2">
        <v>3845</v>
      </c>
      <c r="E347" s="2">
        <v>3812</v>
      </c>
      <c r="F347" s="2">
        <v>5020</v>
      </c>
      <c r="G347" s="2">
        <v>3430</v>
      </c>
      <c r="H347" s="2">
        <v>3889</v>
      </c>
      <c r="I347" s="2">
        <v>7370</v>
      </c>
      <c r="J347" s="2">
        <v>5785</v>
      </c>
      <c r="K347" s="2">
        <v>5109</v>
      </c>
      <c r="L347" s="2">
        <v>6220</v>
      </c>
      <c r="M347" s="2">
        <v>6565</v>
      </c>
      <c r="N347" s="2">
        <v>7753</v>
      </c>
      <c r="O347" s="2">
        <v>6103</v>
      </c>
      <c r="P347" s="2">
        <v>5690</v>
      </c>
      <c r="Q347" s="2">
        <v>6859</v>
      </c>
      <c r="R347" s="2">
        <v>7889</v>
      </c>
      <c r="S347" s="2">
        <v>5228</v>
      </c>
      <c r="T347" s="2">
        <v>7053</v>
      </c>
      <c r="U347" s="2">
        <v>6648</v>
      </c>
      <c r="V347" s="2">
        <v>8907</v>
      </c>
      <c r="W347" s="2">
        <v>6384</v>
      </c>
      <c r="X347" s="2">
        <v>7516</v>
      </c>
      <c r="Y347" s="2">
        <v>7898</v>
      </c>
      <c r="Z347" s="2">
        <v>8552</v>
      </c>
      <c r="AA347" s="2">
        <v>6983</v>
      </c>
      <c r="AH347" s="2">
        <v>16780</v>
      </c>
      <c r="AI347" s="2">
        <v>20474</v>
      </c>
      <c r="AJ347" s="2">
        <v>25646</v>
      </c>
      <c r="AK347" s="2">
        <v>25843</v>
      </c>
      <c r="AL347" s="2">
        <v>27837</v>
      </c>
      <c r="AM347" s="2">
        <v>30351</v>
      </c>
    </row>
    <row r="348" spans="2:39" s="2" customFormat="1" x14ac:dyDescent="0.25">
      <c r="B348" s="20" t="s">
        <v>151</v>
      </c>
      <c r="C348" s="8">
        <v>3306</v>
      </c>
      <c r="D348" s="8">
        <v>3211</v>
      </c>
      <c r="E348" s="8">
        <v>3258</v>
      </c>
      <c r="F348" s="8">
        <v>4437</v>
      </c>
      <c r="G348" s="8">
        <v>2795</v>
      </c>
      <c r="H348" s="8">
        <v>3251</v>
      </c>
      <c r="I348" s="8">
        <v>6655</v>
      </c>
      <c r="J348" s="8">
        <v>4854</v>
      </c>
      <c r="K348" s="8">
        <v>4072</v>
      </c>
      <c r="L348" s="8">
        <v>5434</v>
      </c>
      <c r="M348" s="8">
        <v>5501</v>
      </c>
      <c r="N348" s="8">
        <v>6556</v>
      </c>
      <c r="O348" s="8">
        <v>4860</v>
      </c>
      <c r="P348" s="8">
        <v>4683</v>
      </c>
      <c r="Q348" s="8">
        <v>5861</v>
      </c>
      <c r="R348" s="8">
        <v>6690</v>
      </c>
      <c r="S348" s="8">
        <v>4258</v>
      </c>
      <c r="T348" s="8">
        <v>5977</v>
      </c>
      <c r="U348" s="8">
        <v>5611</v>
      </c>
      <c r="V348" s="8">
        <v>7681</v>
      </c>
      <c r="W348" s="8">
        <v>5174</v>
      </c>
      <c r="X348" s="8">
        <v>6161</v>
      </c>
      <c r="Y348" s="8">
        <v>7061</v>
      </c>
      <c r="Z348" s="8">
        <v>7316</v>
      </c>
      <c r="AA348" s="8">
        <v>6134</v>
      </c>
      <c r="AH348" s="8">
        <v>14212</v>
      </c>
      <c r="AI348" s="8">
        <v>17555</v>
      </c>
      <c r="AJ348" s="8">
        <v>21563</v>
      </c>
      <c r="AK348" s="8">
        <v>21719</v>
      </c>
      <c r="AL348" s="8">
        <v>23527</v>
      </c>
      <c r="AM348" s="8">
        <v>25713</v>
      </c>
    </row>
    <row r="349" spans="2:39" s="2" customFormat="1" x14ac:dyDescent="0.25">
      <c r="B349" s="2" t="s">
        <v>152</v>
      </c>
      <c r="C349" s="2">
        <v>3483</v>
      </c>
      <c r="D349" s="2">
        <v>3152</v>
      </c>
      <c r="E349" s="2">
        <v>3143</v>
      </c>
      <c r="F349" s="2">
        <v>3695</v>
      </c>
      <c r="G349" s="2">
        <v>3721</v>
      </c>
      <c r="H349" s="2">
        <v>3872</v>
      </c>
      <c r="I349" s="2">
        <v>4672</v>
      </c>
      <c r="J349" s="2">
        <v>4324</v>
      </c>
      <c r="K349" s="2">
        <v>5561</v>
      </c>
      <c r="L349" s="2">
        <v>4836</v>
      </c>
      <c r="M349" s="2">
        <v>5638</v>
      </c>
      <c r="N349" s="2">
        <v>4955</v>
      </c>
      <c r="O349" s="2">
        <v>6534</v>
      </c>
      <c r="P349" s="2">
        <v>8172</v>
      </c>
      <c r="Q349" s="2">
        <v>3934</v>
      </c>
      <c r="R349" s="2">
        <v>4445</v>
      </c>
      <c r="S349" s="2">
        <v>3834</v>
      </c>
      <c r="T349" s="2">
        <v>3544</v>
      </c>
      <c r="U349" s="2">
        <v>4829</v>
      </c>
      <c r="V349" s="2">
        <v>4837</v>
      </c>
      <c r="W349" s="2">
        <v>4073</v>
      </c>
      <c r="X349" s="2">
        <v>4256</v>
      </c>
      <c r="Y349" s="2">
        <v>4337</v>
      </c>
      <c r="Z349" s="2">
        <v>4381</v>
      </c>
      <c r="AA349" s="2">
        <v>4174</v>
      </c>
      <c r="AH349" s="2">
        <v>13473</v>
      </c>
      <c r="AI349" s="2">
        <v>16589</v>
      </c>
      <c r="AJ349" s="2">
        <v>20990</v>
      </c>
      <c r="AK349" s="2">
        <v>22165</v>
      </c>
      <c r="AL349" s="2">
        <v>17044</v>
      </c>
      <c r="AM349" s="2">
        <v>17048</v>
      </c>
    </row>
    <row r="350" spans="2:39" s="2" customFormat="1" x14ac:dyDescent="0.25">
      <c r="B350" s="20" t="s">
        <v>153</v>
      </c>
      <c r="C350" s="8">
        <v>1952</v>
      </c>
      <c r="D350" s="8">
        <v>1500</v>
      </c>
      <c r="E350" s="8">
        <v>1750</v>
      </c>
      <c r="F350" s="8">
        <v>1892</v>
      </c>
      <c r="G350" s="8">
        <v>2138</v>
      </c>
      <c r="H350" s="8">
        <v>2136</v>
      </c>
      <c r="I350" s="8">
        <v>2430</v>
      </c>
      <c r="J350" s="8">
        <v>2325</v>
      </c>
      <c r="K350" s="8">
        <v>3283</v>
      </c>
      <c r="L350" s="8">
        <v>2370</v>
      </c>
      <c r="M350" s="8">
        <v>2748</v>
      </c>
      <c r="N350" s="8">
        <v>2430</v>
      </c>
      <c r="O350" s="8">
        <v>3202</v>
      </c>
      <c r="P350" s="8">
        <v>2241</v>
      </c>
      <c r="Q350" s="8">
        <v>1635</v>
      </c>
      <c r="R350" s="8">
        <v>1719</v>
      </c>
      <c r="S350" s="8">
        <v>1792</v>
      </c>
      <c r="T350" s="8">
        <v>1534</v>
      </c>
      <c r="U350" s="8">
        <v>2327</v>
      </c>
      <c r="V350" s="8">
        <v>1581</v>
      </c>
      <c r="W350" s="8">
        <v>1832</v>
      </c>
      <c r="X350" s="8">
        <v>1808</v>
      </c>
      <c r="Y350" s="8">
        <v>1705</v>
      </c>
      <c r="Z350" s="8">
        <v>1799</v>
      </c>
      <c r="AA350" s="8">
        <v>1869</v>
      </c>
      <c r="AH350" s="8">
        <v>7094</v>
      </c>
      <c r="AI350" s="8">
        <v>9029</v>
      </c>
      <c r="AJ350" s="8">
        <v>10831</v>
      </c>
      <c r="AK350" s="8">
        <v>8176</v>
      </c>
      <c r="AL350" s="8">
        <v>7233</v>
      </c>
      <c r="AM350" s="8">
        <v>7144</v>
      </c>
    </row>
    <row r="351" spans="2:39" s="4" customFormat="1" x14ac:dyDescent="0.25">
      <c r="B351" s="4" t="s">
        <v>141</v>
      </c>
      <c r="C351" s="4">
        <v>14360</v>
      </c>
      <c r="D351" s="4">
        <v>14664</v>
      </c>
      <c r="E351" s="4">
        <v>13906</v>
      </c>
      <c r="F351" s="4">
        <v>15100</v>
      </c>
      <c r="G351" s="4">
        <v>15939</v>
      </c>
      <c r="H351" s="4">
        <v>15879</v>
      </c>
      <c r="I351" s="4">
        <v>20486</v>
      </c>
      <c r="J351" s="4">
        <v>19070</v>
      </c>
      <c r="K351" s="4">
        <v>24209</v>
      </c>
      <c r="L351" s="4">
        <v>20978</v>
      </c>
      <c r="M351" s="4">
        <v>22006</v>
      </c>
      <c r="N351" s="4">
        <v>21817</v>
      </c>
      <c r="O351" s="4">
        <v>22620</v>
      </c>
      <c r="P351" s="4">
        <v>23638</v>
      </c>
      <c r="Q351" s="4">
        <v>24244</v>
      </c>
      <c r="R351" s="4">
        <v>21803</v>
      </c>
      <c r="S351" s="4">
        <v>21639</v>
      </c>
      <c r="T351" s="4">
        <v>19701</v>
      </c>
      <c r="U351" s="4">
        <v>19782</v>
      </c>
      <c r="V351" s="4">
        <v>22933</v>
      </c>
      <c r="W351" s="4">
        <v>20065</v>
      </c>
      <c r="X351" s="4">
        <v>21643</v>
      </c>
      <c r="Y351" s="4">
        <v>24719</v>
      </c>
      <c r="Z351" s="4">
        <v>21939</v>
      </c>
      <c r="AA351" s="4">
        <v>21371</v>
      </c>
      <c r="AH351" s="4">
        <v>58030</v>
      </c>
      <c r="AI351" s="4">
        <v>71374</v>
      </c>
      <c r="AJ351" s="4">
        <v>89010</v>
      </c>
      <c r="AK351" s="4">
        <v>89371</v>
      </c>
      <c r="AL351" s="4">
        <v>84056</v>
      </c>
      <c r="AM351" s="4">
        <v>88366</v>
      </c>
    </row>
    <row r="352" spans="2:39" s="2" customFormat="1" x14ac:dyDescent="0.25">
      <c r="B352" s="20" t="s">
        <v>184</v>
      </c>
      <c r="C352" s="8">
        <v>4061</v>
      </c>
      <c r="D352" s="8">
        <v>3677</v>
      </c>
      <c r="E352" s="8">
        <v>3407</v>
      </c>
      <c r="F352" s="8">
        <v>4089</v>
      </c>
      <c r="G352" s="8">
        <v>4446</v>
      </c>
      <c r="H352" s="8">
        <v>4475</v>
      </c>
      <c r="I352" s="8">
        <v>4969</v>
      </c>
      <c r="J352" s="8">
        <v>5318</v>
      </c>
      <c r="K352" s="8"/>
      <c r="AH352" s="8">
        <v>15234</v>
      </c>
      <c r="AI352" s="8">
        <v>19208</v>
      </c>
    </row>
    <row r="353" spans="2:39" s="2" customFormat="1" x14ac:dyDescent="0.25"/>
    <row r="354" spans="2:39" s="2" customFormat="1" ht="16.8" x14ac:dyDescent="0.3">
      <c r="B354" s="35" t="s">
        <v>6</v>
      </c>
    </row>
    <row r="355" spans="2:39" s="2" customFormat="1" x14ac:dyDescent="0.25">
      <c r="B355" s="2" t="s">
        <v>148</v>
      </c>
      <c r="C355" s="2">
        <v>6832</v>
      </c>
      <c r="D355" s="2">
        <v>6843</v>
      </c>
      <c r="E355" s="2">
        <v>6296</v>
      </c>
      <c r="F355" s="2">
        <v>7281</v>
      </c>
      <c r="G355" s="2">
        <v>7153</v>
      </c>
      <c r="H355" s="2">
        <v>7400</v>
      </c>
      <c r="I355" s="2">
        <v>8101</v>
      </c>
      <c r="J355" s="2">
        <v>8484</v>
      </c>
      <c r="K355" s="2">
        <v>8300</v>
      </c>
      <c r="L355" s="2">
        <v>7963</v>
      </c>
      <c r="M355" s="2">
        <v>8138</v>
      </c>
      <c r="N355" s="2">
        <v>9080</v>
      </c>
      <c r="O355" s="2">
        <v>8481</v>
      </c>
      <c r="P355" s="2">
        <v>9303</v>
      </c>
      <c r="Q355" s="2">
        <v>8827</v>
      </c>
      <c r="R355" s="2">
        <v>10053</v>
      </c>
      <c r="S355" s="2">
        <v>8665</v>
      </c>
      <c r="T355" s="2">
        <v>8771</v>
      </c>
      <c r="U355" s="2">
        <v>8247</v>
      </c>
      <c r="V355" s="2">
        <v>9570</v>
      </c>
      <c r="W355" s="2">
        <v>8584</v>
      </c>
      <c r="X355" s="2">
        <v>9200</v>
      </c>
      <c r="Y355" s="2">
        <v>9085</v>
      </c>
      <c r="Z355" s="2">
        <v>10064</v>
      </c>
      <c r="AA355" s="2">
        <v>9241</v>
      </c>
      <c r="AH355" s="2">
        <v>27252</v>
      </c>
      <c r="AI355" s="2">
        <v>31138</v>
      </c>
      <c r="AJ355" s="2">
        <v>33481</v>
      </c>
      <c r="AK355" s="2">
        <v>35428</v>
      </c>
      <c r="AL355" s="2">
        <v>35254</v>
      </c>
      <c r="AM355" s="2">
        <v>36933</v>
      </c>
    </row>
    <row r="356" spans="2:39" s="2" customFormat="1" x14ac:dyDescent="0.25">
      <c r="B356" s="20" t="s">
        <v>149</v>
      </c>
      <c r="C356" s="8">
        <v>2289</v>
      </c>
      <c r="D356" s="8">
        <v>2354</v>
      </c>
      <c r="E356" s="8">
        <v>2242</v>
      </c>
      <c r="F356" s="8">
        <v>2488</v>
      </c>
      <c r="G356" s="8">
        <v>2538</v>
      </c>
      <c r="H356" s="8">
        <v>2620</v>
      </c>
      <c r="I356" s="8">
        <v>3030</v>
      </c>
      <c r="J356" s="8">
        <v>3061</v>
      </c>
      <c r="K356" s="8">
        <v>3018</v>
      </c>
      <c r="L356" s="8">
        <v>2927</v>
      </c>
      <c r="M356" s="8">
        <v>2920</v>
      </c>
      <c r="N356" s="8">
        <v>3097</v>
      </c>
      <c r="O356" s="8">
        <v>2969</v>
      </c>
      <c r="P356" s="8">
        <v>3261</v>
      </c>
      <c r="Q356" s="8">
        <v>2970</v>
      </c>
      <c r="R356" s="8">
        <v>3518</v>
      </c>
      <c r="S356" s="8">
        <v>2743</v>
      </c>
      <c r="T356" s="8">
        <v>2802</v>
      </c>
      <c r="U356" s="8">
        <v>2599</v>
      </c>
      <c r="V356" s="8">
        <v>3153</v>
      </c>
      <c r="W356" s="8">
        <v>2762</v>
      </c>
      <c r="X356" s="8">
        <v>2879</v>
      </c>
      <c r="Y356" s="8">
        <v>2782</v>
      </c>
      <c r="Z356" s="8">
        <v>3222</v>
      </c>
      <c r="AA356" s="8">
        <v>2870</v>
      </c>
      <c r="AH356" s="8">
        <v>9373</v>
      </c>
      <c r="AI356" s="8">
        <v>11249</v>
      </c>
      <c r="AJ356" s="8">
        <v>11961</v>
      </c>
      <c r="AK356" s="8">
        <v>12194</v>
      </c>
      <c r="AL356" s="8">
        <v>11298</v>
      </c>
      <c r="AM356" s="8">
        <v>11646</v>
      </c>
    </row>
    <row r="357" spans="2:39" s="2" customFormat="1" x14ac:dyDescent="0.25">
      <c r="B357" s="2" t="s">
        <v>150</v>
      </c>
      <c r="C357" s="2">
        <v>3734</v>
      </c>
      <c r="D357" s="2">
        <v>3902</v>
      </c>
      <c r="E357" s="2">
        <v>3547</v>
      </c>
      <c r="F357" s="2">
        <v>4035</v>
      </c>
      <c r="G357" s="2">
        <v>3560</v>
      </c>
      <c r="H357" s="2">
        <v>3716</v>
      </c>
      <c r="I357" s="2">
        <v>4252</v>
      </c>
      <c r="J357" s="2">
        <v>4784</v>
      </c>
      <c r="K357" s="2">
        <v>4268</v>
      </c>
      <c r="L357" s="2">
        <v>4979</v>
      </c>
      <c r="M357" s="2">
        <v>5413</v>
      </c>
      <c r="N357" s="2">
        <v>6020</v>
      </c>
      <c r="O357" s="2">
        <v>5186</v>
      </c>
      <c r="P357" s="2">
        <v>5506</v>
      </c>
      <c r="Q357" s="2">
        <v>5647</v>
      </c>
      <c r="R357" s="2">
        <v>6277</v>
      </c>
      <c r="S357" s="2">
        <v>5144</v>
      </c>
      <c r="T357" s="2">
        <v>5732</v>
      </c>
      <c r="U357" s="2">
        <v>6063</v>
      </c>
      <c r="V357" s="2">
        <v>6816</v>
      </c>
      <c r="W357" s="2">
        <v>5992</v>
      </c>
      <c r="X357" s="2">
        <v>6476</v>
      </c>
      <c r="Y357" s="2">
        <v>6347</v>
      </c>
      <c r="Z357" s="2">
        <v>6943</v>
      </c>
      <c r="AA357" s="2">
        <v>6260</v>
      </c>
      <c r="AH357" s="2">
        <v>15218</v>
      </c>
      <c r="AI357" s="2">
        <v>16312</v>
      </c>
      <c r="AJ357" s="2">
        <v>20680</v>
      </c>
      <c r="AK357" s="2">
        <v>21899</v>
      </c>
      <c r="AL357" s="2">
        <v>23755</v>
      </c>
      <c r="AM357" s="2">
        <v>25758</v>
      </c>
    </row>
    <row r="358" spans="2:39" s="2" customFormat="1" x14ac:dyDescent="0.25">
      <c r="B358" s="20" t="s">
        <v>151</v>
      </c>
      <c r="C358" s="8">
        <v>3093</v>
      </c>
      <c r="D358" s="8">
        <v>3279</v>
      </c>
      <c r="E358" s="8">
        <v>3014</v>
      </c>
      <c r="F358" s="8">
        <v>3375</v>
      </c>
      <c r="G358" s="8">
        <v>2969</v>
      </c>
      <c r="H358" s="8">
        <v>3066</v>
      </c>
      <c r="I358" s="8">
        <v>3520</v>
      </c>
      <c r="J358" s="8">
        <v>3966</v>
      </c>
      <c r="K358" s="8">
        <v>3572</v>
      </c>
      <c r="L358" s="8">
        <v>4176</v>
      </c>
      <c r="M358" s="8">
        <v>4485</v>
      </c>
      <c r="N358" s="8">
        <v>5007</v>
      </c>
      <c r="O358" s="8">
        <v>4274</v>
      </c>
      <c r="P358" s="8">
        <v>4540</v>
      </c>
      <c r="Q358" s="8">
        <v>4642</v>
      </c>
      <c r="R358" s="8">
        <v>5105</v>
      </c>
      <c r="S358" s="8">
        <v>4279</v>
      </c>
      <c r="T358" s="8">
        <v>4798</v>
      </c>
      <c r="U358" s="8">
        <v>5116</v>
      </c>
      <c r="V358" s="8">
        <v>5831</v>
      </c>
      <c r="W358" s="8">
        <v>5103</v>
      </c>
      <c r="X358" s="8">
        <v>5568</v>
      </c>
      <c r="Y358" s="8">
        <v>5479</v>
      </c>
      <c r="Z358" s="8">
        <v>5947</v>
      </c>
      <c r="AA358" s="8">
        <v>5398</v>
      </c>
      <c r="AH358" s="8">
        <v>12761</v>
      </c>
      <c r="AI358" s="8">
        <v>13521</v>
      </c>
      <c r="AJ358" s="8">
        <v>17241</v>
      </c>
      <c r="AK358" s="8">
        <v>18177</v>
      </c>
      <c r="AL358" s="8">
        <v>20024</v>
      </c>
      <c r="AM358" s="8">
        <v>22097</v>
      </c>
    </row>
    <row r="359" spans="2:39" s="2" customFormat="1" x14ac:dyDescent="0.25">
      <c r="B359" s="2" t="s">
        <v>152</v>
      </c>
      <c r="C359" s="2">
        <v>3110</v>
      </c>
      <c r="D359" s="2">
        <v>3039</v>
      </c>
      <c r="E359" s="2">
        <v>3135</v>
      </c>
      <c r="F359" s="2">
        <v>3500</v>
      </c>
      <c r="G359" s="2">
        <v>3358</v>
      </c>
      <c r="H359" s="2">
        <v>3550</v>
      </c>
      <c r="I359" s="2">
        <v>3731</v>
      </c>
      <c r="J359" s="2">
        <v>4176</v>
      </c>
      <c r="K359" s="2">
        <v>3924</v>
      </c>
      <c r="L359" s="2">
        <v>4104</v>
      </c>
      <c r="M359" s="2">
        <v>4316</v>
      </c>
      <c r="N359" s="2">
        <v>5472</v>
      </c>
      <c r="O359" s="2">
        <v>4403</v>
      </c>
      <c r="P359" s="2">
        <v>4607</v>
      </c>
      <c r="Q359" s="2">
        <v>4416</v>
      </c>
      <c r="R359" s="2">
        <v>5063</v>
      </c>
      <c r="S359" s="2">
        <v>3936</v>
      </c>
      <c r="T359" s="2">
        <v>3971</v>
      </c>
      <c r="U359" s="2">
        <v>4589</v>
      </c>
      <c r="V359" s="2">
        <v>4426</v>
      </c>
      <c r="W359" s="2">
        <v>3778</v>
      </c>
      <c r="X359" s="2">
        <v>4081</v>
      </c>
      <c r="Y359" s="2">
        <v>3945</v>
      </c>
      <c r="Z359" s="2">
        <v>4420</v>
      </c>
      <c r="AA359" s="2">
        <v>3638</v>
      </c>
      <c r="AH359" s="2">
        <v>12784</v>
      </c>
      <c r="AI359" s="2">
        <v>14815</v>
      </c>
      <c r="AJ359" s="2">
        <v>17816</v>
      </c>
      <c r="AK359" s="2">
        <v>17555</v>
      </c>
      <c r="AL359" s="2">
        <v>16921</v>
      </c>
      <c r="AM359" s="2">
        <v>16224</v>
      </c>
    </row>
    <row r="360" spans="2:39" s="2" customFormat="1" x14ac:dyDescent="0.25">
      <c r="B360" s="20" t="s">
        <v>153</v>
      </c>
      <c r="C360" s="8">
        <v>1616</v>
      </c>
      <c r="D360" s="8">
        <v>1346</v>
      </c>
      <c r="E360" s="8">
        <v>1789</v>
      </c>
      <c r="F360" s="8">
        <v>1843</v>
      </c>
      <c r="G360" s="8">
        <v>1919</v>
      </c>
      <c r="H360" s="8">
        <v>1909</v>
      </c>
      <c r="I360" s="8">
        <v>2129</v>
      </c>
      <c r="J360" s="8">
        <v>2275</v>
      </c>
      <c r="K360" s="8">
        <v>2237</v>
      </c>
      <c r="L360" s="8">
        <v>2141</v>
      </c>
      <c r="M360" s="8">
        <v>2320</v>
      </c>
      <c r="N360" s="8">
        <v>2859</v>
      </c>
      <c r="O360" s="8">
        <v>2360</v>
      </c>
      <c r="P360" s="8">
        <v>2329</v>
      </c>
      <c r="Q360" s="8">
        <v>2295</v>
      </c>
      <c r="R360" s="8">
        <v>2384</v>
      </c>
      <c r="S360" s="8">
        <v>1981</v>
      </c>
      <c r="T360" s="8">
        <v>1740</v>
      </c>
      <c r="U360" s="8">
        <v>2479</v>
      </c>
      <c r="V360" s="8">
        <v>1882</v>
      </c>
      <c r="W360" s="8">
        <v>1732</v>
      </c>
      <c r="X360" s="8">
        <v>1761</v>
      </c>
      <c r="Y360" s="8">
        <v>1791</v>
      </c>
      <c r="Z360" s="8">
        <v>1859</v>
      </c>
      <c r="AA360" s="8">
        <v>1663</v>
      </c>
      <c r="AH360" s="8">
        <v>6594</v>
      </c>
      <c r="AI360" s="8">
        <v>8232</v>
      </c>
      <c r="AJ360" s="8">
        <v>9557</v>
      </c>
      <c r="AK360" s="8">
        <v>8743</v>
      </c>
      <c r="AL360" s="8">
        <v>8082</v>
      </c>
      <c r="AM360" s="8">
        <v>7143</v>
      </c>
    </row>
    <row r="361" spans="2:39" s="4" customFormat="1" x14ac:dyDescent="0.25">
      <c r="B361" s="4" t="s">
        <v>141</v>
      </c>
      <c r="C361" s="4">
        <v>13675</v>
      </c>
      <c r="D361" s="4">
        <v>13784</v>
      </c>
      <c r="E361" s="4">
        <v>12979</v>
      </c>
      <c r="F361" s="4">
        <v>14816</v>
      </c>
      <c r="G361" s="4">
        <v>14071</v>
      </c>
      <c r="H361" s="4">
        <v>14665</v>
      </c>
      <c r="I361" s="4">
        <v>16085</v>
      </c>
      <c r="J361" s="4">
        <v>17444</v>
      </c>
      <c r="K361" s="4">
        <v>16497</v>
      </c>
      <c r="L361" s="4">
        <v>17040</v>
      </c>
      <c r="M361" s="4">
        <v>17867</v>
      </c>
      <c r="N361" s="4">
        <v>20573</v>
      </c>
      <c r="O361" s="4">
        <v>18070</v>
      </c>
      <c r="P361" s="4">
        <v>19416</v>
      </c>
      <c r="Q361" s="4">
        <v>18889</v>
      </c>
      <c r="R361" s="4">
        <v>21393</v>
      </c>
      <c r="S361" s="4">
        <v>17745</v>
      </c>
      <c r="T361" s="4">
        <v>18474</v>
      </c>
      <c r="U361" s="4">
        <v>18900</v>
      </c>
      <c r="V361" s="4">
        <v>20811</v>
      </c>
      <c r="W361" s="4">
        <v>18353</v>
      </c>
      <c r="X361" s="4">
        <v>19757</v>
      </c>
      <c r="Y361" s="4">
        <v>19377</v>
      </c>
      <c r="Z361" s="4">
        <v>21427</v>
      </c>
      <c r="AA361" s="4">
        <v>19139</v>
      </c>
      <c r="AH361" s="4">
        <v>55254</v>
      </c>
      <c r="AI361" s="4">
        <v>62265</v>
      </c>
      <c r="AJ361" s="4">
        <v>71977</v>
      </c>
      <c r="AK361" s="4">
        <v>74882</v>
      </c>
      <c r="AL361" s="4">
        <v>75930</v>
      </c>
      <c r="AM361" s="4">
        <v>78914</v>
      </c>
    </row>
    <row r="362" spans="2:39" s="2" customFormat="1" x14ac:dyDescent="0.25">
      <c r="B362" s="20" t="s">
        <v>184</v>
      </c>
      <c r="C362" s="2">
        <v>3940</v>
      </c>
      <c r="D362" s="8">
        <v>3533</v>
      </c>
      <c r="E362" s="8">
        <v>3558</v>
      </c>
      <c r="F362" s="8">
        <v>4292</v>
      </c>
      <c r="G362" s="2">
        <v>4045</v>
      </c>
      <c r="H362" s="8">
        <v>4128</v>
      </c>
      <c r="I362" s="8">
        <v>4417</v>
      </c>
      <c r="J362" s="8">
        <v>5061</v>
      </c>
      <c r="O362" s="8"/>
      <c r="AH362" s="8">
        <v>15323</v>
      </c>
      <c r="AI362" s="8">
        <v>17651</v>
      </c>
    </row>
  </sheetData>
  <phoneticPr fontId="12" type="noConversion"/>
  <hyperlinks>
    <hyperlink ref="A1" location="Main!A1" display="Main" xr:uid="{CC9C1252-5F7E-449A-AC9D-97B0A8BE906B}"/>
  </hyperlinks>
  <pageMargins left="0.7" right="0.7" top="0.75" bottom="0.75" header="0.3" footer="0.3"/>
  <pageSetup orientation="portrait" r:id="rId1"/>
  <ignoredErrors>
    <ignoredError sqref="A135:AG135 AI134:XFD134 A137:AG137 A136:Z136 AD136:AG136 AA136:AB136 AP135:XFD137 AP132:XFD132 A132:AG132 A134:E134 AC134:AG134 F134:AB134" formulaRange="1"/>
    <ignoredError sqref="AC133" evalError="1"/>
    <ignoredError sqref="F133:AB133" evalError="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3D86-737B-40D4-B0D4-B6E237CDF2DF}">
  <dimension ref="B2:AR53"/>
  <sheetViews>
    <sheetView zoomScale="88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C16" sqref="AC16"/>
    </sheetView>
  </sheetViews>
  <sheetFormatPr defaultRowHeight="13.2" x14ac:dyDescent="0.25"/>
  <cols>
    <col min="1" max="1" width="8.88671875" style="1"/>
    <col min="2" max="2" width="26.6640625" style="1" bestFit="1" customWidth="1"/>
    <col min="3" max="5" width="8.88671875" style="1"/>
    <col min="6" max="6" width="12.33203125" style="1" bestFit="1" customWidth="1"/>
    <col min="7" max="16384" width="8.88671875" style="1"/>
  </cols>
  <sheetData>
    <row r="2" spans="2:44" x14ac:dyDescent="0.25">
      <c r="C2" s="2" t="s">
        <v>183</v>
      </c>
      <c r="D2" s="2" t="s">
        <v>182</v>
      </c>
      <c r="E2" s="2" t="s">
        <v>181</v>
      </c>
      <c r="F2" s="2" t="s">
        <v>180</v>
      </c>
      <c r="G2" s="2" t="s">
        <v>179</v>
      </c>
      <c r="H2" s="2" t="s">
        <v>178</v>
      </c>
      <c r="I2" s="2" t="s">
        <v>177</v>
      </c>
      <c r="J2" s="2" t="s">
        <v>176</v>
      </c>
      <c r="K2" s="2" t="s">
        <v>173</v>
      </c>
      <c r="L2" s="2" t="s">
        <v>172</v>
      </c>
      <c r="M2" s="2" t="s">
        <v>171</v>
      </c>
      <c r="N2" s="2" t="s">
        <v>170</v>
      </c>
      <c r="O2" s="2" t="s">
        <v>169</v>
      </c>
      <c r="P2" s="2" t="s">
        <v>168</v>
      </c>
      <c r="Q2" s="2" t="s">
        <v>167</v>
      </c>
      <c r="R2" s="2" t="s">
        <v>166</v>
      </c>
      <c r="S2" s="2" t="s">
        <v>161</v>
      </c>
      <c r="T2" s="2" t="s">
        <v>162</v>
      </c>
      <c r="U2" s="2" t="s">
        <v>163</v>
      </c>
      <c r="V2" s="2" t="s">
        <v>27</v>
      </c>
      <c r="W2" s="2" t="s">
        <v>26</v>
      </c>
      <c r="X2" s="2" t="s">
        <v>25</v>
      </c>
      <c r="Y2" s="2" t="s">
        <v>24</v>
      </c>
      <c r="Z2" s="2" t="s">
        <v>23</v>
      </c>
      <c r="AA2" s="2" t="s">
        <v>22</v>
      </c>
      <c r="AB2" s="2" t="s">
        <v>191</v>
      </c>
      <c r="AC2" s="2" t="s">
        <v>192</v>
      </c>
      <c r="AD2" s="2" t="s">
        <v>193</v>
      </c>
      <c r="AH2" s="1" t="s">
        <v>185</v>
      </c>
      <c r="AI2" s="1" t="s">
        <v>164</v>
      </c>
      <c r="AJ2" s="1" t="s">
        <v>165</v>
      </c>
      <c r="AK2" s="1" t="s">
        <v>157</v>
      </c>
      <c r="AL2" s="1" t="s">
        <v>158</v>
      </c>
      <c r="AM2" s="1" t="s">
        <v>155</v>
      </c>
      <c r="AN2" s="1" t="s">
        <v>156</v>
      </c>
      <c r="AO2" s="1" t="s">
        <v>187</v>
      </c>
      <c r="AP2" s="1" t="s">
        <v>188</v>
      </c>
      <c r="AQ2" s="1" t="s">
        <v>189</v>
      </c>
      <c r="AR2" s="1" t="s">
        <v>190</v>
      </c>
    </row>
    <row r="3" spans="2:44" s="2" customFormat="1" x14ac:dyDescent="0.25">
      <c r="B3" s="2" t="s">
        <v>6</v>
      </c>
      <c r="C3" s="2">
        <f>Model!C3</f>
        <v>13675</v>
      </c>
      <c r="D3" s="2">
        <f>Model!D3</f>
        <v>13784</v>
      </c>
      <c r="E3" s="2">
        <f>Model!E3</f>
        <v>12979</v>
      </c>
      <c r="F3" s="2">
        <f>Model!F3</f>
        <v>14816</v>
      </c>
      <c r="G3" s="2">
        <f>Model!G3</f>
        <v>14071</v>
      </c>
      <c r="H3" s="2">
        <f>Model!H3</f>
        <v>14665</v>
      </c>
      <c r="I3" s="2">
        <f>Model!I3</f>
        <v>16085</v>
      </c>
      <c r="J3" s="2">
        <f>Model!J3</f>
        <v>17444</v>
      </c>
      <c r="K3" s="2">
        <f>Model!K3</f>
        <v>16497</v>
      </c>
      <c r="L3" s="2">
        <f>Model!L3</f>
        <v>17040</v>
      </c>
      <c r="M3" s="2">
        <f>Model!M3</f>
        <v>17867</v>
      </c>
      <c r="N3" s="2">
        <f>Model!N3</f>
        <v>20573</v>
      </c>
      <c r="O3" s="2">
        <f>Model!O3</f>
        <v>18070</v>
      </c>
      <c r="P3" s="2">
        <f>Model!P3</f>
        <v>19416</v>
      </c>
      <c r="Q3" s="2">
        <f>Model!Q3</f>
        <v>18889</v>
      </c>
      <c r="R3" s="2">
        <f>Model!R3</f>
        <v>21393</v>
      </c>
      <c r="S3" s="2">
        <f>Model!S3</f>
        <v>17745</v>
      </c>
      <c r="T3" s="2">
        <f>Model!T3</f>
        <v>18474</v>
      </c>
      <c r="U3" s="2">
        <f>Model!U3</f>
        <v>18900</v>
      </c>
      <c r="V3" s="2">
        <f>Model!V3</f>
        <v>20811</v>
      </c>
      <c r="W3" s="2">
        <f>Model!W3</f>
        <v>18353</v>
      </c>
      <c r="X3" s="2">
        <f>Model!X3</f>
        <v>19757</v>
      </c>
      <c r="Y3" s="2">
        <f>Model!Y3</f>
        <v>19377</v>
      </c>
      <c r="Z3" s="2">
        <f>Model!Z3</f>
        <v>21427</v>
      </c>
      <c r="AA3" s="2">
        <f>Model!AA3</f>
        <v>19139</v>
      </c>
      <c r="AB3" s="2">
        <f>Model!AB3</f>
        <v>0</v>
      </c>
      <c r="AC3" s="2">
        <f>Model!AC3</f>
        <v>0</v>
      </c>
      <c r="AD3" s="2">
        <f>Model!AD3</f>
        <v>0</v>
      </c>
      <c r="AH3" s="2">
        <f>Model!AH3</f>
        <v>55254</v>
      </c>
      <c r="AI3" s="2">
        <f>Model!AI3</f>
        <v>62265</v>
      </c>
      <c r="AJ3" s="2">
        <f>Model!AJ3</f>
        <v>71977</v>
      </c>
      <c r="AK3" s="2">
        <f>Model!AK3</f>
        <v>74882</v>
      </c>
      <c r="AL3" s="2">
        <f>Model!AL3</f>
        <v>75930</v>
      </c>
      <c r="AM3" s="2">
        <f>Model!AM3</f>
        <v>78914</v>
      </c>
      <c r="AN3" s="2">
        <f>Model!AN3</f>
        <v>0</v>
      </c>
      <c r="AO3" s="2">
        <f>Model!AO3</f>
        <v>0</v>
      </c>
    </row>
    <row r="4" spans="2:44" s="2" customFormat="1" x14ac:dyDescent="0.25">
      <c r="B4" s="2" t="s">
        <v>227</v>
      </c>
      <c r="C4" s="2">
        <f>+Model!C5</f>
        <v>4987</v>
      </c>
      <c r="D4" s="2">
        <f>+Model!D5</f>
        <v>5013</v>
      </c>
      <c r="E4" s="2">
        <f>+Model!E5</f>
        <v>4755</v>
      </c>
      <c r="F4" s="2">
        <f>+Model!F5</f>
        <v>5133</v>
      </c>
      <c r="G4" s="2">
        <f>+Model!G5</f>
        <v>5318</v>
      </c>
      <c r="H4" s="2">
        <f>+Model!H5</f>
        <v>5239</v>
      </c>
      <c r="I4" s="2">
        <f>+Model!I5</f>
        <v>5872</v>
      </c>
      <c r="J4" s="2">
        <f>+Model!J5</f>
        <v>6308</v>
      </c>
      <c r="K4" s="2">
        <f>+Model!K5</f>
        <v>6205</v>
      </c>
      <c r="L4" s="2">
        <f>+Model!L5</f>
        <v>5741</v>
      </c>
      <c r="M4" s="2">
        <f>+Model!M5</f>
        <v>6229</v>
      </c>
      <c r="N4" s="2">
        <f>+Model!N5</f>
        <v>7672</v>
      </c>
      <c r="O4" s="2">
        <f>+Model!O5</f>
        <v>6967</v>
      </c>
      <c r="P4" s="2">
        <f>+Model!P5</f>
        <v>7199</v>
      </c>
      <c r="Q4" s="2">
        <f>+Model!Q5</f>
        <v>7252</v>
      </c>
      <c r="R4" s="2">
        <f>+Model!R5</f>
        <v>8235</v>
      </c>
      <c r="S4" s="2">
        <f>+Model!S5</f>
        <v>7038</v>
      </c>
      <c r="T4" s="2">
        <f>+Model!T5</f>
        <v>7111</v>
      </c>
      <c r="U4" s="2">
        <f>+Model!U5</f>
        <v>7748</v>
      </c>
      <c r="V4" s="2">
        <f>+Model!V5</f>
        <v>7926</v>
      </c>
      <c r="W4" s="2">
        <f>+Model!W5</f>
        <v>7089</v>
      </c>
      <c r="X4" s="2">
        <f>+Model!X5</f>
        <v>7669</v>
      </c>
      <c r="Y4" s="2">
        <f>+Model!Y5</f>
        <v>7537</v>
      </c>
      <c r="Z4" s="2">
        <f>+Model!Z5</f>
        <v>8104</v>
      </c>
      <c r="AA4" s="2">
        <f>+Model!AA5</f>
        <v>7633</v>
      </c>
      <c r="AB4" s="2">
        <f>+Model!AB5</f>
        <v>0</v>
      </c>
      <c r="AC4" s="2">
        <f>+Model!AC5</f>
        <v>0</v>
      </c>
      <c r="AD4" s="2">
        <f>+Model!AD5</f>
        <v>0</v>
      </c>
      <c r="AH4" s="2">
        <f>+Model!AH5</f>
        <v>19888</v>
      </c>
      <c r="AI4" s="2">
        <f>+Model!AI5</f>
        <v>22737</v>
      </c>
      <c r="AJ4" s="2">
        <f>+Model!AJ5</f>
        <v>25847</v>
      </c>
      <c r="AK4" s="2">
        <f>+Model!AK5</f>
        <v>29117</v>
      </c>
      <c r="AL4" s="2">
        <f>+Model!AL5</f>
        <v>29823</v>
      </c>
      <c r="AM4" s="2">
        <f>+Model!AM5</f>
        <v>30399</v>
      </c>
      <c r="AN4" s="2">
        <f>+Model!AN5</f>
        <v>0</v>
      </c>
      <c r="AO4" s="2">
        <f>+Model!AO5</f>
        <v>0</v>
      </c>
    </row>
    <row r="5" spans="2:44" s="2" customFormat="1" x14ac:dyDescent="0.25">
      <c r="B5" s="2" t="s">
        <v>228</v>
      </c>
      <c r="C5" s="2">
        <f>+C4+Model!C6+Model!C7</f>
        <v>1022</v>
      </c>
      <c r="D5" s="2">
        <f>+D4+Model!D6+Model!D7</f>
        <v>1205</v>
      </c>
      <c r="E5" s="2">
        <f>+E4+Model!E6+Model!E7</f>
        <v>1149</v>
      </c>
      <c r="F5" s="2">
        <f>+F4+Model!F6+Model!F7</f>
        <v>1261</v>
      </c>
      <c r="G5" s="2">
        <f>+G4+Model!G6+Model!G7</f>
        <v>1793</v>
      </c>
      <c r="H5" s="2">
        <f>+H4+Model!H6+Model!H7</f>
        <v>1549</v>
      </c>
      <c r="I5" s="2">
        <f>+I4+Model!I6+Model!I7</f>
        <v>1712</v>
      </c>
      <c r="J5" s="2">
        <f>+J4+Model!J6+Model!J7</f>
        <v>1633</v>
      </c>
      <c r="K5" s="2">
        <f>+K4+Model!K6+Model!K7</f>
        <v>2021</v>
      </c>
      <c r="L5" s="2">
        <f>+L4+Model!L6+Model!L7</f>
        <v>1301</v>
      </c>
      <c r="M5" s="2">
        <f>+M4+Model!M6+Model!M7</f>
        <v>1650</v>
      </c>
      <c r="N5" s="2">
        <f>+N4+Model!N6+Model!N7</f>
        <v>2427</v>
      </c>
      <c r="O5" s="2">
        <f>+O4+Model!O6+Model!O7</f>
        <v>2188</v>
      </c>
      <c r="P5" s="2">
        <f>+P4+Model!P6+Model!P7</f>
        <v>2296</v>
      </c>
      <c r="Q5" s="2">
        <f>+Q4+Model!Q6+Model!Q7</f>
        <v>2292</v>
      </c>
      <c r="R5" s="2">
        <f>+R4+Model!R6+Model!R7</f>
        <v>2752</v>
      </c>
      <c r="S5" s="2">
        <f>+S4+Model!S6+Model!S7</f>
        <v>2169</v>
      </c>
      <c r="T5" s="2">
        <f>+T4+Model!T6+Model!T7</f>
        <v>2175</v>
      </c>
      <c r="U5" s="2">
        <f>+U4+Model!U6+Model!U7</f>
        <v>2616</v>
      </c>
      <c r="V5" s="2">
        <f>+V4+Model!V6+Model!V7</f>
        <v>2604</v>
      </c>
      <c r="W5" s="2">
        <f>+W4+Model!W6+Model!W7</f>
        <v>2044</v>
      </c>
      <c r="X5" s="2">
        <f>+X4+Model!X6+Model!X7</f>
        <v>2389</v>
      </c>
      <c r="Y5" s="2">
        <f>+Y4+Model!Y6+Model!Y7</f>
        <v>2316</v>
      </c>
      <c r="Z5" s="2">
        <f>+Z4+Model!Z6+Model!Z7</f>
        <v>2263</v>
      </c>
      <c r="AA5" s="2">
        <f>+AA4+Model!AA6+Model!AA7</f>
        <v>2388</v>
      </c>
      <c r="AB5" s="2">
        <f>+AB4+Model!AB6+Model!AB7</f>
        <v>0</v>
      </c>
      <c r="AC5" s="2">
        <f>+AC4+Model!AC6+Model!AC7</f>
        <v>0</v>
      </c>
      <c r="AD5" s="2">
        <f>+AD4+Model!AD6+Model!AD7</f>
        <v>0</v>
      </c>
      <c r="AH5" s="2">
        <f>+AH4+Model!AH6+Model!AH7</f>
        <v>4637</v>
      </c>
      <c r="AI5" s="2">
        <f>+AI4+Model!AI6+Model!AI7</f>
        <v>6687</v>
      </c>
      <c r="AJ5" s="2">
        <f>+AJ4+Model!AJ6+Model!AJ7</f>
        <v>7399</v>
      </c>
      <c r="AK5" s="2">
        <f>+AK4+Model!AK6+Model!AK7</f>
        <v>9451</v>
      </c>
      <c r="AL5" s="2">
        <f>+AL4+Model!AL6+Model!AL7</f>
        <v>9563</v>
      </c>
      <c r="AM5" s="2">
        <f>+AM4+Model!AM6+Model!AM7</f>
        <v>9013</v>
      </c>
      <c r="AN5" s="2">
        <f>+AN4+Model!AN6+Model!AN7</f>
        <v>0</v>
      </c>
      <c r="AO5" s="2">
        <f>+AO4+Model!AO6+Model!AO7</f>
        <v>0</v>
      </c>
    </row>
    <row r="6" spans="2:44" s="2" customFormat="1" x14ac:dyDescent="0.25">
      <c r="B6" s="2" t="s">
        <v>226</v>
      </c>
      <c r="C6" s="2">
        <f>Model!C18</f>
        <v>1089</v>
      </c>
      <c r="D6" s="2">
        <f>Model!D18</f>
        <v>697</v>
      </c>
      <c r="E6" s="2">
        <f>Model!E18</f>
        <v>535</v>
      </c>
      <c r="F6" s="2">
        <f>Model!F18</f>
        <v>1879</v>
      </c>
      <c r="G6" s="2">
        <f>Model!G18</f>
        <v>1497</v>
      </c>
      <c r="H6" s="2">
        <f>Model!H18</f>
        <v>2390</v>
      </c>
      <c r="I6" s="2">
        <f>Model!I18</f>
        <v>1480</v>
      </c>
      <c r="J6" s="2">
        <f>Model!J18</f>
        <v>1330</v>
      </c>
      <c r="K6" s="2">
        <f>Model!K18</f>
        <v>1796</v>
      </c>
      <c r="L6" s="2">
        <f>Model!L18</f>
        <v>1213</v>
      </c>
      <c r="M6" s="2">
        <f>Model!M18</f>
        <v>-1531</v>
      </c>
      <c r="N6" s="2">
        <f>Model!N18</f>
        <v>2913</v>
      </c>
      <c r="O6" s="2">
        <f>Model!O18</f>
        <v>1636</v>
      </c>
      <c r="P6" s="2">
        <f>Model!P18</f>
        <v>3551</v>
      </c>
      <c r="Q6" s="2">
        <f>Model!Q18</f>
        <v>1440</v>
      </c>
      <c r="R6" s="2">
        <f>Model!R18</f>
        <v>1902</v>
      </c>
      <c r="S6" s="2">
        <f>Model!S18</f>
        <v>2548</v>
      </c>
      <c r="T6" s="2">
        <f>Model!T18</f>
        <v>2196</v>
      </c>
      <c r="U6" s="2">
        <f>Model!U18</f>
        <v>2133</v>
      </c>
      <c r="V6" s="2">
        <f>Model!V18</f>
        <v>2115</v>
      </c>
      <c r="W6" s="2">
        <f>Model!W18</f>
        <v>3868</v>
      </c>
      <c r="X6" s="2">
        <f>Model!X18</f>
        <v>2439</v>
      </c>
      <c r="Y6" s="2">
        <f>Model!Y18</f>
        <v>2243</v>
      </c>
      <c r="Z6" s="2">
        <f>Model!Z18</f>
        <v>1837</v>
      </c>
      <c r="AA6" s="2">
        <f>Model!AA18</f>
        <v>2222</v>
      </c>
      <c r="AB6" s="2">
        <f>Model!AB18</f>
        <v>0</v>
      </c>
      <c r="AC6" s="2">
        <f>Model!AC18</f>
        <v>0</v>
      </c>
      <c r="AD6" s="2">
        <f>Model!AD18</f>
        <v>0</v>
      </c>
      <c r="AH6" s="2">
        <f>Model!AH18</f>
        <v>4200</v>
      </c>
      <c r="AI6" s="2">
        <f>Model!AI18</f>
        <v>6697</v>
      </c>
      <c r="AJ6" s="2">
        <f>Model!AJ18</f>
        <v>4392</v>
      </c>
      <c r="AK6" s="2">
        <f>Model!AK18</f>
        <v>8529</v>
      </c>
      <c r="AL6" s="2">
        <f>Model!AL18</f>
        <v>8992</v>
      </c>
      <c r="AM6" s="2">
        <f>Model!AM18</f>
        <v>10387</v>
      </c>
      <c r="AN6" s="2">
        <f>Model!AN18</f>
        <v>0</v>
      </c>
      <c r="AO6" s="2">
        <f>Model!AO18</f>
        <v>0</v>
      </c>
    </row>
    <row r="7" spans="2:44" s="2" customFormat="1" x14ac:dyDescent="0.25"/>
    <row r="8" spans="2:44" s="2" customFormat="1" x14ac:dyDescent="0.25">
      <c r="B8" s="2" t="s">
        <v>229</v>
      </c>
      <c r="F8" s="2">
        <f>Model!F73</f>
        <v>14041</v>
      </c>
      <c r="G8" s="2">
        <f>Model!G73</f>
        <v>14016</v>
      </c>
      <c r="H8" s="2">
        <f>Model!H73</f>
        <v>23639</v>
      </c>
      <c r="I8" s="2">
        <f>Model!I73</f>
        <v>10678</v>
      </c>
      <c r="J8" s="2">
        <f>Model!J73</f>
        <v>9545</v>
      </c>
      <c r="K8" s="2">
        <f>Model!K73</f>
        <v>12199</v>
      </c>
      <c r="L8" s="2">
        <f>Model!L73</f>
        <v>9495</v>
      </c>
      <c r="M8" s="2">
        <f>Model!M73</f>
        <v>10097</v>
      </c>
      <c r="N8" s="2">
        <f>Model!N73</f>
        <v>10465</v>
      </c>
      <c r="O8" s="2">
        <f>Model!O73</f>
        <v>10135</v>
      </c>
      <c r="P8" s="2">
        <f>Model!P73</f>
        <v>9186</v>
      </c>
      <c r="Q8" s="2">
        <f>Model!Q73</f>
        <v>9802</v>
      </c>
      <c r="R8" s="2">
        <f>Model!R73</f>
        <v>10084</v>
      </c>
      <c r="S8" s="2">
        <f>Model!S73</f>
        <v>10769</v>
      </c>
      <c r="T8" s="2">
        <f>Model!T73</f>
        <v>7715</v>
      </c>
      <c r="U8" s="2">
        <f>Model!U73</f>
        <v>7758</v>
      </c>
      <c r="V8" s="2">
        <f>Model!V73</f>
        <v>9156</v>
      </c>
      <c r="W8" s="2">
        <f>Model!W73</f>
        <v>13926</v>
      </c>
      <c r="X8" s="2">
        <f>Model!X73</f>
        <v>12686</v>
      </c>
      <c r="Y8" s="2">
        <f>Model!Y73</f>
        <v>14641</v>
      </c>
      <c r="Z8" s="2">
        <f>Model!Z73</f>
        <v>14495</v>
      </c>
      <c r="AA8" s="2">
        <f>Model!AA73</f>
        <v>15263</v>
      </c>
      <c r="AB8" s="2">
        <f>Model!AB73</f>
        <v>0</v>
      </c>
      <c r="AC8" s="2">
        <f>Model!AC73</f>
        <v>0</v>
      </c>
      <c r="AD8" s="2">
        <f>Model!AD73</f>
        <v>0</v>
      </c>
      <c r="AH8" s="2">
        <f>Model!AH73</f>
        <v>14041</v>
      </c>
      <c r="AI8" s="2">
        <f>Model!AI73</f>
        <v>9545</v>
      </c>
      <c r="AJ8" s="2">
        <f>Model!AJ73</f>
        <v>10465</v>
      </c>
      <c r="AK8" s="2">
        <f>Model!AK73</f>
        <v>10084</v>
      </c>
      <c r="AL8" s="2">
        <f>Model!AL73</f>
        <v>9156</v>
      </c>
      <c r="AM8" s="2">
        <f>Model!AM73</f>
        <v>14495</v>
      </c>
      <c r="AN8" s="2">
        <f>Model!AN73</f>
        <v>0</v>
      </c>
      <c r="AO8" s="2">
        <f>Model!AO73</f>
        <v>0</v>
      </c>
    </row>
    <row r="9" spans="2:44" s="2" customFormat="1" x14ac:dyDescent="0.25">
      <c r="B9" s="2" t="s">
        <v>230</v>
      </c>
      <c r="F9" s="2">
        <f>Model!F90</f>
        <v>123897</v>
      </c>
      <c r="G9" s="2">
        <f>Model!G90</f>
        <v>121435</v>
      </c>
      <c r="H9" s="2">
        <f>Model!H90</f>
        <v>131658</v>
      </c>
      <c r="I9" s="2">
        <f>Model!I90</f>
        <v>136831</v>
      </c>
      <c r="J9" s="2">
        <f>Model!J90</f>
        <v>139372</v>
      </c>
      <c r="K9" s="2">
        <f>Model!K90</f>
        <v>144409</v>
      </c>
      <c r="L9" s="2">
        <f>Model!L90</f>
        <v>143946</v>
      </c>
      <c r="M9" s="2">
        <f>Model!M90</f>
        <v>145988</v>
      </c>
      <c r="N9" s="2">
        <f>Model!N90</f>
        <v>151502</v>
      </c>
      <c r="O9" s="2">
        <f>Model!O90</f>
        <v>143929</v>
      </c>
      <c r="P9" s="2">
        <f>Model!P90</f>
        <v>142997</v>
      </c>
      <c r="Q9" s="2">
        <f>Model!Q90</f>
        <v>143684</v>
      </c>
      <c r="R9" s="2">
        <f>Model!R90</f>
        <v>145071</v>
      </c>
      <c r="S9" s="2">
        <f>Model!S90</f>
        <v>144784</v>
      </c>
      <c r="T9" s="2">
        <f>Model!T90</f>
        <v>144751</v>
      </c>
      <c r="U9" s="2">
        <f>Model!U90</f>
        <v>148121</v>
      </c>
      <c r="V9" s="2">
        <f>Model!V90</f>
        <v>147812</v>
      </c>
      <c r="W9" s="2">
        <f>Model!W90</f>
        <v>157855</v>
      </c>
      <c r="X9" s="2">
        <f>Model!X90</f>
        <v>162593</v>
      </c>
      <c r="Y9" s="2">
        <f>Model!Y90</f>
        <v>162455</v>
      </c>
      <c r="Z9" s="2">
        <f>Model!Z90</f>
        <v>166202</v>
      </c>
      <c r="AA9" s="2">
        <f>Model!AA90</f>
        <v>170134</v>
      </c>
      <c r="AB9" s="2">
        <f>Model!AB90</f>
        <v>0</v>
      </c>
      <c r="AC9" s="2">
        <f>Model!AC90</f>
        <v>0</v>
      </c>
      <c r="AD9" s="2">
        <f>Model!AD90</f>
        <v>0</v>
      </c>
      <c r="AH9" s="2">
        <f>Model!AH90</f>
        <v>123897</v>
      </c>
      <c r="AI9" s="2">
        <f>Model!AI90</f>
        <v>139372</v>
      </c>
      <c r="AJ9" s="2">
        <f>Model!AJ90</f>
        <v>151502</v>
      </c>
      <c r="AK9" s="2">
        <f>Model!AK90</f>
        <v>145071</v>
      </c>
      <c r="AL9" s="2">
        <f>Model!AL90</f>
        <v>147812</v>
      </c>
      <c r="AM9" s="2">
        <f>Model!AM90</f>
        <v>166202</v>
      </c>
      <c r="AN9" s="2">
        <f>Model!AN90</f>
        <v>0</v>
      </c>
      <c r="AO9" s="2">
        <f>Model!AO90</f>
        <v>0</v>
      </c>
    </row>
    <row r="10" spans="2:44" s="2" customFormat="1" x14ac:dyDescent="0.25">
      <c r="B10" s="2" t="s">
        <v>231</v>
      </c>
      <c r="F10" s="2">
        <f>Model!F93+Model!F102</f>
        <v>44567</v>
      </c>
      <c r="G10" s="2">
        <f>Model!G93+Model!G102</f>
        <v>43480</v>
      </c>
      <c r="H10" s="2">
        <f>Model!H93+Model!H102</f>
        <v>52098</v>
      </c>
      <c r="I10" s="2">
        <f>Model!I93+Model!I102</f>
        <v>51111</v>
      </c>
      <c r="J10" s="2">
        <f>Model!J93+Model!J102</f>
        <v>48700</v>
      </c>
      <c r="K10" s="2">
        <f>Model!K93+Model!K102</f>
        <v>51467</v>
      </c>
      <c r="L10" s="2">
        <f>Model!L93+Model!L102</f>
        <v>51753</v>
      </c>
      <c r="M10" s="2">
        <f>Model!M93+Model!M102</f>
        <v>51556</v>
      </c>
      <c r="N10" s="2">
        <f>Model!N93+Model!N102</f>
        <v>50636</v>
      </c>
      <c r="O10" s="2">
        <f>Model!O93+Model!O102</f>
        <v>49243</v>
      </c>
      <c r="P10" s="2">
        <f>Model!P93+Model!P102</f>
        <v>50030</v>
      </c>
      <c r="Q10" s="2">
        <f>Model!Q93+Model!Q102</f>
        <v>48890</v>
      </c>
      <c r="R10" s="2">
        <f>Model!R93+Model!R102</f>
        <v>46596</v>
      </c>
      <c r="S10" s="2">
        <f>Model!S93+Model!S102</f>
        <v>49321</v>
      </c>
      <c r="T10" s="2">
        <f>Model!T93+Model!T102</f>
        <v>50451</v>
      </c>
      <c r="U10" s="2">
        <f>Model!U93+Model!U102</f>
        <v>49902</v>
      </c>
      <c r="V10" s="2">
        <f>Model!V93+Model!V102</f>
        <v>47919</v>
      </c>
      <c r="W10" s="2">
        <f>Model!W93+Model!W102</f>
        <v>49884</v>
      </c>
      <c r="X10" s="2">
        <f>Model!X93+Model!X102</f>
        <v>57522</v>
      </c>
      <c r="Y10" s="2">
        <f>Model!Y93+Model!Y102</f>
        <v>56688</v>
      </c>
      <c r="Z10" s="2">
        <f>Model!Z93+Model!Z102</f>
        <v>56015</v>
      </c>
      <c r="AA10" s="2">
        <f>Model!AA93+Model!AA102</f>
        <v>56465</v>
      </c>
      <c r="AB10" s="2">
        <f>Model!AB93+Model!AB102</f>
        <v>0</v>
      </c>
      <c r="AC10" s="2">
        <f>Model!AC93+Model!AC102</f>
        <v>0</v>
      </c>
      <c r="AD10" s="2">
        <f>Model!AD93+Model!AD102</f>
        <v>0</v>
      </c>
      <c r="AH10" s="2">
        <f>Model!AH93+Model!AH102</f>
        <v>44567</v>
      </c>
      <c r="AI10" s="2">
        <f>Model!AI93+Model!AI102</f>
        <v>48700</v>
      </c>
      <c r="AJ10" s="2">
        <f>Model!AJ93+Model!AJ102</f>
        <v>50636</v>
      </c>
      <c r="AK10" s="2">
        <f>Model!AK93+Model!AK102</f>
        <v>46596</v>
      </c>
      <c r="AL10" s="2">
        <f>Model!AL93+Model!AL102</f>
        <v>47919</v>
      </c>
      <c r="AM10" s="2">
        <f>Model!AM93+Model!AM102</f>
        <v>56015</v>
      </c>
      <c r="AN10" s="2">
        <f>Model!AN93+Model!AN102</f>
        <v>0</v>
      </c>
      <c r="AO10" s="2">
        <f>Model!AO93+Model!AO102</f>
        <v>0</v>
      </c>
    </row>
    <row r="11" spans="2:44" s="2" customFormat="1" x14ac:dyDescent="0.25">
      <c r="B11" s="2" t="s">
        <v>232</v>
      </c>
      <c r="F11" s="2">
        <f>+Model!F109</f>
        <v>84074</v>
      </c>
      <c r="G11" s="2">
        <f>+Model!G109</f>
        <v>81023</v>
      </c>
      <c r="H11" s="2">
        <f>+Model!H109</f>
        <v>87063</v>
      </c>
      <c r="I11" s="2">
        <f>+Model!I109</f>
        <v>90155</v>
      </c>
      <c r="J11" s="2">
        <f>+Model!J109</f>
        <v>90381</v>
      </c>
      <c r="K11" s="2">
        <f>+Model!K109</f>
        <v>92311</v>
      </c>
      <c r="L11" s="2">
        <f>+Model!L109</f>
        <v>93325</v>
      </c>
      <c r="M11" s="2">
        <f>+Model!M109</f>
        <v>94784</v>
      </c>
      <c r="N11" s="2">
        <f>+Model!N109</f>
        <v>96697</v>
      </c>
      <c r="O11" s="2">
        <f>+Model!O109</f>
        <v>92709</v>
      </c>
      <c r="P11" s="2">
        <f>+Model!P109</f>
        <v>92602</v>
      </c>
      <c r="Q11" s="2">
        <f>+Model!Q109</f>
        <v>93205</v>
      </c>
      <c r="R11" s="2">
        <f>+Model!R109</f>
        <v>92019</v>
      </c>
      <c r="S11" s="2">
        <f>+Model!S109</f>
        <v>93948</v>
      </c>
      <c r="T11" s="2">
        <f>+Model!T109</f>
        <v>93525</v>
      </c>
      <c r="U11" s="2">
        <f>+Model!U109</f>
        <v>93353</v>
      </c>
      <c r="V11" s="2">
        <f>+Model!V109</f>
        <v>91581</v>
      </c>
      <c r="W11" s="2">
        <f>+Model!W109</f>
        <v>93018</v>
      </c>
      <c r="X11" s="2">
        <f>+Model!X109</f>
        <v>99418</v>
      </c>
      <c r="Y11" s="2">
        <f>+Model!Y109</f>
        <v>96416</v>
      </c>
      <c r="Z11" s="2">
        <f>+Model!Z109</f>
        <v>97830</v>
      </c>
      <c r="AA11" s="2">
        <f>+Model!AA109</f>
        <v>98114</v>
      </c>
      <c r="AB11" s="2">
        <f>+Model!AB109</f>
        <v>0</v>
      </c>
      <c r="AC11" s="2">
        <f>+Model!AC109</f>
        <v>0</v>
      </c>
      <c r="AD11" s="2">
        <f>+Model!AD109</f>
        <v>0</v>
      </c>
      <c r="AH11" s="2">
        <f>+Model!AH109</f>
        <v>84074</v>
      </c>
      <c r="AI11" s="2">
        <f>+Model!AI109</f>
        <v>90381</v>
      </c>
      <c r="AJ11" s="2">
        <f>+Model!AJ109</f>
        <v>96697</v>
      </c>
      <c r="AK11" s="2">
        <f>+Model!AK109</f>
        <v>92019</v>
      </c>
      <c r="AL11" s="2">
        <f>+Model!AL109</f>
        <v>91581</v>
      </c>
      <c r="AM11" s="2">
        <f>+Model!AM109</f>
        <v>97830</v>
      </c>
      <c r="AN11" s="2">
        <f>+Model!AN109</f>
        <v>0</v>
      </c>
      <c r="AO11" s="2">
        <f>+Model!AO109</f>
        <v>0</v>
      </c>
    </row>
    <row r="12" spans="2:44" s="2" customFormat="1" x14ac:dyDescent="0.25">
      <c r="B12" s="2" t="s">
        <v>82</v>
      </c>
      <c r="F12" s="2">
        <f>+Model!F118</f>
        <v>39823</v>
      </c>
      <c r="G12" s="2">
        <f>+Model!G118</f>
        <v>40409</v>
      </c>
      <c r="H12" s="2">
        <f>+Model!H118</f>
        <v>44595</v>
      </c>
      <c r="I12" s="2">
        <f>+Model!I118</f>
        <v>46676</v>
      </c>
      <c r="J12" s="2">
        <f>+Model!J118</f>
        <v>48991</v>
      </c>
      <c r="K12" s="2">
        <f>+Model!K118</f>
        <v>52098</v>
      </c>
      <c r="L12" s="2">
        <f>+Model!L118</f>
        <v>50621</v>
      </c>
      <c r="M12" s="2">
        <f>+Model!M118</f>
        <v>51204</v>
      </c>
      <c r="N12" s="2">
        <f>+Model!N118</f>
        <v>54805</v>
      </c>
      <c r="O12" s="2">
        <f>+Model!O118</f>
        <v>51220</v>
      </c>
      <c r="P12" s="2">
        <f>+Model!P118</f>
        <v>50395</v>
      </c>
      <c r="Q12" s="2">
        <f>+Model!Q118</f>
        <v>50479</v>
      </c>
      <c r="R12" s="2">
        <f>+Model!R118</f>
        <v>53052</v>
      </c>
      <c r="S12" s="2">
        <f>+Model!S118</f>
        <v>50836</v>
      </c>
      <c r="T12" s="2">
        <f>+Model!T118</f>
        <v>51226</v>
      </c>
      <c r="U12" s="2">
        <f>+Model!U118</f>
        <v>54767</v>
      </c>
      <c r="V12" s="2">
        <f>+Model!V118</f>
        <v>56231</v>
      </c>
      <c r="W12" s="2">
        <f>+Model!W118</f>
        <v>64837</v>
      </c>
      <c r="X12" s="2">
        <f>+Model!X118</f>
        <v>63175</v>
      </c>
      <c r="Y12" s="2">
        <f>+Model!Y118</f>
        <v>66040</v>
      </c>
      <c r="Z12" s="2">
        <f>+Model!Z118</f>
        <v>68371</v>
      </c>
      <c r="AA12" s="2">
        <f>+Model!AA118</f>
        <v>72020</v>
      </c>
      <c r="AB12" s="2">
        <f>+Model!AB118</f>
        <v>0</v>
      </c>
      <c r="AC12" s="2">
        <f>+Model!AC118</f>
        <v>0</v>
      </c>
      <c r="AD12" s="2">
        <f>+Model!AD118</f>
        <v>0</v>
      </c>
      <c r="AH12" s="2">
        <f>+Model!AH118</f>
        <v>39823</v>
      </c>
      <c r="AI12" s="2">
        <f>+Model!AI118</f>
        <v>48991</v>
      </c>
      <c r="AJ12" s="2">
        <f>+Model!AJ118</f>
        <v>54805</v>
      </c>
      <c r="AK12" s="2">
        <f>+Model!AK118</f>
        <v>53052</v>
      </c>
      <c r="AL12" s="2">
        <f>+Model!AL118</f>
        <v>56231</v>
      </c>
      <c r="AM12" s="2">
        <f>+Model!AM118</f>
        <v>68371</v>
      </c>
      <c r="AN12" s="2">
        <f>+Model!AN118</f>
        <v>0</v>
      </c>
      <c r="AO12" s="2">
        <f>+Model!AO118</f>
        <v>0</v>
      </c>
    </row>
    <row r="13" spans="2:44" s="2" customFormat="1" x14ac:dyDescent="0.25"/>
    <row r="14" spans="2:44" s="2" customFormat="1" x14ac:dyDescent="0.25">
      <c r="B14" s="2" t="s">
        <v>233</v>
      </c>
      <c r="C14" s="2">
        <f>+Model!C166</f>
        <v>531</v>
      </c>
      <c r="D14" s="2">
        <f>+Model!D166</f>
        <v>669</v>
      </c>
      <c r="E14" s="2">
        <f>+Model!E166</f>
        <v>3020</v>
      </c>
      <c r="F14" s="2">
        <f>+Model!F166</f>
        <v>4642</v>
      </c>
      <c r="G14" s="2">
        <f>+Model!G166</f>
        <v>1312</v>
      </c>
      <c r="H14" s="2">
        <f>+Model!H166</f>
        <v>1594</v>
      </c>
      <c r="I14" s="2">
        <f>+Model!I166</f>
        <v>2692</v>
      </c>
      <c r="J14" s="2">
        <f>+Model!J166</f>
        <v>4398</v>
      </c>
      <c r="K14" s="2">
        <f>+Model!K166</f>
        <v>1486</v>
      </c>
      <c r="L14" s="2">
        <f>+Model!L166</f>
        <v>1838</v>
      </c>
      <c r="M14" s="2">
        <f>+Model!M166</f>
        <v>2757</v>
      </c>
      <c r="N14" s="2">
        <f>+Model!N166</f>
        <v>4159</v>
      </c>
      <c r="O14" s="2">
        <f>+Model!O166</f>
        <v>521</v>
      </c>
      <c r="P14" s="2">
        <f>+Model!P166</f>
        <v>2878</v>
      </c>
      <c r="Q14" s="2">
        <f>+Model!Q166</f>
        <v>3448</v>
      </c>
      <c r="R14" s="2">
        <f>+Model!R166</f>
        <v>5392</v>
      </c>
      <c r="S14" s="2">
        <f>+Model!S166</f>
        <v>1459</v>
      </c>
      <c r="T14" s="2">
        <f>+Model!T166</f>
        <v>1843</v>
      </c>
      <c r="U14" s="2">
        <f>+Model!U166</f>
        <v>2659</v>
      </c>
      <c r="V14" s="2">
        <f>+Model!V166</f>
        <v>5705</v>
      </c>
      <c r="W14" s="2">
        <f>+Model!W166</f>
        <v>2087</v>
      </c>
      <c r="X14" s="2">
        <f>+Model!X166</f>
        <v>1554</v>
      </c>
      <c r="Y14" s="2">
        <f>+Model!Y166</f>
        <v>3472</v>
      </c>
      <c r="Z14" s="2">
        <f>+Model!Z166</f>
        <v>6143</v>
      </c>
      <c r="AA14" s="2">
        <f>+Model!AA166</f>
        <v>1171</v>
      </c>
      <c r="AB14" s="2">
        <f>+Model!AB166</f>
        <v>0</v>
      </c>
      <c r="AC14" s="2">
        <f>+Model!AC166</f>
        <v>0</v>
      </c>
      <c r="AD14" s="2">
        <f>+Model!AD166</f>
        <v>0</v>
      </c>
      <c r="AH14" s="2">
        <f>+Model!AH166</f>
        <v>8862</v>
      </c>
      <c r="AI14" s="2">
        <f>+Model!AI166</f>
        <v>9996</v>
      </c>
      <c r="AJ14" s="2">
        <f>+Model!AJ166</f>
        <v>10241</v>
      </c>
      <c r="AK14" s="2">
        <f>+Model!AK166</f>
        <v>12239</v>
      </c>
      <c r="AL14" s="2">
        <f>+Model!AL166</f>
        <v>11665</v>
      </c>
      <c r="AM14" s="2">
        <f>+Model!AM166</f>
        <v>13257</v>
      </c>
      <c r="AN14" s="2">
        <f>+Model!AN166</f>
        <v>0</v>
      </c>
      <c r="AO14" s="2">
        <f>+Model!AO166</f>
        <v>0</v>
      </c>
    </row>
    <row r="15" spans="2:44" s="2" customFormat="1" x14ac:dyDescent="0.25">
      <c r="B15" s="2" t="s">
        <v>234</v>
      </c>
      <c r="C15" s="2">
        <f>+Model!C177</f>
        <v>-2196</v>
      </c>
      <c r="D15" s="2">
        <f>+Model!D177</f>
        <v>-1407</v>
      </c>
      <c r="E15" s="2">
        <f>+Model!E177</f>
        <v>-266</v>
      </c>
      <c r="F15" s="2">
        <f>+Model!F177</f>
        <v>-1315</v>
      </c>
      <c r="G15" s="2">
        <f>+Model!G177</f>
        <v>-448</v>
      </c>
      <c r="H15" s="2">
        <f>+Model!H177</f>
        <v>1071</v>
      </c>
      <c r="I15" s="2">
        <f>+Model!I177</f>
        <v>-14501</v>
      </c>
      <c r="J15" s="2">
        <f>+Model!J177</f>
        <v>-1616</v>
      </c>
      <c r="K15" s="2">
        <f>+Model!K177</f>
        <v>-990</v>
      </c>
      <c r="L15" s="2">
        <f>+Model!L177</f>
        <v>-938</v>
      </c>
      <c r="M15" s="2">
        <f>+Model!M177</f>
        <v>-134</v>
      </c>
      <c r="N15" s="2">
        <f>+Model!N177</f>
        <v>-428</v>
      </c>
      <c r="O15" s="2">
        <f>+Model!O177</f>
        <v>-636</v>
      </c>
      <c r="P15" s="2">
        <f>+Model!P177</f>
        <v>-727</v>
      </c>
      <c r="Q15" s="2">
        <f>+Model!Q177</f>
        <v>-567</v>
      </c>
      <c r="R15" s="2">
        <f>+Model!R177</f>
        <v>-1246</v>
      </c>
      <c r="S15" s="2">
        <f>+Model!S177</f>
        <v>-482</v>
      </c>
      <c r="T15" s="2">
        <f>+Model!T177</f>
        <v>-991</v>
      </c>
      <c r="U15" s="2">
        <f>+Model!U177</f>
        <v>-454</v>
      </c>
      <c r="V15" s="2">
        <f>+Model!V177</f>
        <v>-1355</v>
      </c>
      <c r="W15" s="2">
        <f>+Model!W177</f>
        <v>2649</v>
      </c>
      <c r="X15" s="2">
        <f>+Model!X177</f>
        <v>-6815</v>
      </c>
      <c r="Y15" s="2">
        <f>+Model!Y177</f>
        <v>-1250</v>
      </c>
      <c r="Z15" s="2">
        <f>+Model!Z177</f>
        <v>-5898</v>
      </c>
      <c r="AA15" s="2">
        <f>+Model!AA177</f>
        <v>-422</v>
      </c>
      <c r="AB15" s="2">
        <f>+Model!AB177</f>
        <v>0</v>
      </c>
      <c r="AC15" s="2">
        <f>+Model!AC177</f>
        <v>0</v>
      </c>
      <c r="AD15" s="2">
        <f>+Model!AD177</f>
        <v>0</v>
      </c>
      <c r="AH15" s="2">
        <f>+Model!AH177</f>
        <v>-5184</v>
      </c>
      <c r="AI15" s="2">
        <f>+Model!AI177</f>
        <v>-15494</v>
      </c>
      <c r="AJ15" s="2">
        <f>+Model!AJ177</f>
        <v>-2490</v>
      </c>
      <c r="AK15" s="2">
        <f>+Model!AK177</f>
        <v>-3176</v>
      </c>
      <c r="AL15" s="2">
        <f>+Model!AL177</f>
        <v>-3282</v>
      </c>
      <c r="AM15" s="2">
        <f>+Model!AM177</f>
        <v>-11314</v>
      </c>
      <c r="AN15" s="2">
        <f>+Model!AN177</f>
        <v>0</v>
      </c>
      <c r="AO15" s="2">
        <f>+Model!AO177</f>
        <v>0</v>
      </c>
    </row>
    <row r="16" spans="2:44" s="2" customFormat="1" x14ac:dyDescent="0.25">
      <c r="B16" s="2" t="s">
        <v>235</v>
      </c>
      <c r="C16" s="2">
        <f>+Model!C189</f>
        <v>704</v>
      </c>
      <c r="D16" s="2">
        <f>+Model!D189</f>
        <v>-672</v>
      </c>
      <c r="E16" s="2">
        <f>+Model!E189</f>
        <v>1918</v>
      </c>
      <c r="F16" s="2">
        <f>+Model!F189</f>
        <v>1222</v>
      </c>
      <c r="G16" s="2">
        <f>+Model!G189</f>
        <v>-619</v>
      </c>
      <c r="H16" s="2">
        <f>+Model!H189</f>
        <v>6573</v>
      </c>
      <c r="I16" s="2">
        <f>+Model!I189</f>
        <v>-1101</v>
      </c>
      <c r="J16" s="2">
        <f>+Model!J189</f>
        <v>-4068</v>
      </c>
      <c r="K16" s="2">
        <f>+Model!K189</f>
        <v>1943</v>
      </c>
      <c r="L16" s="2">
        <f>+Model!L189</f>
        <v>-3692</v>
      </c>
      <c r="M16" s="2">
        <f>+Model!M189</f>
        <v>-2217</v>
      </c>
      <c r="N16" s="2">
        <f>+Model!N189</f>
        <v>-3536</v>
      </c>
      <c r="O16" s="2">
        <f>+Model!O189</f>
        <v>228</v>
      </c>
      <c r="P16" s="2">
        <f>+Model!P189</f>
        <v>-3033</v>
      </c>
      <c r="Q16" s="2">
        <f>+Model!Q189</f>
        <v>-2009</v>
      </c>
      <c r="R16" s="2">
        <f>+Model!R189</f>
        <v>-3917</v>
      </c>
      <c r="S16" s="2">
        <f>+Model!S189</f>
        <v>-189</v>
      </c>
      <c r="T16" s="2">
        <f>+Model!T189</f>
        <v>-3911</v>
      </c>
      <c r="U16" s="2">
        <f>+Model!U189</f>
        <v>-2056</v>
      </c>
      <c r="V16" s="2">
        <f>+Model!V189</f>
        <v>-2724</v>
      </c>
      <c r="W16" s="2">
        <f>+Model!W189</f>
        <v>-430</v>
      </c>
      <c r="X16" s="2">
        <f>+Model!X189</f>
        <v>4155</v>
      </c>
      <c r="Y16" s="2">
        <f>+Model!Y189</f>
        <v>187</v>
      </c>
      <c r="Z16" s="2">
        <f>+Model!Z189</f>
        <v>-271</v>
      </c>
      <c r="AA16" s="2">
        <f>+Model!AA189</f>
        <v>-20</v>
      </c>
      <c r="AB16" s="2">
        <f>+Model!AB189</f>
        <v>0</v>
      </c>
      <c r="AC16" s="2">
        <f>+Model!AC189</f>
        <v>0</v>
      </c>
      <c r="AD16" s="2">
        <f>+Model!AD189</f>
        <v>0</v>
      </c>
      <c r="AH16" s="2">
        <f>+Model!AH189</f>
        <v>3172</v>
      </c>
      <c r="AI16" s="2">
        <f>+Model!AI189</f>
        <v>785</v>
      </c>
      <c r="AJ16" s="2">
        <f>+Model!AJ189</f>
        <v>-7502</v>
      </c>
      <c r="AK16" s="2">
        <f>+Model!AK189</f>
        <v>-8731</v>
      </c>
      <c r="AL16" s="2">
        <f>+Model!AL189</f>
        <v>-8880</v>
      </c>
      <c r="AM16" s="2">
        <f>+Model!AM189</f>
        <v>3641</v>
      </c>
      <c r="AN16" s="2">
        <f>+Model!AN189</f>
        <v>0</v>
      </c>
      <c r="AO16" s="2">
        <f>+Model!AO189</f>
        <v>0</v>
      </c>
    </row>
    <row r="17" spans="2:41" s="2" customFormat="1" x14ac:dyDescent="0.25">
      <c r="B17" s="2" t="s">
        <v>236</v>
      </c>
      <c r="C17" s="2">
        <f>+Model!C192</f>
        <v>-1041</v>
      </c>
      <c r="D17" s="2">
        <f>+Model!D192</f>
        <v>-1480</v>
      </c>
      <c r="E17" s="2">
        <f>+Model!E192</f>
        <v>4580</v>
      </c>
      <c r="F17" s="2">
        <f>+Model!F192</f>
        <v>-396</v>
      </c>
      <c r="G17" s="2">
        <f>+Model!G192</f>
        <v>28</v>
      </c>
      <c r="H17" s="2">
        <f>+Model!H192</f>
        <v>9556</v>
      </c>
      <c r="I17" s="2">
        <f>+Model!I192</f>
        <v>-12961</v>
      </c>
      <c r="J17" s="2">
        <f>+Model!J192</f>
        <v>-1132</v>
      </c>
      <c r="K17" s="2">
        <f>+Model!K192</f>
        <v>2654</v>
      </c>
      <c r="L17" s="2">
        <f>+Model!L192</f>
        <v>-2687</v>
      </c>
      <c r="M17" s="2">
        <f>+Model!M192</f>
        <v>633</v>
      </c>
      <c r="N17" s="2">
        <f>+Model!N192</f>
        <v>327</v>
      </c>
      <c r="O17" s="2">
        <f>+Model!O192</f>
        <v>-338</v>
      </c>
      <c r="P17" s="2">
        <f>+Model!P192</f>
        <v>-949</v>
      </c>
      <c r="Q17" s="2">
        <f>+Model!Q192</f>
        <v>617</v>
      </c>
      <c r="R17" s="2">
        <f>+Model!R192</f>
        <v>282</v>
      </c>
      <c r="S17" s="2">
        <f>+Model!S192</f>
        <v>685</v>
      </c>
      <c r="T17" s="2">
        <f>+Model!T192</f>
        <v>-3048</v>
      </c>
      <c r="U17" s="2">
        <f>+Model!U192</f>
        <v>168</v>
      </c>
      <c r="V17" s="2">
        <f>+Model!V192</f>
        <v>1478</v>
      </c>
      <c r="W17" s="2">
        <f>+Model!W192</f>
        <v>4559</v>
      </c>
      <c r="X17" s="2">
        <f>+Model!X192</f>
        <v>-1240</v>
      </c>
      <c r="Y17" s="2">
        <f>+Model!Y192</f>
        <v>1955</v>
      </c>
      <c r="Z17" s="2">
        <f>+Model!Z192</f>
        <v>-139</v>
      </c>
      <c r="AA17" s="2">
        <f>+Model!AA192</f>
        <v>761</v>
      </c>
      <c r="AB17" s="2">
        <f>+Model!AB192</f>
        <v>0</v>
      </c>
      <c r="AC17" s="2">
        <f>+Model!AC192</f>
        <v>0</v>
      </c>
      <c r="AD17" s="2">
        <f>+Model!AD192</f>
        <v>0</v>
      </c>
      <c r="AH17" s="2">
        <f>+Model!AH192</f>
        <v>1663</v>
      </c>
      <c r="AI17" s="2">
        <f>+Model!AI192</f>
        <v>-4509</v>
      </c>
      <c r="AJ17" s="2">
        <f>+Model!AJ192</f>
        <v>927</v>
      </c>
      <c r="AK17" s="2">
        <f>+Model!AK192</f>
        <v>-388</v>
      </c>
      <c r="AL17" s="2">
        <f>+Model!AL192</f>
        <v>-717</v>
      </c>
      <c r="AM17" s="2">
        <f>+Model!AM192</f>
        <v>5135</v>
      </c>
      <c r="AN17" s="2">
        <f>+Model!AN192</f>
        <v>0</v>
      </c>
      <c r="AO17" s="2">
        <f>+Model!AO192</f>
        <v>0</v>
      </c>
    </row>
    <row r="18" spans="2:41" s="2" customFormat="1" x14ac:dyDescent="0.25"/>
    <row r="19" spans="2:41" s="2" customFormat="1" x14ac:dyDescent="0.25">
      <c r="B19" s="2" t="s">
        <v>237</v>
      </c>
      <c r="C19" s="2">
        <f>Model!C168</f>
        <v>-338</v>
      </c>
      <c r="D19" s="2">
        <f>Model!D168</f>
        <v>-342</v>
      </c>
      <c r="E19" s="2">
        <f>Model!E168</f>
        <v>-332</v>
      </c>
      <c r="F19" s="2">
        <f>Model!F168</f>
        <v>-486</v>
      </c>
      <c r="G19" s="2">
        <f>Model!G168</f>
        <v>-329</v>
      </c>
      <c r="H19" s="2">
        <f>Model!H168</f>
        <v>-363</v>
      </c>
      <c r="I19" s="2">
        <f>Model!I168</f>
        <v>-418</v>
      </c>
      <c r="J19" s="2">
        <f>Model!J168</f>
        <v>-620</v>
      </c>
      <c r="K19" s="2">
        <f>Model!K168</f>
        <v>-392</v>
      </c>
      <c r="L19" s="2">
        <f>Model!L168</f>
        <v>-513</v>
      </c>
      <c r="M19" s="2">
        <f>Model!M168</f>
        <v>-471</v>
      </c>
      <c r="N19" s="2">
        <f>Model!N168</f>
        <v>-708</v>
      </c>
      <c r="O19" s="2">
        <f>Model!O168</f>
        <v>-436</v>
      </c>
      <c r="P19" s="2">
        <f>Model!P168</f>
        <v>-528</v>
      </c>
      <c r="Q19" s="2">
        <f>Model!Q168</f>
        <v>-497</v>
      </c>
      <c r="R19" s="2">
        <f>Model!R168</f>
        <v>-757</v>
      </c>
      <c r="S19" s="2">
        <f>Model!S168</f>
        <v>-403</v>
      </c>
      <c r="T19" s="2">
        <f>Model!T168</f>
        <v>-488</v>
      </c>
      <c r="U19" s="2">
        <f>Model!U168</f>
        <v>-519</v>
      </c>
      <c r="V19" s="2">
        <f>Model!V168</f>
        <v>-678</v>
      </c>
      <c r="W19" s="2">
        <f>Model!W168</f>
        <v>-504</v>
      </c>
      <c r="X19" s="2">
        <f>Model!X168</f>
        <v>-551</v>
      </c>
      <c r="Y19" s="2">
        <f>Model!Y168</f>
        <v>-554</v>
      </c>
      <c r="Z19" s="2">
        <f>Model!Z168</f>
        <v>-836</v>
      </c>
      <c r="AA19" s="2">
        <f>Model!AA168</f>
        <v>-494</v>
      </c>
      <c r="AB19" s="2">
        <f>Model!AB168</f>
        <v>0</v>
      </c>
      <c r="AC19" s="2">
        <f>Model!AC168</f>
        <v>0</v>
      </c>
      <c r="AD19" s="2">
        <f>Model!AD168</f>
        <v>0</v>
      </c>
      <c r="AH19" s="2">
        <f>Model!AH168</f>
        <v>-1498</v>
      </c>
      <c r="AI19" s="2">
        <f>Model!AI168</f>
        <v>-1730</v>
      </c>
      <c r="AJ19" s="2">
        <f>Model!AJ168</f>
        <v>-2084</v>
      </c>
      <c r="AK19" s="2">
        <f>Model!AK168</f>
        <v>-2146</v>
      </c>
      <c r="AL19" s="2">
        <f>Model!AL168</f>
        <v>-2088</v>
      </c>
      <c r="AM19" s="2">
        <f>Model!AM168</f>
        <v>-2445</v>
      </c>
      <c r="AN19" s="2">
        <f>Model!AN168</f>
        <v>0</v>
      </c>
      <c r="AO19" s="2">
        <f>Model!AO168</f>
        <v>0</v>
      </c>
    </row>
    <row r="20" spans="2:41" s="2" customFormat="1" x14ac:dyDescent="0.25">
      <c r="B20" s="2" t="s">
        <v>238</v>
      </c>
      <c r="C20" s="2">
        <f>+Model!C199</f>
        <v>201</v>
      </c>
      <c r="D20" s="2">
        <f>+Model!D199</f>
        <v>359</v>
      </c>
      <c r="E20" s="2">
        <f>+Model!E199</f>
        <v>2694</v>
      </c>
      <c r="F20" s="2">
        <f>+Model!F199</f>
        <v>4157</v>
      </c>
      <c r="G20" s="2">
        <f>+Model!G199</f>
        <v>1032</v>
      </c>
      <c r="H20" s="2">
        <f>+Model!H199</f>
        <v>1232</v>
      </c>
      <c r="I20" s="2">
        <f>+Model!I199</f>
        <v>2287</v>
      </c>
      <c r="J20" s="2">
        <f>+Model!J199</f>
        <v>3813</v>
      </c>
      <c r="K20" s="2">
        <f>+Model!K199</f>
        <v>1128</v>
      </c>
      <c r="L20" s="2">
        <f>+Model!L199</f>
        <v>1338</v>
      </c>
      <c r="M20" s="2">
        <f>+Model!M199</f>
        <v>2300</v>
      </c>
      <c r="N20" s="2">
        <f>+Model!N199</f>
        <v>3666</v>
      </c>
      <c r="O20" s="2">
        <f>+Model!O199</f>
        <v>94</v>
      </c>
      <c r="P20" s="2">
        <f>+Model!P199</f>
        <v>2375</v>
      </c>
      <c r="Q20" s="2">
        <f>+Model!Q199</f>
        <v>3002</v>
      </c>
      <c r="R20" s="2">
        <f>+Model!R199</f>
        <v>4787</v>
      </c>
      <c r="S20" s="2">
        <f>+Model!S199</f>
        <v>1060</v>
      </c>
      <c r="T20" s="2">
        <f>+Model!T199</f>
        <v>1395</v>
      </c>
      <c r="U20" s="2">
        <f>+Model!U199</f>
        <v>2139</v>
      </c>
      <c r="V20" s="2">
        <f>+Model!V199</f>
        <v>5220</v>
      </c>
      <c r="W20" s="2">
        <f>+Model!W199</f>
        <v>1621</v>
      </c>
      <c r="X20" s="2">
        <f>+Model!X199</f>
        <v>1029</v>
      </c>
      <c r="Y20" s="2">
        <f>+Model!Y199</f>
        <v>2942</v>
      </c>
      <c r="Z20" s="2">
        <f>+Model!Z199</f>
        <v>5406</v>
      </c>
      <c r="AA20" s="2">
        <f>+Model!AA199</f>
        <v>692</v>
      </c>
      <c r="AB20" s="2">
        <f>+Model!AB199</f>
        <v>0</v>
      </c>
      <c r="AC20" s="2">
        <f>+Model!AC199</f>
        <v>0</v>
      </c>
      <c r="AD20" s="2">
        <f>+Model!AD199</f>
        <v>0</v>
      </c>
      <c r="AH20" s="2">
        <f>+Model!AH199</f>
        <v>7411</v>
      </c>
      <c r="AI20" s="2">
        <f>+Model!AI199</f>
        <v>8364</v>
      </c>
      <c r="AJ20" s="2">
        <f>+Model!AJ199</f>
        <v>8433</v>
      </c>
      <c r="AK20" s="2">
        <f>+Model!AK199</f>
        <v>10329</v>
      </c>
      <c r="AL20" s="2">
        <f>+Model!AL199</f>
        <v>9814</v>
      </c>
      <c r="AM20" s="2">
        <f>+Model!AM199</f>
        <v>10998</v>
      </c>
      <c r="AN20" s="2">
        <f>+Model!AN199</f>
        <v>0</v>
      </c>
      <c r="AO20" s="2">
        <f>+Model!AO199</f>
        <v>0</v>
      </c>
    </row>
    <row r="21" spans="2:41" s="2" customFormat="1" x14ac:dyDescent="0.25"/>
    <row r="22" spans="2:41" s="2" customFormat="1" x14ac:dyDescent="0.25">
      <c r="B22" s="2" t="s">
        <v>239</v>
      </c>
      <c r="C22" s="2">
        <f>+Model!C325</f>
        <v>-3</v>
      </c>
      <c r="D22" s="2">
        <f>+Model!D325</f>
        <v>685</v>
      </c>
      <c r="E22" s="2">
        <f>+Model!E325</f>
        <v>1920</v>
      </c>
      <c r="F22" s="2">
        <f>+Model!F325</f>
        <v>3750</v>
      </c>
      <c r="G22" s="2">
        <f>+Model!G325</f>
        <v>906</v>
      </c>
      <c r="H22" s="2">
        <f>+Model!H325</f>
        <v>1326</v>
      </c>
      <c r="I22" s="2">
        <f>+Model!I325</f>
        <v>2285</v>
      </c>
      <c r="J22" s="2">
        <f>+Model!J325</f>
        <v>3862</v>
      </c>
      <c r="K22" s="2">
        <f>+Model!K325</f>
        <v>1124</v>
      </c>
      <c r="L22" s="2">
        <f>+Model!L325</f>
        <v>1394</v>
      </c>
      <c r="M22" s="2">
        <f>+Model!M325</f>
        <v>2311</v>
      </c>
      <c r="N22" s="2">
        <f>+Model!N325</f>
        <v>3409</v>
      </c>
      <c r="O22" s="2">
        <f>+Model!O325</f>
        <v>77</v>
      </c>
      <c r="P22" s="2">
        <f>+Model!P325</f>
        <v>2363</v>
      </c>
      <c r="Q22" s="2">
        <f>+Model!Q325</f>
        <v>2915</v>
      </c>
      <c r="R22" s="2">
        <f>+Model!R325</f>
        <v>4708</v>
      </c>
      <c r="S22" s="2">
        <f>+Model!S325</f>
        <v>1067</v>
      </c>
      <c r="T22" s="2">
        <f>+Model!T325</f>
        <v>1451</v>
      </c>
      <c r="U22" s="2">
        <f>+Model!U325</f>
        <v>2168</v>
      </c>
      <c r="V22" s="2">
        <f>+Model!V325</f>
        <v>5041</v>
      </c>
      <c r="W22" s="2">
        <f>+Model!W325</f>
        <v>1607</v>
      </c>
      <c r="X22" s="2">
        <f>+Model!X325</f>
        <v>1128</v>
      </c>
      <c r="Y22" s="2">
        <f>+Model!Y325</f>
        <v>3001</v>
      </c>
      <c r="Z22" s="2">
        <f>+Model!Z325</f>
        <v>5266</v>
      </c>
      <c r="AA22" s="2">
        <f>+Model!AA325</f>
        <v>681</v>
      </c>
      <c r="AB22" s="2">
        <f>+Model!AB325</f>
        <v>0</v>
      </c>
      <c r="AC22" s="2">
        <f>+Model!AC325</f>
        <v>0</v>
      </c>
      <c r="AD22" s="2">
        <f>+Model!AD325</f>
        <v>0</v>
      </c>
      <c r="AH22" s="2">
        <f>+Model!AH325</f>
        <v>6352</v>
      </c>
      <c r="AI22" s="2">
        <f>+Model!AI325</f>
        <v>8379</v>
      </c>
      <c r="AJ22" s="2">
        <f>+Model!AJ325</f>
        <v>8238</v>
      </c>
      <c r="AK22" s="2">
        <f>+Model!AK325</f>
        <v>10146</v>
      </c>
      <c r="AL22" s="2">
        <f>+Model!AL325</f>
        <v>9726</v>
      </c>
      <c r="AM22" s="2">
        <f>+Model!AM325</f>
        <v>11004</v>
      </c>
      <c r="AN22" s="2">
        <f>+Model!AN325</f>
        <v>0</v>
      </c>
      <c r="AO22" s="2">
        <f>+Model!AO325</f>
        <v>0</v>
      </c>
    </row>
    <row r="23" spans="2:41" s="2" customFormat="1" x14ac:dyDescent="0.25"/>
    <row r="24" spans="2:41" s="2" customFormat="1" x14ac:dyDescent="0.25">
      <c r="B24" s="2" t="s">
        <v>147</v>
      </c>
      <c r="C24" s="2">
        <f>Model!C338</f>
        <v>1950</v>
      </c>
      <c r="D24" s="2">
        <f>Model!D338</f>
        <v>1952</v>
      </c>
      <c r="E24" s="2">
        <f>Model!E338</f>
        <v>1798</v>
      </c>
      <c r="F24" s="2">
        <f>Model!F338</f>
        <v>1673</v>
      </c>
      <c r="G24" s="2">
        <f>Model!G338</f>
        <v>2454</v>
      </c>
      <c r="H24" s="2">
        <f>Model!H338</f>
        <v>2141</v>
      </c>
      <c r="I24" s="2">
        <f>Model!I338</f>
        <v>2366</v>
      </c>
      <c r="J24" s="2">
        <f>Model!J338</f>
        <v>2178</v>
      </c>
      <c r="K24" s="2">
        <f>Model!K338</f>
        <v>3025</v>
      </c>
      <c r="L24" s="2">
        <f>Model!L338</f>
        <v>2385</v>
      </c>
      <c r="M24" s="2">
        <f>Model!M338</f>
        <v>496</v>
      </c>
      <c r="N24" s="2">
        <f>Model!N338</f>
        <v>4853</v>
      </c>
      <c r="O24" s="2">
        <f>Model!O338</f>
        <v>2910</v>
      </c>
      <c r="P24" s="2">
        <f>Model!P338</f>
        <v>5116</v>
      </c>
      <c r="Q24" s="2">
        <f>Model!Q338</f>
        <v>2558</v>
      </c>
      <c r="R24" s="2">
        <f>Model!R338</f>
        <v>3579</v>
      </c>
      <c r="S24" s="2">
        <f>Model!S338</f>
        <v>3712</v>
      </c>
      <c r="T24" s="2">
        <f>Model!T338</f>
        <v>2920</v>
      </c>
      <c r="U24" s="2">
        <f>Model!U338</f>
        <v>3429</v>
      </c>
      <c r="V24" s="2">
        <f>Model!V338</f>
        <v>3517</v>
      </c>
      <c r="W24" s="2">
        <f>Model!W338</f>
        <v>2927</v>
      </c>
      <c r="X24" s="2">
        <f>Model!X338</f>
        <v>3725</v>
      </c>
      <c r="Y24" s="2">
        <f>Model!Y338</f>
        <v>3540</v>
      </c>
      <c r="Z24" s="2">
        <f>Model!Z338</f>
        <v>3188</v>
      </c>
      <c r="AA24" s="2">
        <f>Model!AA338</f>
        <v>3636</v>
      </c>
      <c r="AB24" s="2">
        <f>Model!AB338</f>
        <v>0</v>
      </c>
      <c r="AC24" s="2">
        <f>Model!AC338</f>
        <v>0</v>
      </c>
      <c r="AD24" s="2">
        <f>Model!AD338</f>
        <v>0</v>
      </c>
      <c r="AH24" s="2">
        <f>Model!AH338</f>
        <v>7373</v>
      </c>
      <c r="AI24" s="2">
        <f>Model!AI338</f>
        <v>9139</v>
      </c>
      <c r="AJ24" s="2">
        <f>Model!AJ338</f>
        <v>10759</v>
      </c>
      <c r="AK24" s="2">
        <f>Model!AK338</f>
        <v>14026</v>
      </c>
      <c r="AL24" s="2">
        <f>Model!AL338</f>
        <v>13577</v>
      </c>
      <c r="AM24" s="2">
        <f>Model!AM338</f>
        <v>13380</v>
      </c>
      <c r="AN24" s="2">
        <f>Model!AN338</f>
        <v>0</v>
      </c>
      <c r="AO24" s="2">
        <f>Model!AO338</f>
        <v>0</v>
      </c>
    </row>
    <row r="26" spans="2:41" s="11" customFormat="1" x14ac:dyDescent="0.25">
      <c r="B26" s="11" t="s">
        <v>241</v>
      </c>
      <c r="C26" s="11">
        <f>C6/Model!C27</f>
        <v>818.79699248120323</v>
      </c>
      <c r="D26" s="11">
        <f>D6/Model!D27</f>
        <v>871.25</v>
      </c>
      <c r="E26" s="11">
        <f>E6/Model!E27</f>
        <v>798.50746268656712</v>
      </c>
      <c r="F26" s="11">
        <f>F6/Model!F27</f>
        <v>854.09090909090901</v>
      </c>
      <c r="G26" s="11">
        <f>G6/Model!G27</f>
        <v>865.31791907514469</v>
      </c>
      <c r="H26" s="11">
        <f>H6/Model!H27</f>
        <v>847.51773049645396</v>
      </c>
      <c r="I26" s="11">
        <f>I6/Model!I27</f>
        <v>880.95238095238096</v>
      </c>
      <c r="J26" s="11">
        <f>J6/Model!J27</f>
        <v>917.24137931034488</v>
      </c>
      <c r="K26" s="11">
        <f>K6/Model!K27</f>
        <v>876.09756097560978</v>
      </c>
      <c r="L26" s="11">
        <f>L6/Model!L27</f>
        <v>940.31007751937977</v>
      </c>
      <c r="M26" s="11">
        <f>M6/Model!M27</f>
        <v>743.20388349514565</v>
      </c>
      <c r="N26" s="11">
        <f>N6/Model!N27</f>
        <v>859.29203539823004</v>
      </c>
      <c r="O26" s="11">
        <f>O6/Model!O27</f>
        <v>874.8663101604277</v>
      </c>
      <c r="P26" s="11">
        <f>P6/Model!P27</f>
        <v>808.88382687927117</v>
      </c>
      <c r="Q26" s="11">
        <f>Q6/Model!Q27</f>
        <v>894.40993788819878</v>
      </c>
      <c r="R26" s="11">
        <f>R6/Model!R27</f>
        <v>876.49769585253455</v>
      </c>
      <c r="S26" s="11">
        <f>S6/Model!S27</f>
        <v>840.92409240924098</v>
      </c>
      <c r="T26" s="11">
        <f>T6/Model!T27</f>
        <v>854.47470817120632</v>
      </c>
      <c r="U26" s="11">
        <f>U6/Model!U27</f>
        <v>849.80079681274913</v>
      </c>
      <c r="V26" s="11">
        <f>V6/Model!V27</f>
        <v>873.96694214876038</v>
      </c>
      <c r="W26" s="11">
        <f>W6/Model!W27</f>
        <v>821.23142250530782</v>
      </c>
      <c r="X26" s="11">
        <f>X6/Model!X27</f>
        <v>852.79720279720289</v>
      </c>
      <c r="Y26" s="11">
        <f>Y6/Model!Y27</f>
        <v>859.38697318007667</v>
      </c>
      <c r="Z26" s="11">
        <f>Z6/Model!Z27</f>
        <v>887.43961352657016</v>
      </c>
      <c r="AA26" s="11">
        <f>AA6/Model!AA27</f>
        <v>854.61538461538464</v>
      </c>
      <c r="AB26" s="11" t="e">
        <f>AB6/Model!AB27</f>
        <v>#DIV/0!</v>
      </c>
      <c r="AC26" s="11" t="e">
        <f>AC6/Model!AC27</f>
        <v>#DIV/0!</v>
      </c>
      <c r="AD26" s="11" t="e">
        <f>AD6/Model!AD27</f>
        <v>#DIV/0!</v>
      </c>
      <c r="AH26" s="11">
        <f>AH6/Model!AH27</f>
        <v>840</v>
      </c>
      <c r="AI26" s="11">
        <f>AI6/Model!AI27</f>
        <v>872.00520833333337</v>
      </c>
      <c r="AJ26" s="11">
        <f>AJ6/Model!AJ27</f>
        <v>944.51612903225794</v>
      </c>
      <c r="AK26" s="11">
        <f>AK6/Model!AK27</f>
        <v>849.50199203187253</v>
      </c>
      <c r="AL26" s="11">
        <f>AL6/Model!AL27</f>
        <v>853.9411206077873</v>
      </c>
      <c r="AM26" s="11">
        <f>AM6/Model!AM27</f>
        <v>847.91836734693879</v>
      </c>
      <c r="AN26" s="11" t="e">
        <f>AN6/Model!AN27</f>
        <v>#DIV/0!</v>
      </c>
      <c r="AO26" s="11" t="e">
        <f>AO6/Model!AO27</f>
        <v>#DIV/0!</v>
      </c>
    </row>
    <row r="27" spans="2:41" s="11" customFormat="1" x14ac:dyDescent="0.25">
      <c r="B27" s="11" t="s">
        <v>242</v>
      </c>
      <c r="C27" s="11">
        <f>C6/Model!C32</f>
        <v>837.69230769230785</v>
      </c>
      <c r="D27" s="11">
        <f>D6/Model!D32</f>
        <v>882.27848101265818</v>
      </c>
      <c r="E27" s="11">
        <f>E6/Model!E32</f>
        <v>798.50746268656712</v>
      </c>
      <c r="F27" s="11">
        <f>F6/Model!F32</f>
        <v>865.8986175115208</v>
      </c>
      <c r="G27" s="11">
        <f>G6/Model!G32</f>
        <v>875.43859649122805</v>
      </c>
      <c r="H27" s="11">
        <f>H6/Model!H32</f>
        <v>856.63082437275989</v>
      </c>
      <c r="I27" s="11">
        <f>I6/Model!I32</f>
        <v>891.56626506024099</v>
      </c>
      <c r="J27" s="11">
        <f>J6/Model!J32</f>
        <v>930.06993006993014</v>
      </c>
      <c r="K27" s="11">
        <f>K6/Model!K32</f>
        <v>889.10891089108907</v>
      </c>
      <c r="L27" s="11">
        <f>L6/Model!L32</f>
        <v>955.11811023622045</v>
      </c>
      <c r="M27" s="11">
        <f>M6/Model!M32</f>
        <v>739.61352657004841</v>
      </c>
      <c r="N27" s="11">
        <f>N6/Model!N32</f>
        <v>866.96428571428578</v>
      </c>
      <c r="O27" s="11">
        <f>O6/Model!O32</f>
        <v>884.32432432432427</v>
      </c>
      <c r="P27" s="11">
        <f>P6/Model!P32</f>
        <v>818.20276497695852</v>
      </c>
      <c r="Q27" s="11">
        <f>Q6/Model!Q32</f>
        <v>905.66037735849068</v>
      </c>
      <c r="R27" s="11">
        <f>R6/Model!R32</f>
        <v>888.78504672897191</v>
      </c>
      <c r="S27" s="11">
        <f>S6/Model!S32</f>
        <v>852.17391304347825</v>
      </c>
      <c r="T27" s="11">
        <f>T6/Model!T32</f>
        <v>864.56692913385825</v>
      </c>
      <c r="U27" s="11">
        <f>U6/Model!U32</f>
        <v>860.08064516129036</v>
      </c>
      <c r="V27" s="11">
        <f>V6/Model!V32</f>
        <v>888.65546218487395</v>
      </c>
      <c r="W27" s="11">
        <f>W6/Model!W32</f>
        <v>830.0429184549356</v>
      </c>
      <c r="X27" s="11">
        <f>X6/Model!X32</f>
        <v>861.83745583038865</v>
      </c>
      <c r="Y27" s="11">
        <f>Y6/Model!Y32</f>
        <v>869.37984496124034</v>
      </c>
      <c r="Z27" s="11">
        <f>Z6/Model!Z32</f>
        <v>896.09756097560978</v>
      </c>
      <c r="AA27" s="11">
        <f>AA6/Model!AA32</f>
        <v>861.24031007751933</v>
      </c>
      <c r="AB27" s="11" t="e">
        <f>AB6/Model!AB32</f>
        <v>#DIV/0!</v>
      </c>
      <c r="AC27" s="11" t="e">
        <f>AC6/Model!AC32</f>
        <v>#DIV/0!</v>
      </c>
      <c r="AD27" s="11" t="e">
        <f>AD6/Model!AD32</f>
        <v>#DIV/0!</v>
      </c>
      <c r="AH27" s="11">
        <f>AH6/Model!AH32</f>
        <v>851.92697768762685</v>
      </c>
      <c r="AI27" s="11">
        <f>AI6/Model!AI32</f>
        <v>882.34519104084325</v>
      </c>
      <c r="AJ27" s="11">
        <f>AJ6/Model!AJ32</f>
        <v>956.86274509803923</v>
      </c>
      <c r="AK27" s="11">
        <f>AK6/Model!AK32</f>
        <v>860.64581231079717</v>
      </c>
      <c r="AL27" s="11">
        <f>AL6/Model!AL32</f>
        <v>866.28131021194599</v>
      </c>
      <c r="AM27" s="11">
        <f>AM6/Model!AM32</f>
        <v>857.72089182493812</v>
      </c>
      <c r="AN27" s="11" t="e">
        <f>AN6/Model!AN32</f>
        <v>#DIV/0!</v>
      </c>
      <c r="AO27" s="11" t="e">
        <f>AO6/Model!AO32</f>
        <v>#DIV/0!</v>
      </c>
    </row>
    <row r="30" spans="2:41" s="21" customFormat="1" x14ac:dyDescent="0.25">
      <c r="B30" s="42" t="s">
        <v>243</v>
      </c>
      <c r="C30" s="21">
        <v>62.26</v>
      </c>
      <c r="D30" s="21">
        <v>47.88</v>
      </c>
      <c r="E30" s="21">
        <v>67.905000000000001</v>
      </c>
      <c r="F30" s="21">
        <v>72.66</v>
      </c>
      <c r="G30" s="21">
        <v>81.650000000000006</v>
      </c>
      <c r="H30" s="21">
        <v>87.77</v>
      </c>
      <c r="I30" s="21">
        <v>83.67</v>
      </c>
      <c r="J30" s="21">
        <v>86.61</v>
      </c>
      <c r="K30" s="21">
        <v>82.1</v>
      </c>
      <c r="L30" s="21">
        <v>58.92</v>
      </c>
      <c r="M30" s="21">
        <v>56.53</v>
      </c>
      <c r="N30" s="21">
        <v>67.33</v>
      </c>
      <c r="O30" s="21">
        <v>79.47</v>
      </c>
      <c r="P30" s="21">
        <v>83.68</v>
      </c>
      <c r="Q30" s="21">
        <v>81.86</v>
      </c>
      <c r="R30" s="21">
        <v>79.72</v>
      </c>
      <c r="S30" s="21">
        <v>91.775000000000006</v>
      </c>
      <c r="T30" s="21">
        <v>95</v>
      </c>
      <c r="U30" s="21">
        <v>87.22</v>
      </c>
      <c r="V30" s="21">
        <v>100.55</v>
      </c>
      <c r="W30" s="21">
        <v>119.24</v>
      </c>
      <c r="X30" s="21">
        <v>124.62</v>
      </c>
      <c r="Y30" s="21">
        <v>135.75</v>
      </c>
      <c r="Z30" s="21">
        <v>134</v>
      </c>
      <c r="AA30" s="21">
        <v>140</v>
      </c>
    </row>
    <row r="31" spans="2:41" s="2" customFormat="1" x14ac:dyDescent="0.25">
      <c r="B31" s="41" t="s">
        <v>2</v>
      </c>
      <c r="C31" s="2">
        <f>C26*C30*2</f>
        <v>101956.60150375942</v>
      </c>
      <c r="D31" s="2">
        <f t="shared" ref="D31:AA31" si="0">D26*D30*2</f>
        <v>83430.900000000009</v>
      </c>
      <c r="E31" s="2">
        <f t="shared" si="0"/>
        <v>108445.29850746268</v>
      </c>
      <c r="F31" s="2">
        <f t="shared" si="0"/>
        <v>124116.49090909089</v>
      </c>
      <c r="G31" s="2">
        <f t="shared" si="0"/>
        <v>141306.41618497114</v>
      </c>
      <c r="H31" s="2">
        <f t="shared" si="0"/>
        <v>148773.26241134753</v>
      </c>
      <c r="I31" s="2">
        <f t="shared" si="0"/>
        <v>147418.57142857142</v>
      </c>
      <c r="J31" s="2">
        <f t="shared" si="0"/>
        <v>158884.55172413794</v>
      </c>
      <c r="K31" s="2">
        <f t="shared" si="0"/>
        <v>143855.21951219512</v>
      </c>
      <c r="L31" s="2">
        <f t="shared" si="0"/>
        <v>110806.13953488371</v>
      </c>
      <c r="M31" s="2">
        <f t="shared" si="0"/>
        <v>84026.631067961163</v>
      </c>
      <c r="N31" s="2">
        <f t="shared" si="0"/>
        <v>115712.26548672565</v>
      </c>
      <c r="O31" s="2">
        <f t="shared" si="0"/>
        <v>139051.25133689836</v>
      </c>
      <c r="P31" s="2">
        <f t="shared" si="0"/>
        <v>135374.79726651483</v>
      </c>
      <c r="Q31" s="2">
        <f t="shared" si="0"/>
        <v>146432.7950310559</v>
      </c>
      <c r="R31" s="2">
        <f t="shared" si="0"/>
        <v>139748.7926267281</v>
      </c>
      <c r="S31" s="2">
        <f t="shared" si="0"/>
        <v>154351.61716171619</v>
      </c>
      <c r="T31" s="2">
        <f t="shared" si="0"/>
        <v>162350.1945525292</v>
      </c>
      <c r="U31" s="2">
        <f t="shared" si="0"/>
        <v>148239.25099601597</v>
      </c>
      <c r="V31" s="2">
        <f t="shared" si="0"/>
        <v>175754.7520661157</v>
      </c>
      <c r="W31" s="2">
        <f t="shared" si="0"/>
        <v>195847.26963906581</v>
      </c>
      <c r="X31" s="2">
        <f t="shared" si="0"/>
        <v>212551.17482517485</v>
      </c>
      <c r="Y31" s="2">
        <f t="shared" si="0"/>
        <v>233323.5632183908</v>
      </c>
      <c r="Z31" s="2">
        <f t="shared" si="0"/>
        <v>237833.81642512081</v>
      </c>
      <c r="AA31" s="2">
        <f t="shared" si="0"/>
        <v>239292.30769230769</v>
      </c>
      <c r="AB31" s="2" t="e">
        <f t="shared" ref="AB31" si="1">AB26*AB30*2</f>
        <v>#DIV/0!</v>
      </c>
      <c r="AC31" s="2" t="e">
        <f t="shared" ref="AC31" si="2">AC26*AC30*2</f>
        <v>#DIV/0!</v>
      </c>
      <c r="AD31" s="2" t="e">
        <f t="shared" ref="AD31" si="3">AD26*AD30*2</f>
        <v>#DIV/0!</v>
      </c>
    </row>
    <row r="33" spans="2:43" x14ac:dyDescent="0.25">
      <c r="B33" s="40" t="s">
        <v>5</v>
      </c>
      <c r="C33" s="2">
        <f>C31-C8+C10</f>
        <v>101956.60150375942</v>
      </c>
      <c r="D33" s="2">
        <f t="shared" ref="D33:AA33" si="4">D31-D8+D10</f>
        <v>83430.900000000009</v>
      </c>
      <c r="E33" s="2">
        <f t="shared" si="4"/>
        <v>108445.29850746268</v>
      </c>
      <c r="F33" s="2">
        <f t="shared" si="4"/>
        <v>154642.49090909091</v>
      </c>
      <c r="G33" s="2">
        <f t="shared" si="4"/>
        <v>170770.41618497114</v>
      </c>
      <c r="H33" s="2">
        <f t="shared" si="4"/>
        <v>177232.26241134753</v>
      </c>
      <c r="I33" s="2">
        <f t="shared" si="4"/>
        <v>187851.57142857142</v>
      </c>
      <c r="J33" s="2">
        <f t="shared" si="4"/>
        <v>198039.55172413794</v>
      </c>
      <c r="K33" s="2">
        <f t="shared" si="4"/>
        <v>183123.21951219512</v>
      </c>
      <c r="L33" s="2">
        <f t="shared" si="4"/>
        <v>153064.13953488372</v>
      </c>
      <c r="M33" s="2">
        <f t="shared" si="4"/>
        <v>125485.63106796116</v>
      </c>
      <c r="N33" s="2">
        <f t="shared" si="4"/>
        <v>155883.26548672566</v>
      </c>
      <c r="O33" s="2">
        <f t="shared" si="4"/>
        <v>178159.25133689836</v>
      </c>
      <c r="P33" s="2">
        <f t="shared" si="4"/>
        <v>176218.79726651483</v>
      </c>
      <c r="Q33" s="2">
        <f t="shared" si="4"/>
        <v>185520.7950310559</v>
      </c>
      <c r="R33" s="2">
        <f t="shared" si="4"/>
        <v>176260.7926267281</v>
      </c>
      <c r="S33" s="2">
        <f t="shared" si="4"/>
        <v>192903.61716171619</v>
      </c>
      <c r="T33" s="2">
        <f t="shared" si="4"/>
        <v>205086.1945525292</v>
      </c>
      <c r="U33" s="2">
        <f t="shared" si="4"/>
        <v>190383.25099601597</v>
      </c>
      <c r="V33" s="2">
        <f t="shared" si="4"/>
        <v>214517.7520661157</v>
      </c>
      <c r="W33" s="2">
        <f t="shared" si="4"/>
        <v>231805.26963906581</v>
      </c>
      <c r="X33" s="2">
        <f t="shared" si="4"/>
        <v>257387.17482517485</v>
      </c>
      <c r="Y33" s="2">
        <f t="shared" si="4"/>
        <v>275370.5632183908</v>
      </c>
      <c r="Z33" s="2">
        <f t="shared" si="4"/>
        <v>279353.81642512081</v>
      </c>
      <c r="AA33" s="2">
        <f t="shared" si="4"/>
        <v>280494.30769230769</v>
      </c>
      <c r="AB33" s="2" t="e">
        <f t="shared" ref="AB33:AD33" si="5">AB31-AB8+AB10</f>
        <v>#DIV/0!</v>
      </c>
      <c r="AC33" s="2" t="e">
        <f t="shared" si="5"/>
        <v>#DIV/0!</v>
      </c>
      <c r="AD33" s="2" t="e">
        <f t="shared" si="5"/>
        <v>#DIV/0!</v>
      </c>
    </row>
    <row r="36" spans="2:43" s="21" customFormat="1" x14ac:dyDescent="0.25">
      <c r="B36" s="43" t="s">
        <v>244</v>
      </c>
      <c r="C36" s="21">
        <v>29.551545454545451</v>
      </c>
      <c r="D36" s="21">
        <v>29.551545454545451</v>
      </c>
      <c r="E36" s="21">
        <v>29.551545454545451</v>
      </c>
      <c r="F36" s="21">
        <f>(F31)/SUM(C6:F6)</f>
        <v>29.551545454545451</v>
      </c>
      <c r="G36" s="21">
        <f t="shared" ref="G36:AD36" si="6">(G31)/SUM(D6:G6)</f>
        <v>30.665454901252417</v>
      </c>
      <c r="H36" s="21">
        <f t="shared" si="6"/>
        <v>23.611055770726477</v>
      </c>
      <c r="I36" s="21">
        <f t="shared" si="6"/>
        <v>20.344820787823824</v>
      </c>
      <c r="J36" s="21">
        <f t="shared" si="6"/>
        <v>23.724735213399722</v>
      </c>
      <c r="K36" s="21">
        <f t="shared" si="6"/>
        <v>20.562495642109081</v>
      </c>
      <c r="L36" s="21">
        <f t="shared" si="6"/>
        <v>19.042127433387819</v>
      </c>
      <c r="M36" s="21">
        <f t="shared" si="6"/>
        <v>29.924013913091581</v>
      </c>
      <c r="N36" s="21">
        <f t="shared" si="6"/>
        <v>26.35214426935223</v>
      </c>
      <c r="O36" s="21">
        <f t="shared" si="6"/>
        <v>32.864866777806277</v>
      </c>
      <c r="P36" s="21">
        <f t="shared" si="6"/>
        <v>20.608128675066954</v>
      </c>
      <c r="Q36" s="21">
        <f t="shared" si="6"/>
        <v>15.349349583968124</v>
      </c>
      <c r="R36" s="21">
        <f t="shared" si="6"/>
        <v>16.385132210895545</v>
      </c>
      <c r="S36" s="21">
        <f t="shared" si="6"/>
        <v>16.349075009185064</v>
      </c>
      <c r="T36" s="21">
        <f t="shared" si="6"/>
        <v>20.077936501673165</v>
      </c>
      <c r="U36" s="21">
        <f t="shared" si="6"/>
        <v>16.88566476774302</v>
      </c>
      <c r="V36" s="21">
        <f t="shared" si="6"/>
        <v>19.545679722655215</v>
      </c>
      <c r="W36" s="21">
        <f t="shared" si="6"/>
        <v>18.992171221786833</v>
      </c>
      <c r="X36" s="21">
        <f t="shared" si="6"/>
        <v>20.137486956435325</v>
      </c>
      <c r="Y36" s="21">
        <f t="shared" si="6"/>
        <v>21.87750241147593</v>
      </c>
      <c r="Z36" s="21">
        <f t="shared" si="6"/>
        <v>22.897257766931819</v>
      </c>
      <c r="AA36" s="21">
        <f t="shared" si="6"/>
        <v>27.375850325169626</v>
      </c>
      <c r="AB36" s="21" t="e">
        <f t="shared" si="6"/>
        <v>#DIV/0!</v>
      </c>
      <c r="AC36" s="21" t="e">
        <f t="shared" si="6"/>
        <v>#DIV/0!</v>
      </c>
      <c r="AD36" s="21" t="e">
        <f t="shared" si="6"/>
        <v>#DIV/0!</v>
      </c>
    </row>
    <row r="37" spans="2:43" s="21" customFormat="1" x14ac:dyDescent="0.25">
      <c r="B37" s="43" t="s">
        <v>245</v>
      </c>
      <c r="C37" s="21">
        <v>20.866615963984739</v>
      </c>
      <c r="D37" s="21">
        <v>20.866615963984739</v>
      </c>
      <c r="E37" s="21">
        <v>20.866615963984739</v>
      </c>
      <c r="F37" s="21">
        <f>F33/SUM(C20:F20)</f>
        <v>20.866615963984739</v>
      </c>
      <c r="G37" s="21">
        <f t="shared" ref="G37:AD37" si="7">G33/SUM(D20:G20)</f>
        <v>20.719536057385483</v>
      </c>
      <c r="H37" s="21">
        <f t="shared" si="7"/>
        <v>19.444022206401264</v>
      </c>
      <c r="I37" s="21">
        <f t="shared" si="7"/>
        <v>21.572298051053217</v>
      </c>
      <c r="J37" s="21">
        <f t="shared" si="7"/>
        <v>23.677612592555946</v>
      </c>
      <c r="K37" s="21">
        <f t="shared" si="7"/>
        <v>21.645770627919045</v>
      </c>
      <c r="L37" s="21">
        <f t="shared" si="7"/>
        <v>17.868799852309564</v>
      </c>
      <c r="M37" s="21">
        <f t="shared" si="7"/>
        <v>14.627069713015638</v>
      </c>
      <c r="N37" s="21">
        <f t="shared" si="7"/>
        <v>18.487104540645834</v>
      </c>
      <c r="O37" s="21">
        <f t="shared" si="7"/>
        <v>24.082083176114946</v>
      </c>
      <c r="P37" s="21">
        <f t="shared" si="7"/>
        <v>20.891380825905728</v>
      </c>
      <c r="Q37" s="21">
        <f t="shared" si="7"/>
        <v>20.304344427170395</v>
      </c>
      <c r="R37" s="21">
        <f t="shared" si="7"/>
        <v>17.182763952693321</v>
      </c>
      <c r="S37" s="21">
        <f t="shared" si="7"/>
        <v>17.18670858532753</v>
      </c>
      <c r="T37" s="21">
        <f t="shared" si="7"/>
        <v>20.020128324143812</v>
      </c>
      <c r="U37" s="21">
        <f t="shared" si="7"/>
        <v>20.294558255624771</v>
      </c>
      <c r="V37" s="21">
        <f t="shared" si="7"/>
        <v>21.858340336877493</v>
      </c>
      <c r="W37" s="21">
        <f t="shared" si="7"/>
        <v>22.342676591717186</v>
      </c>
      <c r="X37" s="21">
        <f t="shared" si="7"/>
        <v>25.715573466397728</v>
      </c>
      <c r="Y37" s="21">
        <f t="shared" si="7"/>
        <v>25.468975510395005</v>
      </c>
      <c r="Z37" s="21">
        <f t="shared" si="7"/>
        <v>25.400419751329405</v>
      </c>
      <c r="AA37" s="21">
        <f t="shared" si="7"/>
        <v>27.857215978975834</v>
      </c>
      <c r="AB37" s="21" t="e">
        <f t="shared" si="7"/>
        <v>#DIV/0!</v>
      </c>
      <c r="AC37" s="21" t="e">
        <f t="shared" si="7"/>
        <v>#DIV/0!</v>
      </c>
      <c r="AD37" s="21" t="e">
        <f t="shared" si="7"/>
        <v>#DIV/0!</v>
      </c>
    </row>
    <row r="38" spans="2:43" s="21" customFormat="1" x14ac:dyDescent="0.25">
      <c r="B38" s="43" t="s">
        <v>246</v>
      </c>
      <c r="C38" s="21">
        <v>20.974161251741613</v>
      </c>
      <c r="D38" s="21">
        <v>20.974161251741613</v>
      </c>
      <c r="E38" s="21">
        <v>20.974161251741613</v>
      </c>
      <c r="F38" s="21">
        <f>F33/SUM(C24:F24)</f>
        <v>20.974161251741613</v>
      </c>
      <c r="G38" s="21">
        <f t="shared" ref="G38:AD38" si="8">G33/SUM(D24:G24)</f>
        <v>21.6796262771323</v>
      </c>
      <c r="H38" s="21">
        <f t="shared" si="8"/>
        <v>21.972757551617597</v>
      </c>
      <c r="I38" s="21">
        <f t="shared" si="8"/>
        <v>21.757189185611701</v>
      </c>
      <c r="J38" s="21">
        <f t="shared" si="8"/>
        <v>21.669717882059082</v>
      </c>
      <c r="K38" s="21">
        <f t="shared" si="8"/>
        <v>18.859239908567982</v>
      </c>
      <c r="L38" s="21">
        <f t="shared" si="8"/>
        <v>15.377148838143833</v>
      </c>
      <c r="M38" s="21">
        <f t="shared" si="8"/>
        <v>15.52271537208822</v>
      </c>
      <c r="N38" s="21">
        <f t="shared" si="8"/>
        <v>14.488638859255104</v>
      </c>
      <c r="O38" s="21">
        <f t="shared" si="8"/>
        <v>16.737998058708978</v>
      </c>
      <c r="P38" s="21">
        <f t="shared" si="8"/>
        <v>13.175237178804847</v>
      </c>
      <c r="Q38" s="21">
        <f t="shared" si="8"/>
        <v>12.017930623246478</v>
      </c>
      <c r="R38" s="21">
        <f t="shared" si="8"/>
        <v>12.445159403143974</v>
      </c>
      <c r="S38" s="21">
        <f t="shared" si="8"/>
        <v>12.890318554073918</v>
      </c>
      <c r="T38" s="21">
        <f t="shared" si="8"/>
        <v>16.06125730695663</v>
      </c>
      <c r="U38" s="21">
        <f t="shared" si="8"/>
        <v>13.957716348681522</v>
      </c>
      <c r="V38" s="21">
        <f t="shared" si="8"/>
        <v>15.798921200921763</v>
      </c>
      <c r="W38" s="21">
        <f t="shared" si="8"/>
        <v>18.119695899246917</v>
      </c>
      <c r="X38" s="21">
        <f t="shared" si="8"/>
        <v>18.928311135841657</v>
      </c>
      <c r="Y38" s="21">
        <f t="shared" si="8"/>
        <v>20.086845372995171</v>
      </c>
      <c r="Z38" s="21">
        <f t="shared" si="8"/>
        <v>20.878461616227266</v>
      </c>
      <c r="AA38" s="21">
        <f t="shared" si="8"/>
        <v>19.908744956512717</v>
      </c>
      <c r="AB38" s="21" t="e">
        <f t="shared" si="8"/>
        <v>#DIV/0!</v>
      </c>
      <c r="AC38" s="21" t="e">
        <f t="shared" si="8"/>
        <v>#DIV/0!</v>
      </c>
      <c r="AD38" s="21" t="e">
        <f t="shared" si="8"/>
        <v>#DIV/0!</v>
      </c>
    </row>
    <row r="42" spans="2:43" ht="13.8" thickBot="1" x14ac:dyDescent="0.3"/>
    <row r="43" spans="2:43" s="49" customFormat="1" x14ac:dyDescent="0.25">
      <c r="B43" s="58" t="s">
        <v>50</v>
      </c>
      <c r="C43" s="59"/>
      <c r="D43" s="59"/>
      <c r="E43" s="59"/>
      <c r="F43" s="59">
        <f>Model!F77+Model!F85</f>
        <v>15657</v>
      </c>
      <c r="G43" s="59">
        <f>Model!G77+Model!G85</f>
        <v>15572</v>
      </c>
      <c r="H43" s="59">
        <f>Model!H77+Model!H85</f>
        <v>15803</v>
      </c>
      <c r="I43" s="59">
        <f>Model!I77+Model!I85</f>
        <v>16719</v>
      </c>
      <c r="J43" s="59">
        <f>Model!J77+Model!J85</f>
        <v>16375</v>
      </c>
      <c r="K43" s="59">
        <f>Model!K77+Model!K85</f>
        <v>17437</v>
      </c>
      <c r="L43" s="59">
        <f>Model!L77+Model!L85</f>
        <v>17719</v>
      </c>
      <c r="M43" s="59">
        <f>Model!M77+Model!M85</f>
        <v>15686</v>
      </c>
      <c r="N43" s="59">
        <f>Model!N77+Model!N85</f>
        <v>15581</v>
      </c>
      <c r="O43" s="59">
        <f>Model!O77+Model!O85</f>
        <v>14576</v>
      </c>
      <c r="P43" s="59">
        <f>Model!P77+Model!P85</f>
        <v>16462</v>
      </c>
      <c r="Q43" s="59">
        <f>Model!Q77+Model!Q85</f>
        <v>15173</v>
      </c>
      <c r="R43" s="59">
        <f>Model!R77+Model!R85</f>
        <v>14562</v>
      </c>
      <c r="S43" s="59">
        <f>Model!S77+Model!S85</f>
        <v>13343</v>
      </c>
      <c r="T43" s="59">
        <f>Model!T77+Model!T85</f>
        <v>13582</v>
      </c>
      <c r="U43" s="59">
        <f>Model!U77+Model!U85</f>
        <v>13166</v>
      </c>
      <c r="V43" s="59">
        <f>Model!V77+Model!V85</f>
        <v>11903</v>
      </c>
      <c r="W43" s="59">
        <f>Model!W77+Model!W85</f>
        <v>12767</v>
      </c>
      <c r="X43" s="59">
        <f>Model!X77+Model!X85</f>
        <v>12502</v>
      </c>
      <c r="Y43" s="59">
        <f>Model!Y77+Model!Y85</f>
        <v>12091</v>
      </c>
      <c r="Z43" s="59">
        <f>Model!Z77+Model!Z85</f>
        <v>11448</v>
      </c>
      <c r="AA43" s="59">
        <f>Model!AA77+Model!AA85</f>
        <v>11964</v>
      </c>
      <c r="AB43" s="59">
        <f>Model!AB77+Model!AB85</f>
        <v>0</v>
      </c>
      <c r="AC43" s="59">
        <f>Model!AC77+Model!AC85</f>
        <v>0</v>
      </c>
      <c r="AD43" s="59">
        <f>Model!AD77+Model!AD85</f>
        <v>0</v>
      </c>
      <c r="AH43" s="59">
        <f>Model!AH77+Model!AH85</f>
        <v>15657</v>
      </c>
      <c r="AI43" s="59">
        <f>Model!AI77+Model!AI85</f>
        <v>16375</v>
      </c>
      <c r="AJ43" s="59">
        <f>Model!AJ77+Model!AJ85</f>
        <v>15581</v>
      </c>
      <c r="AK43" s="59">
        <f>Model!AK77+Model!AK85</f>
        <v>14562</v>
      </c>
      <c r="AL43" s="59">
        <f>Model!AL77+Model!AL85</f>
        <v>11903</v>
      </c>
      <c r="AM43" s="59">
        <f>Model!AM77+Model!AM85</f>
        <v>11448</v>
      </c>
      <c r="AN43" s="59">
        <f>Model!AN77+Model!AN85</f>
        <v>0</v>
      </c>
      <c r="AO43" s="59">
        <f>Model!AO77+Model!AO85</f>
        <v>0</v>
      </c>
      <c r="AP43" s="59">
        <f>Model!AP77+Model!AP85</f>
        <v>0</v>
      </c>
      <c r="AQ43" s="59">
        <f>Model!AQ77+Model!AQ85</f>
        <v>0</v>
      </c>
    </row>
    <row r="44" spans="2:43" s="49" customFormat="1" x14ac:dyDescent="0.25">
      <c r="B44" s="48" t="s">
        <v>250</v>
      </c>
      <c r="F44" s="49">
        <f>Model!F74</f>
        <v>14074</v>
      </c>
      <c r="G44" s="49">
        <f>Model!G74</f>
        <v>13866</v>
      </c>
      <c r="H44" s="49">
        <f>Model!H74</f>
        <v>13951</v>
      </c>
      <c r="I44" s="49">
        <f>Model!I74</f>
        <v>15126</v>
      </c>
      <c r="J44" s="49">
        <f>Model!J74</f>
        <v>15518</v>
      </c>
      <c r="K44" s="49">
        <f>Model!K74</f>
        <v>15916</v>
      </c>
      <c r="L44" s="49">
        <f>Model!L74</f>
        <v>15960</v>
      </c>
      <c r="M44" s="49">
        <f>Model!M74</f>
        <v>16162</v>
      </c>
      <c r="N44" s="49">
        <f>Model!N74</f>
        <v>16701</v>
      </c>
      <c r="O44" s="49">
        <f>Model!O74</f>
        <v>16941</v>
      </c>
      <c r="P44" s="49">
        <f>Model!P74</f>
        <v>16587</v>
      </c>
      <c r="Q44" s="49">
        <f>Model!Q74</f>
        <v>16791</v>
      </c>
      <c r="R44" s="49">
        <f>Model!R74</f>
        <v>17405</v>
      </c>
      <c r="S44" s="49">
        <f>Model!S74</f>
        <v>17215</v>
      </c>
      <c r="T44" s="49">
        <f>Model!T74</f>
        <v>17159</v>
      </c>
      <c r="U44" s="49">
        <f>Model!U74</f>
        <v>16865</v>
      </c>
      <c r="V44" s="49">
        <f>Model!V74</f>
        <v>16963</v>
      </c>
      <c r="W44" s="49">
        <f>Model!W74</f>
        <v>17287</v>
      </c>
      <c r="X44" s="49">
        <f>Model!X74</f>
        <v>17418</v>
      </c>
      <c r="Y44" s="49">
        <f>Model!Y74</f>
        <v>17043</v>
      </c>
      <c r="Z44" s="49">
        <f>Model!Z74</f>
        <v>16628</v>
      </c>
      <c r="AA44" s="49">
        <f>Model!AA74</f>
        <v>16881</v>
      </c>
      <c r="AB44" s="49">
        <f>Model!AB74</f>
        <v>0</v>
      </c>
      <c r="AC44" s="49">
        <f>Model!AC74</f>
        <v>0</v>
      </c>
      <c r="AD44" s="49">
        <f>Model!AD74</f>
        <v>0</v>
      </c>
      <c r="AH44" s="49">
        <f>Model!AH74</f>
        <v>14074</v>
      </c>
      <c r="AI44" s="49">
        <f>Model!AI74</f>
        <v>15518</v>
      </c>
      <c r="AJ44" s="49">
        <f>Model!AJ74</f>
        <v>16701</v>
      </c>
      <c r="AK44" s="49">
        <f>Model!AK74</f>
        <v>17405</v>
      </c>
      <c r="AL44" s="49">
        <f>Model!AL74</f>
        <v>16963</v>
      </c>
      <c r="AM44" s="49">
        <f>Model!AM74</f>
        <v>16628</v>
      </c>
      <c r="AN44" s="49">
        <f>Model!AN74</f>
        <v>0</v>
      </c>
      <c r="AO44" s="49">
        <f>Model!AO74</f>
        <v>0</v>
      </c>
      <c r="AP44" s="49">
        <f>Model!AP74</f>
        <v>0</v>
      </c>
      <c r="AQ44" s="49">
        <f>Model!AQ74</f>
        <v>0</v>
      </c>
    </row>
    <row r="45" spans="2:43" s="49" customFormat="1" x14ac:dyDescent="0.25">
      <c r="B45" s="48" t="s">
        <v>251</v>
      </c>
      <c r="F45" s="49">
        <f>Model!F94</f>
        <v>7873</v>
      </c>
      <c r="G45" s="49">
        <f>Model!G94</f>
        <v>7025</v>
      </c>
      <c r="H45" s="49">
        <f>Model!H94</f>
        <v>7274</v>
      </c>
      <c r="I45" s="49">
        <f>Model!I94</f>
        <v>8034</v>
      </c>
      <c r="J45" s="49">
        <f>Model!J94</f>
        <v>8832</v>
      </c>
      <c r="K45" s="49">
        <f>Model!K94</f>
        <v>8486</v>
      </c>
      <c r="L45" s="49">
        <f>Model!L94</f>
        <v>8932</v>
      </c>
      <c r="M45" s="49">
        <f>Model!M94</f>
        <v>9128</v>
      </c>
      <c r="N45" s="49">
        <f>Model!N94</f>
        <v>10317</v>
      </c>
      <c r="O45" s="49">
        <f>Model!O94</f>
        <v>9443</v>
      </c>
      <c r="P45" s="49">
        <f>Model!P94</f>
        <v>9544</v>
      </c>
      <c r="Q45" s="49">
        <f>Model!Q94</f>
        <v>9454</v>
      </c>
      <c r="R45" s="49">
        <f>Model!R94</f>
        <v>10130</v>
      </c>
      <c r="S45" s="49">
        <f>Model!S94</f>
        <v>9204</v>
      </c>
      <c r="T45" s="49">
        <f>Model!T94</f>
        <v>8947</v>
      </c>
      <c r="U45" s="49">
        <f>Model!U94</f>
        <v>8348</v>
      </c>
      <c r="V45" s="49">
        <f>Model!V94</f>
        <v>8843</v>
      </c>
      <c r="W45" s="49">
        <f>Model!W94</f>
        <v>8701</v>
      </c>
      <c r="X45" s="49">
        <f>Model!X94</f>
        <v>8764</v>
      </c>
      <c r="Y45" s="49">
        <f>Model!Y94</f>
        <v>8573</v>
      </c>
      <c r="Z45" s="49">
        <f>Model!Z94</f>
        <v>9183</v>
      </c>
      <c r="AA45" s="49">
        <f>Model!AA94</f>
        <v>8572</v>
      </c>
      <c r="AB45" s="49">
        <f>Model!AB94</f>
        <v>0</v>
      </c>
      <c r="AC45" s="49">
        <f>Model!AC94</f>
        <v>0</v>
      </c>
      <c r="AD45" s="49">
        <f>Model!AD94</f>
        <v>0</v>
      </c>
      <c r="AH45" s="49">
        <f>Model!AH94</f>
        <v>7873</v>
      </c>
      <c r="AI45" s="49">
        <f>Model!AI94</f>
        <v>8832</v>
      </c>
      <c r="AJ45" s="49">
        <f>Model!AJ94</f>
        <v>10317</v>
      </c>
      <c r="AK45" s="49">
        <f>Model!AK94</f>
        <v>10130</v>
      </c>
      <c r="AL45" s="49">
        <f>Model!AL94</f>
        <v>8843</v>
      </c>
      <c r="AM45" s="49">
        <f>Model!AM94</f>
        <v>9183</v>
      </c>
      <c r="AN45" s="49">
        <f>Model!AN94</f>
        <v>0</v>
      </c>
      <c r="AO45" s="49">
        <f>Model!AO94</f>
        <v>0</v>
      </c>
      <c r="AP45" s="49">
        <f>Model!AP94</f>
        <v>0</v>
      </c>
      <c r="AQ45" s="49">
        <f>Model!AQ94</f>
        <v>0</v>
      </c>
    </row>
    <row r="46" spans="2:43" x14ac:dyDescent="0.25">
      <c r="B46" s="50" t="s">
        <v>252</v>
      </c>
      <c r="C46" s="50"/>
      <c r="D46" s="50"/>
      <c r="E46" s="50"/>
      <c r="F46" s="51">
        <f>F43+F44-F45</f>
        <v>21858</v>
      </c>
      <c r="G46" s="51">
        <f t="shared" ref="G46" si="9">G43+G44-G45</f>
        <v>22413</v>
      </c>
      <c r="H46" s="51">
        <f t="shared" ref="H46" si="10">H43+H44-H45</f>
        <v>22480</v>
      </c>
      <c r="I46" s="51">
        <f t="shared" ref="I46" si="11">I43+I44-I45</f>
        <v>23811</v>
      </c>
      <c r="J46" s="51">
        <f t="shared" ref="J46" si="12">J43+J44-J45</f>
        <v>23061</v>
      </c>
      <c r="K46" s="51">
        <f t="shared" ref="K46" si="13">K43+K44-K45</f>
        <v>24867</v>
      </c>
      <c r="L46" s="51">
        <f t="shared" ref="L46" si="14">L43+L44-L45</f>
        <v>24747</v>
      </c>
      <c r="M46" s="51">
        <f t="shared" ref="M46" si="15">M43+M44-M45</f>
        <v>22720</v>
      </c>
      <c r="N46" s="51">
        <f t="shared" ref="N46" si="16">N43+N44-N45</f>
        <v>21965</v>
      </c>
      <c r="O46" s="51">
        <f t="shared" ref="O46" si="17">O43+O44-O45</f>
        <v>22074</v>
      </c>
      <c r="P46" s="51">
        <f t="shared" ref="P46" si="18">P43+P44-P45</f>
        <v>23505</v>
      </c>
      <c r="Q46" s="51">
        <f t="shared" ref="Q46" si="19">Q43+Q44-Q45</f>
        <v>22510</v>
      </c>
      <c r="R46" s="51">
        <f t="shared" ref="R46" si="20">R43+R44-R45</f>
        <v>21837</v>
      </c>
      <c r="S46" s="51">
        <f t="shared" ref="S46" si="21">S43+S44-S45</f>
        <v>21354</v>
      </c>
      <c r="T46" s="51">
        <f t="shared" ref="T46" si="22">T43+T44-T45</f>
        <v>21794</v>
      </c>
      <c r="U46" s="51">
        <f t="shared" ref="U46" si="23">U43+U44-U45</f>
        <v>21683</v>
      </c>
      <c r="V46" s="51">
        <f t="shared" ref="V46" si="24">V43+V44-V45</f>
        <v>20023</v>
      </c>
      <c r="W46" s="51">
        <f t="shared" ref="W46" si="25">W43+W44-W45</f>
        <v>21353</v>
      </c>
      <c r="X46" s="51">
        <f t="shared" ref="X46" si="26">X43+X44-X45</f>
        <v>21156</v>
      </c>
      <c r="Y46" s="51">
        <f t="shared" ref="Y46" si="27">Y43+Y44-Y45</f>
        <v>20561</v>
      </c>
      <c r="Z46" s="51">
        <f t="shared" ref="Z46" si="28">Z43+Z44-Z45</f>
        <v>18893</v>
      </c>
      <c r="AA46" s="51">
        <f t="shared" ref="AA46" si="29">AA43+AA44-AA45</f>
        <v>20273</v>
      </c>
      <c r="AB46" s="51">
        <f t="shared" ref="AB46" si="30">AB43+AB44-AB45</f>
        <v>0</v>
      </c>
      <c r="AC46" s="51">
        <f t="shared" ref="AC46" si="31">AC43+AC44-AC45</f>
        <v>0</v>
      </c>
      <c r="AD46" s="51">
        <f t="shared" ref="AD46" si="32">AD43+AD44-AD45</f>
        <v>0</v>
      </c>
      <c r="AH46" s="51">
        <f t="shared" ref="AH46" si="33">AH43+AH44-AH45</f>
        <v>21858</v>
      </c>
      <c r="AI46" s="51">
        <f t="shared" ref="AI46" si="34">AI43+AI44-AI45</f>
        <v>23061</v>
      </c>
      <c r="AJ46" s="51">
        <f t="shared" ref="AJ46" si="35">AJ43+AJ44-AJ45</f>
        <v>21965</v>
      </c>
      <c r="AK46" s="51">
        <f t="shared" ref="AK46" si="36">AK43+AK44-AK45</f>
        <v>21837</v>
      </c>
      <c r="AL46" s="51">
        <f t="shared" ref="AL46" si="37">AL43+AL44-AL45</f>
        <v>20023</v>
      </c>
      <c r="AM46" s="51">
        <f t="shared" ref="AM46" si="38">AM43+AM44-AM45</f>
        <v>18893</v>
      </c>
      <c r="AN46" s="51">
        <f t="shared" ref="AN46" si="39">AN43+AN44-AN45</f>
        <v>0</v>
      </c>
      <c r="AO46" s="51">
        <f t="shared" ref="AO46" si="40">AO43+AO44-AO45</f>
        <v>0</v>
      </c>
      <c r="AP46" s="51">
        <f t="shared" ref="AP46" si="41">AP43+AP44-AP45</f>
        <v>0</v>
      </c>
      <c r="AQ46" s="51">
        <f t="shared" ref="AQ46" si="42">AQ43+AQ44-AQ45</f>
        <v>0</v>
      </c>
    </row>
    <row r="47" spans="2:43" s="53" customFormat="1" x14ac:dyDescent="0.25">
      <c r="B47" s="52" t="s">
        <v>254</v>
      </c>
      <c r="F47" s="53">
        <f t="shared" ref="F47:AD47" si="43">F46/SUM(C3:F3)</f>
        <v>0.39559126941035944</v>
      </c>
      <c r="G47" s="53">
        <f t="shared" si="43"/>
        <v>0.40274932614555253</v>
      </c>
      <c r="H47" s="53">
        <f t="shared" si="43"/>
        <v>0.39765792220197765</v>
      </c>
      <c r="I47" s="53">
        <f t="shared" si="43"/>
        <v>0.3992655566175361</v>
      </c>
      <c r="J47" s="53">
        <f t="shared" si="43"/>
        <v>0.37036858588291977</v>
      </c>
      <c r="K47" s="53">
        <f t="shared" si="43"/>
        <v>0.38439659303457979</v>
      </c>
      <c r="L47" s="53">
        <f t="shared" si="43"/>
        <v>0.36899472161751112</v>
      </c>
      <c r="M47" s="53">
        <f t="shared" si="43"/>
        <v>0.33000232396002788</v>
      </c>
      <c r="N47" s="53">
        <f t="shared" si="43"/>
        <v>0.30516692832432585</v>
      </c>
      <c r="O47" s="53">
        <f t="shared" si="43"/>
        <v>0.30012236573759349</v>
      </c>
      <c r="P47" s="53">
        <f t="shared" si="43"/>
        <v>0.30957774675341782</v>
      </c>
      <c r="Q47" s="53">
        <f t="shared" si="43"/>
        <v>0.29253521858917708</v>
      </c>
      <c r="R47" s="53">
        <f t="shared" si="43"/>
        <v>0.28079672873161199</v>
      </c>
      <c r="S47" s="53">
        <f t="shared" si="43"/>
        <v>0.27573828493214364</v>
      </c>
      <c r="T47" s="53">
        <f t="shared" si="43"/>
        <v>0.28488516489980525</v>
      </c>
      <c r="U47" s="53">
        <f t="shared" si="43"/>
        <v>0.28339345462149729</v>
      </c>
      <c r="V47" s="53">
        <f t="shared" si="43"/>
        <v>0.26370341103648098</v>
      </c>
      <c r="W47" s="53">
        <f t="shared" si="43"/>
        <v>0.27898560192322769</v>
      </c>
      <c r="X47" s="53">
        <f t="shared" si="43"/>
        <v>0.2718546407781961</v>
      </c>
      <c r="Y47" s="53">
        <f t="shared" si="43"/>
        <v>0.26259930010983679</v>
      </c>
      <c r="Z47" s="53">
        <f t="shared" si="43"/>
        <v>0.23941252502724486</v>
      </c>
      <c r="AA47" s="53">
        <f t="shared" si="43"/>
        <v>0.25436637390213301</v>
      </c>
      <c r="AB47" s="53">
        <f t="shared" si="43"/>
        <v>0</v>
      </c>
      <c r="AC47" s="53">
        <f t="shared" si="43"/>
        <v>0</v>
      </c>
      <c r="AD47" s="53">
        <f t="shared" si="43"/>
        <v>0</v>
      </c>
      <c r="AH47" s="53">
        <f t="shared" ref="AH47:AQ47" si="44">AH46/AH3</f>
        <v>0.39559126941035944</v>
      </c>
      <c r="AI47" s="53">
        <f t="shared" si="44"/>
        <v>0.37036858588291977</v>
      </c>
      <c r="AJ47" s="53">
        <f t="shared" si="44"/>
        <v>0.30516692832432585</v>
      </c>
      <c r="AK47" s="53">
        <f t="shared" si="44"/>
        <v>0.29161881360006409</v>
      </c>
      <c r="AL47" s="53">
        <f t="shared" si="44"/>
        <v>0.26370341103648098</v>
      </c>
      <c r="AM47" s="53">
        <f t="shared" si="44"/>
        <v>0.23941252502724486</v>
      </c>
      <c r="AN47" s="53" t="e">
        <f t="shared" si="44"/>
        <v>#DIV/0!</v>
      </c>
      <c r="AO47" s="53" t="e">
        <f t="shared" si="44"/>
        <v>#DIV/0!</v>
      </c>
      <c r="AP47" s="53" t="e">
        <f t="shared" si="44"/>
        <v>#DIV/0!</v>
      </c>
      <c r="AQ47" s="53" t="e">
        <f t="shared" si="44"/>
        <v>#DIV/0!</v>
      </c>
    </row>
    <row r="48" spans="2:43" x14ac:dyDescent="0.25">
      <c r="B48" s="1" t="s">
        <v>253</v>
      </c>
      <c r="G48" s="49">
        <f>G46-F46</f>
        <v>555</v>
      </c>
      <c r="H48" s="49">
        <f t="shared" ref="H48:AD48" si="45">H46-G46</f>
        <v>67</v>
      </c>
      <c r="I48" s="49">
        <f t="shared" si="45"/>
        <v>1331</v>
      </c>
      <c r="J48" s="49">
        <f t="shared" si="45"/>
        <v>-750</v>
      </c>
      <c r="K48" s="49">
        <f t="shared" si="45"/>
        <v>1806</v>
      </c>
      <c r="L48" s="49">
        <f t="shared" si="45"/>
        <v>-120</v>
      </c>
      <c r="M48" s="49">
        <f t="shared" si="45"/>
        <v>-2027</v>
      </c>
      <c r="N48" s="49">
        <f t="shared" si="45"/>
        <v>-755</v>
      </c>
      <c r="O48" s="49">
        <f t="shared" si="45"/>
        <v>109</v>
      </c>
      <c r="P48" s="49">
        <f t="shared" si="45"/>
        <v>1431</v>
      </c>
      <c r="Q48" s="49">
        <f t="shared" si="45"/>
        <v>-995</v>
      </c>
      <c r="R48" s="49">
        <f t="shared" si="45"/>
        <v>-673</v>
      </c>
      <c r="S48" s="49">
        <f t="shared" si="45"/>
        <v>-483</v>
      </c>
      <c r="T48" s="49">
        <f t="shared" si="45"/>
        <v>440</v>
      </c>
      <c r="U48" s="49">
        <f t="shared" si="45"/>
        <v>-111</v>
      </c>
      <c r="V48" s="49">
        <f t="shared" si="45"/>
        <v>-1660</v>
      </c>
      <c r="W48" s="49">
        <f t="shared" si="45"/>
        <v>1330</v>
      </c>
      <c r="X48" s="49">
        <f t="shared" si="45"/>
        <v>-197</v>
      </c>
      <c r="Y48" s="49">
        <f t="shared" si="45"/>
        <v>-595</v>
      </c>
      <c r="Z48" s="49">
        <f t="shared" si="45"/>
        <v>-1668</v>
      </c>
      <c r="AA48" s="49">
        <f t="shared" si="45"/>
        <v>1380</v>
      </c>
      <c r="AB48" s="49">
        <f t="shared" si="45"/>
        <v>-20273</v>
      </c>
      <c r="AC48" s="49">
        <f t="shared" si="45"/>
        <v>0</v>
      </c>
      <c r="AD48" s="49">
        <f t="shared" si="45"/>
        <v>0</v>
      </c>
      <c r="AH48" s="49"/>
      <c r="AI48" s="49">
        <f>AI46-AH46</f>
        <v>1203</v>
      </c>
      <c r="AJ48" s="49">
        <f t="shared" ref="AJ48:AN48" si="46">AJ46-AI46</f>
        <v>-1096</v>
      </c>
      <c r="AK48" s="49">
        <f t="shared" si="46"/>
        <v>-128</v>
      </c>
      <c r="AL48" s="49">
        <f t="shared" si="46"/>
        <v>-1814</v>
      </c>
      <c r="AM48" s="49">
        <f t="shared" si="46"/>
        <v>-1130</v>
      </c>
      <c r="AN48" s="49">
        <f t="shared" si="46"/>
        <v>-18893</v>
      </c>
      <c r="AO48" s="49">
        <f t="shared" ref="AO48:AQ48" si="47">AO46-AN46</f>
        <v>0</v>
      </c>
      <c r="AP48" s="49">
        <f t="shared" si="47"/>
        <v>0</v>
      </c>
      <c r="AQ48" s="49">
        <f t="shared" si="47"/>
        <v>0</v>
      </c>
    </row>
    <row r="50" spans="2:43" s="57" customFormat="1" x14ac:dyDescent="0.25">
      <c r="B50" s="54" t="s">
        <v>255</v>
      </c>
      <c r="C50" s="55"/>
      <c r="D50" s="55"/>
      <c r="E50" s="55"/>
      <c r="F50" s="54">
        <f>365/((-SUM(Model!C4:G4))/Valuation!F43)</f>
        <v>129.53747988303829</v>
      </c>
      <c r="G50" s="54">
        <f>365/((-SUM(Model!D4:H4))/((Valuation!G43+F43)/2))</f>
        <v>127.06036116374986</v>
      </c>
      <c r="H50" s="54">
        <f>365/((-SUM(Model!E4:I4))/((Valuation!H43+G43)/2))</f>
        <v>123.67837008877464</v>
      </c>
      <c r="I50" s="54">
        <f>365/((-SUM(Model!F4:J4))/((Valuation!I43+H43)/2))</f>
        <v>120.61095305832148</v>
      </c>
      <c r="J50" s="54">
        <f>365/((-SUM(Model!G4:K4))/((Valuation!J43+I43)/2))</f>
        <v>121.23195969409261</v>
      </c>
      <c r="K50" s="54">
        <f>365/((-SUM(Model!H4:L4))/((Valuation!K43+J43)/2))</f>
        <v>117.83321875954782</v>
      </c>
      <c r="L50" s="54">
        <f>365/((-SUM(Model!I4:M4))/((Valuation!L43+K43)/2))</f>
        <v>117.55166727739099</v>
      </c>
      <c r="M50" s="54">
        <f>365/((-SUM(Model!J4:N4))/((Valuation!M43+L43)/2))</f>
        <v>106.45408430537124</v>
      </c>
      <c r="N50" s="54">
        <f>365/((-SUM(Model!K4:O4))/((Valuation!N43+M43)/2))</f>
        <v>99.698217873678686</v>
      </c>
      <c r="O50" s="54">
        <f>365/((-SUM(Model!L4:P4))/((Valuation!O43+N43)/2))</f>
        <v>93.029961122379987</v>
      </c>
      <c r="P50" s="54">
        <f>365/((-SUM(Model!M4:Q4))/((Valuation!P43+O43)/2))</f>
        <v>95.205388506983539</v>
      </c>
      <c r="Q50" s="54">
        <f>365/((-SUM(Model!N4:R4))/((Valuation!Q43+P43)/2))</f>
        <v>94.619327400560493</v>
      </c>
      <c r="R50" s="54">
        <f>365/((-SUM(Model!O4:S4))/((Valuation!R43+Q43)/2))</f>
        <v>92.253667783010044</v>
      </c>
      <c r="S50" s="54">
        <f>365/((-SUM(Model!P4:T4))/((Valuation!S43+R43)/2))</f>
        <v>86.196515013032723</v>
      </c>
      <c r="T50" s="54">
        <f>365/((-SUM(Model!Q4:U4))/((Valuation!T43+S43)/2))</f>
        <v>84.696080459175761</v>
      </c>
      <c r="U50" s="54">
        <f>365/((-SUM(Model!R4:V4))/((Valuation!U43+T43)/2))</f>
        <v>82.367501898253607</v>
      </c>
      <c r="V50" s="54">
        <f>365/((-SUM(Model!S4:W4))/((Valuation!V43+U43)/2))</f>
        <v>79.745733907374799</v>
      </c>
      <c r="W50" s="54">
        <f>365/((-SUM(Model!T4:X4))/((Valuation!W43+V43)/2))</f>
        <v>76.631859340958613</v>
      </c>
      <c r="X50" s="54">
        <f>365/((-SUM(Model!U4:Y4))/((Valuation!X43+W43)/2))</f>
        <v>77.860380894494256</v>
      </c>
      <c r="Y50" s="54">
        <f>365/((-SUM(Model!V4:Z4))/((Valuation!Y43+X43)/2))</f>
        <v>73.099276861186667</v>
      </c>
      <c r="Z50" s="54">
        <f>365/((-SUM(Model!W4:AA4))/((Valuation!Z43+Y43)/2))</f>
        <v>71.57393368877041</v>
      </c>
      <c r="AA50" s="54">
        <f>365/((-SUM(Model!X4:AB4))/((Valuation!AA43+Z43)/2))</f>
        <v>87.634137336943141</v>
      </c>
      <c r="AB50" s="54">
        <f>365/((-SUM(Model!Y4:AC4))/((Valuation!AB43+AA43)/2))</f>
        <v>59.54592560270536</v>
      </c>
      <c r="AC50" s="54" t="e">
        <f>365/((-SUM(Model!Z4:AD4))/((Valuation!AC43+AB43)/2))</f>
        <v>#DIV/0!</v>
      </c>
      <c r="AD50" s="54" t="e">
        <f>365/((-SUM(Model!AA4:AE4))/((Valuation!AD43+AC43)/2))</f>
        <v>#DIV/0!</v>
      </c>
      <c r="AH50" s="55">
        <f>365/(-Model!AH4/Valuation!AH43)</f>
        <v>161.59036928123055</v>
      </c>
      <c r="AI50" s="55">
        <f>365/(-Model!AI4/((Valuation!AI43+AH43)/2))</f>
        <v>147.89485668024386</v>
      </c>
      <c r="AJ50" s="55">
        <f>365/(-Model!AJ4/((Valuation!AJ43+AI43)/2))</f>
        <v>126.42466941252981</v>
      </c>
      <c r="AK50" s="55">
        <f>365/(-Model!AK4/((Valuation!AK43+AJ43)/2))</f>
        <v>120.20053096184941</v>
      </c>
      <c r="AL50" s="55">
        <f>365/(-Model!AL4/((Valuation!AL43+AK43)/2))</f>
        <v>104.7533454789945</v>
      </c>
      <c r="AM50" s="55">
        <f>365/(-Model!AM4/((Valuation!AM43+AL43)/2))</f>
        <v>87.839997938781835</v>
      </c>
      <c r="AN50" s="55" t="e">
        <f>365/(-Model!AN4/((Valuation!AN43+AM43)/2))</f>
        <v>#DIV/0!</v>
      </c>
      <c r="AO50" s="55" t="e">
        <f>365/(-Model!AO4/((Valuation!AO43+AN43)/2))</f>
        <v>#DIV/0!</v>
      </c>
      <c r="AP50" s="55" t="e">
        <f>365/(-Model!AP4/((Valuation!AP43+AO43)/2))</f>
        <v>#DIV/0!</v>
      </c>
      <c r="AQ50" s="55" t="e">
        <f>365/(-Model!AQ4/((Valuation!AQ43+AP43)/2))</f>
        <v>#DIV/0!</v>
      </c>
    </row>
    <row r="51" spans="2:43" s="57" customFormat="1" x14ac:dyDescent="0.25">
      <c r="B51" s="56" t="s">
        <v>256</v>
      </c>
      <c r="F51" s="57">
        <f>365/(SUM(C3:F3)/F44)</f>
        <v>92.970825641582522</v>
      </c>
      <c r="G51" s="57">
        <f t="shared" ref="G51:AD51" si="48">365/(SUM(D3:G3)/((G44+F44)/2))</f>
        <v>91.627133872416891</v>
      </c>
      <c r="H51" s="57">
        <f t="shared" si="48"/>
        <v>89.802099732889914</v>
      </c>
      <c r="I51" s="57">
        <f t="shared" si="48"/>
        <v>88.980875966262559</v>
      </c>
      <c r="J51" s="57">
        <f t="shared" si="48"/>
        <v>89.818196418533674</v>
      </c>
      <c r="K51" s="57">
        <f t="shared" si="48"/>
        <v>88.678564251596043</v>
      </c>
      <c r="L51" s="57">
        <f t="shared" si="48"/>
        <v>86.740971580234401</v>
      </c>
      <c r="M51" s="57">
        <f t="shared" si="48"/>
        <v>85.147934580525217</v>
      </c>
      <c r="N51" s="57">
        <f t="shared" si="48"/>
        <v>83.325194159245314</v>
      </c>
      <c r="O51" s="57">
        <f t="shared" si="48"/>
        <v>83.476070700203948</v>
      </c>
      <c r="P51" s="57">
        <f t="shared" si="48"/>
        <v>80.589784790453862</v>
      </c>
      <c r="Q51" s="57">
        <f t="shared" si="48"/>
        <v>79.163655975463953</v>
      </c>
      <c r="R51" s="57">
        <f t="shared" si="48"/>
        <v>80.248559818948664</v>
      </c>
      <c r="S51" s="57">
        <f t="shared" si="48"/>
        <v>81.58452022778043</v>
      </c>
      <c r="T51" s="57">
        <f t="shared" si="48"/>
        <v>82.002261408347607</v>
      </c>
      <c r="U51" s="57">
        <f t="shared" si="48"/>
        <v>81.155635717273114</v>
      </c>
      <c r="V51" s="57">
        <f t="shared" si="48"/>
        <v>81.306598182536547</v>
      </c>
      <c r="W51" s="57">
        <f t="shared" si="48"/>
        <v>81.666949750450755</v>
      </c>
      <c r="X51" s="57">
        <f t="shared" si="48"/>
        <v>81.387575333136297</v>
      </c>
      <c r="Y51" s="57">
        <f t="shared" si="48"/>
        <v>80.323028685279311</v>
      </c>
      <c r="Z51" s="57">
        <f t="shared" si="48"/>
        <v>77.869040981321433</v>
      </c>
      <c r="AA51" s="57">
        <f t="shared" si="48"/>
        <v>76.730144291091591</v>
      </c>
      <c r="AB51" s="57">
        <f t="shared" si="48"/>
        <v>51.3952004404184</v>
      </c>
      <c r="AC51" s="57" t="e">
        <f t="shared" si="48"/>
        <v>#DIV/0!</v>
      </c>
      <c r="AD51" s="57" t="e">
        <f t="shared" si="48"/>
        <v>#DIV/0!</v>
      </c>
      <c r="AH51" s="57">
        <f>365/(AH3/AH44)</f>
        <v>92.970825641582522</v>
      </c>
      <c r="AI51" s="57">
        <f t="shared" ref="AI51:AQ51" si="49">365/(AI3/((AI44+AH44)/2))</f>
        <v>86.734762707781258</v>
      </c>
      <c r="AJ51" s="57">
        <f t="shared" si="49"/>
        <v>81.692311432818812</v>
      </c>
      <c r="AK51" s="57">
        <f t="shared" si="49"/>
        <v>83.122045351352796</v>
      </c>
      <c r="AL51" s="57">
        <f t="shared" si="49"/>
        <v>82.604504148557879</v>
      </c>
      <c r="AM51" s="57">
        <f t="shared" si="49"/>
        <v>77.684029449780766</v>
      </c>
      <c r="AN51" s="57" t="e">
        <f t="shared" si="49"/>
        <v>#DIV/0!</v>
      </c>
      <c r="AO51" s="57" t="e">
        <f t="shared" si="49"/>
        <v>#DIV/0!</v>
      </c>
      <c r="AP51" s="57" t="e">
        <f t="shared" si="49"/>
        <v>#DIV/0!</v>
      </c>
      <c r="AQ51" s="57" t="e">
        <f t="shared" si="49"/>
        <v>#DIV/0!</v>
      </c>
    </row>
    <row r="52" spans="2:43" s="57" customFormat="1" x14ac:dyDescent="0.25">
      <c r="B52" s="56" t="s">
        <v>257</v>
      </c>
      <c r="F52" s="56">
        <f>365/((-SUM(Model!C4:G4))/F45)</f>
        <v>65.13690867466056</v>
      </c>
      <c r="G52" s="57">
        <f>365/((-SUM(Model!D4:H4))/((Valuation!G45+F45)/2))</f>
        <v>60.614981607401624</v>
      </c>
      <c r="H52" s="57">
        <f>365/((-SUM(Model!E4:I4))/((Valuation!H45+G45)/2))</f>
        <v>56.365801239821153</v>
      </c>
      <c r="I52" s="57">
        <f>365/((-SUM(Model!F4:J4))/((Valuation!I45+H45)/2))</f>
        <v>56.771184718553137</v>
      </c>
      <c r="J52" s="57">
        <f>365/((-SUM(Model!G4:K4))/((Valuation!J45+I45)/2))</f>
        <v>61.784560107589471</v>
      </c>
      <c r="K52" s="57">
        <f>365/((-SUM(Model!H4:L4))/((Valuation!K45+J45)/2))</f>
        <v>60.352409868622061</v>
      </c>
      <c r="L52" s="57">
        <f>365/((-SUM(Model!I4:M4))/((Valuation!L45+K45)/2))</f>
        <v>58.240839135214365</v>
      </c>
      <c r="M52" s="57">
        <f>365/((-SUM(Model!J4:N4))/((Valuation!M45+L45)/2))</f>
        <v>57.553083746594957</v>
      </c>
      <c r="N52" s="57">
        <f>365/((-SUM(Model!K4:O4))/((Valuation!N45+M45)/2))</f>
        <v>62.002489735301829</v>
      </c>
      <c r="O52" s="57">
        <f>365/((-SUM(Model!L4:P4))/((Valuation!O45+N45)/2))</f>
        <v>60.956727518593645</v>
      </c>
      <c r="P52" s="57">
        <f>365/((-SUM(Model!M4:Q4))/((Valuation!P45+O45)/2))</f>
        <v>58.240373464208282</v>
      </c>
      <c r="Q52" s="57">
        <f>365/((-SUM(Model!N4:R4))/((Valuation!Q45+P45)/2))</f>
        <v>56.822442925742003</v>
      </c>
      <c r="R52" s="57">
        <f>365/((-SUM(Model!O4:S4))/((Valuation!R45+Q45)/2))</f>
        <v>60.759906839161552</v>
      </c>
      <c r="S52" s="57">
        <f>365/((-SUM(Model!P4:T4))/((Valuation!S45+R45)/2))</f>
        <v>59.721319522020245</v>
      </c>
      <c r="T52" s="57">
        <f>365/((-SUM(Model!Q4:U4))/((Valuation!T45+S45)/2))</f>
        <v>57.096325215023185</v>
      </c>
      <c r="U52" s="57">
        <f>365/((-SUM(Model!R4:V4))/((Valuation!U45+T45)/2))</f>
        <v>53.258035940268286</v>
      </c>
      <c r="V52" s="57">
        <f>365/((-SUM(Model!S4:W4))/((Valuation!V45+U45)/2))</f>
        <v>54.685424691917518</v>
      </c>
      <c r="W52" s="57">
        <f>365/((-SUM(Model!T4:X4))/((Valuation!W45+V45)/2))</f>
        <v>54.496527777777771</v>
      </c>
      <c r="X52" s="57">
        <f>365/((-SUM(Model!U4:Y4))/((Valuation!X45+W45)/2))</f>
        <v>53.814221074135979</v>
      </c>
      <c r="Y52" s="57">
        <f>365/((-SUM(Model!V4:Z4))/((Valuation!Y45+X45)/2))</f>
        <v>51.531824622550857</v>
      </c>
      <c r="Z52" s="57">
        <f>365/((-SUM(Model!W4:AA4))/((Valuation!Z45+Y45)/2))</f>
        <v>53.989836721092971</v>
      </c>
      <c r="AA52" s="57">
        <f>365/((-SUM(Model!X4:AB4))/((Valuation!AA45+Z45)/2))</f>
        <v>66.459256296660925</v>
      </c>
      <c r="AB52" s="57">
        <f>365/((-SUM(Model!Y4:AC4))/((Valuation!AB45+AA45)/2))</f>
        <v>42.663630413439506</v>
      </c>
      <c r="AC52" s="57" t="e">
        <f>365/((-SUM(Model!Z4:AD4))/((Valuation!AC45+AB45)/2))</f>
        <v>#DIV/0!</v>
      </c>
      <c r="AD52" s="57" t="e">
        <f>365/((-SUM(Model!AA4:AE4))/((Valuation!AD45+AC45)/2))</f>
        <v>#DIV/0!</v>
      </c>
      <c r="AH52" s="57">
        <f>365/(-Model!AH4/Valuation!AH45)</f>
        <v>81.254453429847871</v>
      </c>
      <c r="AI52" s="57">
        <f>365/(-Model!AI4/((Valuation!AI45+AH45)/2))</f>
        <v>77.128608293065497</v>
      </c>
      <c r="AJ52" s="57">
        <f>365/(-Model!AJ4/((Valuation!AJ45+AI45)/2))</f>
        <v>75.757478864079772</v>
      </c>
      <c r="AK52" s="57">
        <f>365/(-Model!AK4/((Valuation!AK45+AJ45)/2))</f>
        <v>81.536020189660448</v>
      </c>
      <c r="AL52" s="57">
        <f>365/(-Model!AL4/((Valuation!AL45+AK45)/2))</f>
        <v>75.098629275381171</v>
      </c>
      <c r="AM52" s="57">
        <f>365/(-Model!AM4/((Valuation!AM45+AL45)/2))</f>
        <v>67.808822013810158</v>
      </c>
      <c r="AN52" s="57" t="e">
        <f>365/(-Model!AN4/((Valuation!AN45+AM45)/2))</f>
        <v>#DIV/0!</v>
      </c>
      <c r="AO52" s="57" t="e">
        <f>365/(-Model!AO4/((Valuation!AO45+AN45)/2))</f>
        <v>#DIV/0!</v>
      </c>
      <c r="AP52" s="57" t="e">
        <f>365/(-Model!AP4/((Valuation!AP45+AO45)/2))</f>
        <v>#DIV/0!</v>
      </c>
      <c r="AQ52" s="57" t="e">
        <f>365/(-Model!AQ4/((Valuation!AQ45+AP45)/2))</f>
        <v>#DIV/0!</v>
      </c>
    </row>
    <row r="53" spans="2:43" ht="13.8" thickBot="1" x14ac:dyDescent="0.3">
      <c r="B53" s="60" t="s">
        <v>258</v>
      </c>
      <c r="C53" s="61"/>
      <c r="D53" s="61"/>
      <c r="E53" s="61"/>
      <c r="F53" s="62">
        <f>F50+F51-F52</f>
        <v>157.37139684996026</v>
      </c>
      <c r="G53" s="62">
        <f t="shared" ref="G53:AD53" si="50">G50+G51-G52</f>
        <v>158.07251342876512</v>
      </c>
      <c r="H53" s="62">
        <f t="shared" si="50"/>
        <v>157.11466858184338</v>
      </c>
      <c r="I53" s="62">
        <f t="shared" si="50"/>
        <v>152.82064430603091</v>
      </c>
      <c r="J53" s="62">
        <f t="shared" si="50"/>
        <v>149.2655960050368</v>
      </c>
      <c r="K53" s="62">
        <f t="shared" si="50"/>
        <v>146.15937314252179</v>
      </c>
      <c r="L53" s="62">
        <f t="shared" si="50"/>
        <v>146.051799722411</v>
      </c>
      <c r="M53" s="62">
        <f t="shared" si="50"/>
        <v>134.04893513930151</v>
      </c>
      <c r="N53" s="62">
        <f t="shared" si="50"/>
        <v>121.02092229762218</v>
      </c>
      <c r="O53" s="62">
        <f t="shared" si="50"/>
        <v>115.54930430399028</v>
      </c>
      <c r="P53" s="62">
        <f t="shared" si="50"/>
        <v>117.55479983322911</v>
      </c>
      <c r="Q53" s="62">
        <f t="shared" si="50"/>
        <v>116.96054045028245</v>
      </c>
      <c r="R53" s="62">
        <f t="shared" si="50"/>
        <v>111.74232076279716</v>
      </c>
      <c r="S53" s="62">
        <f t="shared" si="50"/>
        <v>108.05971571879289</v>
      </c>
      <c r="T53" s="62">
        <f t="shared" si="50"/>
        <v>109.60201665250018</v>
      </c>
      <c r="U53" s="62">
        <f t="shared" si="50"/>
        <v>110.26510167525842</v>
      </c>
      <c r="V53" s="62">
        <f t="shared" si="50"/>
        <v>106.36690739799383</v>
      </c>
      <c r="W53" s="62">
        <f t="shared" si="50"/>
        <v>103.8022813136316</v>
      </c>
      <c r="X53" s="62">
        <f t="shared" si="50"/>
        <v>105.43373515349455</v>
      </c>
      <c r="Y53" s="62">
        <f t="shared" si="50"/>
        <v>101.89048092391511</v>
      </c>
      <c r="Z53" s="62">
        <f t="shared" si="50"/>
        <v>95.453137948998872</v>
      </c>
      <c r="AA53" s="62">
        <f t="shared" si="50"/>
        <v>97.905025331373821</v>
      </c>
      <c r="AB53" s="62">
        <f t="shared" si="50"/>
        <v>68.277495629684253</v>
      </c>
      <c r="AC53" s="62" t="e">
        <f t="shared" si="50"/>
        <v>#DIV/0!</v>
      </c>
      <c r="AD53" s="62" t="e">
        <f t="shared" si="50"/>
        <v>#DIV/0!</v>
      </c>
      <c r="AH53" s="62">
        <f t="shared" ref="AH53" si="51">AH50+AH51-AH52</f>
        <v>173.30674149296519</v>
      </c>
      <c r="AI53" s="62">
        <f t="shared" ref="AI53" si="52">AI50+AI51-AI52</f>
        <v>157.50101109495961</v>
      </c>
      <c r="AJ53" s="62">
        <f t="shared" ref="AJ53" si="53">AJ50+AJ51-AJ52</f>
        <v>132.35950198126886</v>
      </c>
      <c r="AK53" s="62">
        <f t="shared" ref="AK53" si="54">AK50+AK51-AK52</f>
        <v>121.78655612354176</v>
      </c>
      <c r="AL53" s="62">
        <f t="shared" ref="AL53" si="55">AL50+AL51-AL52</f>
        <v>112.25922035217121</v>
      </c>
      <c r="AM53" s="62">
        <f t="shared" ref="AM53" si="56">AM50+AM51-AM52</f>
        <v>97.715205374752458</v>
      </c>
      <c r="AN53" s="62" t="e">
        <f t="shared" ref="AN53" si="57">AN50+AN51-AN52</f>
        <v>#DIV/0!</v>
      </c>
      <c r="AO53" s="62" t="e">
        <f t="shared" ref="AO53" si="58">AO50+AO51-AO52</f>
        <v>#DIV/0!</v>
      </c>
      <c r="AP53" s="62" t="e">
        <f t="shared" ref="AP53" si="59">AP50+AP51-AP52</f>
        <v>#DIV/0!</v>
      </c>
      <c r="AQ53" s="62" t="e">
        <f t="shared" ref="AQ53" si="60">AQ50+AQ51-AQ52</f>
        <v>#DIV/0!</v>
      </c>
    </row>
  </sheetData>
  <pageMargins left="0.7" right="0.7" top="0.75" bottom="0.75" header="0.3" footer="0.3"/>
  <pageSetup orientation="portrait" r:id="rId1"/>
  <ignoredErrors>
    <ignoredError sqref="F50:G50 F52:G52 H50:AD52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5811-A342-47F6-833F-696BFCECB0E1}">
  <dimension ref="E2:L23"/>
  <sheetViews>
    <sheetView tabSelected="1" workbookViewId="0">
      <selection activeCell="F4" sqref="F4"/>
    </sheetView>
  </sheetViews>
  <sheetFormatPr defaultRowHeight="13.2" x14ac:dyDescent="0.25"/>
  <cols>
    <col min="1" max="4" width="8.88671875" style="63"/>
    <col min="5" max="5" width="21.6640625" style="63" bestFit="1" customWidth="1"/>
    <col min="6" max="6" width="15" style="63" bestFit="1" customWidth="1"/>
    <col min="7" max="7" width="8.21875" style="63" bestFit="1" customWidth="1"/>
    <col min="8" max="8" width="7.109375" style="63" bestFit="1" customWidth="1"/>
    <col min="9" max="9" width="15.33203125" style="63" bestFit="1" customWidth="1"/>
    <col min="10" max="10" width="11.6640625" style="63" bestFit="1" customWidth="1"/>
    <col min="11" max="11" width="11.88671875" style="63" bestFit="1" customWidth="1"/>
    <col min="12" max="12" width="20.6640625" style="63" bestFit="1" customWidth="1"/>
    <col min="13" max="16384" width="8.88671875" style="63"/>
  </cols>
  <sheetData>
    <row r="2" spans="5:12" x14ac:dyDescent="0.25">
      <c r="E2" s="69" t="s">
        <v>263</v>
      </c>
      <c r="F2" s="69" t="s">
        <v>262</v>
      </c>
      <c r="G2" s="69" t="s">
        <v>260</v>
      </c>
      <c r="H2" s="69" t="s">
        <v>261</v>
      </c>
      <c r="I2" s="69" t="s">
        <v>290</v>
      </c>
      <c r="J2" s="69" t="s">
        <v>265</v>
      </c>
      <c r="K2" s="69" t="s">
        <v>272</v>
      </c>
      <c r="L2" s="69" t="s">
        <v>282</v>
      </c>
    </row>
    <row r="3" spans="5:12" x14ac:dyDescent="0.25">
      <c r="E3" s="64" t="s">
        <v>264</v>
      </c>
      <c r="F3" s="65">
        <v>40757194248</v>
      </c>
      <c r="G3" s="64" t="s">
        <v>259</v>
      </c>
      <c r="H3" s="64">
        <v>9.6304999999999996</v>
      </c>
      <c r="I3" s="68">
        <f>F3/$H$3</f>
        <v>4232095347.9050932</v>
      </c>
      <c r="J3" s="66">
        <v>1.7999999999999999E-2</v>
      </c>
      <c r="K3" s="64" t="s">
        <v>275</v>
      </c>
      <c r="L3" s="64" t="s">
        <v>291</v>
      </c>
    </row>
    <row r="4" spans="5:12" x14ac:dyDescent="0.25">
      <c r="E4" s="64" t="s">
        <v>266</v>
      </c>
      <c r="F4" s="65">
        <v>23721468884</v>
      </c>
      <c r="G4" s="64" t="s">
        <v>259</v>
      </c>
      <c r="H4" s="64"/>
      <c r="I4" s="68">
        <f>F4/$H$3</f>
        <v>2463160675.3543429</v>
      </c>
      <c r="J4" s="66">
        <v>1.9300000000000001E-2</v>
      </c>
      <c r="K4" s="64" t="s">
        <v>275</v>
      </c>
      <c r="L4" s="64" t="s">
        <v>292</v>
      </c>
    </row>
    <row r="5" spans="5:12" x14ac:dyDescent="0.25">
      <c r="E5" s="64" t="s">
        <v>267</v>
      </c>
      <c r="F5" s="65">
        <v>12471723386</v>
      </c>
      <c r="G5" s="64" t="s">
        <v>259</v>
      </c>
      <c r="H5" s="64"/>
      <c r="I5" s="68">
        <f>F5/$H$3</f>
        <v>1295023455.2723119</v>
      </c>
      <c r="J5" s="66">
        <v>2.0799999999999999E-2</v>
      </c>
      <c r="K5" s="64" t="s">
        <v>275</v>
      </c>
      <c r="L5" s="64" t="s">
        <v>293</v>
      </c>
    </row>
    <row r="6" spans="5:12" x14ac:dyDescent="0.25">
      <c r="E6" s="64" t="s">
        <v>268</v>
      </c>
      <c r="F6" s="65">
        <v>41916805908</v>
      </c>
      <c r="G6" s="64" t="s">
        <v>259</v>
      </c>
      <c r="H6" s="64"/>
      <c r="I6" s="68">
        <f>F6/$H$3</f>
        <v>4352505675.5100985</v>
      </c>
      <c r="J6" s="66">
        <v>1.2800000000000001E-2</v>
      </c>
      <c r="K6" s="64" t="s">
        <v>274</v>
      </c>
      <c r="L6" s="64" t="s">
        <v>291</v>
      </c>
    </row>
    <row r="7" spans="5:12" x14ac:dyDescent="0.25">
      <c r="E7" s="64" t="s">
        <v>269</v>
      </c>
      <c r="F7" s="65">
        <v>21824505506</v>
      </c>
      <c r="G7" s="64" t="s">
        <v>259</v>
      </c>
      <c r="H7" s="64"/>
      <c r="I7" s="68">
        <f>F7/$H$3</f>
        <v>2266186128.030736</v>
      </c>
      <c r="J7" s="66">
        <v>1.2200000000000001E-2</v>
      </c>
      <c r="K7" s="64" t="s">
        <v>274</v>
      </c>
      <c r="L7" s="64" t="s">
        <v>291</v>
      </c>
    </row>
    <row r="8" spans="5:12" x14ac:dyDescent="0.25">
      <c r="E8" s="64" t="s">
        <v>270</v>
      </c>
      <c r="F8" s="65">
        <v>36763709310</v>
      </c>
      <c r="G8" s="64" t="s">
        <v>259</v>
      </c>
      <c r="H8" s="64"/>
      <c r="I8" s="68">
        <f>F8/$H$3</f>
        <v>3817424776.4913559</v>
      </c>
      <c r="J8" s="66">
        <v>2.29E-2</v>
      </c>
      <c r="K8" s="64" t="s">
        <v>276</v>
      </c>
      <c r="L8" s="64" t="s">
        <v>291</v>
      </c>
    </row>
    <row r="9" spans="5:12" x14ac:dyDescent="0.25">
      <c r="E9" s="64" t="s">
        <v>271</v>
      </c>
      <c r="F9" s="65">
        <v>21558767704</v>
      </c>
      <c r="G9" s="64" t="s">
        <v>259</v>
      </c>
      <c r="H9" s="64"/>
      <c r="I9" s="68">
        <f>F9/$H$3</f>
        <v>2238592773.3762527</v>
      </c>
      <c r="J9" s="66">
        <v>1.55E-2</v>
      </c>
      <c r="K9" s="64" t="s">
        <v>273</v>
      </c>
      <c r="L9" s="64" t="s">
        <v>291</v>
      </c>
    </row>
    <row r="10" spans="5:12" x14ac:dyDescent="0.25">
      <c r="E10" s="64" t="s">
        <v>277</v>
      </c>
      <c r="F10" s="65">
        <v>5200185686</v>
      </c>
      <c r="G10" s="64" t="s">
        <v>259</v>
      </c>
      <c r="H10" s="64"/>
      <c r="I10" s="68">
        <f>F10/$H$3</f>
        <v>539970477.75297236</v>
      </c>
      <c r="J10" s="66">
        <v>1.18E-2</v>
      </c>
      <c r="K10" s="64" t="s">
        <v>274</v>
      </c>
      <c r="L10" s="64" t="s">
        <v>291</v>
      </c>
    </row>
    <row r="11" spans="5:12" x14ac:dyDescent="0.25">
      <c r="E11" s="64" t="s">
        <v>278</v>
      </c>
      <c r="F11" s="65">
        <v>9454991822</v>
      </c>
      <c r="G11" s="64" t="s">
        <v>259</v>
      </c>
      <c r="H11" s="64"/>
      <c r="I11" s="68">
        <f>F11/$H$3</f>
        <v>981775797.93364835</v>
      </c>
      <c r="J11" s="66">
        <v>1.26E-2</v>
      </c>
      <c r="K11" s="64" t="s">
        <v>274</v>
      </c>
      <c r="L11" s="64" t="s">
        <v>291</v>
      </c>
    </row>
    <row r="12" spans="5:12" x14ac:dyDescent="0.25">
      <c r="E12" s="64" t="s">
        <v>279</v>
      </c>
      <c r="F12" s="65">
        <v>10116783439</v>
      </c>
      <c r="G12" s="64" t="s">
        <v>259</v>
      </c>
      <c r="H12" s="64"/>
      <c r="I12" s="68">
        <f>F12/$H$3</f>
        <v>1050494100.9293392</v>
      </c>
      <c r="J12" s="66">
        <v>1.6199999999999999E-2</v>
      </c>
      <c r="K12" s="64" t="s">
        <v>280</v>
      </c>
      <c r="L12" s="64" t="s">
        <v>291</v>
      </c>
    </row>
    <row r="13" spans="5:12" x14ac:dyDescent="0.25">
      <c r="E13" s="64" t="s">
        <v>281</v>
      </c>
      <c r="F13" s="65">
        <v>4921305417</v>
      </c>
      <c r="G13" s="64" t="s">
        <v>259</v>
      </c>
      <c r="H13" s="64"/>
      <c r="I13" s="68">
        <f>F13/$H$3</f>
        <v>511012451.79378021</v>
      </c>
      <c r="J13" s="66">
        <v>1.54E-2</v>
      </c>
      <c r="K13" s="64" t="s">
        <v>280</v>
      </c>
      <c r="L13" s="64" t="s">
        <v>283</v>
      </c>
    </row>
    <row r="14" spans="5:12" x14ac:dyDescent="0.25">
      <c r="E14" s="64" t="s">
        <v>284</v>
      </c>
      <c r="F14" s="65">
        <v>23796328080</v>
      </c>
      <c r="G14" s="64" t="s">
        <v>259</v>
      </c>
      <c r="H14" s="64"/>
      <c r="I14" s="68">
        <f>F14/$H$3</f>
        <v>2470933812.3669591</v>
      </c>
      <c r="J14" s="66">
        <v>1.6500000000000001E-2</v>
      </c>
      <c r="K14" s="64" t="s">
        <v>280</v>
      </c>
      <c r="L14" s="64" t="s">
        <v>291</v>
      </c>
    </row>
    <row r="15" spans="5:12" x14ac:dyDescent="0.25">
      <c r="E15" s="64" t="s">
        <v>285</v>
      </c>
      <c r="F15" s="65">
        <v>26060746</v>
      </c>
      <c r="G15" s="64" t="s">
        <v>259</v>
      </c>
      <c r="H15" s="64"/>
      <c r="I15" s="68">
        <f>F15/$H$3</f>
        <v>2706063.6519391518</v>
      </c>
      <c r="J15" s="66">
        <v>2.5999999999999999E-3</v>
      </c>
      <c r="K15" s="64" t="s">
        <v>280</v>
      </c>
      <c r="L15" s="64" t="s">
        <v>286</v>
      </c>
    </row>
    <row r="16" spans="5:12" x14ac:dyDescent="0.25">
      <c r="E16" s="64" t="s">
        <v>287</v>
      </c>
      <c r="F16" s="65">
        <v>4668410304</v>
      </c>
      <c r="G16" s="64" t="s">
        <v>259</v>
      </c>
      <c r="H16" s="64"/>
      <c r="I16" s="68">
        <f>F16/$H$3</f>
        <v>484752640.46518874</v>
      </c>
      <c r="J16" s="66">
        <v>3.39E-2</v>
      </c>
      <c r="K16" s="64" t="s">
        <v>276</v>
      </c>
      <c r="L16" s="64" t="s">
        <v>291</v>
      </c>
    </row>
    <row r="17" spans="5:12" x14ac:dyDescent="0.25">
      <c r="E17" s="64" t="s">
        <v>288</v>
      </c>
      <c r="F17" s="65">
        <v>8421346666</v>
      </c>
      <c r="G17" s="64" t="s">
        <v>259</v>
      </c>
      <c r="H17" s="64"/>
      <c r="I17" s="68">
        <f>F17/$H$3</f>
        <v>874445425.05581224</v>
      </c>
      <c r="J17" s="66">
        <v>1.46E-2</v>
      </c>
      <c r="K17" s="64" t="s">
        <v>280</v>
      </c>
      <c r="L17" s="64" t="s">
        <v>286</v>
      </c>
    </row>
    <row r="18" spans="5:12" x14ac:dyDescent="0.25">
      <c r="E18" s="64" t="s">
        <v>289</v>
      </c>
      <c r="F18" s="65">
        <v>934836496</v>
      </c>
      <c r="G18" s="64" t="s">
        <v>259</v>
      </c>
      <c r="H18" s="64"/>
      <c r="I18" s="68">
        <f>F18/$H$3</f>
        <v>97070400.913763568</v>
      </c>
      <c r="J18" s="66">
        <v>1.37E-2</v>
      </c>
      <c r="K18" s="64" t="s">
        <v>275</v>
      </c>
      <c r="L18" s="64" t="s">
        <v>291</v>
      </c>
    </row>
    <row r="19" spans="5:12" x14ac:dyDescent="0.25">
      <c r="J19" s="67"/>
    </row>
    <row r="20" spans="5:12" x14ac:dyDescent="0.25">
      <c r="J20" s="67"/>
    </row>
    <row r="21" spans="5:12" x14ac:dyDescent="0.25">
      <c r="J21" s="67"/>
    </row>
    <row r="22" spans="5:12" x14ac:dyDescent="0.25">
      <c r="J22" s="67"/>
    </row>
    <row r="23" spans="5:12" x14ac:dyDescent="0.25">
      <c r="J23" s="6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Valuation</vt:lpstr>
      <vt:lpstr>Norge 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2026-03-10T08:10:50Z</dcterms:modified>
</cp:coreProperties>
</file>