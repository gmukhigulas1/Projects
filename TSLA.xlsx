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GegaMukhigulashvili\Desktop\Excel\"/>
    </mc:Choice>
  </mc:AlternateContent>
  <xr:revisionPtr revIDLastSave="0" documentId="13_ncr:1_{277DEB60-5F23-4502-BB87-74E6472ADE5C}" xr6:coauthVersionLast="47" xr6:coauthVersionMax="47" xr10:uidLastSave="{00000000-0000-0000-0000-000000000000}"/>
  <bookViews>
    <workbookView xWindow="-108" yWindow="-108" windowWidth="23256" windowHeight="12456" activeTab="1" xr2:uid="{00000000-000D-0000-FFFF-FFFF00000000}"/>
  </bookViews>
  <sheets>
    <sheet name="Main" sheetId="1" r:id="rId1"/>
    <sheet name="Model"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9" i="2" l="1"/>
  <c r="M74" i="2" s="1"/>
  <c r="M5" i="2"/>
  <c r="M137" i="2"/>
  <c r="M136" i="2"/>
  <c r="M147" i="2"/>
  <c r="M145" i="2"/>
  <c r="M144" i="2"/>
  <c r="M143" i="2"/>
  <c r="M142" i="2"/>
  <c r="M141" i="2"/>
  <c r="M135" i="2"/>
  <c r="M140" i="2" s="1"/>
  <c r="M146" i="2" s="1"/>
  <c r="M148" i="2" s="1"/>
  <c r="M119" i="2"/>
  <c r="M131" i="2"/>
  <c r="M127" i="2"/>
  <c r="M124" i="2"/>
  <c r="M108" i="2"/>
  <c r="M73" i="2"/>
  <c r="M71" i="2"/>
  <c r="M70" i="2"/>
  <c r="M69" i="2"/>
  <c r="M68" i="2"/>
  <c r="M66" i="2"/>
  <c r="M65" i="2"/>
  <c r="M64" i="2"/>
  <c r="M62" i="2"/>
  <c r="M61" i="2"/>
  <c r="M60" i="2"/>
  <c r="M58" i="2"/>
  <c r="M57" i="2"/>
  <c r="M56" i="2"/>
  <c r="M55" i="2"/>
  <c r="M53" i="2"/>
  <c r="M42" i="2"/>
  <c r="M34" i="2"/>
  <c r="M37" i="2" s="1"/>
  <c r="P28" i="2"/>
  <c r="O28" i="2"/>
  <c r="N28" i="2"/>
  <c r="M28" i="2"/>
  <c r="M31" i="2" s="1"/>
  <c r="M87" i="2"/>
  <c r="M79" i="2"/>
  <c r="O103" i="2"/>
  <c r="O104" i="2" s="1"/>
  <c r="N103" i="2"/>
  <c r="N104" i="2" s="1"/>
  <c r="O99" i="2"/>
  <c r="N99" i="2"/>
  <c r="O91" i="2"/>
  <c r="N91" i="2"/>
  <c r="O78" i="2"/>
  <c r="N78" i="2"/>
  <c r="M103" i="2"/>
  <c r="M99" i="2"/>
  <c r="M78" i="2"/>
  <c r="J5" i="1"/>
  <c r="J8" i="1"/>
  <c r="AD78" i="2"/>
  <c r="AC78" i="2"/>
  <c r="AB78" i="2"/>
  <c r="K78" i="2"/>
  <c r="J78" i="2"/>
  <c r="I78" i="2"/>
  <c r="H78" i="2"/>
  <c r="G78" i="2"/>
  <c r="F78" i="2"/>
  <c r="E78" i="2"/>
  <c r="D78" i="2"/>
  <c r="C78" i="2"/>
  <c r="L78" i="2"/>
  <c r="J7" i="1"/>
  <c r="AH31" i="2"/>
  <c r="AI31" i="2" s="1"/>
  <c r="AJ31" i="2" s="1"/>
  <c r="AK31" i="2" s="1"/>
  <c r="AL31" i="2" s="1"/>
  <c r="AM31" i="2" s="1"/>
  <c r="AN31" i="2" s="1"/>
  <c r="AG31" i="2"/>
  <c r="BA58" i="2"/>
  <c r="M138" i="2" l="1"/>
  <c r="M116" i="2"/>
  <c r="M38" i="2"/>
  <c r="M43" i="2" s="1"/>
  <c r="M47" i="2" s="1"/>
  <c r="M49" i="2" s="1"/>
  <c r="M51" i="2" s="1"/>
  <c r="M104" i="2"/>
  <c r="M91" i="2"/>
  <c r="AG51" i="2"/>
  <c r="AH51" i="2"/>
  <c r="AF71" i="2"/>
  <c r="AF51" i="2"/>
  <c r="AE51" i="2"/>
  <c r="V51" i="2"/>
  <c r="U51" i="2"/>
  <c r="T51" i="2"/>
  <c r="S51" i="2"/>
  <c r="S66" i="2" s="1"/>
  <c r="V66" i="2"/>
  <c r="U66" i="2"/>
  <c r="AC66" i="2"/>
  <c r="AB66" i="2"/>
  <c r="AF31" i="2"/>
  <c r="AE31" i="2"/>
  <c r="T66" i="2"/>
  <c r="R66" i="2"/>
  <c r="Q66" i="2"/>
  <c r="P66" i="2"/>
  <c r="O66" i="2"/>
  <c r="N66" i="2"/>
  <c r="K66" i="2"/>
  <c r="J66" i="2"/>
  <c r="I66" i="2"/>
  <c r="H66" i="2"/>
  <c r="G66" i="2"/>
  <c r="F66" i="2"/>
  <c r="E66" i="2"/>
  <c r="D66" i="2"/>
  <c r="C66" i="2"/>
  <c r="V31" i="2"/>
  <c r="U31" i="2"/>
  <c r="U71" i="2" s="1"/>
  <c r="N71" i="2"/>
  <c r="O71" i="2"/>
  <c r="Q71" i="2"/>
  <c r="R71" i="2"/>
  <c r="S71" i="2"/>
  <c r="T71" i="2"/>
  <c r="V71" i="2"/>
  <c r="AB103" i="2"/>
  <c r="AB99" i="2"/>
  <c r="AB91" i="2"/>
  <c r="AC103" i="2"/>
  <c r="AC99" i="2"/>
  <c r="AC91" i="2"/>
  <c r="AD103" i="2"/>
  <c r="AD99" i="2"/>
  <c r="AD91" i="2"/>
  <c r="AD52" i="2"/>
  <c r="AD50" i="2"/>
  <c r="AD48" i="2"/>
  <c r="AD46" i="2"/>
  <c r="AD45" i="2"/>
  <c r="AD44" i="2"/>
  <c r="AD41" i="2"/>
  <c r="AD40" i="2"/>
  <c r="AD39" i="2"/>
  <c r="AD36" i="2"/>
  <c r="AD35" i="2"/>
  <c r="AD33" i="2"/>
  <c r="AD32" i="2"/>
  <c r="AD30" i="2"/>
  <c r="AD29" i="2"/>
  <c r="AD27" i="2"/>
  <c r="AD26" i="2"/>
  <c r="AD25" i="2"/>
  <c r="AD125" i="2"/>
  <c r="AD123" i="2"/>
  <c r="AD122" i="2"/>
  <c r="AD121" i="2"/>
  <c r="AD120" i="2"/>
  <c r="AD117" i="2"/>
  <c r="AD115" i="2"/>
  <c r="AD114" i="2"/>
  <c r="AD113" i="2"/>
  <c r="AD112" i="2"/>
  <c r="AD111" i="2"/>
  <c r="AD110" i="2"/>
  <c r="AD109" i="2"/>
  <c r="AC125" i="2"/>
  <c r="AB125" i="2"/>
  <c r="AC123" i="2"/>
  <c r="AB123" i="2"/>
  <c r="AC122" i="2"/>
  <c r="AB122" i="2"/>
  <c r="AC121" i="2"/>
  <c r="AB121" i="2"/>
  <c r="AC120" i="2"/>
  <c r="AB120" i="2"/>
  <c r="AC117" i="2"/>
  <c r="AB117" i="2"/>
  <c r="AC115" i="2"/>
  <c r="AB115" i="2"/>
  <c r="AC114" i="2"/>
  <c r="AB114" i="2"/>
  <c r="AC113" i="2"/>
  <c r="AB113" i="2"/>
  <c r="AC112" i="2"/>
  <c r="AB112" i="2"/>
  <c r="AC111" i="2"/>
  <c r="AB111" i="2"/>
  <c r="AC110" i="2"/>
  <c r="AB110" i="2"/>
  <c r="AC109" i="2"/>
  <c r="AB109" i="2"/>
  <c r="AB127" i="2"/>
  <c r="F145" i="2"/>
  <c r="E145" i="2"/>
  <c r="D145" i="2"/>
  <c r="C145" i="2"/>
  <c r="F144" i="2"/>
  <c r="E144" i="2"/>
  <c r="D144" i="2"/>
  <c r="C144" i="2"/>
  <c r="F143" i="2"/>
  <c r="E143" i="2"/>
  <c r="D143" i="2"/>
  <c r="C143" i="2"/>
  <c r="F142" i="2"/>
  <c r="E142" i="2"/>
  <c r="D142" i="2"/>
  <c r="C142" i="2"/>
  <c r="F141" i="2"/>
  <c r="E141" i="2"/>
  <c r="D141" i="2"/>
  <c r="C141" i="2"/>
  <c r="G118" i="2"/>
  <c r="G119" i="2" s="1"/>
  <c r="F118" i="2"/>
  <c r="F119" i="2" s="1"/>
  <c r="E118" i="2"/>
  <c r="E119" i="2" s="1"/>
  <c r="D118" i="2"/>
  <c r="D119" i="2" s="1"/>
  <c r="C118" i="2"/>
  <c r="C119" i="2" s="1"/>
  <c r="F124" i="2"/>
  <c r="E124" i="2"/>
  <c r="D124" i="2"/>
  <c r="C124" i="2"/>
  <c r="F116" i="2"/>
  <c r="F130" i="2" s="1"/>
  <c r="E116" i="2"/>
  <c r="D116" i="2"/>
  <c r="C116" i="2"/>
  <c r="F131" i="2"/>
  <c r="E131" i="2"/>
  <c r="D131" i="2"/>
  <c r="C131" i="2"/>
  <c r="G99" i="2"/>
  <c r="F103" i="2"/>
  <c r="E103" i="2"/>
  <c r="D103" i="2"/>
  <c r="C103" i="2"/>
  <c r="F99" i="2"/>
  <c r="E99" i="2"/>
  <c r="D99" i="2"/>
  <c r="C99" i="2"/>
  <c r="F91" i="2"/>
  <c r="E91" i="2"/>
  <c r="D91" i="2"/>
  <c r="C91" i="2"/>
  <c r="AC50" i="2"/>
  <c r="AB50" i="2"/>
  <c r="AC48" i="2"/>
  <c r="AB48" i="2"/>
  <c r="AC46" i="2"/>
  <c r="AB46" i="2"/>
  <c r="AC45" i="2"/>
  <c r="AB45" i="2"/>
  <c r="AC44" i="2"/>
  <c r="AB44" i="2"/>
  <c r="AC41" i="2"/>
  <c r="AB41" i="2"/>
  <c r="AC40" i="2"/>
  <c r="AB40" i="2"/>
  <c r="AC39" i="2"/>
  <c r="AB39" i="2"/>
  <c r="AC36" i="2"/>
  <c r="AB36" i="2"/>
  <c r="AC35" i="2"/>
  <c r="AB35" i="2"/>
  <c r="AC33" i="2"/>
  <c r="AB33" i="2"/>
  <c r="AC32" i="2"/>
  <c r="AC34" i="2" s="1"/>
  <c r="AB32" i="2"/>
  <c r="AB34" i="2" s="1"/>
  <c r="AC30" i="2"/>
  <c r="AB30" i="2"/>
  <c r="AC29" i="2"/>
  <c r="AB29" i="2"/>
  <c r="AC52" i="2"/>
  <c r="AB52" i="2"/>
  <c r="AC27" i="2"/>
  <c r="AB27" i="2"/>
  <c r="AC26" i="2"/>
  <c r="AB26" i="2"/>
  <c r="AC25" i="2"/>
  <c r="AB25" i="2"/>
  <c r="K70" i="2"/>
  <c r="J70" i="2"/>
  <c r="I70" i="2"/>
  <c r="H70" i="2"/>
  <c r="G70" i="2"/>
  <c r="K69" i="2"/>
  <c r="J69" i="2"/>
  <c r="I69" i="2"/>
  <c r="H69" i="2"/>
  <c r="G69" i="2"/>
  <c r="G57" i="2"/>
  <c r="F57" i="2"/>
  <c r="E57" i="2"/>
  <c r="D57" i="2"/>
  <c r="C57" i="2"/>
  <c r="G56" i="2"/>
  <c r="F56" i="2"/>
  <c r="E56" i="2"/>
  <c r="D56" i="2"/>
  <c r="C56" i="2"/>
  <c r="F28" i="2"/>
  <c r="F31" i="2" s="1"/>
  <c r="F147" i="2" s="1"/>
  <c r="G42" i="2"/>
  <c r="F42" i="2"/>
  <c r="E42" i="2"/>
  <c r="D42" i="2"/>
  <c r="C42" i="2"/>
  <c r="G34" i="2"/>
  <c r="G37" i="2" s="1"/>
  <c r="F34" i="2"/>
  <c r="F37" i="2" s="1"/>
  <c r="E34" i="2"/>
  <c r="E37" i="2" s="1"/>
  <c r="D34" i="2"/>
  <c r="D37" i="2" s="1"/>
  <c r="C34" i="2"/>
  <c r="C37" i="2" s="1"/>
  <c r="G28" i="2"/>
  <c r="G31" i="2" s="1"/>
  <c r="E28" i="2"/>
  <c r="E31" i="2" s="1"/>
  <c r="E147" i="2" s="1"/>
  <c r="D28" i="2"/>
  <c r="D31" i="2" s="1"/>
  <c r="D147" i="2" s="1"/>
  <c r="C28" i="2"/>
  <c r="C31" i="2" s="1"/>
  <c r="C147" i="2" s="1"/>
  <c r="G9" i="2"/>
  <c r="F9" i="2"/>
  <c r="E9" i="2"/>
  <c r="D9" i="2"/>
  <c r="C9" i="2"/>
  <c r="G5" i="2"/>
  <c r="F5" i="2"/>
  <c r="E5" i="2"/>
  <c r="D5" i="2"/>
  <c r="C5" i="2"/>
  <c r="K141" i="2"/>
  <c r="J141" i="2"/>
  <c r="I141" i="2"/>
  <c r="H141" i="2"/>
  <c r="G141" i="2"/>
  <c r="L141" i="2"/>
  <c r="K142" i="2"/>
  <c r="J142" i="2"/>
  <c r="I142" i="2"/>
  <c r="H142" i="2"/>
  <c r="G142" i="2"/>
  <c r="L142" i="2"/>
  <c r="K143" i="2"/>
  <c r="J143" i="2"/>
  <c r="I143" i="2"/>
  <c r="H143" i="2"/>
  <c r="G143" i="2"/>
  <c r="L143" i="2"/>
  <c r="K145" i="2"/>
  <c r="J145" i="2"/>
  <c r="I145" i="2"/>
  <c r="H145" i="2"/>
  <c r="G145" i="2"/>
  <c r="K144" i="2"/>
  <c r="J144" i="2"/>
  <c r="I144" i="2"/>
  <c r="H144" i="2"/>
  <c r="G144" i="2"/>
  <c r="L145" i="2"/>
  <c r="L144" i="2"/>
  <c r="H118" i="2"/>
  <c r="H119" i="2" s="1"/>
  <c r="I118" i="2"/>
  <c r="I119" i="2" s="1"/>
  <c r="J118" i="2"/>
  <c r="J119" i="2" s="1"/>
  <c r="K118" i="2"/>
  <c r="K119" i="2" s="1"/>
  <c r="K131" i="2"/>
  <c r="J131" i="2"/>
  <c r="I131" i="2"/>
  <c r="H131" i="2"/>
  <c r="G131" i="2"/>
  <c r="L131" i="2"/>
  <c r="K124" i="2"/>
  <c r="J124" i="2"/>
  <c r="I124" i="2"/>
  <c r="H124" i="2"/>
  <c r="G124" i="2"/>
  <c r="L124" i="2"/>
  <c r="L118" i="2"/>
  <c r="L119" i="2" s="1"/>
  <c r="K116" i="2"/>
  <c r="K130" i="2" s="1"/>
  <c r="J116" i="2"/>
  <c r="J130" i="2" s="1"/>
  <c r="I116" i="2"/>
  <c r="I130" i="2" s="1"/>
  <c r="H116" i="2"/>
  <c r="H130" i="2" s="1"/>
  <c r="G116" i="2"/>
  <c r="G130" i="2" s="1"/>
  <c r="L116" i="2"/>
  <c r="L130" i="2" s="1"/>
  <c r="K103" i="2"/>
  <c r="J103" i="2"/>
  <c r="H103" i="2"/>
  <c r="G103" i="2"/>
  <c r="L103" i="2"/>
  <c r="K99" i="2"/>
  <c r="J99" i="2"/>
  <c r="I99" i="2"/>
  <c r="I104" i="2" s="1"/>
  <c r="H99" i="2"/>
  <c r="L99" i="2"/>
  <c r="K91" i="2"/>
  <c r="J91" i="2"/>
  <c r="I91" i="2"/>
  <c r="H91" i="2"/>
  <c r="G91" i="2"/>
  <c r="L91" i="2"/>
  <c r="L70" i="2"/>
  <c r="L69" i="2"/>
  <c r="M126" i="2" l="1"/>
  <c r="M128" i="2" s="1"/>
  <c r="M130" i="2"/>
  <c r="AD56" i="2"/>
  <c r="AC56" i="2"/>
  <c r="AD34" i="2"/>
  <c r="AD37" i="2" s="1"/>
  <c r="G74" i="2"/>
  <c r="AB56" i="2"/>
  <c r="AC70" i="2"/>
  <c r="E104" i="2"/>
  <c r="AB28" i="2"/>
  <c r="AB31" i="2" s="1"/>
  <c r="F104" i="2"/>
  <c r="AC37" i="2"/>
  <c r="AC28" i="2"/>
  <c r="AC55" i="2" s="1"/>
  <c r="AD42" i="2"/>
  <c r="AD28" i="2"/>
  <c r="AD68" i="2" s="1"/>
  <c r="AB118" i="2"/>
  <c r="AB119" i="2" s="1"/>
  <c r="AC69" i="2"/>
  <c r="AD118" i="2"/>
  <c r="AD119" i="2" s="1"/>
  <c r="AB57" i="2"/>
  <c r="AD124" i="2"/>
  <c r="AB37" i="2"/>
  <c r="AB55" i="2"/>
  <c r="AB116" i="2"/>
  <c r="AB42" i="2"/>
  <c r="AC42" i="2"/>
  <c r="AC57" i="2"/>
  <c r="AD69" i="2"/>
  <c r="G73" i="2"/>
  <c r="AC118" i="2"/>
  <c r="AC119" i="2" s="1"/>
  <c r="AD116" i="2"/>
  <c r="F55" i="2"/>
  <c r="AB124" i="2"/>
  <c r="AC124" i="2"/>
  <c r="AD104" i="2"/>
  <c r="AC104" i="2"/>
  <c r="AB104" i="2"/>
  <c r="AD57" i="2"/>
  <c r="AD70" i="2"/>
  <c r="AC116" i="2"/>
  <c r="F126" i="2"/>
  <c r="E126" i="2"/>
  <c r="D126" i="2"/>
  <c r="C126" i="2"/>
  <c r="C128" i="2" s="1"/>
  <c r="D127" i="2" s="1"/>
  <c r="E130" i="2"/>
  <c r="D130" i="2"/>
  <c r="C130" i="2"/>
  <c r="D104" i="2"/>
  <c r="C104" i="2"/>
  <c r="G71" i="2"/>
  <c r="C55" i="2"/>
  <c r="D55" i="2"/>
  <c r="G55" i="2"/>
  <c r="E55" i="2"/>
  <c r="G68" i="2"/>
  <c r="G38" i="2"/>
  <c r="G147" i="2"/>
  <c r="C38" i="2"/>
  <c r="D38" i="2"/>
  <c r="E38" i="2"/>
  <c r="F38" i="2"/>
  <c r="L104" i="2"/>
  <c r="G104" i="2"/>
  <c r="J104" i="2"/>
  <c r="K104" i="2"/>
  <c r="G126" i="2"/>
  <c r="L126" i="2"/>
  <c r="H104" i="2"/>
  <c r="H126" i="2"/>
  <c r="I126" i="2"/>
  <c r="J126" i="2"/>
  <c r="K126" i="2"/>
  <c r="AI51" i="2" l="1"/>
  <c r="AB38" i="2"/>
  <c r="AB43" i="2" s="1"/>
  <c r="AB47" i="2" s="1"/>
  <c r="AC68" i="2"/>
  <c r="AC31" i="2"/>
  <c r="AC71" i="2" s="1"/>
  <c r="AB126" i="2"/>
  <c r="AB128" i="2" s="1"/>
  <c r="AC127" i="2" s="1"/>
  <c r="AC126" i="2"/>
  <c r="AD126" i="2"/>
  <c r="AD55" i="2"/>
  <c r="D128" i="2"/>
  <c r="E127" i="2" s="1"/>
  <c r="E128" i="2"/>
  <c r="F127" i="2" s="1"/>
  <c r="F128" i="2" s="1"/>
  <c r="G127" i="2" s="1"/>
  <c r="G128" i="2" s="1"/>
  <c r="H127" i="2" s="1"/>
  <c r="H128" i="2" s="1"/>
  <c r="I127" i="2" s="1"/>
  <c r="I128" i="2" s="1"/>
  <c r="J127" i="2" s="1"/>
  <c r="J128" i="2" s="1"/>
  <c r="K127" i="2" s="1"/>
  <c r="K128" i="2" s="1"/>
  <c r="L127" i="2" s="1"/>
  <c r="L128" i="2" s="1"/>
  <c r="F43" i="2"/>
  <c r="F58" i="2"/>
  <c r="F61" i="2"/>
  <c r="F60" i="2"/>
  <c r="E43" i="2"/>
  <c r="E58" i="2"/>
  <c r="E61" i="2"/>
  <c r="E60" i="2"/>
  <c r="D43" i="2"/>
  <c r="D58" i="2"/>
  <c r="D61" i="2"/>
  <c r="D60" i="2"/>
  <c r="C43" i="2"/>
  <c r="C58" i="2"/>
  <c r="C61" i="2"/>
  <c r="C60" i="2"/>
  <c r="G43" i="2"/>
  <c r="G58" i="2"/>
  <c r="G61" i="2"/>
  <c r="G60" i="2"/>
  <c r="AJ51" i="2" l="1"/>
  <c r="AB58" i="2"/>
  <c r="AB60" i="2"/>
  <c r="AB61" i="2"/>
  <c r="AB64" i="2"/>
  <c r="AC128" i="2"/>
  <c r="AD127" i="2" s="1"/>
  <c r="AD128" i="2" s="1"/>
  <c r="AB62" i="2"/>
  <c r="AC38" i="2"/>
  <c r="AB49" i="2"/>
  <c r="AB65" i="2"/>
  <c r="C47" i="2"/>
  <c r="C62" i="2"/>
  <c r="C64" i="2"/>
  <c r="F47" i="2"/>
  <c r="F64" i="2"/>
  <c r="F62" i="2"/>
  <c r="D47" i="2"/>
  <c r="D62" i="2"/>
  <c r="D64" i="2"/>
  <c r="G47" i="2"/>
  <c r="G64" i="2"/>
  <c r="G62" i="2"/>
  <c r="E47" i="2"/>
  <c r="E64" i="2"/>
  <c r="E62" i="2"/>
  <c r="AK51" i="2" l="1"/>
  <c r="AC43" i="2"/>
  <c r="AC58" i="2"/>
  <c r="AC60" i="2"/>
  <c r="AC61" i="2"/>
  <c r="AB51" i="2"/>
  <c r="AB53" i="2" s="1"/>
  <c r="AB108" i="2"/>
  <c r="E49" i="2"/>
  <c r="E108" i="2" s="1"/>
  <c r="E65" i="2"/>
  <c r="C49" i="2"/>
  <c r="C108" i="2" s="1"/>
  <c r="C65" i="2"/>
  <c r="G49" i="2"/>
  <c r="G65" i="2"/>
  <c r="D49" i="2"/>
  <c r="D108" i="2" s="1"/>
  <c r="D65" i="2"/>
  <c r="F49" i="2"/>
  <c r="F108" i="2" s="1"/>
  <c r="F65" i="2"/>
  <c r="AL51" i="2" l="1"/>
  <c r="AC64" i="2"/>
  <c r="AC47" i="2"/>
  <c r="AC62" i="2"/>
  <c r="E51" i="2"/>
  <c r="F51" i="2"/>
  <c r="D51" i="2"/>
  <c r="G51" i="2"/>
  <c r="G108" i="2"/>
  <c r="C51" i="2"/>
  <c r="AM51" i="2" l="1"/>
  <c r="AC49" i="2"/>
  <c r="AC65" i="2"/>
  <c r="D53" i="2"/>
  <c r="D135" i="2"/>
  <c r="F53" i="2"/>
  <c r="F135" i="2"/>
  <c r="E53" i="2"/>
  <c r="E135" i="2"/>
  <c r="C53" i="2"/>
  <c r="C135" i="2"/>
  <c r="G53" i="2"/>
  <c r="G135" i="2"/>
  <c r="AO31" i="2" l="1"/>
  <c r="AP31" i="2" s="1"/>
  <c r="AQ31" i="2" s="1"/>
  <c r="AR31" i="2" s="1"/>
  <c r="AS31" i="2" s="1"/>
  <c r="AT31" i="2" s="1"/>
  <c r="AU31" i="2" s="1"/>
  <c r="AV31" i="2" s="1"/>
  <c r="AW31" i="2" s="1"/>
  <c r="AX31" i="2" s="1"/>
  <c r="AN51" i="2"/>
  <c r="AC51" i="2"/>
  <c r="AC53" i="2" s="1"/>
  <c r="AC108" i="2"/>
  <c r="C140" i="2"/>
  <c r="C146" i="2" s="1"/>
  <c r="C148" i="2" s="1"/>
  <c r="C138" i="2"/>
  <c r="E140" i="2"/>
  <c r="E146" i="2" s="1"/>
  <c r="E148" i="2" s="1"/>
  <c r="E138" i="2"/>
  <c r="F140" i="2"/>
  <c r="F146" i="2" s="1"/>
  <c r="F148" i="2" s="1"/>
  <c r="F138" i="2"/>
  <c r="D140" i="2"/>
  <c r="D146" i="2" s="1"/>
  <c r="D148" i="2" s="1"/>
  <c r="D138" i="2"/>
  <c r="G138" i="2"/>
  <c r="G140" i="2"/>
  <c r="G146" i="2" s="1"/>
  <c r="G148" i="2" s="1"/>
  <c r="AO51" i="2" l="1"/>
  <c r="AP51" i="2" l="1"/>
  <c r="AQ51" i="2" l="1"/>
  <c r="AR51" i="2" l="1"/>
  <c r="AS51" i="2" l="1"/>
  <c r="AT51" i="2" l="1"/>
  <c r="AU51" i="2" l="1"/>
  <c r="AV51" i="2" l="1"/>
  <c r="AX51" i="2" l="1"/>
  <c r="AY51" i="2" s="1"/>
  <c r="AZ51" i="2" s="1"/>
  <c r="BA51" i="2" s="1"/>
  <c r="BB51" i="2" s="1"/>
  <c r="BC51" i="2" s="1"/>
  <c r="BD51" i="2" s="1"/>
  <c r="BE51" i="2" s="1"/>
  <c r="BF51" i="2" s="1"/>
  <c r="BG51" i="2" s="1"/>
  <c r="BH51" i="2" s="1"/>
  <c r="BI51" i="2" s="1"/>
  <c r="BJ51" i="2" s="1"/>
  <c r="BK51" i="2" s="1"/>
  <c r="BL51" i="2" s="1"/>
  <c r="BM51" i="2" s="1"/>
  <c r="BN51" i="2" s="1"/>
  <c r="BO51" i="2" s="1"/>
  <c r="BP51" i="2" s="1"/>
  <c r="BQ51" i="2" s="1"/>
  <c r="BR51" i="2" s="1"/>
  <c r="BS51" i="2" s="1"/>
  <c r="BT51" i="2" s="1"/>
  <c r="BU51" i="2" s="1"/>
  <c r="BV51" i="2" s="1"/>
  <c r="BW51" i="2" s="1"/>
  <c r="BX51" i="2" s="1"/>
  <c r="BY51" i="2" s="1"/>
  <c r="BZ51" i="2" s="1"/>
  <c r="CA51" i="2" s="1"/>
  <c r="CB51" i="2" s="1"/>
  <c r="CC51" i="2" s="1"/>
  <c r="CD51" i="2" s="1"/>
  <c r="CE51" i="2" s="1"/>
  <c r="CF51" i="2" s="1"/>
  <c r="CG51" i="2" s="1"/>
  <c r="CH51" i="2" s="1"/>
  <c r="CI51" i="2" s="1"/>
  <c r="CJ51" i="2" s="1"/>
  <c r="CK51" i="2" s="1"/>
  <c r="CL51" i="2" s="1"/>
  <c r="CM51" i="2" s="1"/>
  <c r="CN51" i="2" s="1"/>
  <c r="CO51" i="2" s="1"/>
  <c r="CP51" i="2" s="1"/>
  <c r="CQ51" i="2" s="1"/>
  <c r="CR51" i="2" s="1"/>
  <c r="CS51" i="2" s="1"/>
  <c r="CT51" i="2" s="1"/>
  <c r="CU51" i="2" s="1"/>
  <c r="CV51" i="2" s="1"/>
  <c r="CW51" i="2" s="1"/>
  <c r="CX51" i="2" s="1"/>
  <c r="CY51" i="2" s="1"/>
  <c r="CZ51" i="2" s="1"/>
  <c r="DA51" i="2" s="1"/>
  <c r="DB51" i="2" s="1"/>
  <c r="DC51" i="2" s="1"/>
  <c r="DD51" i="2" s="1"/>
  <c r="DE51" i="2" s="1"/>
  <c r="DF51" i="2" s="1"/>
  <c r="DG51" i="2" s="1"/>
  <c r="DH51" i="2" s="1"/>
  <c r="DI51" i="2" s="1"/>
  <c r="DJ51" i="2" s="1"/>
  <c r="DK51" i="2" s="1"/>
  <c r="DL51" i="2" s="1"/>
  <c r="DM51" i="2" s="1"/>
  <c r="DN51" i="2" s="1"/>
  <c r="DO51" i="2" s="1"/>
  <c r="DP51" i="2" s="1"/>
  <c r="DQ51" i="2" s="1"/>
  <c r="DR51" i="2" s="1"/>
  <c r="DS51" i="2" s="1"/>
  <c r="DT51" i="2" s="1"/>
  <c r="DU51" i="2" s="1"/>
  <c r="DV51" i="2" s="1"/>
  <c r="DW51" i="2" s="1"/>
  <c r="DX51" i="2" s="1"/>
  <c r="DY51" i="2" s="1"/>
  <c r="DZ51" i="2" s="1"/>
  <c r="EA51" i="2" s="1"/>
  <c r="EB51" i="2" s="1"/>
  <c r="EC51" i="2" s="1"/>
  <c r="ED51" i="2" s="1"/>
  <c r="EE51" i="2" s="1"/>
  <c r="EF51" i="2" s="1"/>
  <c r="EG51" i="2" s="1"/>
  <c r="EH51" i="2" s="1"/>
  <c r="EI51" i="2" s="1"/>
  <c r="EJ51" i="2" s="1"/>
  <c r="EK51" i="2" s="1"/>
  <c r="EL51" i="2" s="1"/>
  <c r="EM51" i="2" s="1"/>
  <c r="EN51" i="2" s="1"/>
  <c r="EO51" i="2" s="1"/>
  <c r="EP51" i="2" s="1"/>
  <c r="EQ51" i="2" s="1"/>
  <c r="ER51" i="2" s="1"/>
  <c r="ES51" i="2" s="1"/>
  <c r="ET51" i="2" s="1"/>
  <c r="EU51" i="2" s="1"/>
  <c r="EV51" i="2" s="1"/>
  <c r="EW51" i="2" s="1"/>
  <c r="EX51" i="2" s="1"/>
  <c r="EY51" i="2" s="1"/>
  <c r="EZ51" i="2" s="1"/>
  <c r="FA51" i="2" s="1"/>
  <c r="FB51" i="2" s="1"/>
  <c r="FC51" i="2" s="1"/>
  <c r="FD51" i="2" s="1"/>
  <c r="FE51" i="2" s="1"/>
  <c r="FF51" i="2" s="1"/>
  <c r="FG51" i="2" s="1"/>
  <c r="FH51" i="2" s="1"/>
  <c r="FI51" i="2" s="1"/>
  <c r="FJ51" i="2" s="1"/>
  <c r="FK51" i="2" s="1"/>
  <c r="FL51" i="2" s="1"/>
  <c r="FM51" i="2" s="1"/>
  <c r="FN51" i="2" s="1"/>
  <c r="FO51" i="2" s="1"/>
  <c r="FP51" i="2" s="1"/>
  <c r="FQ51" i="2" s="1"/>
  <c r="FR51" i="2" s="1"/>
  <c r="FS51" i="2" s="1"/>
  <c r="FT51" i="2" s="1"/>
  <c r="FU51" i="2" s="1"/>
  <c r="FV51" i="2" s="1"/>
  <c r="FW51" i="2" s="1"/>
  <c r="FX51" i="2" s="1"/>
  <c r="FY51" i="2" s="1"/>
  <c r="FZ51" i="2" s="1"/>
  <c r="GA51" i="2" s="1"/>
  <c r="GB51" i="2" s="1"/>
  <c r="GC51" i="2" s="1"/>
  <c r="GD51" i="2" s="1"/>
  <c r="GE51" i="2" s="1"/>
  <c r="GF51" i="2" s="1"/>
  <c r="GG51" i="2" s="1"/>
  <c r="GH51" i="2" s="1"/>
  <c r="GI51" i="2" s="1"/>
  <c r="GJ51" i="2" s="1"/>
  <c r="GK51" i="2" s="1"/>
  <c r="GL51" i="2" s="1"/>
  <c r="GM51" i="2" s="1"/>
  <c r="GN51" i="2" s="1"/>
  <c r="GO51" i="2" s="1"/>
  <c r="GP51" i="2" s="1"/>
  <c r="GQ51" i="2" s="1"/>
  <c r="GR51" i="2" s="1"/>
  <c r="GS51" i="2" s="1"/>
  <c r="GT51" i="2" s="1"/>
  <c r="GU51" i="2" s="1"/>
  <c r="GV51" i="2" s="1"/>
  <c r="GW51" i="2" s="1"/>
  <c r="GX51" i="2" s="1"/>
  <c r="GY51" i="2" s="1"/>
  <c r="GZ51" i="2" s="1"/>
  <c r="HA51" i="2" s="1"/>
  <c r="HB51" i="2" s="1"/>
  <c r="HC51" i="2" s="1"/>
  <c r="HD51" i="2" s="1"/>
  <c r="HE51" i="2" s="1"/>
  <c r="HF51" i="2" s="1"/>
  <c r="HG51" i="2" s="1"/>
  <c r="HH51" i="2" s="1"/>
  <c r="HI51" i="2" s="1"/>
  <c r="HJ51" i="2" s="1"/>
  <c r="HK51" i="2" s="1"/>
  <c r="HL51" i="2" s="1"/>
  <c r="HM51" i="2" s="1"/>
  <c r="HN51" i="2" s="1"/>
  <c r="HO51" i="2" s="1"/>
  <c r="HP51" i="2" s="1"/>
  <c r="HQ51" i="2" s="1"/>
  <c r="HR51" i="2" s="1"/>
  <c r="HS51" i="2" s="1"/>
  <c r="HT51" i="2" s="1"/>
  <c r="HU51" i="2" s="1"/>
  <c r="HV51" i="2" s="1"/>
  <c r="HW51" i="2" s="1"/>
  <c r="HX51" i="2" s="1"/>
  <c r="HY51" i="2" s="1"/>
  <c r="HZ51" i="2" s="1"/>
  <c r="IA51" i="2" s="1"/>
  <c r="IB51" i="2" s="1"/>
  <c r="IC51" i="2" s="1"/>
  <c r="ID51" i="2" s="1"/>
  <c r="IE51" i="2" s="1"/>
  <c r="IF51" i="2" s="1"/>
  <c r="IG51" i="2" s="1"/>
  <c r="IH51" i="2" s="1"/>
  <c r="II51" i="2" s="1"/>
  <c r="IJ51" i="2" s="1"/>
  <c r="IK51" i="2" s="1"/>
  <c r="IL51" i="2" s="1"/>
  <c r="IM51" i="2" s="1"/>
  <c r="IN51" i="2" s="1"/>
  <c r="IO51" i="2" s="1"/>
  <c r="IP51" i="2" s="1"/>
  <c r="IQ51" i="2" s="1"/>
  <c r="IR51" i="2" s="1"/>
  <c r="IS51" i="2" s="1"/>
  <c r="IT51" i="2" s="1"/>
  <c r="IU51" i="2" s="1"/>
  <c r="IV51" i="2" s="1"/>
  <c r="IW51" i="2" s="1"/>
  <c r="IX51" i="2" s="1"/>
  <c r="IY51" i="2" s="1"/>
  <c r="IZ51" i="2" s="1"/>
  <c r="JA51" i="2" s="1"/>
  <c r="JB51" i="2" s="1"/>
  <c r="JC51" i="2" s="1"/>
  <c r="JD51" i="2" s="1"/>
  <c r="JE51" i="2" s="1"/>
  <c r="JF51" i="2" s="1"/>
  <c r="JG51" i="2" s="1"/>
  <c r="JH51" i="2" s="1"/>
  <c r="JI51" i="2" s="1"/>
  <c r="JJ51" i="2" s="1"/>
  <c r="JK51" i="2" s="1"/>
  <c r="JL51" i="2" s="1"/>
  <c r="JM51" i="2" s="1"/>
  <c r="JN51" i="2" s="1"/>
  <c r="JO51" i="2" s="1"/>
  <c r="JP51" i="2" s="1"/>
  <c r="JQ51" i="2" s="1"/>
  <c r="JR51" i="2" s="1"/>
  <c r="JS51" i="2" s="1"/>
  <c r="JT51" i="2" s="1"/>
  <c r="JU51" i="2" s="1"/>
  <c r="JV51" i="2" s="1"/>
  <c r="JW51" i="2" s="1"/>
  <c r="JX51" i="2" s="1"/>
  <c r="JY51" i="2" s="1"/>
  <c r="JZ51" i="2" s="1"/>
  <c r="KA51" i="2" s="1"/>
  <c r="KB51" i="2" s="1"/>
  <c r="KC51" i="2" s="1"/>
  <c r="KD51" i="2" s="1"/>
  <c r="KE51" i="2" s="1"/>
  <c r="KF51" i="2" s="1"/>
  <c r="KG51" i="2" s="1"/>
  <c r="KH51" i="2" s="1"/>
  <c r="KI51" i="2" s="1"/>
  <c r="KJ51" i="2" s="1"/>
  <c r="KK51" i="2" s="1"/>
  <c r="KL51" i="2" s="1"/>
  <c r="KM51" i="2" s="1"/>
  <c r="KN51" i="2" s="1"/>
  <c r="KO51" i="2" s="1"/>
  <c r="KP51" i="2" s="1"/>
  <c r="KQ51" i="2" s="1"/>
  <c r="KR51" i="2" s="1"/>
  <c r="KS51" i="2" s="1"/>
  <c r="KT51" i="2" s="1"/>
  <c r="KU51" i="2" s="1"/>
  <c r="KV51" i="2" s="1"/>
  <c r="KW51" i="2" s="1"/>
  <c r="KX51" i="2" s="1"/>
  <c r="KY51" i="2" s="1"/>
  <c r="KZ51" i="2" s="1"/>
  <c r="LA51" i="2" s="1"/>
  <c r="LB51" i="2" s="1"/>
  <c r="LC51" i="2" s="1"/>
  <c r="LD51" i="2" s="1"/>
  <c r="LE51" i="2" s="1"/>
  <c r="LF51" i="2" s="1"/>
  <c r="LG51" i="2" s="1"/>
  <c r="LH51" i="2" s="1"/>
  <c r="LI51" i="2" s="1"/>
  <c r="LJ51" i="2" s="1"/>
  <c r="LK51" i="2" s="1"/>
  <c r="LL51" i="2" s="1"/>
  <c r="LM51" i="2" s="1"/>
  <c r="LN51" i="2" s="1"/>
  <c r="LO51" i="2" s="1"/>
  <c r="LP51" i="2" s="1"/>
  <c r="LQ51" i="2" s="1"/>
  <c r="LR51" i="2" s="1"/>
  <c r="LS51" i="2" s="1"/>
  <c r="LT51" i="2" s="1"/>
  <c r="LU51" i="2" s="1"/>
  <c r="LV51" i="2" s="1"/>
  <c r="LW51" i="2" s="1"/>
  <c r="LX51" i="2" s="1"/>
  <c r="LY51" i="2" s="1"/>
  <c r="LZ51" i="2" s="1"/>
  <c r="MA51" i="2" s="1"/>
  <c r="MB51" i="2" s="1"/>
  <c r="MC51" i="2" s="1"/>
  <c r="MD51" i="2" s="1"/>
  <c r="ME51" i="2" s="1"/>
  <c r="MF51" i="2" s="1"/>
  <c r="MG51" i="2" s="1"/>
  <c r="MH51" i="2" s="1"/>
  <c r="MI51" i="2" s="1"/>
  <c r="MJ51" i="2" s="1"/>
  <c r="MK51" i="2" s="1"/>
  <c r="ML51" i="2" s="1"/>
  <c r="MM51" i="2" s="1"/>
  <c r="MN51" i="2" s="1"/>
  <c r="MO51" i="2" s="1"/>
  <c r="MP51" i="2" s="1"/>
  <c r="MQ51" i="2" s="1"/>
  <c r="MR51" i="2" s="1"/>
  <c r="MS51" i="2" s="1"/>
  <c r="MT51" i="2" s="1"/>
  <c r="MU51" i="2" s="1"/>
  <c r="MV51" i="2" s="1"/>
  <c r="MW51" i="2" s="1"/>
  <c r="MX51" i="2" s="1"/>
  <c r="MY51" i="2" s="1"/>
  <c r="MZ51" i="2" s="1"/>
  <c r="NA51" i="2" s="1"/>
  <c r="NB51" i="2" s="1"/>
  <c r="NC51" i="2" s="1"/>
  <c r="ND51" i="2" s="1"/>
  <c r="NE51" i="2" s="1"/>
  <c r="NF51" i="2" s="1"/>
  <c r="NG51" i="2" s="1"/>
  <c r="NH51" i="2" s="1"/>
  <c r="NI51" i="2" s="1"/>
  <c r="NJ51" i="2" s="1"/>
  <c r="NK51" i="2" s="1"/>
  <c r="NL51" i="2" s="1"/>
  <c r="NM51" i="2" s="1"/>
  <c r="NN51" i="2" s="1"/>
  <c r="NO51" i="2" s="1"/>
  <c r="NP51" i="2" s="1"/>
  <c r="NQ51" i="2" s="1"/>
  <c r="NR51" i="2" s="1"/>
  <c r="NS51" i="2" s="1"/>
  <c r="NT51" i="2" s="1"/>
  <c r="NU51" i="2" s="1"/>
  <c r="NV51" i="2" s="1"/>
  <c r="NW51" i="2" s="1"/>
  <c r="NX51" i="2" s="1"/>
  <c r="NY51" i="2" s="1"/>
  <c r="AW51" i="2"/>
  <c r="K57" i="2" l="1"/>
  <c r="J57" i="2"/>
  <c r="I57" i="2"/>
  <c r="H57" i="2"/>
  <c r="L57" i="2"/>
  <c r="K56" i="2"/>
  <c r="J56" i="2"/>
  <c r="I56" i="2"/>
  <c r="H56" i="2"/>
  <c r="L56" i="2"/>
  <c r="K42" i="2"/>
  <c r="J42" i="2"/>
  <c r="I42" i="2"/>
  <c r="H42" i="2"/>
  <c r="L42" i="2"/>
  <c r="H28" i="2"/>
  <c r="K34" i="2"/>
  <c r="K37" i="2" s="1"/>
  <c r="J34" i="2"/>
  <c r="J37" i="2" s="1"/>
  <c r="I34" i="2"/>
  <c r="I37" i="2" s="1"/>
  <c r="H34" i="2"/>
  <c r="H37" i="2" s="1"/>
  <c r="L34" i="2"/>
  <c r="L37" i="2" s="1"/>
  <c r="K28" i="2"/>
  <c r="J28" i="2"/>
  <c r="I28" i="2"/>
  <c r="I68" i="2" s="1"/>
  <c r="L28" i="2"/>
  <c r="L9" i="2"/>
  <c r="K9" i="2"/>
  <c r="K74" i="2" s="1"/>
  <c r="J9" i="2"/>
  <c r="J74" i="2" s="1"/>
  <c r="I9" i="2"/>
  <c r="I74" i="2" s="1"/>
  <c r="H9" i="2"/>
  <c r="H74" i="2" s="1"/>
  <c r="K5" i="2"/>
  <c r="K73" i="2" s="1"/>
  <c r="J5" i="2"/>
  <c r="J73" i="2" s="1"/>
  <c r="I5" i="2"/>
  <c r="I73" i="2" s="1"/>
  <c r="H5" i="2"/>
  <c r="H73" i="2" s="1"/>
  <c r="L5" i="2"/>
  <c r="J6" i="1"/>
  <c r="J10" i="1" s="1"/>
  <c r="H31" i="2" l="1"/>
  <c r="H68" i="2"/>
  <c r="J31" i="2"/>
  <c r="J68" i="2"/>
  <c r="K31" i="2"/>
  <c r="K68" i="2"/>
  <c r="L74" i="2"/>
  <c r="L73" i="2"/>
  <c r="L31" i="2"/>
  <c r="L68" i="2"/>
  <c r="I55" i="2"/>
  <c r="J55" i="2"/>
  <c r="K55" i="2"/>
  <c r="I31" i="2"/>
  <c r="H55" i="2"/>
  <c r="L55" i="2"/>
  <c r="H38" i="2"/>
  <c r="J38" i="2"/>
  <c r="K38" i="2"/>
  <c r="AD31" i="2" l="1"/>
  <c r="P71" i="2"/>
  <c r="K147" i="2"/>
  <c r="K71" i="2"/>
  <c r="J147" i="2"/>
  <c r="J71" i="2"/>
  <c r="I147" i="2"/>
  <c r="I71" i="2"/>
  <c r="H147" i="2"/>
  <c r="H71" i="2"/>
  <c r="I38" i="2"/>
  <c r="I60" i="2" s="1"/>
  <c r="L71" i="2"/>
  <c r="L147" i="2"/>
  <c r="L38" i="2"/>
  <c r="L60" i="2" s="1"/>
  <c r="K61" i="2"/>
  <c r="K60" i="2"/>
  <c r="J58" i="2"/>
  <c r="J60" i="2"/>
  <c r="J61" i="2"/>
  <c r="H58" i="2"/>
  <c r="H60" i="2"/>
  <c r="H61" i="2"/>
  <c r="H43" i="2"/>
  <c r="J43" i="2"/>
  <c r="K58" i="2"/>
  <c r="K43" i="2"/>
  <c r="AE71" i="2" l="1"/>
  <c r="AD71" i="2"/>
  <c r="AD38" i="2"/>
  <c r="L61" i="2"/>
  <c r="J47" i="2"/>
  <c r="J64" i="2"/>
  <c r="I61" i="2"/>
  <c r="I43" i="2"/>
  <c r="I58" i="2"/>
  <c r="K47" i="2"/>
  <c r="K64" i="2"/>
  <c r="H47" i="2"/>
  <c r="H64" i="2"/>
  <c r="L58" i="2"/>
  <c r="L43" i="2"/>
  <c r="K62" i="2"/>
  <c r="J62" i="2"/>
  <c r="H62" i="2"/>
  <c r="AD61" i="2" l="1"/>
  <c r="AD43" i="2"/>
  <c r="AD58" i="2"/>
  <c r="AD60" i="2"/>
  <c r="I47" i="2"/>
  <c r="I49" i="2" s="1"/>
  <c r="I108" i="2" s="1"/>
  <c r="I64" i="2"/>
  <c r="L47" i="2"/>
  <c r="L64" i="2"/>
  <c r="I62" i="2"/>
  <c r="L62" i="2"/>
  <c r="H49" i="2"/>
  <c r="H108" i="2" s="1"/>
  <c r="H65" i="2"/>
  <c r="J49" i="2"/>
  <c r="J108" i="2" s="1"/>
  <c r="J65" i="2"/>
  <c r="K49" i="2"/>
  <c r="K108" i="2" s="1"/>
  <c r="K65" i="2"/>
  <c r="AD47" i="2" l="1"/>
  <c r="AD62" i="2"/>
  <c r="AD64" i="2"/>
  <c r="I65" i="2"/>
  <c r="L49" i="2"/>
  <c r="L108" i="2" s="1"/>
  <c r="L65" i="2"/>
  <c r="K51" i="2"/>
  <c r="J51" i="2"/>
  <c r="H51" i="2"/>
  <c r="H53" i="2" s="1"/>
  <c r="I51" i="2"/>
  <c r="AD49" i="2" l="1"/>
  <c r="AD108" i="2" s="1"/>
  <c r="AD65" i="2"/>
  <c r="I53" i="2"/>
  <c r="I135" i="2"/>
  <c r="H135" i="2"/>
  <c r="J53" i="2"/>
  <c r="J135" i="2"/>
  <c r="K53" i="2"/>
  <c r="K135" i="2"/>
  <c r="L51" i="2"/>
  <c r="AD51" i="2" l="1"/>
  <c r="L66" i="2"/>
  <c r="L53" i="2"/>
  <c r="L135" i="2"/>
  <c r="K140" i="2"/>
  <c r="K146" i="2" s="1"/>
  <c r="K148" i="2" s="1"/>
  <c r="K138" i="2"/>
  <c r="J138" i="2"/>
  <c r="J140" i="2"/>
  <c r="J146" i="2" s="1"/>
  <c r="J148" i="2" s="1"/>
  <c r="H138" i="2"/>
  <c r="H140" i="2"/>
  <c r="H146" i="2" s="1"/>
  <c r="H148" i="2" s="1"/>
  <c r="I138" i="2"/>
  <c r="I140" i="2"/>
  <c r="I146" i="2" s="1"/>
  <c r="I148" i="2" s="1"/>
  <c r="AD53" i="2" l="1"/>
  <c r="AD66" i="2"/>
  <c r="BA56" i="2"/>
  <c r="BA57" i="2" s="1"/>
  <c r="BA59" i="2" s="1"/>
  <c r="L138" i="2"/>
  <c r="L140" i="2"/>
  <c r="L146" i="2" s="1"/>
  <c r="L14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Gega Mukhigulashvili</author>
  </authors>
  <commentList>
    <comment ref="B10" authorId="0" shapeId="0" xr:uid="{56B09DEE-A1A3-4BE5-9936-C0D0365733ED}">
      <text>
        <r>
          <rPr>
            <b/>
            <sz val="9"/>
            <color indexed="81"/>
            <rFont val="Tahoma"/>
            <family val="2"/>
          </rPr>
          <t>Gega Mukhigulashvili:</t>
        </r>
        <r>
          <rPr>
            <sz val="9"/>
            <color indexed="81"/>
            <rFont val="Tahoma"/>
            <family val="2"/>
          </rPr>
          <t xml:space="preserve">
Tesla retains ownership of the vehicle.</t>
        </r>
      </text>
    </comment>
    <comment ref="B13" authorId="0" shapeId="0" xr:uid="{D65E3FA2-6AEA-4E23-A32E-3ABD78599E0E}">
      <text>
        <r>
          <rPr>
            <b/>
            <sz val="9"/>
            <color indexed="81"/>
            <rFont val="Tahoma"/>
            <family val="2"/>
          </rPr>
          <t>Gega Mukhigulashvili:</t>
        </r>
        <r>
          <rPr>
            <sz val="9"/>
            <color indexed="81"/>
            <rFont val="Tahoma"/>
            <family val="2"/>
          </rPr>
          <t xml:space="preserve">
The number of days a company could continue to sell vehicles at its current rate before running out of inventory.</t>
        </r>
      </text>
    </comment>
    <comment ref="B18" authorId="0" shapeId="0" xr:uid="{D7BF21C9-0DB4-499D-9ACE-22CF3156FA92}">
      <text>
        <r>
          <rPr>
            <b/>
            <sz val="9"/>
            <color indexed="81"/>
            <rFont val="Tahoma"/>
            <family val="2"/>
          </rPr>
          <t>Gega Mukhigulashvili:</t>
        </r>
        <r>
          <rPr>
            <sz val="9"/>
            <color indexed="81"/>
            <rFont val="Tahoma"/>
            <family val="2"/>
          </rPr>
          <t xml:space="preserve">
Technicians travel to a customer's home or office to perform common repairs and maintenance tasks.</t>
        </r>
      </text>
    </comment>
    <comment ref="B26" authorId="0" shapeId="0" xr:uid="{A9298905-CC6C-4F2A-9C1C-48FED3FBF79A}">
      <text>
        <r>
          <rPr>
            <b/>
            <sz val="9"/>
            <color indexed="81"/>
            <rFont val="Tahoma"/>
            <family val="2"/>
          </rPr>
          <t>Gega Mukhigulashvili:</t>
        </r>
        <r>
          <rPr>
            <sz val="9"/>
            <color indexed="81"/>
            <rFont val="Tahoma"/>
            <family val="2"/>
          </rPr>
          <t xml:space="preserve">
Governments set regulations that require a certain percentage of the vehicles sold by each manufacturer to be ZEVs. A car manufacturer earns credits for every ZEV it sells. Selling a vehicle with a larger battery or longer range can earn more credits. If a manufacturer sells more ZEVs than its required quota, it can sell its excess credits to other manufacturers who fail to meet their quota. Manufacturers who do not meet their quota have two choices: Buy credits from other companies or pay a fine to the government. Companies like Tesla, which exclusively sell ZEVs, generate a large number of excess credits. They can then sell these credits for a profit to other automakers (like GM or Chrysler) that are still heavily reliant on gasoline-powered vehicles and haven't met their ZEV quotas.</t>
        </r>
      </text>
    </comment>
  </commentList>
</comments>
</file>

<file path=xl/sharedStrings.xml><?xml version="1.0" encoding="utf-8"?>
<sst xmlns="http://schemas.openxmlformats.org/spreadsheetml/2006/main" count="193" uniqueCount="170">
  <si>
    <t>Tech</t>
  </si>
  <si>
    <t>Price</t>
  </si>
  <si>
    <t>S/O</t>
  </si>
  <si>
    <t>MC</t>
  </si>
  <si>
    <t>Cash</t>
  </si>
  <si>
    <t>Debt</t>
  </si>
  <si>
    <t>EV</t>
  </si>
  <si>
    <t>Main</t>
  </si>
  <si>
    <t>Q223</t>
  </si>
  <si>
    <t>Q323</t>
  </si>
  <si>
    <t>Q423</t>
  </si>
  <si>
    <t>Q124</t>
  </si>
  <si>
    <t>Q224</t>
  </si>
  <si>
    <t>Q324</t>
  </si>
  <si>
    <t>Q424</t>
  </si>
  <si>
    <t>Q125</t>
  </si>
  <si>
    <t>Q225</t>
  </si>
  <si>
    <t>Q325</t>
  </si>
  <si>
    <t>Q425</t>
  </si>
  <si>
    <t>Model 3/Y production</t>
  </si>
  <si>
    <t>Other models production</t>
  </si>
  <si>
    <t>Total</t>
  </si>
  <si>
    <t>Model 3/Y deliveries</t>
  </si>
  <si>
    <t>Other models deliveries</t>
  </si>
  <si>
    <t>Operating lease accounting</t>
  </si>
  <si>
    <t>Total end of quarter operating lease vehicle count</t>
  </si>
  <si>
    <t>Globlal vehicle inventory (days of supply)</t>
  </si>
  <si>
    <t>Storage deployed (GWh)</t>
  </si>
  <si>
    <t>Tesla locations</t>
  </si>
  <si>
    <t>Mobile service fleet</t>
  </si>
  <si>
    <t>Supercharger stations</t>
  </si>
  <si>
    <t>Supercharger connectors</t>
  </si>
  <si>
    <t>Region</t>
  </si>
  <si>
    <t>Model</t>
  </si>
  <si>
    <t>Capacity</t>
  </si>
  <si>
    <t>Status</t>
  </si>
  <si>
    <t>California</t>
  </si>
  <si>
    <t>Model 5/Model X</t>
  </si>
  <si>
    <t>Model 3/Model Y</t>
  </si>
  <si>
    <t>Model Y</t>
  </si>
  <si>
    <t>Cybertruck</t>
  </si>
  <si>
    <t>Cybercab</t>
  </si>
  <si>
    <t>Tesla Semi</t>
  </si>
  <si>
    <t>Roadster</t>
  </si>
  <si>
    <t>TBD</t>
  </si>
  <si>
    <t>Nevada</t>
  </si>
  <si>
    <t>Texas</t>
  </si>
  <si>
    <t>Berlin</t>
  </si>
  <si>
    <t>Shanghai</t>
  </si>
  <si>
    <t>&gt;550,000</t>
  </si>
  <si>
    <t>&gt;950,000</t>
  </si>
  <si>
    <t>&gt;375,000</t>
  </si>
  <si>
    <t>&gt;250,000</t>
  </si>
  <si>
    <t>&gt;125,000</t>
  </si>
  <si>
    <t>-</t>
  </si>
  <si>
    <t>Production</t>
  </si>
  <si>
    <t>Construction</t>
  </si>
  <si>
    <t>Design development</t>
  </si>
  <si>
    <t>Automotive sales</t>
  </si>
  <si>
    <t>Automotive regulatory credits</t>
  </si>
  <si>
    <t>Automative leasing</t>
  </si>
  <si>
    <t>Total automative revenues</t>
  </si>
  <si>
    <t>Energy generation and storage</t>
  </si>
  <si>
    <t>Services and other</t>
  </si>
  <si>
    <t>Total revenues</t>
  </si>
  <si>
    <t>Automative sales cost</t>
  </si>
  <si>
    <t>Total automative costs</t>
  </si>
  <si>
    <t>Gross profit</t>
  </si>
  <si>
    <t>Total COGS</t>
  </si>
  <si>
    <t>R&amp;D</t>
  </si>
  <si>
    <t>SG&amp;A</t>
  </si>
  <si>
    <t>Restructuring</t>
  </si>
  <si>
    <t>Operating expenses</t>
  </si>
  <si>
    <t>Operating income</t>
  </si>
  <si>
    <t>Interest income</t>
  </si>
  <si>
    <t>Pretax income</t>
  </si>
  <si>
    <t>Taxes</t>
  </si>
  <si>
    <t>Net income</t>
  </si>
  <si>
    <t>Net income attributable to nonconrolling interests</t>
  </si>
  <si>
    <t>Net income attributable to Tesla</t>
  </si>
  <si>
    <t>EPS</t>
  </si>
  <si>
    <t>Gross Margin</t>
  </si>
  <si>
    <t>Automative Margin</t>
  </si>
  <si>
    <t>Energy Margin</t>
  </si>
  <si>
    <t>Service Margin</t>
  </si>
  <si>
    <t>R&amp;D Margin</t>
  </si>
  <si>
    <t>SG&amp;A Margin</t>
  </si>
  <si>
    <t>Operating Margin</t>
  </si>
  <si>
    <t>Interest Margin</t>
  </si>
  <si>
    <t>Tax Margin</t>
  </si>
  <si>
    <t>Net Margin</t>
  </si>
  <si>
    <t>Automative revenue Y/Y</t>
  </si>
  <si>
    <t>Energy revenue Y/Y</t>
  </si>
  <si>
    <t>Service revenue Y/Y</t>
  </si>
  <si>
    <t>Revenue Y/Y</t>
  </si>
  <si>
    <t>Production Y/Y</t>
  </si>
  <si>
    <t>Deliveries Y/Y</t>
  </si>
  <si>
    <t>A/R</t>
  </si>
  <si>
    <t>Inv.</t>
  </si>
  <si>
    <t>Prepaids</t>
  </si>
  <si>
    <t>Operating lease</t>
  </si>
  <si>
    <t>Solar energy systems</t>
  </si>
  <si>
    <t>PP&amp;A</t>
  </si>
  <si>
    <t>Operating lease ROU</t>
  </si>
  <si>
    <t>Digital assets</t>
  </si>
  <si>
    <t>Goodwill</t>
  </si>
  <si>
    <t>Deferred tax</t>
  </si>
  <si>
    <t>ONCA</t>
  </si>
  <si>
    <t>Total Assets</t>
  </si>
  <si>
    <t>A/P</t>
  </si>
  <si>
    <t>Accrued liabilitie</t>
  </si>
  <si>
    <t>Deferred revenue</t>
  </si>
  <si>
    <t>Current debt</t>
  </si>
  <si>
    <t>Non-current debt</t>
  </si>
  <si>
    <t>Non-current deferred revenue</t>
  </si>
  <si>
    <t>ONCL</t>
  </si>
  <si>
    <t>Total liabilities</t>
  </si>
  <si>
    <t>Redeemable noncontrolling interests</t>
  </si>
  <si>
    <t>SE</t>
  </si>
  <si>
    <t>Noncontrolling interests</t>
  </si>
  <si>
    <t>L+SE</t>
  </si>
  <si>
    <t>Net Cash</t>
  </si>
  <si>
    <t>Total SE</t>
  </si>
  <si>
    <t>Model NI</t>
  </si>
  <si>
    <t>GAAP NI</t>
  </si>
  <si>
    <t>D&amp;A</t>
  </si>
  <si>
    <t>Stock-based comp.</t>
  </si>
  <si>
    <t>Deferred income taxes</t>
  </si>
  <si>
    <t xml:space="preserve">Digital assets loss </t>
  </si>
  <si>
    <t>Other</t>
  </si>
  <si>
    <t>Changes in operating assets and liabilities</t>
  </si>
  <si>
    <t>CFFO</t>
  </si>
  <si>
    <t>CapEx</t>
  </si>
  <si>
    <t>Investments</t>
  </si>
  <si>
    <t>CFFI</t>
  </si>
  <si>
    <t>Net borrowings under vehicle and energy product financing</t>
  </si>
  <si>
    <t>Net cash flows from noncontrolling interests - Solar</t>
  </si>
  <si>
    <t>CFFF</t>
  </si>
  <si>
    <t>FX adj</t>
  </si>
  <si>
    <t>CF</t>
  </si>
  <si>
    <t>BOP Cash</t>
  </si>
  <si>
    <t>EOP Cash</t>
  </si>
  <si>
    <t>FCF</t>
  </si>
  <si>
    <t>CapEx margin</t>
  </si>
  <si>
    <t>Net income attributable to common stockholders (GAAP)</t>
  </si>
  <si>
    <t>Stock-based compensation</t>
  </si>
  <si>
    <t>Net income attributable to common stockholders (non-GAAP)</t>
  </si>
  <si>
    <t>Stock-based compensation, net of tax</t>
  </si>
  <si>
    <t>Digital assets, net of tax</t>
  </si>
  <si>
    <t>Interest expense</t>
  </si>
  <si>
    <t>Provision for income taxes</t>
  </si>
  <si>
    <t>Adjusted EBITDA (non-GAAP)</t>
  </si>
  <si>
    <t>Total Revenues</t>
  </si>
  <si>
    <t>Adjusted EBITDA margin (non-GAAP)</t>
  </si>
  <si>
    <t>Other income</t>
  </si>
  <si>
    <t>Q123</t>
  </si>
  <si>
    <t>Q126</t>
  </si>
  <si>
    <t>Q226</t>
  </si>
  <si>
    <t>Q326</t>
  </si>
  <si>
    <t>Q426</t>
  </si>
  <si>
    <t>Q127</t>
  </si>
  <si>
    <t>Q227</t>
  </si>
  <si>
    <t>Q327</t>
  </si>
  <si>
    <t>Q427</t>
  </si>
  <si>
    <t>Maturity</t>
  </si>
  <si>
    <t>Discount</t>
  </si>
  <si>
    <t>NPV</t>
  </si>
  <si>
    <t>Share</t>
  </si>
  <si>
    <t>Current</t>
  </si>
  <si>
    <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</si>
</sst>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2" fillId="0" borderId="0" xfId="1"/>
    <xf numFmtId="3" fontId="0" fillId="0" borderId="0" xfId="0" applyNumberFormat="1"/>
    <xf numFmtId="0" fontId="2" fillId="0" borderId="0" xfId="1" applyBorder="1"/>
    <xf numFmtId="0" fontId="0" fillId="0" borderId="0" xfId="0" applyBorder="1"/>
    <xf numFmtId="3" fontId="0" fillId="0" borderId="0" xfId="0" applyNumberFormat="1" applyBorder="1"/>
    <xf numFmtId="3" fontId="0" fillId="0" borderId="0" xfId="0" applyNumberFormat="1" applyBorder="1" applyAlignment="1">
      <alignment horizontal="center"/>
    </xf>
    <xf numFmtId="0" fontId="1" fillId="0" borderId="0" xfId="0" applyFont="1" applyBorder="1"/>
    <xf numFmtId="3" fontId="1" fillId="0" borderId="0" xfId="0" applyNumberFormat="1" applyFont="1" applyBorder="1"/>
    <xf numFmtId="3" fontId="1" fillId="0" borderId="0" xfId="0" applyNumberFormat="1" applyFont="1" applyBorder="1" applyAlignment="1">
      <alignment horizontal="center"/>
    </xf>
    <xf numFmtId="3" fontId="0" fillId="0" borderId="0" xfId="0" applyNumberFormat="1" applyBorder="1" applyAlignment="1">
      <alignment horizontal="center"/>
    </xf>
    <xf numFmtId="164" fontId="0" fillId="0" borderId="0" xfId="0" applyNumberFormat="1" applyBorder="1"/>
    <xf numFmtId="3" fontId="1" fillId="0" borderId="0" xfId="0" applyNumberFormat="1" applyFont="1" applyBorder="1" applyAlignment="1">
      <alignment horizontal="left" indent="1"/>
    </xf>
    <xf numFmtId="3" fontId="1" fillId="2" borderId="0" xfId="0" applyNumberFormat="1" applyFont="1" applyFill="1" applyBorder="1"/>
    <xf numFmtId="4" fontId="0" fillId="0" borderId="0" xfId="0" applyNumberFormat="1" applyBorder="1"/>
    <xf numFmtId="4" fontId="1" fillId="0" borderId="0" xfId="0" applyNumberFormat="1" applyFont="1" applyBorder="1"/>
    <xf numFmtId="165" fontId="0" fillId="0" borderId="0" xfId="0" applyNumberFormat="1" applyBorder="1"/>
    <xf numFmtId="165" fontId="1" fillId="0" borderId="0" xfId="0" applyNumberFormat="1" applyFont="1" applyBorder="1"/>
    <xf numFmtId="9" fontId="0" fillId="0" borderId="0" xfId="0" applyNumberFormat="1" applyBorder="1"/>
    <xf numFmtId="3" fontId="0" fillId="0" borderId="0" xfId="0" applyNumberForma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518160</xdr:colOff>
      <xdr:row>3</xdr:row>
      <xdr:rowOff>0</xdr:rowOff>
    </xdr:from>
    <xdr:to>
      <xdr:col>36</xdr:col>
      <xdr:colOff>479692</xdr:colOff>
      <xdr:row>17</xdr:row>
      <xdr:rowOff>21448</xdr:rowOff>
    </xdr:to>
    <xdr:pic>
      <xdr:nvPicPr>
        <xdr:cNvPr id="2" name="Picture 1">
          <a:extLst>
            <a:ext uri="{FF2B5EF4-FFF2-40B4-BE49-F238E27FC236}">
              <a16:creationId xmlns:a16="http://schemas.microsoft.com/office/drawing/2014/main" id="{89C52BED-A5F8-BA19-7F71-CB548A374E24}"/>
            </a:ext>
          </a:extLst>
        </xdr:cNvPr>
        <xdr:cNvPicPr>
          <a:picLocks noChangeAspect="1"/>
        </xdr:cNvPicPr>
      </xdr:nvPicPr>
      <xdr:blipFill>
        <a:blip xmlns:r="http://schemas.openxmlformats.org/officeDocument/2006/relationships" r:embed="rId1"/>
        <a:stretch>
          <a:fillRect/>
        </a:stretch>
      </xdr:blipFill>
      <xdr:spPr>
        <a:xfrm>
          <a:off x="12527280" y="556260"/>
          <a:ext cx="5447932" cy="2572268"/>
        </a:xfrm>
        <a:prstGeom prst="rect">
          <a:avLst/>
        </a:prstGeom>
      </xdr:spPr>
    </xdr:pic>
    <xdr:clientData/>
  </xdr:twoCellAnchor>
  <xdr:twoCellAnchor editAs="oneCell">
    <xdr:from>
      <xdr:col>36</xdr:col>
      <xdr:colOff>548641</xdr:colOff>
      <xdr:row>2</xdr:row>
      <xdr:rowOff>121921</xdr:rowOff>
    </xdr:from>
    <xdr:to>
      <xdr:col>46</xdr:col>
      <xdr:colOff>293078</xdr:colOff>
      <xdr:row>19</xdr:row>
      <xdr:rowOff>43958</xdr:rowOff>
    </xdr:to>
    <xdr:pic>
      <xdr:nvPicPr>
        <xdr:cNvPr id="3" name="Picture 2">
          <a:extLst>
            <a:ext uri="{FF2B5EF4-FFF2-40B4-BE49-F238E27FC236}">
              <a16:creationId xmlns:a16="http://schemas.microsoft.com/office/drawing/2014/main" id="{4C22826E-4D6C-0C1A-44F4-728294CDFD7E}"/>
            </a:ext>
          </a:extLst>
        </xdr:cNvPr>
        <xdr:cNvPicPr>
          <a:picLocks noChangeAspect="1"/>
        </xdr:cNvPicPr>
      </xdr:nvPicPr>
      <xdr:blipFill>
        <a:blip xmlns:r="http://schemas.openxmlformats.org/officeDocument/2006/relationships" r:embed="rId2"/>
        <a:stretch>
          <a:fillRect/>
        </a:stretch>
      </xdr:blipFill>
      <xdr:spPr>
        <a:xfrm>
          <a:off x="18543564" y="473613"/>
          <a:ext cx="5801360" cy="2951946"/>
        </a:xfrm>
        <a:prstGeom prst="rect">
          <a:avLst/>
        </a:prstGeom>
      </xdr:spPr>
    </xdr:pic>
    <xdr:clientData/>
  </xdr:twoCellAnchor>
  <xdr:twoCellAnchor editAs="oneCell">
    <xdr:from>
      <xdr:col>27</xdr:col>
      <xdr:colOff>583258</xdr:colOff>
      <xdr:row>3</xdr:row>
      <xdr:rowOff>9409</xdr:rowOff>
    </xdr:from>
    <xdr:to>
      <xdr:col>36</xdr:col>
      <xdr:colOff>318766</xdr:colOff>
      <xdr:row>17</xdr:row>
      <xdr:rowOff>112887</xdr:rowOff>
    </xdr:to>
    <xdr:pic>
      <xdr:nvPicPr>
        <xdr:cNvPr id="4" name="Picture 3">
          <a:extLst>
            <a:ext uri="{FF2B5EF4-FFF2-40B4-BE49-F238E27FC236}">
              <a16:creationId xmlns:a16="http://schemas.microsoft.com/office/drawing/2014/main" id="{BBC90B58-52AF-5117-7D8C-8201ED10E5AE}"/>
            </a:ext>
          </a:extLst>
        </xdr:cNvPr>
        <xdr:cNvPicPr>
          <a:picLocks noChangeAspect="1"/>
        </xdr:cNvPicPr>
      </xdr:nvPicPr>
      <xdr:blipFill>
        <a:blip xmlns:r="http://schemas.openxmlformats.org/officeDocument/2006/relationships" r:embed="rId3"/>
        <a:stretch>
          <a:fillRect/>
        </a:stretch>
      </xdr:blipFill>
      <xdr:spPr>
        <a:xfrm>
          <a:off x="18128073" y="545631"/>
          <a:ext cx="5238841" cy="26058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Tech.xls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C29" sqref="C29"/>
    </sheetView>
  </sheetViews>
  <sheetFormatPr defaultRowHeight="14.4" x14ac:dyDescent="0.3"/>
  <sheetData>
    <row r="1" spans="1:10" x14ac:dyDescent="0.3">
      <c r="A1" s="1" t="s">
        <v>0</v>
      </c>
    </row>
    <row r="4" spans="1:10" x14ac:dyDescent="0.3">
      <c r="I4" t="s">
        <v>1</v>
      </c>
      <c r="J4">
        <v>459.21</v>
      </c>
    </row>
    <row r="5" spans="1:10" x14ac:dyDescent="0.3">
      <c r="I5" t="s">
        <v>2</v>
      </c>
      <c r="J5" s="2">
        <f>+Model!M52</f>
        <v>3325.8191670000001</v>
      </c>
    </row>
    <row r="6" spans="1:10" x14ac:dyDescent="0.3">
      <c r="I6" t="s">
        <v>3</v>
      </c>
      <c r="J6" s="2">
        <f>+J4*J5</f>
        <v>1527249.4196780699</v>
      </c>
    </row>
    <row r="7" spans="1:10" x14ac:dyDescent="0.3">
      <c r="I7" t="s">
        <v>4</v>
      </c>
      <c r="J7" s="2">
        <f>Model!L79</f>
        <v>36782</v>
      </c>
    </row>
    <row r="8" spans="1:10" x14ac:dyDescent="0.3">
      <c r="I8" t="s">
        <v>5</v>
      </c>
      <c r="J8" s="2">
        <f>Model!L96+Model!L95</f>
        <v>7220</v>
      </c>
    </row>
    <row r="10" spans="1:10" x14ac:dyDescent="0.3">
      <c r="I10" t="s">
        <v>6</v>
      </c>
      <c r="J10" s="2">
        <f>J6-J7+J8</f>
        <v>1497687.4196780699</v>
      </c>
    </row>
  </sheetData>
  <hyperlinks>
    <hyperlink ref="A1" r:id="rId1" xr:uid="{67F3A316-2022-434D-9997-FB41BBCD6C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295C-E7CB-4881-BA3A-E20421B4715A}">
  <dimension ref="A1:NY148"/>
  <sheetViews>
    <sheetView tabSelected="1" zoomScale="81" zoomScaleNormal="70" workbookViewId="0">
      <pane xSplit="2" ySplit="2" topLeftCell="C44" activePane="bottomRight" state="frozen"/>
      <selection pane="topRight" activeCell="C1" sqref="C1"/>
      <selection pane="bottomLeft" activeCell="A3" sqref="A3"/>
      <selection pane="bottomRight" activeCell="M71" sqref="M71"/>
    </sheetView>
  </sheetViews>
  <sheetFormatPr defaultRowHeight="14.4" x14ac:dyDescent="0.3"/>
  <cols>
    <col min="1" max="24" width="8.88671875" style="4"/>
    <col min="25" max="25" width="15.21875" style="4" bestFit="1" customWidth="1"/>
    <col min="26" max="26" width="8.88671875" style="4"/>
    <col min="27" max="27" width="17.6640625" style="4" bestFit="1" customWidth="1"/>
    <col min="28" max="52" width="8.88671875" style="4"/>
    <col min="53" max="53" width="12" style="4" bestFit="1" customWidth="1"/>
    <col min="54" max="16384" width="8.88671875" style="4"/>
  </cols>
  <sheetData>
    <row r="1" spans="1:50" x14ac:dyDescent="0.3">
      <c r="A1" s="3" t="s">
        <v>7</v>
      </c>
    </row>
    <row r="2" spans="1:50" x14ac:dyDescent="0.3">
      <c r="C2" s="4" t="s">
        <v>155</v>
      </c>
      <c r="D2" s="4" t="s">
        <v>8</v>
      </c>
      <c r="E2" s="4" t="s">
        <v>9</v>
      </c>
      <c r="F2" s="4" t="s">
        <v>10</v>
      </c>
      <c r="G2" s="4" t="s">
        <v>11</v>
      </c>
      <c r="H2" s="4" t="s">
        <v>12</v>
      </c>
      <c r="I2" s="4" t="s">
        <v>13</v>
      </c>
      <c r="J2" s="4" t="s">
        <v>14</v>
      </c>
      <c r="K2" s="4" t="s">
        <v>15</v>
      </c>
      <c r="L2" s="4" t="s">
        <v>16</v>
      </c>
      <c r="M2" s="4" t="s">
        <v>17</v>
      </c>
      <c r="N2" s="4" t="s">
        <v>18</v>
      </c>
      <c r="O2" s="4" t="s">
        <v>156</v>
      </c>
      <c r="P2" s="4" t="s">
        <v>157</v>
      </c>
      <c r="Q2" s="4" t="s">
        <v>158</v>
      </c>
      <c r="R2" s="4" t="s">
        <v>159</v>
      </c>
      <c r="S2" s="4" t="s">
        <v>160</v>
      </c>
      <c r="T2" s="4" t="s">
        <v>161</v>
      </c>
      <c r="U2" s="4" t="s">
        <v>162</v>
      </c>
      <c r="V2" s="4" t="s">
        <v>163</v>
      </c>
      <c r="AB2" s="4">
        <v>2023</v>
      </c>
      <c r="AC2" s="4">
        <v>2024</v>
      </c>
      <c r="AD2" s="4">
        <v>2025</v>
      </c>
      <c r="AE2" s="4">
        <v>2026</v>
      </c>
      <c r="AF2" s="4">
        <v>2027</v>
      </c>
      <c r="AG2" s="4">
        <v>2028</v>
      </c>
      <c r="AH2" s="4">
        <v>2029</v>
      </c>
      <c r="AI2" s="4">
        <v>2030</v>
      </c>
      <c r="AJ2" s="4">
        <v>2031</v>
      </c>
      <c r="AK2" s="4">
        <v>2032</v>
      </c>
      <c r="AL2" s="4">
        <v>2033</v>
      </c>
      <c r="AM2" s="4">
        <v>2034</v>
      </c>
      <c r="AN2" s="4">
        <v>2035</v>
      </c>
      <c r="AO2" s="4">
        <v>2036</v>
      </c>
      <c r="AP2" s="4">
        <v>2037</v>
      </c>
      <c r="AQ2" s="4">
        <v>2038</v>
      </c>
      <c r="AR2" s="4">
        <v>2039</v>
      </c>
      <c r="AS2" s="4">
        <v>2040</v>
      </c>
      <c r="AT2" s="4">
        <v>2041</v>
      </c>
      <c r="AU2" s="4">
        <v>2042</v>
      </c>
      <c r="AV2" s="4">
        <v>2043</v>
      </c>
      <c r="AW2" s="4">
        <v>2044</v>
      </c>
      <c r="AX2" s="4">
        <v>2045</v>
      </c>
    </row>
    <row r="3" spans="1:50" s="5" customFormat="1" x14ac:dyDescent="0.3">
      <c r="A3" s="4"/>
      <c r="B3" s="4" t="s">
        <v>19</v>
      </c>
      <c r="C3" s="4">
        <v>421371</v>
      </c>
      <c r="D3" s="5">
        <v>460211</v>
      </c>
      <c r="E3" s="5">
        <v>416800</v>
      </c>
      <c r="F3" s="5">
        <v>476777</v>
      </c>
      <c r="G3" s="5">
        <v>412376</v>
      </c>
      <c r="H3" s="5">
        <v>386576</v>
      </c>
      <c r="I3" s="5">
        <v>443668</v>
      </c>
      <c r="J3" s="5">
        <v>436718</v>
      </c>
      <c r="K3" s="5">
        <v>345454</v>
      </c>
      <c r="L3" s="5">
        <v>396835</v>
      </c>
      <c r="M3" s="5">
        <v>435826</v>
      </c>
    </row>
    <row r="4" spans="1:50" s="5" customFormat="1" x14ac:dyDescent="0.3">
      <c r="A4" s="4"/>
      <c r="B4" s="4" t="s">
        <v>20</v>
      </c>
      <c r="C4" s="4">
        <v>19437</v>
      </c>
      <c r="D4" s="5">
        <v>19489</v>
      </c>
      <c r="E4" s="5">
        <v>13688</v>
      </c>
      <c r="F4" s="5">
        <v>18212</v>
      </c>
      <c r="G4" s="5">
        <v>20995</v>
      </c>
      <c r="H4" s="5">
        <v>24255</v>
      </c>
      <c r="I4" s="5">
        <v>26128</v>
      </c>
      <c r="J4" s="5">
        <v>22727</v>
      </c>
      <c r="K4" s="5">
        <v>17161</v>
      </c>
      <c r="L4" s="5">
        <v>13409</v>
      </c>
      <c r="M4" s="5">
        <v>11624</v>
      </c>
      <c r="X4" s="6" t="s">
        <v>16</v>
      </c>
      <c r="Y4" s="6"/>
      <c r="Z4" s="6"/>
      <c r="AA4" s="6"/>
    </row>
    <row r="5" spans="1:50" s="8" customFormat="1" x14ac:dyDescent="0.3">
      <c r="A5" s="7"/>
      <c r="B5" s="7" t="s">
        <v>21</v>
      </c>
      <c r="C5" s="8">
        <f t="shared" ref="C5" si="0">SUM(C3:C4)</f>
        <v>440808</v>
      </c>
      <c r="D5" s="8">
        <f t="shared" ref="D5" si="1">SUM(D3:D4)</f>
        <v>479700</v>
      </c>
      <c r="E5" s="8">
        <f t="shared" ref="E5" si="2">SUM(E3:E4)</f>
        <v>430488</v>
      </c>
      <c r="F5" s="8">
        <f t="shared" ref="F5" si="3">SUM(F3:F4)</f>
        <v>494989</v>
      </c>
      <c r="G5" s="8">
        <f t="shared" ref="G5" si="4">SUM(G3:G4)</f>
        <v>433371</v>
      </c>
      <c r="H5" s="8">
        <f t="shared" ref="H5:K5" si="5">SUM(H3:H4)</f>
        <v>410831</v>
      </c>
      <c r="I5" s="8">
        <f t="shared" si="5"/>
        <v>469796</v>
      </c>
      <c r="J5" s="8">
        <f t="shared" si="5"/>
        <v>459445</v>
      </c>
      <c r="K5" s="8">
        <f t="shared" si="5"/>
        <v>362615</v>
      </c>
      <c r="L5" s="8">
        <f>SUM(L3:L4)</f>
        <v>410244</v>
      </c>
      <c r="M5" s="8">
        <f t="shared" ref="M5" si="6">SUM(M3:M4)</f>
        <v>447450</v>
      </c>
      <c r="X5" s="8" t="s">
        <v>32</v>
      </c>
      <c r="Y5" s="8" t="s">
        <v>33</v>
      </c>
      <c r="Z5" s="9" t="s">
        <v>34</v>
      </c>
      <c r="AA5" s="9" t="s">
        <v>35</v>
      </c>
    </row>
    <row r="6" spans="1:50" s="5" customFormat="1" x14ac:dyDescent="0.3">
      <c r="A6" s="4"/>
      <c r="B6" s="4"/>
      <c r="C6" s="4"/>
      <c r="X6" s="5" t="s">
        <v>36</v>
      </c>
      <c r="Y6" s="5" t="s">
        <v>37</v>
      </c>
      <c r="Z6" s="10">
        <v>100000</v>
      </c>
      <c r="AA6" s="10" t="s">
        <v>55</v>
      </c>
    </row>
    <row r="7" spans="1:50" s="5" customFormat="1" x14ac:dyDescent="0.3">
      <c r="A7" s="4"/>
      <c r="B7" s="4" t="s">
        <v>22</v>
      </c>
      <c r="C7" s="4">
        <v>412180</v>
      </c>
      <c r="D7" s="5">
        <v>446915</v>
      </c>
      <c r="E7" s="5">
        <v>419074</v>
      </c>
      <c r="F7" s="5">
        <v>461538</v>
      </c>
      <c r="G7" s="5">
        <v>369783</v>
      </c>
      <c r="H7" s="5">
        <v>422405</v>
      </c>
      <c r="I7" s="5">
        <v>439975</v>
      </c>
      <c r="J7" s="5">
        <v>471930</v>
      </c>
      <c r="K7" s="5">
        <v>323800</v>
      </c>
      <c r="L7" s="5">
        <v>373728</v>
      </c>
      <c r="M7" s="5">
        <v>481166</v>
      </c>
      <c r="Y7" s="5" t="s">
        <v>38</v>
      </c>
      <c r="Z7" s="10" t="s">
        <v>49</v>
      </c>
      <c r="AA7" s="10" t="s">
        <v>55</v>
      </c>
    </row>
    <row r="8" spans="1:50" s="5" customFormat="1" x14ac:dyDescent="0.3">
      <c r="A8" s="4"/>
      <c r="B8" s="4" t="s">
        <v>23</v>
      </c>
      <c r="C8" s="4">
        <v>10695</v>
      </c>
      <c r="D8" s="5">
        <v>19225</v>
      </c>
      <c r="E8" s="5">
        <v>15985</v>
      </c>
      <c r="F8" s="5">
        <v>22969</v>
      </c>
      <c r="G8" s="5">
        <v>17027</v>
      </c>
      <c r="H8" s="5">
        <v>21551</v>
      </c>
      <c r="I8" s="5">
        <v>22915</v>
      </c>
      <c r="J8" s="5">
        <v>23640</v>
      </c>
      <c r="K8" s="5">
        <v>12881</v>
      </c>
      <c r="L8" s="5">
        <v>10394</v>
      </c>
      <c r="M8" s="5">
        <v>15933</v>
      </c>
      <c r="X8" s="5" t="s">
        <v>48</v>
      </c>
      <c r="Y8" s="5" t="s">
        <v>38</v>
      </c>
      <c r="Z8" s="10" t="s">
        <v>50</v>
      </c>
      <c r="AA8" s="10" t="s">
        <v>55</v>
      </c>
    </row>
    <row r="9" spans="1:50" s="8" customFormat="1" x14ac:dyDescent="0.3">
      <c r="A9" s="7"/>
      <c r="B9" s="7" t="s">
        <v>21</v>
      </c>
      <c r="C9" s="8">
        <f t="shared" ref="C9" si="7">SUM(C7:C8)</f>
        <v>422875</v>
      </c>
      <c r="D9" s="8">
        <f t="shared" ref="D9" si="8">SUM(D7:D8)</f>
        <v>466140</v>
      </c>
      <c r="E9" s="8">
        <f t="shared" ref="E9" si="9">SUM(E7:E8)</f>
        <v>435059</v>
      </c>
      <c r="F9" s="8">
        <f t="shared" ref="F9" si="10">SUM(F7:F8)</f>
        <v>484507</v>
      </c>
      <c r="G9" s="8">
        <f t="shared" ref="G9" si="11">SUM(G7:G8)</f>
        <v>386810</v>
      </c>
      <c r="H9" s="8">
        <f t="shared" ref="H9:M9" si="12">SUM(H7:H8)</f>
        <v>443956</v>
      </c>
      <c r="I9" s="8">
        <f>SUM(I7:I8)</f>
        <v>462890</v>
      </c>
      <c r="J9" s="8">
        <f t="shared" si="12"/>
        <v>495570</v>
      </c>
      <c r="K9" s="8">
        <f t="shared" si="12"/>
        <v>336681</v>
      </c>
      <c r="L9" s="8">
        <f t="shared" si="12"/>
        <v>384122</v>
      </c>
      <c r="M9" s="8">
        <f t="shared" si="12"/>
        <v>497099</v>
      </c>
      <c r="X9" s="5" t="s">
        <v>47</v>
      </c>
      <c r="Y9" s="5" t="s">
        <v>39</v>
      </c>
      <c r="Z9" s="10" t="s">
        <v>51</v>
      </c>
      <c r="AA9" s="10" t="s">
        <v>55</v>
      </c>
    </row>
    <row r="10" spans="1:50" s="5" customFormat="1" x14ac:dyDescent="0.3">
      <c r="B10" s="5" t="s">
        <v>24</v>
      </c>
      <c r="C10" s="5">
        <v>22357</v>
      </c>
      <c r="D10" s="5">
        <v>21883</v>
      </c>
      <c r="E10" s="5">
        <v>17423</v>
      </c>
      <c r="F10" s="5">
        <v>10563</v>
      </c>
      <c r="G10" s="5">
        <v>8365</v>
      </c>
      <c r="H10" s="5">
        <v>10227</v>
      </c>
      <c r="I10" s="5">
        <v>14449</v>
      </c>
      <c r="J10" s="5">
        <v>26962</v>
      </c>
      <c r="K10" s="5">
        <v>13721</v>
      </c>
      <c r="L10" s="5">
        <v>6670</v>
      </c>
      <c r="M10" s="5">
        <v>10230</v>
      </c>
      <c r="X10" s="5" t="s">
        <v>46</v>
      </c>
      <c r="Y10" s="5" t="s">
        <v>39</v>
      </c>
      <c r="Z10" s="10" t="s">
        <v>52</v>
      </c>
      <c r="AA10" s="10" t="s">
        <v>55</v>
      </c>
    </row>
    <row r="11" spans="1:50" x14ac:dyDescent="0.3">
      <c r="Y11" s="5" t="s">
        <v>40</v>
      </c>
      <c r="Z11" s="10" t="s">
        <v>53</v>
      </c>
      <c r="AA11" s="10" t="s">
        <v>55</v>
      </c>
    </row>
    <row r="12" spans="1:50" x14ac:dyDescent="0.3">
      <c r="B12" s="4" t="s">
        <v>25</v>
      </c>
      <c r="C12" s="4">
        <v>153988</v>
      </c>
      <c r="D12" s="5">
        <v>168058</v>
      </c>
      <c r="E12" s="5">
        <v>176231</v>
      </c>
      <c r="F12" s="5">
        <v>176564</v>
      </c>
      <c r="G12" s="5">
        <v>173131</v>
      </c>
      <c r="H12" s="5">
        <v>171353</v>
      </c>
      <c r="I12" s="5">
        <v>168867</v>
      </c>
      <c r="J12" s="5">
        <v>180523</v>
      </c>
      <c r="K12" s="5">
        <v>179930</v>
      </c>
      <c r="L12" s="5">
        <v>172882</v>
      </c>
      <c r="M12" s="19">
        <v>170017</v>
      </c>
      <c r="Y12" s="5" t="s">
        <v>41</v>
      </c>
      <c r="Z12" s="10" t="s">
        <v>54</v>
      </c>
      <c r="AA12" s="10" t="s">
        <v>56</v>
      </c>
    </row>
    <row r="13" spans="1:50" x14ac:dyDescent="0.3">
      <c r="B13" s="4" t="s">
        <v>26</v>
      </c>
      <c r="C13" s="4">
        <v>15</v>
      </c>
      <c r="D13" s="5">
        <v>16</v>
      </c>
      <c r="E13" s="5">
        <v>16</v>
      </c>
      <c r="F13" s="5">
        <v>15</v>
      </c>
      <c r="G13" s="5">
        <v>28</v>
      </c>
      <c r="H13" s="5">
        <v>18</v>
      </c>
      <c r="I13" s="5">
        <v>19</v>
      </c>
      <c r="J13" s="5">
        <v>12</v>
      </c>
      <c r="K13" s="5">
        <v>22</v>
      </c>
      <c r="L13" s="5">
        <v>24</v>
      </c>
      <c r="M13" s="19">
        <v>10</v>
      </c>
      <c r="X13" s="4" t="s">
        <v>45</v>
      </c>
      <c r="Y13" s="5" t="s">
        <v>42</v>
      </c>
      <c r="Z13" s="10" t="s">
        <v>54</v>
      </c>
      <c r="AA13" s="10" t="s">
        <v>56</v>
      </c>
    </row>
    <row r="14" spans="1:50" x14ac:dyDescent="0.3">
      <c r="X14" s="4" t="s">
        <v>44</v>
      </c>
      <c r="Y14" s="5" t="s">
        <v>43</v>
      </c>
      <c r="Z14" s="10" t="s">
        <v>54</v>
      </c>
      <c r="AA14" s="10" t="s">
        <v>57</v>
      </c>
    </row>
    <row r="15" spans="1:50" s="11" customFormat="1" x14ac:dyDescent="0.3">
      <c r="B15" s="11" t="s">
        <v>27</v>
      </c>
      <c r="C15" s="11">
        <v>3.9</v>
      </c>
      <c r="D15" s="11">
        <v>3.7</v>
      </c>
      <c r="E15" s="11">
        <v>4</v>
      </c>
      <c r="F15" s="11">
        <v>3.2</v>
      </c>
      <c r="G15" s="11">
        <v>4.0999999999999996</v>
      </c>
      <c r="H15" s="11">
        <v>9.4</v>
      </c>
      <c r="I15" s="11">
        <v>6.9</v>
      </c>
      <c r="J15" s="11">
        <v>11</v>
      </c>
      <c r="K15" s="11">
        <v>10.4</v>
      </c>
      <c r="L15" s="11">
        <v>9.6</v>
      </c>
      <c r="M15" s="11">
        <v>12.5</v>
      </c>
    </row>
    <row r="17" spans="1:50" s="5" customFormat="1" x14ac:dyDescent="0.3">
      <c r="B17" s="5" t="s">
        <v>28</v>
      </c>
      <c r="C17" s="5">
        <v>1000</v>
      </c>
      <c r="D17" s="5">
        <v>1068</v>
      </c>
      <c r="E17" s="5">
        <v>1129</v>
      </c>
      <c r="F17" s="5">
        <v>1208</v>
      </c>
      <c r="G17" s="5">
        <v>1258</v>
      </c>
      <c r="H17" s="5">
        <v>1286</v>
      </c>
      <c r="I17" s="5">
        <v>1306</v>
      </c>
      <c r="J17" s="5">
        <v>1359</v>
      </c>
      <c r="K17" s="5">
        <v>1390</v>
      </c>
      <c r="L17" s="5">
        <v>1454</v>
      </c>
      <c r="M17" s="5">
        <v>1498</v>
      </c>
    </row>
    <row r="18" spans="1:50" s="5" customFormat="1" x14ac:dyDescent="0.3">
      <c r="B18" s="5" t="s">
        <v>29</v>
      </c>
      <c r="C18" s="5">
        <v>1692</v>
      </c>
      <c r="D18" s="5">
        <v>1769</v>
      </c>
      <c r="E18" s="5">
        <v>1846</v>
      </c>
      <c r="F18" s="5">
        <v>1909</v>
      </c>
      <c r="G18" s="5">
        <v>1897</v>
      </c>
      <c r="H18" s="5">
        <v>1896</v>
      </c>
      <c r="I18" s="5">
        <v>1933</v>
      </c>
      <c r="J18" s="5">
        <v>1895</v>
      </c>
      <c r="K18" s="5">
        <v>1799</v>
      </c>
      <c r="L18" s="5">
        <v>1684</v>
      </c>
      <c r="M18" s="5">
        <v>1699</v>
      </c>
    </row>
    <row r="20" spans="1:50" s="5" customFormat="1" x14ac:dyDescent="0.3">
      <c r="B20" s="5" t="s">
        <v>30</v>
      </c>
      <c r="C20" s="5">
        <v>4947</v>
      </c>
      <c r="D20" s="5">
        <v>5265</v>
      </c>
      <c r="E20" s="5">
        <v>5595</v>
      </c>
      <c r="F20" s="5">
        <v>5952</v>
      </c>
      <c r="G20" s="5">
        <v>6249</v>
      </c>
      <c r="H20" s="5">
        <v>6473</v>
      </c>
      <c r="I20" s="5">
        <v>6706</v>
      </c>
      <c r="J20" s="5">
        <v>6975</v>
      </c>
      <c r="K20" s="5">
        <v>7131</v>
      </c>
      <c r="L20" s="5">
        <v>7377</v>
      </c>
      <c r="M20" s="5">
        <v>7753</v>
      </c>
    </row>
    <row r="21" spans="1:50" s="5" customFormat="1" x14ac:dyDescent="0.3">
      <c r="B21" s="5" t="s">
        <v>31</v>
      </c>
      <c r="C21" s="5">
        <v>45169</v>
      </c>
      <c r="D21" s="5">
        <v>48082</v>
      </c>
      <c r="E21" s="5">
        <v>51105</v>
      </c>
      <c r="F21" s="5">
        <v>54892</v>
      </c>
      <c r="G21" s="5">
        <v>57579</v>
      </c>
      <c r="H21" s="5">
        <v>59596</v>
      </c>
      <c r="I21" s="5">
        <v>62421</v>
      </c>
      <c r="J21" s="5">
        <v>65495</v>
      </c>
      <c r="K21" s="5">
        <v>67316</v>
      </c>
      <c r="L21" s="5">
        <v>70228</v>
      </c>
      <c r="M21" s="5">
        <v>73817</v>
      </c>
    </row>
    <row r="25" spans="1:50" s="5" customFormat="1" x14ac:dyDescent="0.3">
      <c r="A25" s="4"/>
      <c r="B25" s="5" t="s">
        <v>58</v>
      </c>
      <c r="C25" s="5">
        <v>18878</v>
      </c>
      <c r="D25" s="5">
        <v>20419</v>
      </c>
      <c r="E25" s="5">
        <v>18582</v>
      </c>
      <c r="F25" s="5">
        <v>20630</v>
      </c>
      <c r="G25" s="5">
        <v>16460</v>
      </c>
      <c r="H25" s="5">
        <v>18530</v>
      </c>
      <c r="I25" s="5">
        <v>18831</v>
      </c>
      <c r="J25" s="5">
        <v>18659</v>
      </c>
      <c r="K25" s="5">
        <v>12925</v>
      </c>
      <c r="L25" s="5">
        <v>15787</v>
      </c>
      <c r="M25" s="5">
        <v>20359</v>
      </c>
      <c r="AB25" s="5">
        <f>C25+D25+E25+F25</f>
        <v>78509</v>
      </c>
      <c r="AC25" s="5">
        <f>G25+H25+I25+J25</f>
        <v>72480</v>
      </c>
      <c r="AD25" s="5">
        <f>K25+L25+M25+N25</f>
        <v>49071</v>
      </c>
    </row>
    <row r="26" spans="1:50" s="5" customFormat="1" x14ac:dyDescent="0.3">
      <c r="A26" s="4"/>
      <c r="B26" s="5" t="s">
        <v>59</v>
      </c>
      <c r="C26" s="5">
        <v>521</v>
      </c>
      <c r="D26" s="5">
        <v>282</v>
      </c>
      <c r="E26" s="5">
        <v>554</v>
      </c>
      <c r="F26" s="5">
        <v>433</v>
      </c>
      <c r="G26" s="5">
        <v>442</v>
      </c>
      <c r="H26" s="5">
        <v>890</v>
      </c>
      <c r="I26" s="5">
        <v>739</v>
      </c>
      <c r="J26" s="5">
        <v>692</v>
      </c>
      <c r="K26" s="5">
        <v>595</v>
      </c>
      <c r="L26" s="5">
        <v>439</v>
      </c>
      <c r="M26" s="5">
        <v>417</v>
      </c>
      <c r="AB26" s="5">
        <f>C26+D26+E26+F26</f>
        <v>1790</v>
      </c>
      <c r="AC26" s="5">
        <f>G26+H26+I26+J26</f>
        <v>2763</v>
      </c>
      <c r="AD26" s="5">
        <f>K26+L26+M26+N26</f>
        <v>1451</v>
      </c>
    </row>
    <row r="27" spans="1:50" s="5" customFormat="1" x14ac:dyDescent="0.3">
      <c r="A27" s="4"/>
      <c r="B27" s="5" t="s">
        <v>60</v>
      </c>
      <c r="C27" s="5">
        <v>564</v>
      </c>
      <c r="D27" s="5">
        <v>567</v>
      </c>
      <c r="E27" s="5">
        <v>489</v>
      </c>
      <c r="F27" s="5">
        <v>500</v>
      </c>
      <c r="G27" s="5">
        <v>476</v>
      </c>
      <c r="H27" s="5">
        <v>458</v>
      </c>
      <c r="I27" s="5">
        <v>446</v>
      </c>
      <c r="J27" s="5">
        <v>447</v>
      </c>
      <c r="K27" s="5">
        <v>447</v>
      </c>
      <c r="L27" s="5">
        <v>435</v>
      </c>
      <c r="M27" s="5">
        <v>429</v>
      </c>
      <c r="AB27" s="5">
        <f>C27+D27+E27+F27</f>
        <v>2120</v>
      </c>
      <c r="AC27" s="5">
        <f>G27+H27+I27+J27</f>
        <v>1827</v>
      </c>
      <c r="AD27" s="5">
        <f>K27+L27+M27+N27</f>
        <v>1311</v>
      </c>
    </row>
    <row r="28" spans="1:50" s="8" customFormat="1" x14ac:dyDescent="0.3">
      <c r="A28" s="7"/>
      <c r="B28" s="12" t="s">
        <v>61</v>
      </c>
      <c r="C28" s="8">
        <f t="shared" ref="C28" si="13">SUM(C25:C27)</f>
        <v>19963</v>
      </c>
      <c r="D28" s="8">
        <f t="shared" ref="D28" si="14">SUM(D25:D27)</f>
        <v>21268</v>
      </c>
      <c r="E28" s="8">
        <f t="shared" ref="E28" si="15">SUM(E25:E27)</f>
        <v>19625</v>
      </c>
      <c r="F28" s="8">
        <f t="shared" ref="F28" si="16">SUM(F25:F27)</f>
        <v>21563</v>
      </c>
      <c r="G28" s="8">
        <f t="shared" ref="G28" si="17">SUM(G25:G27)</f>
        <v>17378</v>
      </c>
      <c r="H28" s="8">
        <f t="shared" ref="H28:K28" si="18">SUM(H25:H27)</f>
        <v>19878</v>
      </c>
      <c r="I28" s="8">
        <f t="shared" si="18"/>
        <v>20016</v>
      </c>
      <c r="J28" s="8">
        <f t="shared" si="18"/>
        <v>19798</v>
      </c>
      <c r="K28" s="8">
        <f t="shared" si="18"/>
        <v>13967</v>
      </c>
      <c r="L28" s="8">
        <f>SUM(L25:L27)</f>
        <v>16661</v>
      </c>
      <c r="M28" s="8">
        <f t="shared" ref="M28:P28" si="19">SUM(M25:M27)</f>
        <v>21205</v>
      </c>
      <c r="N28" s="8">
        <f t="shared" si="19"/>
        <v>0</v>
      </c>
      <c r="O28" s="8">
        <f t="shared" si="19"/>
        <v>0</v>
      </c>
      <c r="P28" s="8">
        <f t="shared" si="19"/>
        <v>0</v>
      </c>
      <c r="AB28" s="8">
        <f t="shared" ref="AB28:AD28" si="20">SUM(AB25:AB27)</f>
        <v>82419</v>
      </c>
      <c r="AC28" s="8">
        <f t="shared" si="20"/>
        <v>77070</v>
      </c>
      <c r="AD28" s="8">
        <f t="shared" si="20"/>
        <v>51833</v>
      </c>
    </row>
    <row r="29" spans="1:50" s="5" customFormat="1" x14ac:dyDescent="0.3">
      <c r="A29" s="4"/>
      <c r="B29" s="5" t="s">
        <v>62</v>
      </c>
      <c r="C29" s="5">
        <v>1529</v>
      </c>
      <c r="D29" s="5">
        <v>1509</v>
      </c>
      <c r="E29" s="5">
        <v>1559</v>
      </c>
      <c r="F29" s="5">
        <v>1438</v>
      </c>
      <c r="G29" s="5">
        <v>1635</v>
      </c>
      <c r="H29" s="5">
        <v>3014</v>
      </c>
      <c r="I29" s="5">
        <v>2376</v>
      </c>
      <c r="J29" s="5">
        <v>3061</v>
      </c>
      <c r="K29" s="5">
        <v>2730</v>
      </c>
      <c r="L29" s="5">
        <v>2789</v>
      </c>
      <c r="M29" s="5">
        <v>3415</v>
      </c>
      <c r="AB29" s="5">
        <f>C29+D29+E29+F29</f>
        <v>6035</v>
      </c>
      <c r="AC29" s="5">
        <f>G29+H29+I29+J29</f>
        <v>10086</v>
      </c>
      <c r="AD29" s="5">
        <f>K29+L29+M29+N29</f>
        <v>8934</v>
      </c>
    </row>
    <row r="30" spans="1:50" s="5" customFormat="1" x14ac:dyDescent="0.3">
      <c r="A30" s="4"/>
      <c r="B30" s="5" t="s">
        <v>63</v>
      </c>
      <c r="C30" s="5">
        <v>1837</v>
      </c>
      <c r="D30" s="5">
        <v>2150</v>
      </c>
      <c r="E30" s="5">
        <v>2166</v>
      </c>
      <c r="F30" s="5">
        <v>2166</v>
      </c>
      <c r="G30" s="5">
        <v>2288</v>
      </c>
      <c r="H30" s="5">
        <v>2608</v>
      </c>
      <c r="I30" s="5">
        <v>2790</v>
      </c>
      <c r="J30" s="5">
        <v>2848</v>
      </c>
      <c r="K30" s="5">
        <v>2638</v>
      </c>
      <c r="L30" s="5">
        <v>3046</v>
      </c>
      <c r="M30" s="5">
        <v>3475</v>
      </c>
      <c r="AB30" s="5">
        <f>C30+D30+E30+F30</f>
        <v>8319</v>
      </c>
      <c r="AC30" s="5">
        <f>G30+H30+I30+J30</f>
        <v>10534</v>
      </c>
      <c r="AD30" s="5">
        <f>K30+L30+M30+N30</f>
        <v>9159</v>
      </c>
    </row>
    <row r="31" spans="1:50" s="8" customFormat="1" x14ac:dyDescent="0.3">
      <c r="A31" s="7"/>
      <c r="B31" s="12" t="s">
        <v>64</v>
      </c>
      <c r="C31" s="8">
        <f t="shared" ref="C31" si="21">SUM(C28:C30)</f>
        <v>23329</v>
      </c>
      <c r="D31" s="8">
        <f t="shared" ref="D31" si="22">SUM(D28:D30)</f>
        <v>24927</v>
      </c>
      <c r="E31" s="8">
        <f t="shared" ref="E31" si="23">SUM(E28:E30)</f>
        <v>23350</v>
      </c>
      <c r="F31" s="8">
        <f t="shared" ref="F31" si="24">SUM(F28:F30)</f>
        <v>25167</v>
      </c>
      <c r="G31" s="8">
        <f t="shared" ref="G31" si="25">SUM(G28:G30)</f>
        <v>21301</v>
      </c>
      <c r="H31" s="8">
        <f t="shared" ref="H31:K31" si="26">SUM(H28:H30)</f>
        <v>25500</v>
      </c>
      <c r="I31" s="8">
        <f t="shared" si="26"/>
        <v>25182</v>
      </c>
      <c r="J31" s="8">
        <f t="shared" si="26"/>
        <v>25707</v>
      </c>
      <c r="K31" s="8">
        <f t="shared" si="26"/>
        <v>19335</v>
      </c>
      <c r="L31" s="8">
        <f>SUM(L28:L30)</f>
        <v>22496</v>
      </c>
      <c r="M31" s="8">
        <f>SUM(M28:M30)</f>
        <v>28095</v>
      </c>
      <c r="N31" s="8">
        <v>25610</v>
      </c>
      <c r="O31" s="8">
        <v>23280</v>
      </c>
      <c r="P31" s="8">
        <v>25160</v>
      </c>
      <c r="Q31" s="8">
        <v>27420</v>
      </c>
      <c r="R31" s="8">
        <v>29430</v>
      </c>
      <c r="S31" s="8">
        <v>33310</v>
      </c>
      <c r="T31" s="8">
        <v>36930</v>
      </c>
      <c r="U31" s="8">
        <f>Q31*1.4</f>
        <v>38388</v>
      </c>
      <c r="V31" s="8">
        <f t="shared" ref="V31" si="27">R31*1.4</f>
        <v>41202</v>
      </c>
      <c r="AB31" s="8">
        <f t="shared" ref="AB31:AC31" si="28">SUM(AB28:AB30)</f>
        <v>96773</v>
      </c>
      <c r="AC31" s="8">
        <f t="shared" si="28"/>
        <v>97690</v>
      </c>
      <c r="AD31" s="13">
        <f>+K31+L31+M31+N31</f>
        <v>95536</v>
      </c>
      <c r="AE31" s="8">
        <f>+O31+P31+Q31+R31</f>
        <v>105290</v>
      </c>
      <c r="AF31" s="8">
        <f>+S31+T31+U31+V31</f>
        <v>149830</v>
      </c>
      <c r="AG31" s="8">
        <f>+AF31*1.2</f>
        <v>179796</v>
      </c>
      <c r="AH31" s="8">
        <f t="shared" ref="AH31:AN31" si="29">+AG31*1.2</f>
        <v>215755.19999999998</v>
      </c>
      <c r="AI31" s="8">
        <f t="shared" si="29"/>
        <v>258906.23999999996</v>
      </c>
      <c r="AJ31" s="8">
        <f t="shared" si="29"/>
        <v>310687.48799999995</v>
      </c>
      <c r="AK31" s="8">
        <f t="shared" si="29"/>
        <v>372824.98559999996</v>
      </c>
      <c r="AL31" s="8">
        <f t="shared" si="29"/>
        <v>447389.98271999991</v>
      </c>
      <c r="AM31" s="8">
        <f t="shared" si="29"/>
        <v>536867.97926399985</v>
      </c>
      <c r="AN31" s="8">
        <f t="shared" si="29"/>
        <v>644241.5751167998</v>
      </c>
      <c r="AO31" s="8">
        <f>+AN31*1.1</f>
        <v>708665.73262847983</v>
      </c>
      <c r="AP31" s="8">
        <f t="shared" ref="AP31:AX31" si="30">+AO31*1.1</f>
        <v>779532.30589132791</v>
      </c>
      <c r="AQ31" s="8">
        <f t="shared" si="30"/>
        <v>857485.53648046078</v>
      </c>
      <c r="AR31" s="8">
        <f t="shared" si="30"/>
        <v>943234.09012850688</v>
      </c>
      <c r="AS31" s="8">
        <f t="shared" si="30"/>
        <v>1037557.4991413576</v>
      </c>
      <c r="AT31" s="8">
        <f t="shared" si="30"/>
        <v>1141313.2490554934</v>
      </c>
      <c r="AU31" s="8">
        <f t="shared" si="30"/>
        <v>1255444.5739610428</v>
      </c>
      <c r="AV31" s="8">
        <f t="shared" si="30"/>
        <v>1380989.0313571473</v>
      </c>
      <c r="AW31" s="8">
        <f t="shared" si="30"/>
        <v>1519087.9344928621</v>
      </c>
      <c r="AX31" s="8">
        <f t="shared" si="30"/>
        <v>1670996.7279421485</v>
      </c>
    </row>
    <row r="32" spans="1:50" s="5" customFormat="1" x14ac:dyDescent="0.3">
      <c r="A32" s="4"/>
      <c r="B32" s="5" t="s">
        <v>65</v>
      </c>
      <c r="C32" s="5">
        <v>15422</v>
      </c>
      <c r="D32" s="5">
        <v>16841</v>
      </c>
      <c r="E32" s="5">
        <v>15656</v>
      </c>
      <c r="F32" s="5">
        <v>17202</v>
      </c>
      <c r="G32" s="5">
        <v>13897</v>
      </c>
      <c r="H32" s="5">
        <v>15962</v>
      </c>
      <c r="I32" s="5">
        <v>15743</v>
      </c>
      <c r="J32" s="5">
        <v>16268</v>
      </c>
      <c r="K32" s="5">
        <v>11461</v>
      </c>
      <c r="L32" s="5">
        <v>13567</v>
      </c>
      <c r="M32" s="5">
        <v>17365</v>
      </c>
      <c r="AB32" s="5">
        <f>C32+D32+E32+F32</f>
        <v>65121</v>
      </c>
      <c r="AC32" s="5">
        <f>G32+H32+I32+J32</f>
        <v>61870</v>
      </c>
      <c r="AD32" s="5">
        <f>K32+L32+M32+N32</f>
        <v>42393</v>
      </c>
    </row>
    <row r="33" spans="1:30" s="5" customFormat="1" x14ac:dyDescent="0.3">
      <c r="A33" s="4"/>
      <c r="B33" s="5" t="s">
        <v>60</v>
      </c>
      <c r="C33" s="5">
        <v>333</v>
      </c>
      <c r="D33" s="5">
        <v>338</v>
      </c>
      <c r="E33" s="5">
        <v>301</v>
      </c>
      <c r="F33" s="5">
        <v>296</v>
      </c>
      <c r="G33" s="5">
        <v>269</v>
      </c>
      <c r="H33" s="5">
        <v>245</v>
      </c>
      <c r="I33" s="5">
        <v>247</v>
      </c>
      <c r="J33" s="5">
        <v>242</v>
      </c>
      <c r="K33" s="5">
        <v>239</v>
      </c>
      <c r="L33" s="5">
        <v>228</v>
      </c>
      <c r="M33" s="5">
        <v>225</v>
      </c>
      <c r="AB33" s="5">
        <f>C33+D33+E33+F33</f>
        <v>1268</v>
      </c>
      <c r="AC33" s="5">
        <f>G33+H33+I33+J33</f>
        <v>1003</v>
      </c>
      <c r="AD33" s="5">
        <f>K33+L33+M33+N33</f>
        <v>692</v>
      </c>
    </row>
    <row r="34" spans="1:30" s="8" customFormat="1" x14ac:dyDescent="0.3">
      <c r="A34" s="7"/>
      <c r="B34" s="12" t="s">
        <v>66</v>
      </c>
      <c r="C34" s="8">
        <f t="shared" ref="C34" si="31">SUM(C32:C33)</f>
        <v>15755</v>
      </c>
      <c r="D34" s="8">
        <f t="shared" ref="D34" si="32">SUM(D32:D33)</f>
        <v>17179</v>
      </c>
      <c r="E34" s="8">
        <f t="shared" ref="E34" si="33">SUM(E32:E33)</f>
        <v>15957</v>
      </c>
      <c r="F34" s="8">
        <f t="shared" ref="F34" si="34">SUM(F32:F33)</f>
        <v>17498</v>
      </c>
      <c r="G34" s="8">
        <f t="shared" ref="G34" si="35">SUM(G32:G33)</f>
        <v>14166</v>
      </c>
      <c r="H34" s="8">
        <f t="shared" ref="H34:K34" si="36">SUM(H32:H33)</f>
        <v>16207</v>
      </c>
      <c r="I34" s="8">
        <f t="shared" si="36"/>
        <v>15990</v>
      </c>
      <c r="J34" s="8">
        <f t="shared" si="36"/>
        <v>16510</v>
      </c>
      <c r="K34" s="8">
        <f t="shared" si="36"/>
        <v>11700</v>
      </c>
      <c r="L34" s="8">
        <f>SUM(L32:L33)</f>
        <v>13795</v>
      </c>
      <c r="M34" s="8">
        <f>SUM(M32:M33)</f>
        <v>17590</v>
      </c>
      <c r="AB34" s="8">
        <f t="shared" ref="AB34:AD34" si="37">SUM(AB32:AB33)</f>
        <v>66389</v>
      </c>
      <c r="AC34" s="8">
        <f t="shared" si="37"/>
        <v>62873</v>
      </c>
      <c r="AD34" s="8">
        <f t="shared" si="37"/>
        <v>43085</v>
      </c>
    </row>
    <row r="35" spans="1:30" s="5" customFormat="1" x14ac:dyDescent="0.3">
      <c r="A35" s="4"/>
      <c r="B35" s="5" t="s">
        <v>62</v>
      </c>
      <c r="C35" s="5">
        <v>1361</v>
      </c>
      <c r="D35" s="5">
        <v>1231</v>
      </c>
      <c r="E35" s="5">
        <v>1178</v>
      </c>
      <c r="F35" s="5">
        <v>1124</v>
      </c>
      <c r="G35" s="5">
        <v>1232</v>
      </c>
      <c r="H35" s="5">
        <v>2274</v>
      </c>
      <c r="I35" s="5">
        <v>1651</v>
      </c>
      <c r="J35" s="5">
        <v>2289</v>
      </c>
      <c r="K35" s="5">
        <v>1945</v>
      </c>
      <c r="L35" s="5">
        <v>1943</v>
      </c>
      <c r="M35" s="5">
        <v>2342</v>
      </c>
      <c r="AB35" s="5">
        <f>C35+D35+E35+F35</f>
        <v>4894</v>
      </c>
      <c r="AC35" s="5">
        <f>G35+H35+I35+J35</f>
        <v>7446</v>
      </c>
      <c r="AD35" s="5">
        <f>K35+L35+M35+N35</f>
        <v>6230</v>
      </c>
    </row>
    <row r="36" spans="1:30" s="5" customFormat="1" x14ac:dyDescent="0.3">
      <c r="A36" s="4"/>
      <c r="B36" s="5" t="s">
        <v>63</v>
      </c>
      <c r="C36" s="5">
        <v>1702</v>
      </c>
      <c r="D36" s="5">
        <v>1984</v>
      </c>
      <c r="E36" s="5">
        <v>2037</v>
      </c>
      <c r="F36" s="5">
        <v>2107</v>
      </c>
      <c r="G36" s="5">
        <v>2207</v>
      </c>
      <c r="H36" s="5">
        <v>2441</v>
      </c>
      <c r="I36" s="5">
        <v>2544</v>
      </c>
      <c r="J36" s="5">
        <v>2729</v>
      </c>
      <c r="K36" s="5">
        <v>2537</v>
      </c>
      <c r="L36" s="5">
        <v>2880</v>
      </c>
      <c r="M36" s="5">
        <v>3109</v>
      </c>
      <c r="AB36" s="5">
        <f>C36+D36+E36+F36</f>
        <v>7830</v>
      </c>
      <c r="AC36" s="5">
        <f>G36+H36+I36+J36</f>
        <v>9921</v>
      </c>
      <c r="AD36" s="5">
        <f>K36+L36+M36+N36</f>
        <v>8526</v>
      </c>
    </row>
    <row r="37" spans="1:30" s="8" customFormat="1" x14ac:dyDescent="0.3">
      <c r="A37" s="7"/>
      <c r="B37" s="12" t="s">
        <v>68</v>
      </c>
      <c r="C37" s="8">
        <f t="shared" ref="C37" si="38">SUM(C34:C36)</f>
        <v>18818</v>
      </c>
      <c r="D37" s="8">
        <f t="shared" ref="D37" si="39">SUM(D34:D36)</f>
        <v>20394</v>
      </c>
      <c r="E37" s="8">
        <f t="shared" ref="E37" si="40">SUM(E34:E36)</f>
        <v>19172</v>
      </c>
      <c r="F37" s="8">
        <f t="shared" ref="F37" si="41">SUM(F34:F36)</f>
        <v>20729</v>
      </c>
      <c r="G37" s="8">
        <f t="shared" ref="G37" si="42">SUM(G34:G36)</f>
        <v>17605</v>
      </c>
      <c r="H37" s="8">
        <f t="shared" ref="H37:K37" si="43">SUM(H34:H36)</f>
        <v>20922</v>
      </c>
      <c r="I37" s="8">
        <f t="shared" si="43"/>
        <v>20185</v>
      </c>
      <c r="J37" s="8">
        <f t="shared" si="43"/>
        <v>21528</v>
      </c>
      <c r="K37" s="8">
        <f t="shared" si="43"/>
        <v>16182</v>
      </c>
      <c r="L37" s="8">
        <f>SUM(L34:L36)</f>
        <v>18618</v>
      </c>
      <c r="M37" s="8">
        <f>SUM(M34:M36)</f>
        <v>23041</v>
      </c>
      <c r="AB37" s="8">
        <f t="shared" ref="AB37:AD37" si="44">SUM(AB34:AB36)</f>
        <v>79113</v>
      </c>
      <c r="AC37" s="8">
        <f t="shared" si="44"/>
        <v>80240</v>
      </c>
      <c r="AD37" s="8">
        <f t="shared" si="44"/>
        <v>57841</v>
      </c>
    </row>
    <row r="38" spans="1:30" s="8" customFormat="1" x14ac:dyDescent="0.3">
      <c r="A38" s="7"/>
      <c r="B38" s="8" t="s">
        <v>67</v>
      </c>
      <c r="C38" s="8">
        <f t="shared" ref="C38" si="45">C31-C37</f>
        <v>4511</v>
      </c>
      <c r="D38" s="8">
        <f t="shared" ref="D38" si="46">D31-D37</f>
        <v>4533</v>
      </c>
      <c r="E38" s="8">
        <f t="shared" ref="E38" si="47">E31-E37</f>
        <v>4178</v>
      </c>
      <c r="F38" s="8">
        <f t="shared" ref="F38" si="48">F31-F37</f>
        <v>4438</v>
      </c>
      <c r="G38" s="8">
        <f t="shared" ref="G38" si="49">G31-G37</f>
        <v>3696</v>
      </c>
      <c r="H38" s="8">
        <f t="shared" ref="H38:K38" si="50">H31-H37</f>
        <v>4578</v>
      </c>
      <c r="I38" s="8">
        <f t="shared" si="50"/>
        <v>4997</v>
      </c>
      <c r="J38" s="8">
        <f t="shared" si="50"/>
        <v>4179</v>
      </c>
      <c r="K38" s="8">
        <f t="shared" si="50"/>
        <v>3153</v>
      </c>
      <c r="L38" s="8">
        <f>L31-L37</f>
        <v>3878</v>
      </c>
      <c r="M38" s="8">
        <f>M31-M37</f>
        <v>5054</v>
      </c>
      <c r="AB38" s="8">
        <f t="shared" ref="AB38:AD38" si="51">AB31-AB37</f>
        <v>17660</v>
      </c>
      <c r="AC38" s="8">
        <f t="shared" si="51"/>
        <v>17450</v>
      </c>
      <c r="AD38" s="8">
        <f t="shared" si="51"/>
        <v>37695</v>
      </c>
    </row>
    <row r="39" spans="1:30" s="5" customFormat="1" x14ac:dyDescent="0.3">
      <c r="A39" s="4"/>
      <c r="B39" s="5" t="s">
        <v>69</v>
      </c>
      <c r="C39" s="5">
        <v>771</v>
      </c>
      <c r="D39" s="5">
        <v>943</v>
      </c>
      <c r="E39" s="5">
        <v>1161</v>
      </c>
      <c r="F39" s="5">
        <v>1094</v>
      </c>
      <c r="G39" s="5">
        <v>1151</v>
      </c>
      <c r="H39" s="5">
        <v>1074</v>
      </c>
      <c r="I39" s="5">
        <v>1039</v>
      </c>
      <c r="J39" s="5">
        <v>1276</v>
      </c>
      <c r="K39" s="5">
        <v>1409</v>
      </c>
      <c r="L39" s="5">
        <v>1589</v>
      </c>
      <c r="M39" s="5">
        <v>1630</v>
      </c>
      <c r="AB39" s="5">
        <f>C39+D39+E39+F39</f>
        <v>3969</v>
      </c>
      <c r="AC39" s="5">
        <f>G39+H39+I39+J39</f>
        <v>4540</v>
      </c>
      <c r="AD39" s="5">
        <f>K39+L39+M39+N39</f>
        <v>4628</v>
      </c>
    </row>
    <row r="40" spans="1:30" s="5" customFormat="1" x14ac:dyDescent="0.3">
      <c r="A40" s="4"/>
      <c r="B40" s="5" t="s">
        <v>70</v>
      </c>
      <c r="C40" s="5">
        <v>1076</v>
      </c>
      <c r="D40" s="5">
        <v>1191</v>
      </c>
      <c r="E40" s="5">
        <v>1253</v>
      </c>
      <c r="F40" s="5">
        <v>1280</v>
      </c>
      <c r="G40" s="5">
        <v>1374</v>
      </c>
      <c r="H40" s="5">
        <v>1277</v>
      </c>
      <c r="I40" s="5">
        <v>1186</v>
      </c>
      <c r="J40" s="5">
        <v>1313</v>
      </c>
      <c r="K40" s="5">
        <v>1251</v>
      </c>
      <c r="L40" s="5">
        <v>1366</v>
      </c>
      <c r="M40" s="5">
        <v>1562</v>
      </c>
      <c r="AB40" s="5">
        <f>C40+D40+E40+F40</f>
        <v>4800</v>
      </c>
      <c r="AC40" s="5">
        <f>G40+H40+I40+J40</f>
        <v>5150</v>
      </c>
      <c r="AD40" s="5">
        <f>K40+L40+M40+N40</f>
        <v>4179</v>
      </c>
    </row>
    <row r="41" spans="1:30" s="5" customFormat="1" x14ac:dyDescent="0.3">
      <c r="A41" s="4"/>
      <c r="B41" s="5" t="s">
        <v>71</v>
      </c>
      <c r="H41" s="5">
        <v>622</v>
      </c>
      <c r="I41" s="5">
        <v>55</v>
      </c>
      <c r="J41" s="5">
        <v>7</v>
      </c>
      <c r="K41" s="5">
        <v>94</v>
      </c>
      <c r="M41" s="5">
        <v>238</v>
      </c>
      <c r="AB41" s="5">
        <f>C41+D41+E41+F41</f>
        <v>0</v>
      </c>
      <c r="AC41" s="5">
        <f>G41+H41+I41+J41</f>
        <v>684</v>
      </c>
      <c r="AD41" s="5">
        <f>K41+L41+M41+N41</f>
        <v>332</v>
      </c>
    </row>
    <row r="42" spans="1:30" s="8" customFormat="1" x14ac:dyDescent="0.3">
      <c r="A42" s="7"/>
      <c r="B42" s="8" t="s">
        <v>72</v>
      </c>
      <c r="C42" s="8">
        <f t="shared" ref="C42" si="52">SUM(C39:C41)</f>
        <v>1847</v>
      </c>
      <c r="D42" s="8">
        <f t="shared" ref="D42" si="53">SUM(D39:D41)</f>
        <v>2134</v>
      </c>
      <c r="E42" s="8">
        <f t="shared" ref="E42" si="54">SUM(E39:E41)</f>
        <v>2414</v>
      </c>
      <c r="F42" s="8">
        <f t="shared" ref="F42" si="55">SUM(F39:F41)</f>
        <v>2374</v>
      </c>
      <c r="G42" s="8">
        <f t="shared" ref="G42" si="56">SUM(G39:G41)</f>
        <v>2525</v>
      </c>
      <c r="H42" s="8">
        <f t="shared" ref="H42:K42" si="57">SUM(H39:H41)</f>
        <v>2973</v>
      </c>
      <c r="I42" s="8">
        <f t="shared" si="57"/>
        <v>2280</v>
      </c>
      <c r="J42" s="8">
        <f t="shared" si="57"/>
        <v>2596</v>
      </c>
      <c r="K42" s="8">
        <f t="shared" si="57"/>
        <v>2754</v>
      </c>
      <c r="L42" s="8">
        <f>SUM(L39:L41)</f>
        <v>2955</v>
      </c>
      <c r="M42" s="8">
        <f>SUM(M39:M41)</f>
        <v>3430</v>
      </c>
      <c r="AB42" s="8">
        <f>SUM(AB39:AB41)</f>
        <v>8769</v>
      </c>
      <c r="AC42" s="8">
        <f>SUM(AC39:AC41)</f>
        <v>10374</v>
      </c>
      <c r="AD42" s="8">
        <f>SUM(AD39:AD41)</f>
        <v>9139</v>
      </c>
    </row>
    <row r="43" spans="1:30" s="8" customFormat="1" x14ac:dyDescent="0.3">
      <c r="A43" s="7"/>
      <c r="B43" s="8" t="s">
        <v>73</v>
      </c>
      <c r="C43" s="8">
        <f t="shared" ref="C43" si="58">C38-C42</f>
        <v>2664</v>
      </c>
      <c r="D43" s="8">
        <f t="shared" ref="D43" si="59">D38-D42</f>
        <v>2399</v>
      </c>
      <c r="E43" s="8">
        <f t="shared" ref="E43" si="60">E38-E42</f>
        <v>1764</v>
      </c>
      <c r="F43" s="8">
        <f t="shared" ref="F43" si="61">F38-F42</f>
        <v>2064</v>
      </c>
      <c r="G43" s="8">
        <f t="shared" ref="G43" si="62">G38-G42</f>
        <v>1171</v>
      </c>
      <c r="H43" s="8">
        <f t="shared" ref="H43:K43" si="63">H38-H42</f>
        <v>1605</v>
      </c>
      <c r="I43" s="8">
        <f t="shared" si="63"/>
        <v>2717</v>
      </c>
      <c r="J43" s="8">
        <f t="shared" si="63"/>
        <v>1583</v>
      </c>
      <c r="K43" s="8">
        <f t="shared" si="63"/>
        <v>399</v>
      </c>
      <c r="L43" s="8">
        <f>L38-L42</f>
        <v>923</v>
      </c>
      <c r="M43" s="8">
        <f>M38-M42</f>
        <v>1624</v>
      </c>
      <c r="AB43" s="8">
        <f>AB38-AB42</f>
        <v>8891</v>
      </c>
      <c r="AC43" s="8">
        <f>AC38-AC42</f>
        <v>7076</v>
      </c>
      <c r="AD43" s="8">
        <f>AD38-AD42</f>
        <v>28556</v>
      </c>
    </row>
    <row r="44" spans="1:30" s="5" customFormat="1" x14ac:dyDescent="0.3">
      <c r="A44" s="4"/>
      <c r="B44" s="5" t="s">
        <v>74</v>
      </c>
      <c r="C44" s="5">
        <v>213</v>
      </c>
      <c r="D44" s="5">
        <v>238</v>
      </c>
      <c r="E44" s="5">
        <v>282</v>
      </c>
      <c r="F44" s="5">
        <v>333</v>
      </c>
      <c r="G44" s="5">
        <v>350</v>
      </c>
      <c r="H44" s="5">
        <v>348</v>
      </c>
      <c r="I44" s="5">
        <v>429</v>
      </c>
      <c r="J44" s="5">
        <v>442</v>
      </c>
      <c r="K44" s="5">
        <v>400</v>
      </c>
      <c r="L44" s="5">
        <v>392</v>
      </c>
      <c r="M44" s="5">
        <v>439</v>
      </c>
      <c r="AB44" s="5">
        <f>C44+D44+E44+F44</f>
        <v>1066</v>
      </c>
      <c r="AC44" s="5">
        <f>G44+H44+I44+J44</f>
        <v>1569</v>
      </c>
      <c r="AD44" s="5">
        <f>K44+L44+M44+N44</f>
        <v>1231</v>
      </c>
    </row>
    <row r="45" spans="1:30" s="5" customFormat="1" x14ac:dyDescent="0.3">
      <c r="A45" s="4"/>
      <c r="B45" s="5" t="s">
        <v>149</v>
      </c>
      <c r="C45" s="5">
        <v>-29</v>
      </c>
      <c r="D45" s="5">
        <v>-28</v>
      </c>
      <c r="E45" s="5">
        <v>-38</v>
      </c>
      <c r="F45" s="5">
        <v>-61</v>
      </c>
      <c r="G45" s="5">
        <v>-76</v>
      </c>
      <c r="H45" s="5">
        <v>-86</v>
      </c>
      <c r="I45" s="5">
        <v>-92</v>
      </c>
      <c r="J45" s="5">
        <v>-96</v>
      </c>
      <c r="K45" s="5">
        <v>-91</v>
      </c>
      <c r="L45" s="5">
        <v>-86</v>
      </c>
      <c r="M45" s="5">
        <v>-76</v>
      </c>
      <c r="AB45" s="5">
        <f>C45+D45+E45+F45</f>
        <v>-156</v>
      </c>
      <c r="AC45" s="5">
        <f>G45+H45+I45+J45</f>
        <v>-350</v>
      </c>
      <c r="AD45" s="5">
        <f>K45+L45+M45+N45</f>
        <v>-253</v>
      </c>
    </row>
    <row r="46" spans="1:30" s="5" customFormat="1" x14ac:dyDescent="0.3">
      <c r="A46" s="4"/>
      <c r="B46" s="5" t="s">
        <v>154</v>
      </c>
      <c r="C46" s="5">
        <v>-48</v>
      </c>
      <c r="D46" s="5">
        <v>328</v>
      </c>
      <c r="E46" s="5">
        <v>37</v>
      </c>
      <c r="F46" s="5">
        <v>-145</v>
      </c>
      <c r="G46" s="5">
        <v>108</v>
      </c>
      <c r="H46" s="5">
        <v>-80</v>
      </c>
      <c r="I46" s="5">
        <v>-263</v>
      </c>
      <c r="J46" s="5">
        <v>595</v>
      </c>
      <c r="K46" s="5">
        <v>-119</v>
      </c>
      <c r="L46" s="5">
        <v>320</v>
      </c>
      <c r="M46" s="5">
        <v>-28</v>
      </c>
      <c r="AB46" s="5">
        <f>C46+D46+E46+F46</f>
        <v>172</v>
      </c>
      <c r="AC46" s="5">
        <f>G46+H46+I46+J46</f>
        <v>360</v>
      </c>
      <c r="AD46" s="5">
        <f>K46+L46+M46+N46</f>
        <v>173</v>
      </c>
    </row>
    <row r="47" spans="1:30" s="8" customFormat="1" x14ac:dyDescent="0.3">
      <c r="A47" s="7"/>
      <c r="B47" s="8" t="s">
        <v>75</v>
      </c>
      <c r="C47" s="8">
        <f t="shared" ref="C47" si="64">C43+C46+C44+C45</f>
        <v>2800</v>
      </c>
      <c r="D47" s="8">
        <f t="shared" ref="D47" si="65">D43+D46+D44+D45</f>
        <v>2937</v>
      </c>
      <c r="E47" s="8">
        <f t="shared" ref="E47" si="66">E43+E46+E44+E45</f>
        <v>2045</v>
      </c>
      <c r="F47" s="8">
        <f t="shared" ref="F47" si="67">F43+F46+F44+F45</f>
        <v>2191</v>
      </c>
      <c r="G47" s="8">
        <f t="shared" ref="G47" si="68">G43+G46+G44+G45</f>
        <v>1553</v>
      </c>
      <c r="H47" s="8">
        <f t="shared" ref="H47:K47" si="69">H43+H46+H44+H45</f>
        <v>1787</v>
      </c>
      <c r="I47" s="8">
        <f t="shared" si="69"/>
        <v>2791</v>
      </c>
      <c r="J47" s="8">
        <f t="shared" si="69"/>
        <v>2524</v>
      </c>
      <c r="K47" s="8">
        <f t="shared" si="69"/>
        <v>589</v>
      </c>
      <c r="L47" s="8">
        <f>L43+L46+L44+L45</f>
        <v>1549</v>
      </c>
      <c r="M47" s="8">
        <f>M43+M46+M44+M45</f>
        <v>1959</v>
      </c>
      <c r="AB47" s="8">
        <f>AB43+AB46+AB44+AB45</f>
        <v>9973</v>
      </c>
      <c r="AC47" s="8">
        <f>AC43+AC46+AC44+AC45</f>
        <v>8655</v>
      </c>
      <c r="AD47" s="8">
        <f>AD43+AD46+AD44+AD45</f>
        <v>29707</v>
      </c>
    </row>
    <row r="48" spans="1:30" s="5" customFormat="1" x14ac:dyDescent="0.3">
      <c r="A48" s="4"/>
      <c r="B48" s="5" t="s">
        <v>76</v>
      </c>
      <c r="C48" s="5">
        <v>261</v>
      </c>
      <c r="D48" s="5">
        <v>323</v>
      </c>
      <c r="E48" s="5">
        <v>167</v>
      </c>
      <c r="F48" s="5">
        <v>-5752</v>
      </c>
      <c r="G48" s="5">
        <v>409</v>
      </c>
      <c r="H48" s="5">
        <v>371</v>
      </c>
      <c r="I48" s="5">
        <v>602</v>
      </c>
      <c r="J48" s="5">
        <v>381</v>
      </c>
      <c r="K48" s="5">
        <v>169</v>
      </c>
      <c r="L48" s="5">
        <v>359</v>
      </c>
      <c r="M48" s="5">
        <v>570</v>
      </c>
      <c r="AB48" s="5">
        <f>C48+D48+E48+F48</f>
        <v>-5001</v>
      </c>
      <c r="AC48" s="5">
        <f>G48+H48+I48+J48</f>
        <v>1763</v>
      </c>
      <c r="AD48" s="5">
        <f>K48+L48+M48+N48</f>
        <v>1098</v>
      </c>
    </row>
    <row r="49" spans="1:389" s="8" customFormat="1" x14ac:dyDescent="0.3">
      <c r="A49" s="7"/>
      <c r="B49" s="8" t="s">
        <v>77</v>
      </c>
      <c r="C49" s="8">
        <f t="shared" ref="C49" si="70">C47-C48</f>
        <v>2539</v>
      </c>
      <c r="D49" s="8">
        <f t="shared" ref="D49" si="71">D47-D48</f>
        <v>2614</v>
      </c>
      <c r="E49" s="8">
        <f t="shared" ref="E49" si="72">E47-E48</f>
        <v>1878</v>
      </c>
      <c r="F49" s="8">
        <f t="shared" ref="F49" si="73">F47-F48</f>
        <v>7943</v>
      </c>
      <c r="G49" s="8">
        <f t="shared" ref="G49" si="74">G47-G48</f>
        <v>1144</v>
      </c>
      <c r="H49" s="8">
        <f t="shared" ref="H49:K49" si="75">H47-H48</f>
        <v>1416</v>
      </c>
      <c r="I49" s="8">
        <f t="shared" si="75"/>
        <v>2189</v>
      </c>
      <c r="J49" s="8">
        <f t="shared" si="75"/>
        <v>2143</v>
      </c>
      <c r="K49" s="8">
        <f t="shared" si="75"/>
        <v>420</v>
      </c>
      <c r="L49" s="8">
        <f>L47-L48</f>
        <v>1190</v>
      </c>
      <c r="M49" s="8">
        <f>M47-M48</f>
        <v>1389</v>
      </c>
      <c r="AB49" s="8">
        <f t="shared" ref="AB49:AD49" si="76">AB47-AB48</f>
        <v>14974</v>
      </c>
      <c r="AC49" s="8">
        <f t="shared" si="76"/>
        <v>6892</v>
      </c>
      <c r="AD49" s="8">
        <f t="shared" si="76"/>
        <v>28609</v>
      </c>
    </row>
    <row r="50" spans="1:389" s="5" customFormat="1" x14ac:dyDescent="0.3">
      <c r="A50" s="4"/>
      <c r="B50" s="5" t="s">
        <v>78</v>
      </c>
      <c r="C50" s="5">
        <v>26</v>
      </c>
      <c r="D50" s="5">
        <v>-89</v>
      </c>
      <c r="E50" s="5">
        <v>25</v>
      </c>
      <c r="F50" s="5">
        <v>15</v>
      </c>
      <c r="G50" s="5">
        <v>15</v>
      </c>
      <c r="H50" s="5">
        <v>16</v>
      </c>
      <c r="I50" s="5">
        <v>16</v>
      </c>
      <c r="J50" s="5">
        <v>15</v>
      </c>
      <c r="K50" s="5">
        <v>11</v>
      </c>
      <c r="L50" s="5">
        <v>18</v>
      </c>
      <c r="M50" s="5">
        <v>16</v>
      </c>
      <c r="AB50" s="5">
        <f>C50+D50+E50+F50</f>
        <v>-23</v>
      </c>
      <c r="AC50" s="5">
        <f>G50+H50+I50+J50</f>
        <v>62</v>
      </c>
      <c r="AD50" s="5">
        <f>K50+L50+M50+N50</f>
        <v>45</v>
      </c>
    </row>
    <row r="51" spans="1:389" s="8" customFormat="1" x14ac:dyDescent="0.3">
      <c r="A51" s="7"/>
      <c r="B51" s="8" t="s">
        <v>79</v>
      </c>
      <c r="C51" s="8">
        <f t="shared" ref="C51" si="77">+C49-C50</f>
        <v>2513</v>
      </c>
      <c r="D51" s="8">
        <f t="shared" ref="D51" si="78">+D49-D50</f>
        <v>2703</v>
      </c>
      <c r="E51" s="8">
        <f t="shared" ref="E51" si="79">+E49-E50</f>
        <v>1853</v>
      </c>
      <c r="F51" s="8">
        <f t="shared" ref="F51" si="80">+F49-F50</f>
        <v>7928</v>
      </c>
      <c r="G51" s="8">
        <f t="shared" ref="G51" si="81">+G49-G50</f>
        <v>1129</v>
      </c>
      <c r="H51" s="8">
        <f t="shared" ref="H51:K51" si="82">+H49-H50</f>
        <v>1400</v>
      </c>
      <c r="I51" s="8">
        <f t="shared" si="82"/>
        <v>2173</v>
      </c>
      <c r="J51" s="8">
        <f t="shared" si="82"/>
        <v>2128</v>
      </c>
      <c r="K51" s="8">
        <f t="shared" si="82"/>
        <v>409</v>
      </c>
      <c r="L51" s="8">
        <f>+L49-L50</f>
        <v>1172</v>
      </c>
      <c r="M51" s="8">
        <f>+M49-M50</f>
        <v>1373</v>
      </c>
      <c r="N51" s="8">
        <v>1520</v>
      </c>
      <c r="O51" s="8">
        <v>1240</v>
      </c>
      <c r="P51" s="8">
        <v>1430</v>
      </c>
      <c r="Q51" s="8">
        <v>1840</v>
      </c>
      <c r="R51" s="8">
        <v>2160</v>
      </c>
      <c r="S51" s="8">
        <f>S31*0.09</f>
        <v>2997.9</v>
      </c>
      <c r="T51" s="8">
        <f t="shared" ref="T51:V51" si="83">T31*0.09</f>
        <v>3323.7</v>
      </c>
      <c r="U51" s="8">
        <f t="shared" si="83"/>
        <v>3454.92</v>
      </c>
      <c r="V51" s="8">
        <f t="shared" si="83"/>
        <v>3708.18</v>
      </c>
      <c r="AB51" s="8">
        <f t="shared" ref="AB51:AC51" si="84">+AB49-AB50</f>
        <v>14997</v>
      </c>
      <c r="AC51" s="8">
        <f t="shared" si="84"/>
        <v>6830</v>
      </c>
      <c r="AD51" s="13">
        <f>+K51+L51+M51+N51</f>
        <v>4474</v>
      </c>
      <c r="AE51" s="8">
        <f>+O51+P51+Q51+R51</f>
        <v>6670</v>
      </c>
      <c r="AF51" s="8">
        <f>AF31*0.09</f>
        <v>13484.699999999999</v>
      </c>
      <c r="AG51" s="8">
        <f t="shared" ref="AG51:AX51" si="85">AG31*0.09</f>
        <v>16181.64</v>
      </c>
      <c r="AH51" s="8">
        <f t="shared" si="85"/>
        <v>19417.967999999997</v>
      </c>
      <c r="AI51" s="8">
        <f t="shared" si="85"/>
        <v>23301.561599999997</v>
      </c>
      <c r="AJ51" s="8">
        <f t="shared" si="85"/>
        <v>27961.873919999995</v>
      </c>
      <c r="AK51" s="8">
        <f t="shared" si="85"/>
        <v>33554.248703999998</v>
      </c>
      <c r="AL51" s="8">
        <f t="shared" si="85"/>
        <v>40265.098444799987</v>
      </c>
      <c r="AM51" s="8">
        <f t="shared" si="85"/>
        <v>48318.118133759985</v>
      </c>
      <c r="AN51" s="8">
        <f t="shared" si="85"/>
        <v>57981.741760511977</v>
      </c>
      <c r="AO51" s="8">
        <f t="shared" si="85"/>
        <v>63779.915936563186</v>
      </c>
      <c r="AP51" s="8">
        <f t="shared" si="85"/>
        <v>70157.907530219512</v>
      </c>
      <c r="AQ51" s="8">
        <f t="shared" si="85"/>
        <v>77173.698283241465</v>
      </c>
      <c r="AR51" s="8">
        <f t="shared" si="85"/>
        <v>84891.068111565619</v>
      </c>
      <c r="AS51" s="8">
        <f t="shared" si="85"/>
        <v>93380.174922722188</v>
      </c>
      <c r="AT51" s="8">
        <f t="shared" si="85"/>
        <v>102718.1924149944</v>
      </c>
      <c r="AU51" s="8">
        <f t="shared" si="85"/>
        <v>112990.01165649385</v>
      </c>
      <c r="AV51" s="8">
        <f t="shared" si="85"/>
        <v>124289.01282214325</v>
      </c>
      <c r="AW51" s="8">
        <f t="shared" si="85"/>
        <v>136717.91410435759</v>
      </c>
      <c r="AX51" s="8">
        <f t="shared" si="85"/>
        <v>150389.70551479334</v>
      </c>
      <c r="AY51" s="8">
        <f>AX51*(1+$BA$54)</f>
        <v>147381.91140449748</v>
      </c>
      <c r="AZ51" s="8">
        <f t="shared" ref="AZ51:DK51" si="86">AY51*(1+$BA$54)</f>
        <v>144434.27317640753</v>
      </c>
      <c r="BA51" s="8">
        <f t="shared" si="86"/>
        <v>141545.58771287938</v>
      </c>
      <c r="BB51" s="8">
        <f t="shared" si="86"/>
        <v>138714.67595862178</v>
      </c>
      <c r="BC51" s="8">
        <f t="shared" si="86"/>
        <v>135940.38243944934</v>
      </c>
      <c r="BD51" s="8">
        <f t="shared" si="86"/>
        <v>133221.57479066035</v>
      </c>
      <c r="BE51" s="8">
        <f t="shared" si="86"/>
        <v>130557.14329484713</v>
      </c>
      <c r="BF51" s="8">
        <f t="shared" si="86"/>
        <v>127946.0004289502</v>
      </c>
      <c r="BG51" s="8">
        <f t="shared" si="86"/>
        <v>125387.08042037119</v>
      </c>
      <c r="BH51" s="8">
        <f t="shared" si="86"/>
        <v>122879.33881196377</v>
      </c>
      <c r="BI51" s="8">
        <f t="shared" si="86"/>
        <v>120421.75203572449</v>
      </c>
      <c r="BJ51" s="8">
        <f t="shared" si="86"/>
        <v>118013.31699501</v>
      </c>
      <c r="BK51" s="8">
        <f t="shared" si="86"/>
        <v>115653.05065510979</v>
      </c>
      <c r="BL51" s="8">
        <f t="shared" si="86"/>
        <v>113339.9896420076</v>
      </c>
      <c r="BM51" s="8">
        <f t="shared" si="86"/>
        <v>111073.18984916744</v>
      </c>
      <c r="BN51" s="8">
        <f t="shared" si="86"/>
        <v>108851.72605218408</v>
      </c>
      <c r="BO51" s="8">
        <f t="shared" si="86"/>
        <v>106674.6915311404</v>
      </c>
      <c r="BP51" s="8">
        <f t="shared" si="86"/>
        <v>104541.19770051759</v>
      </c>
      <c r="BQ51" s="8">
        <f t="shared" si="86"/>
        <v>102450.37374650723</v>
      </c>
      <c r="BR51" s="8">
        <f t="shared" si="86"/>
        <v>100401.36627157709</v>
      </c>
      <c r="BS51" s="8">
        <f t="shared" si="86"/>
        <v>98393.338946145552</v>
      </c>
      <c r="BT51" s="8">
        <f t="shared" si="86"/>
        <v>96425.472167222644</v>
      </c>
      <c r="BU51" s="8">
        <f t="shared" si="86"/>
        <v>94496.962723878183</v>
      </c>
      <c r="BV51" s="8">
        <f t="shared" si="86"/>
        <v>92607.023469400621</v>
      </c>
      <c r="BW51" s="8">
        <f t="shared" si="86"/>
        <v>90754.883000012604</v>
      </c>
      <c r="BX51" s="8">
        <f t="shared" si="86"/>
        <v>88939.785340012357</v>
      </c>
      <c r="BY51" s="8">
        <f t="shared" si="86"/>
        <v>87160.989633212113</v>
      </c>
      <c r="BZ51" s="8">
        <f t="shared" si="86"/>
        <v>85417.769840547873</v>
      </c>
      <c r="CA51" s="8">
        <f t="shared" si="86"/>
        <v>83709.41444373691</v>
      </c>
      <c r="CB51" s="8">
        <f t="shared" si="86"/>
        <v>82035.226154862175</v>
      </c>
      <c r="CC51" s="8">
        <f t="shared" si="86"/>
        <v>80394.521631764932</v>
      </c>
      <c r="CD51" s="8">
        <f t="shared" si="86"/>
        <v>78786.631199129639</v>
      </c>
      <c r="CE51" s="8">
        <f t="shared" si="86"/>
        <v>77210.898575147046</v>
      </c>
      <c r="CF51" s="8">
        <f t="shared" si="86"/>
        <v>75666.680603644098</v>
      </c>
      <c r="CG51" s="8">
        <f t="shared" si="86"/>
        <v>74153.346991571219</v>
      </c>
      <c r="CH51" s="8">
        <f t="shared" si="86"/>
        <v>72670.280051739799</v>
      </c>
      <c r="CI51" s="8">
        <f t="shared" si="86"/>
        <v>71216.874450705</v>
      </c>
      <c r="CJ51" s="8">
        <f t="shared" si="86"/>
        <v>69792.536961690901</v>
      </c>
      <c r="CK51" s="8">
        <f t="shared" si="86"/>
        <v>68396.68622245708</v>
      </c>
      <c r="CL51" s="8">
        <f t="shared" si="86"/>
        <v>67028.752498007932</v>
      </c>
      <c r="CM51" s="8">
        <f t="shared" si="86"/>
        <v>65688.177448047776</v>
      </c>
      <c r="CN51" s="8">
        <f t="shared" si="86"/>
        <v>64374.413899086816</v>
      </c>
      <c r="CO51" s="8">
        <f t="shared" si="86"/>
        <v>63086.925621105082</v>
      </c>
      <c r="CP51" s="8">
        <f t="shared" si="86"/>
        <v>61825.187108682978</v>
      </c>
      <c r="CQ51" s="8">
        <f t="shared" si="86"/>
        <v>60588.683366509315</v>
      </c>
      <c r="CR51" s="8">
        <f t="shared" si="86"/>
        <v>59376.90969917913</v>
      </c>
      <c r="CS51" s="8">
        <f t="shared" si="86"/>
        <v>58189.371505195544</v>
      </c>
      <c r="CT51" s="8">
        <f t="shared" si="86"/>
        <v>57025.584075091632</v>
      </c>
      <c r="CU51" s="8">
        <f t="shared" si="86"/>
        <v>55885.072393589799</v>
      </c>
      <c r="CV51" s="8">
        <f t="shared" si="86"/>
        <v>54767.370945718001</v>
      </c>
      <c r="CW51" s="8">
        <f t="shared" si="86"/>
        <v>53672.023526803641</v>
      </c>
      <c r="CX51" s="8">
        <f t="shared" si="86"/>
        <v>52598.583056267569</v>
      </c>
      <c r="CY51" s="8">
        <f t="shared" si="86"/>
        <v>51546.611395142216</v>
      </c>
      <c r="CZ51" s="8">
        <f t="shared" si="86"/>
        <v>50515.679167239374</v>
      </c>
      <c r="DA51" s="8">
        <f t="shared" si="86"/>
        <v>49505.365583894585</v>
      </c>
      <c r="DB51" s="8">
        <f t="shared" si="86"/>
        <v>48515.258272216692</v>
      </c>
      <c r="DC51" s="8">
        <f t="shared" si="86"/>
        <v>47544.953106772358</v>
      </c>
      <c r="DD51" s="8">
        <f t="shared" si="86"/>
        <v>46594.054044636912</v>
      </c>
      <c r="DE51" s="8">
        <f t="shared" si="86"/>
        <v>45662.172963744175</v>
      </c>
      <c r="DF51" s="8">
        <f t="shared" si="86"/>
        <v>44748.929504469292</v>
      </c>
      <c r="DG51" s="8">
        <f t="shared" si="86"/>
        <v>43853.950914379908</v>
      </c>
      <c r="DH51" s="8">
        <f t="shared" si="86"/>
        <v>42976.871896092307</v>
      </c>
      <c r="DI51" s="8">
        <f t="shared" si="86"/>
        <v>42117.334458170459</v>
      </c>
      <c r="DJ51" s="8">
        <f t="shared" si="86"/>
        <v>41274.98776900705</v>
      </c>
      <c r="DK51" s="8">
        <f t="shared" si="86"/>
        <v>40449.488013626906</v>
      </c>
      <c r="DL51" s="8">
        <f t="shared" ref="DL51:FW51" si="87">DK51*(1+$BA$54)</f>
        <v>39640.498253354366</v>
      </c>
      <c r="DM51" s="8">
        <f t="shared" si="87"/>
        <v>38847.688288287281</v>
      </c>
      <c r="DN51" s="8">
        <f t="shared" si="87"/>
        <v>38070.734522521532</v>
      </c>
      <c r="DO51" s="8">
        <f t="shared" si="87"/>
        <v>37309.319832071102</v>
      </c>
      <c r="DP51" s="8">
        <f t="shared" si="87"/>
        <v>36563.133435429678</v>
      </c>
      <c r="DQ51" s="8">
        <f t="shared" si="87"/>
        <v>35831.870766721084</v>
      </c>
      <c r="DR51" s="8">
        <f t="shared" si="87"/>
        <v>35115.233351386662</v>
      </c>
      <c r="DS51" s="8">
        <f t="shared" si="87"/>
        <v>34412.928684358929</v>
      </c>
      <c r="DT51" s="8">
        <f t="shared" si="87"/>
        <v>33724.670110671752</v>
      </c>
      <c r="DU51" s="8">
        <f t="shared" si="87"/>
        <v>33050.176708458319</v>
      </c>
      <c r="DV51" s="8">
        <f t="shared" si="87"/>
        <v>32389.173174289153</v>
      </c>
      <c r="DW51" s="8">
        <f t="shared" si="87"/>
        <v>31741.389710803371</v>
      </c>
      <c r="DX51" s="8">
        <f t="shared" si="87"/>
        <v>31106.561916587303</v>
      </c>
      <c r="DY51" s="8">
        <f t="shared" si="87"/>
        <v>30484.430678255558</v>
      </c>
      <c r="DZ51" s="8">
        <f t="shared" si="87"/>
        <v>29874.742064690447</v>
      </c>
      <c r="EA51" s="8">
        <f t="shared" si="87"/>
        <v>29277.247223396636</v>
      </c>
      <c r="EB51" s="8">
        <f t="shared" si="87"/>
        <v>28691.702278928704</v>
      </c>
      <c r="EC51" s="8">
        <f t="shared" si="87"/>
        <v>28117.868233350131</v>
      </c>
      <c r="ED51" s="8">
        <f t="shared" si="87"/>
        <v>27555.510868683126</v>
      </c>
      <c r="EE51" s="8">
        <f t="shared" si="87"/>
        <v>27004.400651309465</v>
      </c>
      <c r="EF51" s="8">
        <f t="shared" si="87"/>
        <v>26464.312638283274</v>
      </c>
      <c r="EG51" s="8">
        <f t="shared" si="87"/>
        <v>25935.026385517609</v>
      </c>
      <c r="EH51" s="8">
        <f t="shared" si="87"/>
        <v>25416.325857807256</v>
      </c>
      <c r="EI51" s="8">
        <f t="shared" si="87"/>
        <v>24907.999340651109</v>
      </c>
      <c r="EJ51" s="8">
        <f t="shared" si="87"/>
        <v>24409.839353838088</v>
      </c>
      <c r="EK51" s="8">
        <f t="shared" si="87"/>
        <v>23921.642566761326</v>
      </c>
      <c r="EL51" s="8">
        <f t="shared" si="87"/>
        <v>23443.209715426099</v>
      </c>
      <c r="EM51" s="8">
        <f t="shared" si="87"/>
        <v>22974.345521117575</v>
      </c>
      <c r="EN51" s="8">
        <f t="shared" si="87"/>
        <v>22514.858610695224</v>
      </c>
      <c r="EO51" s="8">
        <f t="shared" si="87"/>
        <v>22064.56143848132</v>
      </c>
      <c r="EP51" s="8">
        <f t="shared" si="87"/>
        <v>21623.270209711693</v>
      </c>
      <c r="EQ51" s="8">
        <f t="shared" si="87"/>
        <v>21190.804805517459</v>
      </c>
      <c r="ER51" s="8">
        <f t="shared" si="87"/>
        <v>20766.988709407109</v>
      </c>
      <c r="ES51" s="8">
        <f t="shared" si="87"/>
        <v>20351.648935218967</v>
      </c>
      <c r="ET51" s="8">
        <f t="shared" si="87"/>
        <v>19944.615956514586</v>
      </c>
      <c r="EU51" s="8">
        <f t="shared" si="87"/>
        <v>19545.723637384293</v>
      </c>
      <c r="EV51" s="8">
        <f t="shared" si="87"/>
        <v>19154.809164636608</v>
      </c>
      <c r="EW51" s="8">
        <f t="shared" si="87"/>
        <v>18771.712981343877</v>
      </c>
      <c r="EX51" s="8">
        <f t="shared" si="87"/>
        <v>18396.278721717001</v>
      </c>
      <c r="EY51" s="8">
        <f t="shared" si="87"/>
        <v>18028.353147282662</v>
      </c>
      <c r="EZ51" s="8">
        <f t="shared" si="87"/>
        <v>17667.786084337007</v>
      </c>
      <c r="FA51" s="8">
        <f t="shared" si="87"/>
        <v>17314.430362650266</v>
      </c>
      <c r="FB51" s="8">
        <f t="shared" si="87"/>
        <v>16968.141755397261</v>
      </c>
      <c r="FC51" s="8">
        <f t="shared" si="87"/>
        <v>16628.778920289315</v>
      </c>
      <c r="FD51" s="8">
        <f t="shared" si="87"/>
        <v>16296.203341883527</v>
      </c>
      <c r="FE51" s="8">
        <f t="shared" si="87"/>
        <v>15970.279275045856</v>
      </c>
      <c r="FF51" s="8">
        <f t="shared" si="87"/>
        <v>15650.873689544938</v>
      </c>
      <c r="FG51" s="8">
        <f t="shared" si="87"/>
        <v>15337.85621575404</v>
      </c>
      <c r="FH51" s="8">
        <f t="shared" si="87"/>
        <v>15031.099091438959</v>
      </c>
      <c r="FI51" s="8">
        <f t="shared" si="87"/>
        <v>14730.477109610179</v>
      </c>
      <c r="FJ51" s="8">
        <f t="shared" si="87"/>
        <v>14435.867567417976</v>
      </c>
      <c r="FK51" s="8">
        <f t="shared" si="87"/>
        <v>14147.150216069616</v>
      </c>
      <c r="FL51" s="8">
        <f t="shared" si="87"/>
        <v>13864.207211748224</v>
      </c>
      <c r="FM51" s="8">
        <f t="shared" si="87"/>
        <v>13586.923067513259</v>
      </c>
      <c r="FN51" s="8">
        <f t="shared" si="87"/>
        <v>13315.184606162993</v>
      </c>
      <c r="FO51" s="8">
        <f t="shared" si="87"/>
        <v>13048.880914039733</v>
      </c>
      <c r="FP51" s="8">
        <f t="shared" si="87"/>
        <v>12787.903295758939</v>
      </c>
      <c r="FQ51" s="8">
        <f t="shared" si="87"/>
        <v>12532.14522984376</v>
      </c>
      <c r="FR51" s="8">
        <f t="shared" si="87"/>
        <v>12281.502325246884</v>
      </c>
      <c r="FS51" s="8">
        <f t="shared" si="87"/>
        <v>12035.872278741947</v>
      </c>
      <c r="FT51" s="8">
        <f t="shared" si="87"/>
        <v>11795.154833167107</v>
      </c>
      <c r="FU51" s="8">
        <f t="shared" si="87"/>
        <v>11559.251736503766</v>
      </c>
      <c r="FV51" s="8">
        <f t="shared" si="87"/>
        <v>11328.066701773691</v>
      </c>
      <c r="FW51" s="8">
        <f t="shared" si="87"/>
        <v>11101.505367738217</v>
      </c>
      <c r="FX51" s="8">
        <f t="shared" ref="FX51:II51" si="88">FW51*(1+$BA$54)</f>
        <v>10879.475260383451</v>
      </c>
      <c r="FY51" s="8">
        <f t="shared" si="88"/>
        <v>10661.885755175783</v>
      </c>
      <c r="FZ51" s="8">
        <f t="shared" si="88"/>
        <v>10448.648040072267</v>
      </c>
      <c r="GA51" s="8">
        <f t="shared" si="88"/>
        <v>10239.675079270821</v>
      </c>
      <c r="GB51" s="8">
        <f t="shared" si="88"/>
        <v>10034.881577685404</v>
      </c>
      <c r="GC51" s="8">
        <f t="shared" si="88"/>
        <v>9834.1839461316958</v>
      </c>
      <c r="GD51" s="8">
        <f t="shared" si="88"/>
        <v>9637.5002672090613</v>
      </c>
      <c r="GE51" s="8">
        <f t="shared" si="88"/>
        <v>9444.7502618648796</v>
      </c>
      <c r="GF51" s="8">
        <f t="shared" si="88"/>
        <v>9255.8552566275812</v>
      </c>
      <c r="GG51" s="8">
        <f t="shared" si="88"/>
        <v>9070.7381514950303</v>
      </c>
      <c r="GH51" s="8">
        <f t="shared" si="88"/>
        <v>8889.323388465129</v>
      </c>
      <c r="GI51" s="8">
        <f t="shared" si="88"/>
        <v>8711.5369206958258</v>
      </c>
      <c r="GJ51" s="8">
        <f t="shared" si="88"/>
        <v>8537.3061822819091</v>
      </c>
      <c r="GK51" s="8">
        <f t="shared" si="88"/>
        <v>8366.5600586362707</v>
      </c>
      <c r="GL51" s="8">
        <f t="shared" si="88"/>
        <v>8199.2288574635459</v>
      </c>
      <c r="GM51" s="8">
        <f t="shared" si="88"/>
        <v>8035.2442803142749</v>
      </c>
      <c r="GN51" s="8">
        <f t="shared" si="88"/>
        <v>7874.5393947079892</v>
      </c>
      <c r="GO51" s="8">
        <f t="shared" si="88"/>
        <v>7717.0486068138289</v>
      </c>
      <c r="GP51" s="8">
        <f t="shared" si="88"/>
        <v>7562.7076346775521</v>
      </c>
      <c r="GQ51" s="8">
        <f t="shared" si="88"/>
        <v>7411.453481984001</v>
      </c>
      <c r="GR51" s="8">
        <f t="shared" si="88"/>
        <v>7263.2244123443206</v>
      </c>
      <c r="GS51" s="8">
        <f t="shared" si="88"/>
        <v>7117.9599240974339</v>
      </c>
      <c r="GT51" s="8">
        <f t="shared" si="88"/>
        <v>6975.6007256154853</v>
      </c>
      <c r="GU51" s="8">
        <f t="shared" si="88"/>
        <v>6836.0887111031752</v>
      </c>
      <c r="GV51" s="8">
        <f t="shared" si="88"/>
        <v>6699.3669368811115</v>
      </c>
      <c r="GW51" s="8">
        <f t="shared" si="88"/>
        <v>6565.3795981434896</v>
      </c>
      <c r="GX51" s="8">
        <f t="shared" si="88"/>
        <v>6434.0720061806196</v>
      </c>
      <c r="GY51" s="8">
        <f t="shared" si="88"/>
        <v>6305.3905660570072</v>
      </c>
      <c r="GZ51" s="8">
        <f t="shared" si="88"/>
        <v>6179.2827547358665</v>
      </c>
      <c r="HA51" s="8">
        <f t="shared" si="88"/>
        <v>6055.6970996411492</v>
      </c>
      <c r="HB51" s="8">
        <f t="shared" si="88"/>
        <v>5934.5831576483261</v>
      </c>
      <c r="HC51" s="8">
        <f t="shared" si="88"/>
        <v>5815.8914944953594</v>
      </c>
      <c r="HD51" s="8">
        <f t="shared" si="88"/>
        <v>5699.573664605452</v>
      </c>
      <c r="HE51" s="8">
        <f t="shared" si="88"/>
        <v>5585.5821913133432</v>
      </c>
      <c r="HF51" s="8">
        <f t="shared" si="88"/>
        <v>5473.8705474870758</v>
      </c>
      <c r="HG51" s="8">
        <f t="shared" si="88"/>
        <v>5364.3931365373346</v>
      </c>
      <c r="HH51" s="8">
        <f t="shared" si="88"/>
        <v>5257.1052738065882</v>
      </c>
      <c r="HI51" s="8">
        <f t="shared" si="88"/>
        <v>5151.963168330456</v>
      </c>
      <c r="HJ51" s="8">
        <f t="shared" si="88"/>
        <v>5048.9239049638472</v>
      </c>
      <c r="HK51" s="8">
        <f t="shared" si="88"/>
        <v>4947.9454268645704</v>
      </c>
      <c r="HL51" s="8">
        <f t="shared" si="88"/>
        <v>4848.9865183272786</v>
      </c>
      <c r="HM51" s="8">
        <f t="shared" si="88"/>
        <v>4752.0067879607332</v>
      </c>
      <c r="HN51" s="8">
        <f t="shared" si="88"/>
        <v>4656.9666522015186</v>
      </c>
      <c r="HO51" s="8">
        <f t="shared" si="88"/>
        <v>4563.8273191574881</v>
      </c>
      <c r="HP51" s="8">
        <f t="shared" si="88"/>
        <v>4472.5507727743379</v>
      </c>
      <c r="HQ51" s="8">
        <f t="shared" si="88"/>
        <v>4383.0997573188515</v>
      </c>
      <c r="HR51" s="8">
        <f t="shared" si="88"/>
        <v>4295.4377621724743</v>
      </c>
      <c r="HS51" s="8">
        <f t="shared" si="88"/>
        <v>4209.5290069290249</v>
      </c>
      <c r="HT51" s="8">
        <f t="shared" si="88"/>
        <v>4125.3384267904439</v>
      </c>
      <c r="HU51" s="8">
        <f t="shared" si="88"/>
        <v>4042.8316582546349</v>
      </c>
      <c r="HV51" s="8">
        <f t="shared" si="88"/>
        <v>3961.9750250895422</v>
      </c>
      <c r="HW51" s="8">
        <f t="shared" si="88"/>
        <v>3882.7355245877511</v>
      </c>
      <c r="HX51" s="8">
        <f t="shared" si="88"/>
        <v>3805.0808140959962</v>
      </c>
      <c r="HY51" s="8">
        <f t="shared" si="88"/>
        <v>3728.9791978140761</v>
      </c>
      <c r="HZ51" s="8">
        <f t="shared" si="88"/>
        <v>3654.3996138577945</v>
      </c>
      <c r="IA51" s="8">
        <f t="shared" si="88"/>
        <v>3581.3116215806385</v>
      </c>
      <c r="IB51" s="8">
        <f t="shared" si="88"/>
        <v>3509.6853891490255</v>
      </c>
      <c r="IC51" s="8">
        <f t="shared" si="88"/>
        <v>3439.4916813660448</v>
      </c>
      <c r="ID51" s="8">
        <f t="shared" si="88"/>
        <v>3370.7018477387237</v>
      </c>
      <c r="IE51" s="8">
        <f t="shared" si="88"/>
        <v>3303.2878107839492</v>
      </c>
      <c r="IF51" s="8">
        <f t="shared" si="88"/>
        <v>3237.2220545682703</v>
      </c>
      <c r="IG51" s="8">
        <f t="shared" si="88"/>
        <v>3172.4776134769049</v>
      </c>
      <c r="IH51" s="8">
        <f t="shared" si="88"/>
        <v>3109.0280612073666</v>
      </c>
      <c r="II51" s="8">
        <f t="shared" si="88"/>
        <v>3046.8474999832192</v>
      </c>
      <c r="IJ51" s="8">
        <f t="shared" ref="IJ51:KU51" si="89">II51*(1+$BA$54)</f>
        <v>2985.9105499835546</v>
      </c>
      <c r="IK51" s="8">
        <f t="shared" si="89"/>
        <v>2926.1923389838835</v>
      </c>
      <c r="IL51" s="8">
        <f t="shared" si="89"/>
        <v>2867.6684922042059</v>
      </c>
      <c r="IM51" s="8">
        <f t="shared" si="89"/>
        <v>2810.3151223601217</v>
      </c>
      <c r="IN51" s="8">
        <f t="shared" si="89"/>
        <v>2754.108819912919</v>
      </c>
      <c r="IO51" s="8">
        <f t="shared" si="89"/>
        <v>2699.0266435146605</v>
      </c>
      <c r="IP51" s="8">
        <f t="shared" si="89"/>
        <v>2645.0461106443672</v>
      </c>
      <c r="IQ51" s="8">
        <f t="shared" si="89"/>
        <v>2592.1451884314797</v>
      </c>
      <c r="IR51" s="8">
        <f t="shared" si="89"/>
        <v>2540.3022846628501</v>
      </c>
      <c r="IS51" s="8">
        <f t="shared" si="89"/>
        <v>2489.4962389695929</v>
      </c>
      <c r="IT51" s="8">
        <f t="shared" si="89"/>
        <v>2439.7063141902008</v>
      </c>
      <c r="IU51" s="8">
        <f t="shared" si="89"/>
        <v>2390.9121879063969</v>
      </c>
      <c r="IV51" s="8">
        <f t="shared" si="89"/>
        <v>2343.0939441482687</v>
      </c>
      <c r="IW51" s="8">
        <f t="shared" si="89"/>
        <v>2296.2320652653034</v>
      </c>
      <c r="IX51" s="8">
        <f t="shared" si="89"/>
        <v>2250.3074239599973</v>
      </c>
      <c r="IY51" s="8">
        <f t="shared" si="89"/>
        <v>2205.3012754807974</v>
      </c>
      <c r="IZ51" s="8">
        <f t="shared" si="89"/>
        <v>2161.1952499711815</v>
      </c>
      <c r="JA51" s="8">
        <f t="shared" si="89"/>
        <v>2117.9713449717578</v>
      </c>
      <c r="JB51" s="8">
        <f t="shared" si="89"/>
        <v>2075.6119180723226</v>
      </c>
      <c r="JC51" s="8">
        <f t="shared" si="89"/>
        <v>2034.0996797108762</v>
      </c>
      <c r="JD51" s="8">
        <f t="shared" si="89"/>
        <v>1993.4176861166586</v>
      </c>
      <c r="JE51" s="8">
        <f t="shared" si="89"/>
        <v>1953.5493323943253</v>
      </c>
      <c r="JF51" s="8">
        <f t="shared" si="89"/>
        <v>1914.4783457464389</v>
      </c>
      <c r="JG51" s="8">
        <f t="shared" si="89"/>
        <v>1876.18877883151</v>
      </c>
      <c r="JH51" s="8">
        <f t="shared" si="89"/>
        <v>1838.6650032548798</v>
      </c>
      <c r="JI51" s="8">
        <f t="shared" si="89"/>
        <v>1801.8917031897822</v>
      </c>
      <c r="JJ51" s="8">
        <f t="shared" si="89"/>
        <v>1765.8538691259866</v>
      </c>
      <c r="JK51" s="8">
        <f t="shared" si="89"/>
        <v>1730.5367917434669</v>
      </c>
      <c r="JL51" s="8">
        <f t="shared" si="89"/>
        <v>1695.9260559085976</v>
      </c>
      <c r="JM51" s="8">
        <f t="shared" si="89"/>
        <v>1662.0075347904256</v>
      </c>
      <c r="JN51" s="8">
        <f t="shared" si="89"/>
        <v>1628.767384094617</v>
      </c>
      <c r="JO51" s="8">
        <f t="shared" si="89"/>
        <v>1596.1920364127245</v>
      </c>
      <c r="JP51" s="8">
        <f t="shared" si="89"/>
        <v>1564.2681956844699</v>
      </c>
      <c r="JQ51" s="8">
        <f t="shared" si="89"/>
        <v>1532.9828317707804</v>
      </c>
      <c r="JR51" s="8">
        <f t="shared" si="89"/>
        <v>1502.3231751353649</v>
      </c>
      <c r="JS51" s="8">
        <f t="shared" si="89"/>
        <v>1472.2767116326575</v>
      </c>
      <c r="JT51" s="8">
        <f t="shared" si="89"/>
        <v>1442.8311774000042</v>
      </c>
      <c r="JU51" s="8">
        <f t="shared" si="89"/>
        <v>1413.9745538520042</v>
      </c>
      <c r="JV51" s="8">
        <f t="shared" si="89"/>
        <v>1385.6950627749641</v>
      </c>
      <c r="JW51" s="8">
        <f t="shared" si="89"/>
        <v>1357.9811615194649</v>
      </c>
      <c r="JX51" s="8">
        <f t="shared" si="89"/>
        <v>1330.8215382890755</v>
      </c>
      <c r="JY51" s="8">
        <f t="shared" si="89"/>
        <v>1304.2051075232939</v>
      </c>
      <c r="JZ51" s="8">
        <f t="shared" si="89"/>
        <v>1278.121005372828</v>
      </c>
      <c r="KA51" s="8">
        <f t="shared" si="89"/>
        <v>1252.5585852653714</v>
      </c>
      <c r="KB51" s="8">
        <f t="shared" si="89"/>
        <v>1227.5074135600639</v>
      </c>
      <c r="KC51" s="8">
        <f t="shared" si="89"/>
        <v>1202.9572652888626</v>
      </c>
      <c r="KD51" s="8">
        <f t="shared" si="89"/>
        <v>1178.8981199830853</v>
      </c>
      <c r="KE51" s="8">
        <f t="shared" si="89"/>
        <v>1155.3201575834235</v>
      </c>
      <c r="KF51" s="8">
        <f t="shared" si="89"/>
        <v>1132.213754431755</v>
      </c>
      <c r="KG51" s="8">
        <f t="shared" si="89"/>
        <v>1109.5694793431198</v>
      </c>
      <c r="KH51" s="8">
        <f t="shared" si="89"/>
        <v>1087.3780897562574</v>
      </c>
      <c r="KI51" s="8">
        <f t="shared" si="89"/>
        <v>1065.6305279611322</v>
      </c>
      <c r="KJ51" s="8">
        <f t="shared" si="89"/>
        <v>1044.3179174019094</v>
      </c>
      <c r="KK51" s="8">
        <f t="shared" si="89"/>
        <v>1023.4315590538712</v>
      </c>
      <c r="KL51" s="8">
        <f t="shared" si="89"/>
        <v>1002.9629278727938</v>
      </c>
      <c r="KM51" s="8">
        <f t="shared" si="89"/>
        <v>982.90366931533788</v>
      </c>
      <c r="KN51" s="8">
        <f t="shared" si="89"/>
        <v>963.24559592903108</v>
      </c>
      <c r="KO51" s="8">
        <f t="shared" si="89"/>
        <v>943.98068401045043</v>
      </c>
      <c r="KP51" s="8">
        <f t="shared" si="89"/>
        <v>925.10107033024144</v>
      </c>
      <c r="KQ51" s="8">
        <f t="shared" si="89"/>
        <v>906.59904892363659</v>
      </c>
      <c r="KR51" s="8">
        <f t="shared" si="89"/>
        <v>888.46706794516388</v>
      </c>
      <c r="KS51" s="8">
        <f t="shared" si="89"/>
        <v>870.69772658626061</v>
      </c>
      <c r="KT51" s="8">
        <f t="shared" si="89"/>
        <v>853.28377205453535</v>
      </c>
      <c r="KU51" s="8">
        <f t="shared" si="89"/>
        <v>836.21809661344457</v>
      </c>
      <c r="KV51" s="8">
        <f t="shared" ref="KV51:NG51" si="90">KU51*(1+$BA$54)</f>
        <v>819.49373468117562</v>
      </c>
      <c r="KW51" s="8">
        <f t="shared" si="90"/>
        <v>803.10385998755214</v>
      </c>
      <c r="KX51" s="8">
        <f t="shared" si="90"/>
        <v>787.04178278780114</v>
      </c>
      <c r="KY51" s="8">
        <f t="shared" si="90"/>
        <v>771.30094713204505</v>
      </c>
      <c r="KZ51" s="8">
        <f t="shared" si="90"/>
        <v>755.87492818940416</v>
      </c>
      <c r="LA51" s="8">
        <f t="shared" si="90"/>
        <v>740.75742962561606</v>
      </c>
      <c r="LB51" s="8">
        <f t="shared" si="90"/>
        <v>725.94228103310377</v>
      </c>
      <c r="LC51" s="8">
        <f t="shared" si="90"/>
        <v>711.42343541244168</v>
      </c>
      <c r="LD51" s="8">
        <f t="shared" si="90"/>
        <v>697.19496670419278</v>
      </c>
      <c r="LE51" s="8">
        <f t="shared" si="90"/>
        <v>683.2510673701089</v>
      </c>
      <c r="LF51" s="8">
        <f t="shared" si="90"/>
        <v>669.58604602270668</v>
      </c>
      <c r="LG51" s="8">
        <f t="shared" si="90"/>
        <v>656.19432510225249</v>
      </c>
      <c r="LH51" s="8">
        <f t="shared" si="90"/>
        <v>643.07043860020747</v>
      </c>
      <c r="LI51" s="8">
        <f t="shared" si="90"/>
        <v>630.20902982820326</v>
      </c>
      <c r="LJ51" s="8">
        <f t="shared" si="90"/>
        <v>617.60484923163915</v>
      </c>
      <c r="LK51" s="8">
        <f t="shared" si="90"/>
        <v>605.25275224700636</v>
      </c>
      <c r="LL51" s="8">
        <f t="shared" si="90"/>
        <v>593.14769720206618</v>
      </c>
      <c r="LM51" s="8">
        <f t="shared" si="90"/>
        <v>581.28474325802483</v>
      </c>
      <c r="LN51" s="8">
        <f t="shared" si="90"/>
        <v>569.65904839286429</v>
      </c>
      <c r="LO51" s="8">
        <f t="shared" si="90"/>
        <v>558.26586742500695</v>
      </c>
      <c r="LP51" s="8">
        <f t="shared" si="90"/>
        <v>547.10055007650681</v>
      </c>
      <c r="LQ51" s="8">
        <f t="shared" si="90"/>
        <v>536.15853907497672</v>
      </c>
      <c r="LR51" s="8">
        <f t="shared" si="90"/>
        <v>525.43536829347715</v>
      </c>
      <c r="LS51" s="8">
        <f t="shared" si="90"/>
        <v>514.9266609276076</v>
      </c>
      <c r="LT51" s="8">
        <f t="shared" si="90"/>
        <v>504.62812770905543</v>
      </c>
      <c r="LU51" s="8">
        <f t="shared" si="90"/>
        <v>494.53556515487429</v>
      </c>
      <c r="LV51" s="8">
        <f t="shared" si="90"/>
        <v>484.64485385177682</v>
      </c>
      <c r="LW51" s="8">
        <f t="shared" si="90"/>
        <v>474.95195677474129</v>
      </c>
      <c r="LX51" s="8">
        <f t="shared" si="90"/>
        <v>465.45291763924644</v>
      </c>
      <c r="LY51" s="8">
        <f t="shared" si="90"/>
        <v>456.14385928646152</v>
      </c>
      <c r="LZ51" s="8">
        <f t="shared" si="90"/>
        <v>447.02098210073228</v>
      </c>
      <c r="MA51" s="8">
        <f t="shared" si="90"/>
        <v>438.08056245871762</v>
      </c>
      <c r="MB51" s="8">
        <f t="shared" si="90"/>
        <v>429.31895120954329</v>
      </c>
      <c r="MC51" s="8">
        <f t="shared" si="90"/>
        <v>420.73257218535241</v>
      </c>
      <c r="MD51" s="8">
        <f t="shared" si="90"/>
        <v>412.31792074164537</v>
      </c>
      <c r="ME51" s="8">
        <f t="shared" si="90"/>
        <v>404.07156232681245</v>
      </c>
      <c r="MF51" s="8">
        <f t="shared" si="90"/>
        <v>395.99013108027617</v>
      </c>
      <c r="MG51" s="8">
        <f t="shared" si="90"/>
        <v>388.07032845867064</v>
      </c>
      <c r="MH51" s="8">
        <f t="shared" si="90"/>
        <v>380.30892188949724</v>
      </c>
      <c r="MI51" s="8">
        <f t="shared" si="90"/>
        <v>372.70274345170731</v>
      </c>
      <c r="MJ51" s="8">
        <f t="shared" si="90"/>
        <v>365.24868858267314</v>
      </c>
      <c r="MK51" s="8">
        <f t="shared" si="90"/>
        <v>357.94371481101967</v>
      </c>
      <c r="ML51" s="8">
        <f t="shared" si="90"/>
        <v>350.78484051479927</v>
      </c>
      <c r="MM51" s="8">
        <f t="shared" si="90"/>
        <v>343.76914370450328</v>
      </c>
      <c r="MN51" s="8">
        <f t="shared" si="90"/>
        <v>336.89376083041321</v>
      </c>
      <c r="MO51" s="8">
        <f t="shared" si="90"/>
        <v>330.15588561380497</v>
      </c>
      <c r="MP51" s="8">
        <f t="shared" si="90"/>
        <v>323.55276790152885</v>
      </c>
      <c r="MQ51" s="8">
        <f t="shared" si="90"/>
        <v>317.08171254349827</v>
      </c>
      <c r="MR51" s="8">
        <f t="shared" si="90"/>
        <v>310.74007829262831</v>
      </c>
      <c r="MS51" s="8">
        <f t="shared" si="90"/>
        <v>304.52527672677576</v>
      </c>
      <c r="MT51" s="8">
        <f t="shared" si="90"/>
        <v>298.43477119224025</v>
      </c>
      <c r="MU51" s="8">
        <f t="shared" si="90"/>
        <v>292.46607576839546</v>
      </c>
      <c r="MV51" s="8">
        <f t="shared" si="90"/>
        <v>286.61675425302752</v>
      </c>
      <c r="MW51" s="8">
        <f t="shared" si="90"/>
        <v>280.88441916796694</v>
      </c>
      <c r="MX51" s="8">
        <f t="shared" si="90"/>
        <v>275.2667307846076</v>
      </c>
      <c r="MY51" s="8">
        <f t="shared" si="90"/>
        <v>269.76139616891544</v>
      </c>
      <c r="MZ51" s="8">
        <f t="shared" si="90"/>
        <v>264.36616824553715</v>
      </c>
      <c r="NA51" s="8">
        <f t="shared" si="90"/>
        <v>259.07884488062638</v>
      </c>
      <c r="NB51" s="8">
        <f t="shared" si="90"/>
        <v>253.89726798301385</v>
      </c>
      <c r="NC51" s="8">
        <f t="shared" si="90"/>
        <v>248.81932262335357</v>
      </c>
      <c r="ND51" s="8">
        <f t="shared" si="90"/>
        <v>243.8429361708865</v>
      </c>
      <c r="NE51" s="8">
        <f t="shared" si="90"/>
        <v>238.96607744746876</v>
      </c>
      <c r="NF51" s="8">
        <f t="shared" si="90"/>
        <v>234.18675589851938</v>
      </c>
      <c r="NG51" s="8">
        <f t="shared" si="90"/>
        <v>229.50302078054898</v>
      </c>
      <c r="NH51" s="8">
        <f t="shared" ref="NH51:NY51" si="91">NG51*(1+$BA$54)</f>
        <v>224.91296036493799</v>
      </c>
      <c r="NI51" s="8">
        <f t="shared" si="91"/>
        <v>220.41470115763923</v>
      </c>
      <c r="NJ51" s="8">
        <f t="shared" si="91"/>
        <v>216.00640713448644</v>
      </c>
      <c r="NK51" s="8">
        <f t="shared" si="91"/>
        <v>211.68627899179671</v>
      </c>
      <c r="NL51" s="8">
        <f t="shared" si="91"/>
        <v>207.45255341196076</v>
      </c>
      <c r="NM51" s="8">
        <f t="shared" si="91"/>
        <v>203.30350234372153</v>
      </c>
      <c r="NN51" s="8">
        <f t="shared" si="91"/>
        <v>199.23743229684709</v>
      </c>
      <c r="NO51" s="8">
        <f t="shared" si="91"/>
        <v>195.25268365091014</v>
      </c>
      <c r="NP51" s="8">
        <f t="shared" si="91"/>
        <v>191.34762997789193</v>
      </c>
      <c r="NQ51" s="8">
        <f t="shared" si="91"/>
        <v>187.52067737833409</v>
      </c>
      <c r="NR51" s="8">
        <f t="shared" si="91"/>
        <v>183.77026383076739</v>
      </c>
      <c r="NS51" s="8">
        <f t="shared" si="91"/>
        <v>180.09485855415204</v>
      </c>
      <c r="NT51" s="8">
        <f t="shared" si="91"/>
        <v>176.492961383069</v>
      </c>
      <c r="NU51" s="8">
        <f t="shared" si="91"/>
        <v>172.96310215540763</v>
      </c>
      <c r="NV51" s="8">
        <f t="shared" si="91"/>
        <v>169.50384011229946</v>
      </c>
      <c r="NW51" s="8">
        <f t="shared" si="91"/>
        <v>166.11376331005346</v>
      </c>
      <c r="NX51" s="8">
        <f t="shared" si="91"/>
        <v>162.79148804385238</v>
      </c>
      <c r="NY51" s="8">
        <f t="shared" si="91"/>
        <v>159.53565828297533</v>
      </c>
    </row>
    <row r="52" spans="1:389" s="5" customFormat="1" x14ac:dyDescent="0.3">
      <c r="A52" s="4"/>
      <c r="B52" s="5" t="s">
        <v>2</v>
      </c>
      <c r="C52" s="5">
        <v>3166</v>
      </c>
      <c r="D52" s="5">
        <v>3171</v>
      </c>
      <c r="E52" s="5">
        <v>3176</v>
      </c>
      <c r="F52" s="5">
        <v>3181</v>
      </c>
      <c r="G52" s="5">
        <v>3186</v>
      </c>
      <c r="H52" s="5">
        <v>3191</v>
      </c>
      <c r="I52" s="5">
        <v>3198</v>
      </c>
      <c r="J52" s="5">
        <v>3213</v>
      </c>
      <c r="K52" s="5">
        <v>3218</v>
      </c>
      <c r="L52" s="5">
        <v>3223</v>
      </c>
      <c r="M52" s="5">
        <v>3325.8191670000001</v>
      </c>
      <c r="AB52" s="5">
        <f>F52</f>
        <v>3181</v>
      </c>
      <c r="AC52" s="5">
        <f>J52</f>
        <v>3213</v>
      </c>
      <c r="AD52" s="5">
        <f>L52</f>
        <v>3223</v>
      </c>
    </row>
    <row r="53" spans="1:389" s="14" customFormat="1" x14ac:dyDescent="0.3">
      <c r="B53" s="15" t="s">
        <v>80</v>
      </c>
      <c r="C53" s="14">
        <f t="shared" ref="C53" si="92">C51/C52</f>
        <v>0.79374605180037905</v>
      </c>
      <c r="D53" s="14">
        <f t="shared" ref="D53" si="93">D51/D52</f>
        <v>0.85241248817407755</v>
      </c>
      <c r="E53" s="14">
        <f t="shared" ref="E53" si="94">E51/E52</f>
        <v>0.58343828715365242</v>
      </c>
      <c r="F53" s="14">
        <f t="shared" ref="F53" si="95">F51/F52</f>
        <v>2.4922980194907263</v>
      </c>
      <c r="G53" s="14">
        <f>G51/G52</f>
        <v>0.35436283741368485</v>
      </c>
      <c r="H53" s="14">
        <f>H51/H52</f>
        <v>0.43873393920401127</v>
      </c>
      <c r="I53" s="14">
        <f t="shared" ref="I53:K53" si="96">I51/I52</f>
        <v>0.67948717948717952</v>
      </c>
      <c r="J53" s="14">
        <f t="shared" si="96"/>
        <v>0.66230936819172115</v>
      </c>
      <c r="K53" s="14">
        <f t="shared" si="96"/>
        <v>0.12709757613424488</v>
      </c>
      <c r="L53" s="14">
        <f>L51/L52</f>
        <v>0.36363636363636365</v>
      </c>
      <c r="M53" s="14">
        <f t="shared" ref="M53" si="97">M51/M52</f>
        <v>0.41283062339149723</v>
      </c>
      <c r="AB53" s="14">
        <f t="shared" ref="AB53:AD53" si="98">AB51/AB52</f>
        <v>4.7145551713297706</v>
      </c>
      <c r="AC53" s="14">
        <f t="shared" si="98"/>
        <v>2.1257391845627138</v>
      </c>
      <c r="AD53" s="14">
        <f t="shared" si="98"/>
        <v>1.3881476884889854</v>
      </c>
    </row>
    <row r="54" spans="1:389" x14ac:dyDescent="0.3">
      <c r="AZ54" s="4" t="s">
        <v>164</v>
      </c>
      <c r="BA54" s="16">
        <v>-0.02</v>
      </c>
    </row>
    <row r="55" spans="1:389" s="16" customFormat="1" x14ac:dyDescent="0.3">
      <c r="A55" s="4"/>
      <c r="B55" s="4" t="s">
        <v>82</v>
      </c>
      <c r="C55" s="16">
        <f t="shared" ref="C55:G55" si="99">(C28-C34)/C28</f>
        <v>0.21078996142864298</v>
      </c>
      <c r="D55" s="16">
        <f t="shared" si="99"/>
        <v>0.19226067331201804</v>
      </c>
      <c r="E55" s="16">
        <f t="shared" si="99"/>
        <v>0.18690445859872612</v>
      </c>
      <c r="F55" s="16">
        <f t="shared" si="99"/>
        <v>0.18851736771321245</v>
      </c>
      <c r="G55" s="16">
        <f t="shared" si="99"/>
        <v>0.18483139601795373</v>
      </c>
      <c r="H55" s="16">
        <f t="shared" ref="H55:K55" si="100">(H28-H34)/H28</f>
        <v>0.18467652681356272</v>
      </c>
      <c r="I55" s="16">
        <f t="shared" si="100"/>
        <v>0.20113908872901679</v>
      </c>
      <c r="J55" s="16">
        <f t="shared" si="100"/>
        <v>0.16607738155369228</v>
      </c>
      <c r="K55" s="16">
        <f t="shared" si="100"/>
        <v>0.16231116202477266</v>
      </c>
      <c r="L55" s="16">
        <f>(L28-L34)/L28</f>
        <v>0.172018486285337</v>
      </c>
      <c r="M55" s="16">
        <f>(M28-M34)/M28</f>
        <v>0.17047866069323273</v>
      </c>
      <c r="AB55" s="16">
        <f t="shared" ref="AB55:AC55" si="101">(AB28-AB34)/AB28</f>
        <v>0.19449398803673909</v>
      </c>
      <c r="AC55" s="16">
        <f t="shared" si="101"/>
        <v>0.18420916050343844</v>
      </c>
      <c r="AD55" s="16">
        <f t="shared" ref="AD55" si="102">(AD28-AD34)/AD28</f>
        <v>0.16877278953562402</v>
      </c>
      <c r="AZ55" s="16" t="s">
        <v>165</v>
      </c>
      <c r="BA55" s="16">
        <v>0.09</v>
      </c>
    </row>
    <row r="56" spans="1:389" s="16" customFormat="1" x14ac:dyDescent="0.3">
      <c r="A56" s="4"/>
      <c r="B56" s="4" t="s">
        <v>83</v>
      </c>
      <c r="C56" s="16">
        <f t="shared" ref="C56:G56" si="103">(C29-C35)/C29</f>
        <v>0.10987573577501634</v>
      </c>
      <c r="D56" s="16">
        <f t="shared" si="103"/>
        <v>0.18422796554009277</v>
      </c>
      <c r="E56" s="16">
        <f t="shared" si="103"/>
        <v>0.24438742783835793</v>
      </c>
      <c r="F56" s="16">
        <f t="shared" si="103"/>
        <v>0.21835883171070933</v>
      </c>
      <c r="G56" s="16">
        <f t="shared" si="103"/>
        <v>0.24648318042813455</v>
      </c>
      <c r="H56" s="16">
        <f t="shared" ref="H56:K56" si="104">(H29-H35)/H29</f>
        <v>0.24552090245520902</v>
      </c>
      <c r="I56" s="16">
        <f t="shared" si="104"/>
        <v>0.30513468013468015</v>
      </c>
      <c r="J56" s="16">
        <f t="shared" si="104"/>
        <v>0.25220516171185886</v>
      </c>
      <c r="K56" s="16">
        <f t="shared" si="104"/>
        <v>0.28754578754578752</v>
      </c>
      <c r="L56" s="16">
        <f>(L29-L35)/L29</f>
        <v>0.30333452850484044</v>
      </c>
      <c r="M56" s="16">
        <f>(M29-M35)/M29</f>
        <v>0.31420204978038069</v>
      </c>
      <c r="AB56" s="16">
        <f t="shared" ref="AB56:AC56" si="105">(AB29-AB35)/AB29</f>
        <v>0.18906379453189726</v>
      </c>
      <c r="AC56" s="16">
        <f t="shared" si="105"/>
        <v>0.26174895895300415</v>
      </c>
      <c r="AD56" s="16">
        <f t="shared" ref="AD56" si="106">(AD29-AD35)/AD29</f>
        <v>0.3026639802999776</v>
      </c>
      <c r="AZ56" s="16" t="s">
        <v>166</v>
      </c>
      <c r="BA56" s="5">
        <f>NPV(BA55,AE51:NY51)+AD51+AD78</f>
        <v>691569.8078671071</v>
      </c>
    </row>
    <row r="57" spans="1:389" s="16" customFormat="1" x14ac:dyDescent="0.3">
      <c r="A57" s="4"/>
      <c r="B57" s="4" t="s">
        <v>84</v>
      </c>
      <c r="C57" s="16">
        <f t="shared" ref="C57:G57" si="107">(C30-C36)/C30</f>
        <v>7.348938486663037E-2</v>
      </c>
      <c r="D57" s="16">
        <f t="shared" si="107"/>
        <v>7.7209302325581389E-2</v>
      </c>
      <c r="E57" s="16">
        <f t="shared" si="107"/>
        <v>5.9556786703601108E-2</v>
      </c>
      <c r="F57" s="16">
        <f t="shared" si="107"/>
        <v>2.7239150507848569E-2</v>
      </c>
      <c r="G57" s="16">
        <f t="shared" si="107"/>
        <v>3.5402097902097904E-2</v>
      </c>
      <c r="H57" s="16">
        <f t="shared" ref="H57:K57" si="108">(H30-H36)/H30</f>
        <v>6.4033742331288349E-2</v>
      </c>
      <c r="I57" s="16">
        <f t="shared" si="108"/>
        <v>8.8172043010752682E-2</v>
      </c>
      <c r="J57" s="16">
        <f t="shared" si="108"/>
        <v>4.1783707865168537E-2</v>
      </c>
      <c r="K57" s="16">
        <f t="shared" si="108"/>
        <v>3.828658074298711E-2</v>
      </c>
      <c r="L57" s="16">
        <f>(L30-L36)/L30</f>
        <v>5.4497701904136574E-2</v>
      </c>
      <c r="M57" s="16">
        <f>(M30-M36)/M30</f>
        <v>0.10532374100719424</v>
      </c>
      <c r="AB57" s="16">
        <f t="shared" ref="AB57:AC57" si="109">(AB30-AB36)/AB30</f>
        <v>5.8781103498016588E-2</v>
      </c>
      <c r="AC57" s="16">
        <f t="shared" si="109"/>
        <v>5.8192519460793624E-2</v>
      </c>
      <c r="AD57" s="16">
        <f t="shared" ref="AD57" si="110">(AD30-AD36)/AD30</f>
        <v>6.9112348509662622E-2</v>
      </c>
      <c r="AZ57" s="16" t="s">
        <v>167</v>
      </c>
      <c r="BA57" s="14">
        <f>BA56/AD52</f>
        <v>214.57331922653029</v>
      </c>
    </row>
    <row r="58" spans="1:389" s="17" customFormat="1" x14ac:dyDescent="0.3">
      <c r="A58" s="7"/>
      <c r="B58" s="7" t="s">
        <v>81</v>
      </c>
      <c r="C58" s="17">
        <f t="shared" ref="C58:G58" si="111">C38/C31</f>
        <v>0.19336448197522396</v>
      </c>
      <c r="D58" s="17">
        <f t="shared" si="111"/>
        <v>0.18185100493440848</v>
      </c>
      <c r="E58" s="17">
        <f t="shared" si="111"/>
        <v>0.17892933618843684</v>
      </c>
      <c r="F58" s="17">
        <f t="shared" si="111"/>
        <v>0.17634203520483172</v>
      </c>
      <c r="G58" s="17">
        <f t="shared" si="111"/>
        <v>0.1735129806112389</v>
      </c>
      <c r="H58" s="17">
        <f>H38/H31</f>
        <v>0.17952941176470588</v>
      </c>
      <c r="I58" s="17">
        <f>I38/I31</f>
        <v>0.19843539035819235</v>
      </c>
      <c r="J58" s="17">
        <f>J38/J31</f>
        <v>0.16256272610572994</v>
      </c>
      <c r="K58" s="17">
        <f>K38/K31</f>
        <v>0.16307214895267649</v>
      </c>
      <c r="L58" s="17">
        <f>L38/L31</f>
        <v>0.17238620199146515</v>
      </c>
      <c r="M58" s="17">
        <f>M38/M31</f>
        <v>0.1798896600818651</v>
      </c>
      <c r="AB58" s="17">
        <f t="shared" ref="AB58:AC58" si="112">AB38/AB31</f>
        <v>0.18248891736331416</v>
      </c>
      <c r="AC58" s="17">
        <f t="shared" si="112"/>
        <v>0.17862626676220697</v>
      </c>
      <c r="AD58" s="17">
        <f t="shared" ref="AD58" si="113">AD38/AD31</f>
        <v>0.39456330597889799</v>
      </c>
      <c r="AZ58" s="17" t="s">
        <v>168</v>
      </c>
      <c r="BA58" s="15">
        <f>Main!J4</f>
        <v>459.21</v>
      </c>
    </row>
    <row r="59" spans="1:389" s="16" customFormat="1" x14ac:dyDescent="0.3">
      <c r="A59" s="4"/>
      <c r="B59" s="4"/>
      <c r="AZ59" s="16" t="s">
        <v>169</v>
      </c>
      <c r="BA59" s="16">
        <f>BA57/BA58-1</f>
        <v>-0.53273378361418455</v>
      </c>
    </row>
    <row r="60" spans="1:389" s="16" customFormat="1" x14ac:dyDescent="0.3">
      <c r="A60" s="4"/>
      <c r="B60" s="4" t="s">
        <v>85</v>
      </c>
      <c r="C60" s="16">
        <f t="shared" ref="C60:G60" si="114">C39/C38</f>
        <v>0.1709155397916205</v>
      </c>
      <c r="D60" s="16">
        <f t="shared" si="114"/>
        <v>0.20803000220604456</v>
      </c>
      <c r="E60" s="16">
        <f t="shared" si="114"/>
        <v>0.27788415509813308</v>
      </c>
      <c r="F60" s="16">
        <f t="shared" si="114"/>
        <v>0.24650743578188372</v>
      </c>
      <c r="G60" s="16">
        <f t="shared" si="114"/>
        <v>0.31141774891774893</v>
      </c>
      <c r="H60" s="16">
        <f t="shared" ref="H60:K60" si="115">H39/H38</f>
        <v>0.2346002621231979</v>
      </c>
      <c r="I60" s="16">
        <f t="shared" si="115"/>
        <v>0.20792475485291176</v>
      </c>
      <c r="J60" s="16">
        <f t="shared" si="115"/>
        <v>0.30533620483369228</v>
      </c>
      <c r="K60" s="16">
        <f t="shared" si="115"/>
        <v>0.44687599111956866</v>
      </c>
      <c r="L60" s="16">
        <f>L39/L38</f>
        <v>0.40974729241877256</v>
      </c>
      <c r="M60" s="16">
        <f>M39/M38</f>
        <v>0.32251681836169371</v>
      </c>
      <c r="AB60" s="16">
        <f t="shared" ref="AB60:AC60" si="116">AB39/AB38</f>
        <v>0.22474518686296716</v>
      </c>
      <c r="AC60" s="16">
        <f t="shared" si="116"/>
        <v>0.26017191977077364</v>
      </c>
      <c r="AD60" s="16">
        <f t="shared" ref="AD60" si="117">AD39/AD38</f>
        <v>0.12277490383339966</v>
      </c>
    </row>
    <row r="61" spans="1:389" s="16" customFormat="1" x14ac:dyDescent="0.3">
      <c r="A61" s="4"/>
      <c r="B61" s="4" t="s">
        <v>86</v>
      </c>
      <c r="C61" s="16">
        <f t="shared" ref="C61:G61" si="118">C40/C38</f>
        <v>0.23852804256262469</v>
      </c>
      <c r="D61" s="16">
        <f t="shared" si="118"/>
        <v>0.2627399073461284</v>
      </c>
      <c r="E61" s="16">
        <f t="shared" si="118"/>
        <v>0.29990426041168022</v>
      </c>
      <c r="F61" s="16">
        <f t="shared" si="118"/>
        <v>0.28841820639927895</v>
      </c>
      <c r="G61" s="16">
        <f t="shared" si="118"/>
        <v>0.37175324675324678</v>
      </c>
      <c r="H61" s="16">
        <f t="shared" ref="H61:K61" si="119">H40/H38</f>
        <v>0.27894276976845783</v>
      </c>
      <c r="I61" s="16">
        <f t="shared" si="119"/>
        <v>0.23734240544326596</v>
      </c>
      <c r="J61" s="16">
        <f t="shared" si="119"/>
        <v>0.31418999760708305</v>
      </c>
      <c r="K61" s="16">
        <f t="shared" si="119"/>
        <v>0.39676498572787822</v>
      </c>
      <c r="L61" s="16">
        <f>L40/L38</f>
        <v>0.35224342444559054</v>
      </c>
      <c r="M61" s="16">
        <f>M40/M38</f>
        <v>0.30906212900672736</v>
      </c>
      <c r="AB61" s="16">
        <f t="shared" ref="AB61:AC61" si="120">AB40/AB38</f>
        <v>0.27180067950169873</v>
      </c>
      <c r="AC61" s="16">
        <f t="shared" si="120"/>
        <v>0.29512893982808025</v>
      </c>
      <c r="AD61" s="16">
        <f t="shared" ref="AD61" si="121">AD40/AD38</f>
        <v>0.11086350974930362</v>
      </c>
    </row>
    <row r="62" spans="1:389" s="17" customFormat="1" x14ac:dyDescent="0.3">
      <c r="A62" s="7"/>
      <c r="B62" s="7" t="s">
        <v>87</v>
      </c>
      <c r="C62" s="17">
        <f t="shared" ref="C62:G62" si="122">C43/C31</f>
        <v>0.11419263577521539</v>
      </c>
      <c r="D62" s="17">
        <f t="shared" si="122"/>
        <v>9.6241023789465238E-2</v>
      </c>
      <c r="E62" s="17">
        <f t="shared" si="122"/>
        <v>7.5546038543897215E-2</v>
      </c>
      <c r="F62" s="17">
        <f t="shared" si="122"/>
        <v>8.2012158779353916E-2</v>
      </c>
      <c r="G62" s="17">
        <f t="shared" si="122"/>
        <v>5.4973944885216654E-2</v>
      </c>
      <c r="H62" s="17">
        <f t="shared" ref="H62:K62" si="123">H43/H31</f>
        <v>6.2941176470588237E-2</v>
      </c>
      <c r="I62" s="17">
        <f t="shared" si="123"/>
        <v>0.10789452783734413</v>
      </c>
      <c r="J62" s="17">
        <f t="shared" si="123"/>
        <v>6.157855836931575E-2</v>
      </c>
      <c r="K62" s="17">
        <f t="shared" si="123"/>
        <v>2.0636152055857254E-2</v>
      </c>
      <c r="L62" s="17">
        <f>L43/L31</f>
        <v>4.1029516358463726E-2</v>
      </c>
      <c r="M62" s="17">
        <f>M43/M31</f>
        <v>5.7803879693895714E-2</v>
      </c>
      <c r="AB62" s="17">
        <f t="shared" ref="AB62:AC62" si="124">AB43/AB31</f>
        <v>9.1874799789197395E-2</v>
      </c>
      <c r="AC62" s="17">
        <f t="shared" si="124"/>
        <v>7.2433207083631893E-2</v>
      </c>
      <c r="AD62" s="17">
        <f t="shared" ref="AD62" si="125">AD43/AD31</f>
        <v>0.29890303131803719</v>
      </c>
    </row>
    <row r="64" spans="1:389" s="16" customFormat="1" x14ac:dyDescent="0.3">
      <c r="B64" s="16" t="s">
        <v>88</v>
      </c>
      <c r="C64" s="16">
        <f t="shared" ref="C64:G64" si="126">(C46+C45+C44)/C43</f>
        <v>5.1051051051051052E-2</v>
      </c>
      <c r="D64" s="16">
        <f t="shared" si="126"/>
        <v>0.22426010837849103</v>
      </c>
      <c r="E64" s="16">
        <f t="shared" si="126"/>
        <v>0.15929705215419501</v>
      </c>
      <c r="F64" s="16">
        <f t="shared" si="126"/>
        <v>6.1531007751937983E-2</v>
      </c>
      <c r="G64" s="16">
        <f t="shared" si="126"/>
        <v>0.32621690862510677</v>
      </c>
      <c r="H64" s="16">
        <f t="shared" ref="H64:K64" si="127">(H46+H45+H44)/H43</f>
        <v>0.11339563862928349</v>
      </c>
      <c r="I64" s="16">
        <f t="shared" si="127"/>
        <v>2.7235921972764077E-2</v>
      </c>
      <c r="J64" s="16">
        <f t="shared" si="127"/>
        <v>0.59444093493367023</v>
      </c>
      <c r="K64" s="16">
        <f t="shared" si="127"/>
        <v>0.47619047619047616</v>
      </c>
      <c r="L64" s="16">
        <f>(L46+L45+L44)/L43</f>
        <v>0.67822318526543879</v>
      </c>
      <c r="M64" s="16">
        <f>(M46+M45+M44)/M43</f>
        <v>0.20628078817733991</v>
      </c>
      <c r="AB64" s="16">
        <f t="shared" ref="AB64:AC64" si="128">(AB46+AB45+AB44)/AB43</f>
        <v>0.12169609717692048</v>
      </c>
      <c r="AC64" s="16">
        <f t="shared" si="128"/>
        <v>0.22314867156585641</v>
      </c>
      <c r="AD64" s="16">
        <f t="shared" ref="AD64" si="129">(AD46+AD45+AD44)/AD43</f>
        <v>4.0306765653452863E-2</v>
      </c>
    </row>
    <row r="65" spans="2:32" s="16" customFormat="1" x14ac:dyDescent="0.3">
      <c r="B65" s="16" t="s">
        <v>89</v>
      </c>
      <c r="C65" s="16">
        <f t="shared" ref="C65:G65" si="130">C48/C47</f>
        <v>9.3214285714285708E-2</v>
      </c>
      <c r="D65" s="16">
        <f t="shared" si="130"/>
        <v>0.10997616615594144</v>
      </c>
      <c r="E65" s="16">
        <f t="shared" si="130"/>
        <v>8.1662591687041569E-2</v>
      </c>
      <c r="F65" s="16">
        <f t="shared" si="130"/>
        <v>-2.6252852578731174</v>
      </c>
      <c r="G65" s="16">
        <f t="shared" si="130"/>
        <v>0.26336123631680619</v>
      </c>
      <c r="H65" s="16">
        <f t="shared" ref="H65:K65" si="131">H48/H47</f>
        <v>0.20761052042529379</v>
      </c>
      <c r="I65" s="16">
        <f t="shared" si="131"/>
        <v>0.21569329989251165</v>
      </c>
      <c r="J65" s="16">
        <f t="shared" si="131"/>
        <v>0.15095087163232965</v>
      </c>
      <c r="K65" s="16">
        <f t="shared" si="131"/>
        <v>0.28692699490662138</v>
      </c>
      <c r="L65" s="16">
        <f>L48/L47</f>
        <v>0.23176242737249839</v>
      </c>
      <c r="M65" s="16">
        <f>M48/M47</f>
        <v>0.29096477794793263</v>
      </c>
      <c r="AB65" s="16">
        <f t="shared" ref="AB65:AC65" si="132">AB48/AB47</f>
        <v>-0.50145392559911761</v>
      </c>
      <c r="AC65" s="16">
        <f t="shared" si="132"/>
        <v>0.20369728480647026</v>
      </c>
      <c r="AD65" s="16">
        <f t="shared" ref="AD65" si="133">AD48/AD47</f>
        <v>3.6960985626283367E-2</v>
      </c>
    </row>
    <row r="66" spans="2:32" s="17" customFormat="1" x14ac:dyDescent="0.3">
      <c r="B66" s="17" t="s">
        <v>90</v>
      </c>
      <c r="C66" s="17">
        <f t="shared" ref="C66:K66" si="134">C51/C31</f>
        <v>0.10772000514381243</v>
      </c>
      <c r="D66" s="17">
        <f t="shared" si="134"/>
        <v>0.10843663497412444</v>
      </c>
      <c r="E66" s="17">
        <f t="shared" si="134"/>
        <v>7.9357601713062095E-2</v>
      </c>
      <c r="F66" s="17">
        <f t="shared" si="134"/>
        <v>0.31501569515635552</v>
      </c>
      <c r="G66" s="17">
        <f t="shared" si="134"/>
        <v>5.3002206469179851E-2</v>
      </c>
      <c r="H66" s="17">
        <f t="shared" si="134"/>
        <v>5.4901960784313725E-2</v>
      </c>
      <c r="I66" s="17">
        <f t="shared" si="134"/>
        <v>8.6291795727106657E-2</v>
      </c>
      <c r="J66" s="17">
        <f t="shared" si="134"/>
        <v>8.2779009608277901E-2</v>
      </c>
      <c r="K66" s="17">
        <f t="shared" si="134"/>
        <v>2.1153348849237134E-2</v>
      </c>
      <c r="L66" s="17">
        <f>L51/L31</f>
        <v>5.209815078236131E-2</v>
      </c>
      <c r="M66" s="17">
        <f>M51/M31</f>
        <v>4.8869905677166758E-2</v>
      </c>
      <c r="N66" s="17">
        <f t="shared" ref="M66:V66" si="135">N51/N31</f>
        <v>5.9351815696993361E-2</v>
      </c>
      <c r="O66" s="17">
        <f t="shared" si="135"/>
        <v>5.3264604810996562E-2</v>
      </c>
      <c r="P66" s="17">
        <f t="shared" si="135"/>
        <v>5.6836248012718603E-2</v>
      </c>
      <c r="Q66" s="17">
        <f t="shared" si="135"/>
        <v>6.7104303428154627E-2</v>
      </c>
      <c r="R66" s="17">
        <f t="shared" si="135"/>
        <v>7.3394495412844041E-2</v>
      </c>
      <c r="S66" s="17">
        <f t="shared" si="135"/>
        <v>0.09</v>
      </c>
      <c r="T66" s="17">
        <f t="shared" si="135"/>
        <v>0.09</v>
      </c>
      <c r="U66" s="17">
        <f t="shared" si="135"/>
        <v>0.09</v>
      </c>
      <c r="V66" s="17">
        <f t="shared" si="135"/>
        <v>0.09</v>
      </c>
      <c r="AB66" s="17">
        <f t="shared" ref="AB66:AD66" si="136">AB51/AB31</f>
        <v>0.15497091130790613</v>
      </c>
      <c r="AC66" s="17">
        <f t="shared" si="136"/>
        <v>6.9915037363087323E-2</v>
      </c>
      <c r="AD66" s="17">
        <f t="shared" si="136"/>
        <v>4.683051415173338E-2</v>
      </c>
    </row>
    <row r="68" spans="2:32" s="16" customFormat="1" x14ac:dyDescent="0.3">
      <c r="B68" s="16" t="s">
        <v>91</v>
      </c>
      <c r="G68" s="16">
        <f t="shared" ref="G68:K68" si="137">G28/C28-1</f>
        <v>-0.12948955567800435</v>
      </c>
      <c r="H68" s="16">
        <f t="shared" si="137"/>
        <v>-6.5356403987210876E-2</v>
      </c>
      <c r="I68" s="16">
        <f t="shared" si="137"/>
        <v>1.9923566878981003E-2</v>
      </c>
      <c r="J68" s="16">
        <f t="shared" si="137"/>
        <v>-8.1853174419143859E-2</v>
      </c>
      <c r="K68" s="16">
        <f t="shared" si="137"/>
        <v>-0.19628265623201746</v>
      </c>
      <c r="L68" s="16">
        <f>L28/H28-1</f>
        <v>-0.16183720696247106</v>
      </c>
      <c r="M68" s="16">
        <f>M28/I28-1</f>
        <v>5.9402478017585914E-2</v>
      </c>
      <c r="AC68" s="16">
        <f>AC28/AB28-1</f>
        <v>-6.4900083718560042E-2</v>
      </c>
      <c r="AD68" s="16">
        <f>AD28/AC28-1</f>
        <v>-0.32745555988062802</v>
      </c>
    </row>
    <row r="69" spans="2:32" s="16" customFormat="1" x14ac:dyDescent="0.3">
      <c r="B69" s="16" t="s">
        <v>92</v>
      </c>
      <c r="G69" s="16">
        <f t="shared" ref="G69:K69" si="138">G29/C29-1</f>
        <v>6.9326357096141322E-2</v>
      </c>
      <c r="H69" s="16">
        <f t="shared" si="138"/>
        <v>0.99734923790589791</v>
      </c>
      <c r="I69" s="16">
        <f t="shared" si="138"/>
        <v>0.52405388069275172</v>
      </c>
      <c r="J69" s="16">
        <f t="shared" si="138"/>
        <v>1.1286509040333796</v>
      </c>
      <c r="K69" s="16">
        <f t="shared" si="138"/>
        <v>0.66972477064220182</v>
      </c>
      <c r="L69" s="16">
        <f>L29/H29-1</f>
        <v>-7.4651625746516292E-2</v>
      </c>
      <c r="M69" s="16">
        <f>M29/I29-1</f>
        <v>0.43728956228956228</v>
      </c>
      <c r="AC69" s="16">
        <f t="shared" ref="AC69:AF71" si="139">AC29/AB29-1</f>
        <v>0.67125103562551791</v>
      </c>
      <c r="AD69" s="16">
        <f t="shared" si="139"/>
        <v>-0.11421772754312909</v>
      </c>
    </row>
    <row r="70" spans="2:32" s="16" customFormat="1" x14ac:dyDescent="0.3">
      <c r="B70" s="16" t="s">
        <v>93</v>
      </c>
      <c r="G70" s="16">
        <f t="shared" ref="G70:K70" si="140">G30/C30-1</f>
        <v>0.24550898203592819</v>
      </c>
      <c r="H70" s="16">
        <f t="shared" si="140"/>
        <v>0.21302325581395354</v>
      </c>
      <c r="I70" s="16">
        <f t="shared" si="140"/>
        <v>0.28808864265927969</v>
      </c>
      <c r="J70" s="16">
        <f t="shared" si="140"/>
        <v>0.31486611265004627</v>
      </c>
      <c r="K70" s="16">
        <f t="shared" si="140"/>
        <v>0.15297202797202791</v>
      </c>
      <c r="L70" s="16">
        <f>L30/H30-1</f>
        <v>0.16794478527607359</v>
      </c>
      <c r="M70" s="16">
        <f>M30/I30-1</f>
        <v>0.24551971326164868</v>
      </c>
      <c r="AC70" s="16">
        <f t="shared" si="139"/>
        <v>0.26625796369755972</v>
      </c>
      <c r="AD70" s="16">
        <f t="shared" si="139"/>
        <v>-0.1305297133092842</v>
      </c>
    </row>
    <row r="71" spans="2:32" s="17" customFormat="1" x14ac:dyDescent="0.3">
      <c r="B71" s="17" t="s">
        <v>94</v>
      </c>
      <c r="G71" s="17">
        <f t="shared" ref="G71:K71" si="141">G31/C31-1</f>
        <v>-8.6930429936988296E-2</v>
      </c>
      <c r="H71" s="17">
        <f t="shared" si="141"/>
        <v>2.2987122397400306E-2</v>
      </c>
      <c r="I71" s="17">
        <f t="shared" si="141"/>
        <v>7.8458244111349051E-2</v>
      </c>
      <c r="J71" s="17">
        <f t="shared" si="141"/>
        <v>2.1456669448086885E-2</v>
      </c>
      <c r="K71" s="17">
        <f t="shared" si="141"/>
        <v>-9.2296136331627587E-2</v>
      </c>
      <c r="L71" s="17">
        <f>L31/H31-1</f>
        <v>-0.1178039215686274</v>
      </c>
      <c r="M71" s="17">
        <f>M31/I31-1</f>
        <v>0.11567786514176803</v>
      </c>
      <c r="N71" s="17">
        <f t="shared" ref="M71:V71" si="142">N31/J31-1</f>
        <v>-3.7732913214300057E-3</v>
      </c>
      <c r="O71" s="17">
        <f t="shared" si="142"/>
        <v>0.20403413498836298</v>
      </c>
      <c r="P71" s="17">
        <f t="shared" si="142"/>
        <v>0.11842105263157898</v>
      </c>
      <c r="Q71" s="17">
        <f t="shared" si="142"/>
        <v>-2.4025627335824917E-2</v>
      </c>
      <c r="R71" s="17">
        <f t="shared" si="142"/>
        <v>0.14916048418586492</v>
      </c>
      <c r="S71" s="17">
        <f t="shared" si="142"/>
        <v>0.43084192439862545</v>
      </c>
      <c r="T71" s="17">
        <f t="shared" si="142"/>
        <v>0.467806041335453</v>
      </c>
      <c r="U71" s="17">
        <f t="shared" si="142"/>
        <v>0.39999999999999991</v>
      </c>
      <c r="V71" s="17">
        <f t="shared" si="142"/>
        <v>0.39999999999999991</v>
      </c>
      <c r="AC71" s="16">
        <f t="shared" si="139"/>
        <v>9.4757835346634955E-3</v>
      </c>
      <c r="AD71" s="16">
        <f t="shared" si="139"/>
        <v>-2.2049339748183017E-2</v>
      </c>
      <c r="AE71" s="16">
        <f t="shared" si="139"/>
        <v>0.10209763858650134</v>
      </c>
      <c r="AF71" s="16">
        <f t="shared" si="139"/>
        <v>0.423022129357014</v>
      </c>
    </row>
    <row r="73" spans="2:32" s="16" customFormat="1" x14ac:dyDescent="0.3">
      <c r="B73" s="16" t="s">
        <v>95</v>
      </c>
      <c r="G73" s="16">
        <f t="shared" ref="G73:K73" si="143">G5/C5-1</f>
        <v>-1.687129090216144E-2</v>
      </c>
      <c r="H73" s="16">
        <f t="shared" si="143"/>
        <v>-0.14356681259120285</v>
      </c>
      <c r="I73" s="16">
        <f t="shared" si="143"/>
        <v>9.1310326884837645E-2</v>
      </c>
      <c r="J73" s="16">
        <f t="shared" si="143"/>
        <v>-7.1807656331756897E-2</v>
      </c>
      <c r="K73" s="16">
        <f t="shared" si="143"/>
        <v>-0.16326888508921922</v>
      </c>
      <c r="L73" s="16">
        <f>L5/H5-1</f>
        <v>-1.4288113603890817E-3</v>
      </c>
      <c r="M73" s="16">
        <f>M5/I5-1</f>
        <v>-4.756532622670262E-2</v>
      </c>
    </row>
    <row r="74" spans="2:32" s="16" customFormat="1" x14ac:dyDescent="0.3">
      <c r="B74" s="16" t="s">
        <v>96</v>
      </c>
      <c r="G74" s="16">
        <f t="shared" ref="G74:K74" si="144">G9/C9-1</f>
        <v>-8.5285249778303318E-2</v>
      </c>
      <c r="H74" s="16">
        <f t="shared" si="144"/>
        <v>-4.7590852533573647E-2</v>
      </c>
      <c r="I74" s="16">
        <f t="shared" si="144"/>
        <v>6.3970633868050131E-2</v>
      </c>
      <c r="J74" s="16">
        <f t="shared" si="144"/>
        <v>2.2833519433155702E-2</v>
      </c>
      <c r="K74" s="16">
        <f t="shared" si="144"/>
        <v>-0.12959592564825106</v>
      </c>
      <c r="L74" s="16">
        <f>L9/H9-1</f>
        <v>-0.13477461730441753</v>
      </c>
      <c r="M74" s="16">
        <f>M9/I9-1</f>
        <v>7.3903087126531153E-2</v>
      </c>
    </row>
    <row r="78" spans="2:32" s="5" customFormat="1" x14ac:dyDescent="0.3">
      <c r="B78" s="5" t="s">
        <v>121</v>
      </c>
      <c r="C78" s="5">
        <f t="shared" ref="C78:K78" si="145">+C79-C96-C95</f>
        <v>19726</v>
      </c>
      <c r="D78" s="5">
        <f t="shared" si="145"/>
        <v>20744</v>
      </c>
      <c r="E78" s="5">
        <f t="shared" si="145"/>
        <v>21684</v>
      </c>
      <c r="F78" s="5">
        <f t="shared" si="145"/>
        <v>23864</v>
      </c>
      <c r="G78" s="5">
        <f t="shared" si="145"/>
        <v>21503</v>
      </c>
      <c r="H78" s="5">
        <f t="shared" si="145"/>
        <v>22975</v>
      </c>
      <c r="I78" s="5">
        <f t="shared" si="145"/>
        <v>25952</v>
      </c>
      <c r="J78" s="5">
        <f t="shared" si="145"/>
        <v>28350</v>
      </c>
      <c r="K78" s="5">
        <f t="shared" si="145"/>
        <v>29467</v>
      </c>
      <c r="L78" s="5">
        <f>+L79-L96-L95</f>
        <v>29562</v>
      </c>
      <c r="M78" s="5">
        <f>+M79-M96-M95</f>
        <v>33945</v>
      </c>
      <c r="N78" s="5">
        <f t="shared" ref="N78:O78" si="146">+N79-N96-N95</f>
        <v>0</v>
      </c>
      <c r="O78" s="5">
        <f t="shared" si="146"/>
        <v>0</v>
      </c>
      <c r="AB78" s="5">
        <f t="shared" ref="AB78:AD78" si="147">+AB79-AB96-AB95</f>
        <v>23864</v>
      </c>
      <c r="AC78" s="5">
        <f t="shared" si="147"/>
        <v>28350</v>
      </c>
      <c r="AD78" s="5">
        <f t="shared" si="147"/>
        <v>29562</v>
      </c>
    </row>
    <row r="79" spans="2:32" s="5" customFormat="1" x14ac:dyDescent="0.3">
      <c r="B79" s="5" t="s">
        <v>4</v>
      </c>
      <c r="C79" s="5">
        <v>22402</v>
      </c>
      <c r="D79" s="5">
        <v>23075</v>
      </c>
      <c r="E79" s="5">
        <v>26077</v>
      </c>
      <c r="F79" s="5">
        <v>29094</v>
      </c>
      <c r="G79" s="5">
        <v>26863</v>
      </c>
      <c r="H79" s="5">
        <v>30720</v>
      </c>
      <c r="I79" s="5">
        <v>33648</v>
      </c>
      <c r="J79" s="5">
        <v>36563</v>
      </c>
      <c r="K79" s="5">
        <v>36996</v>
      </c>
      <c r="L79" s="5">
        <v>36782</v>
      </c>
      <c r="M79" s="5">
        <f>18289+23358</f>
        <v>41647</v>
      </c>
      <c r="AB79" s="5">
        <v>29094</v>
      </c>
      <c r="AC79" s="5">
        <v>36563</v>
      </c>
      <c r="AD79" s="5">
        <v>36782</v>
      </c>
    </row>
    <row r="80" spans="2:32" s="5" customFormat="1" x14ac:dyDescent="0.3">
      <c r="B80" s="5" t="s">
        <v>97</v>
      </c>
      <c r="C80" s="5">
        <v>2993</v>
      </c>
      <c r="D80" s="5">
        <v>3447</v>
      </c>
      <c r="E80" s="5">
        <v>2520</v>
      </c>
      <c r="F80" s="5">
        <v>3508</v>
      </c>
      <c r="G80" s="5">
        <v>3887</v>
      </c>
      <c r="H80" s="5">
        <v>3737</v>
      </c>
      <c r="I80" s="5">
        <v>3313</v>
      </c>
      <c r="J80" s="5">
        <v>4418</v>
      </c>
      <c r="K80" s="5">
        <v>3782</v>
      </c>
      <c r="L80" s="5">
        <v>3838</v>
      </c>
      <c r="M80" s="5">
        <v>4703</v>
      </c>
      <c r="AB80" s="5">
        <v>3508</v>
      </c>
      <c r="AC80" s="5">
        <v>4418</v>
      </c>
      <c r="AD80" s="5">
        <v>3838</v>
      </c>
    </row>
    <row r="81" spans="2:30" s="5" customFormat="1" x14ac:dyDescent="0.3">
      <c r="B81" s="5" t="s">
        <v>98</v>
      </c>
      <c r="C81" s="5">
        <v>14375</v>
      </c>
      <c r="D81" s="5">
        <v>14356</v>
      </c>
      <c r="E81" s="5">
        <v>13721</v>
      </c>
      <c r="F81" s="5">
        <v>13626</v>
      </c>
      <c r="G81" s="5">
        <v>16033</v>
      </c>
      <c r="H81" s="5">
        <v>14195</v>
      </c>
      <c r="I81" s="5">
        <v>14530</v>
      </c>
      <c r="J81" s="5">
        <v>12017</v>
      </c>
      <c r="K81" s="5">
        <v>13706</v>
      </c>
      <c r="L81" s="5">
        <v>14570</v>
      </c>
      <c r="M81" s="5">
        <v>12276</v>
      </c>
      <c r="AB81" s="5">
        <v>13626</v>
      </c>
      <c r="AC81" s="5">
        <v>12017</v>
      </c>
      <c r="AD81" s="5">
        <v>14570</v>
      </c>
    </row>
    <row r="82" spans="2:30" s="5" customFormat="1" x14ac:dyDescent="0.3">
      <c r="B82" s="5" t="s">
        <v>99</v>
      </c>
      <c r="C82" s="5">
        <v>3227</v>
      </c>
      <c r="D82" s="5">
        <v>2997</v>
      </c>
      <c r="E82" s="5">
        <v>2708</v>
      </c>
      <c r="F82" s="5">
        <v>3388</v>
      </c>
      <c r="G82" s="5">
        <v>3752</v>
      </c>
      <c r="H82" s="5">
        <v>4325</v>
      </c>
      <c r="I82" s="5">
        <v>4888</v>
      </c>
      <c r="J82" s="5">
        <v>5362</v>
      </c>
      <c r="K82" s="5">
        <v>4905</v>
      </c>
      <c r="L82" s="5">
        <v>5943</v>
      </c>
      <c r="M82" s="5">
        <v>6027</v>
      </c>
      <c r="AB82" s="5">
        <v>3388</v>
      </c>
      <c r="AC82" s="5">
        <v>5362</v>
      </c>
      <c r="AD82" s="5">
        <v>5943</v>
      </c>
    </row>
    <row r="83" spans="2:30" s="5" customFormat="1" x14ac:dyDescent="0.3">
      <c r="B83" s="5" t="s">
        <v>100</v>
      </c>
      <c r="C83" s="5">
        <v>5473</v>
      </c>
      <c r="D83" s="5">
        <v>5935</v>
      </c>
      <c r="E83" s="5">
        <v>6119</v>
      </c>
      <c r="F83" s="5">
        <v>5989</v>
      </c>
      <c r="G83" s="5">
        <v>5736</v>
      </c>
      <c r="H83" s="5">
        <v>5541</v>
      </c>
      <c r="I83" s="5">
        <v>5380</v>
      </c>
      <c r="J83" s="5">
        <v>5581</v>
      </c>
      <c r="K83" s="5">
        <v>5477</v>
      </c>
      <c r="L83" s="5">
        <v>5230</v>
      </c>
      <c r="M83" s="5">
        <v>5019</v>
      </c>
      <c r="AB83" s="5">
        <v>5989</v>
      </c>
      <c r="AC83" s="5">
        <v>5581</v>
      </c>
      <c r="AD83" s="5">
        <v>5230</v>
      </c>
    </row>
    <row r="84" spans="2:30" s="5" customFormat="1" x14ac:dyDescent="0.3">
      <c r="B84" s="5" t="s">
        <v>101</v>
      </c>
      <c r="C84" s="5">
        <v>5427</v>
      </c>
      <c r="D84" s="5">
        <v>5365</v>
      </c>
      <c r="E84" s="5">
        <v>5293</v>
      </c>
      <c r="F84" s="5">
        <v>5229</v>
      </c>
      <c r="G84" s="5">
        <v>5162</v>
      </c>
      <c r="H84" s="5">
        <v>5102</v>
      </c>
      <c r="I84" s="5">
        <v>5040</v>
      </c>
      <c r="J84" s="5">
        <v>4924</v>
      </c>
      <c r="K84" s="5">
        <v>4855</v>
      </c>
      <c r="L84" s="5">
        <v>4788</v>
      </c>
      <c r="M84" s="5">
        <v>4673</v>
      </c>
      <c r="AB84" s="5">
        <v>5229</v>
      </c>
      <c r="AC84" s="5">
        <v>4924</v>
      </c>
      <c r="AD84" s="5">
        <v>4788</v>
      </c>
    </row>
    <row r="85" spans="2:30" s="5" customFormat="1" x14ac:dyDescent="0.3">
      <c r="B85" s="5" t="s">
        <v>102</v>
      </c>
      <c r="C85" s="5">
        <v>24969</v>
      </c>
      <c r="D85" s="5">
        <v>26389</v>
      </c>
      <c r="E85" s="5">
        <v>27744</v>
      </c>
      <c r="F85" s="5">
        <v>29725</v>
      </c>
      <c r="G85" s="5">
        <v>31436</v>
      </c>
      <c r="H85" s="5">
        <v>32902</v>
      </c>
      <c r="I85" s="5">
        <v>36116</v>
      </c>
      <c r="J85" s="5">
        <v>35836</v>
      </c>
      <c r="K85" s="5">
        <v>37088</v>
      </c>
      <c r="L85" s="5">
        <v>38574</v>
      </c>
      <c r="M85" s="5">
        <v>39407</v>
      </c>
      <c r="AB85" s="5">
        <v>29725</v>
      </c>
      <c r="AC85" s="5">
        <v>35836</v>
      </c>
      <c r="AD85" s="5">
        <v>38574</v>
      </c>
    </row>
    <row r="86" spans="2:30" s="5" customFormat="1" x14ac:dyDescent="0.3">
      <c r="B86" s="5" t="s">
        <v>103</v>
      </c>
      <c r="C86" s="5">
        <v>2800</v>
      </c>
      <c r="D86" s="5">
        <v>3352</v>
      </c>
      <c r="E86" s="5">
        <v>3637</v>
      </c>
      <c r="F86" s="5">
        <v>4180</v>
      </c>
      <c r="G86" s="5">
        <v>4367</v>
      </c>
      <c r="H86" s="5">
        <v>4563</v>
      </c>
      <c r="I86" s="5">
        <v>4867</v>
      </c>
      <c r="J86" s="5">
        <v>5160</v>
      </c>
      <c r="K86" s="5">
        <v>5330</v>
      </c>
      <c r="L86" s="5">
        <v>5633</v>
      </c>
      <c r="M86" s="5">
        <v>5783</v>
      </c>
      <c r="AB86" s="5">
        <v>4180</v>
      </c>
      <c r="AC86" s="5">
        <v>5160</v>
      </c>
      <c r="AD86" s="5">
        <v>5633</v>
      </c>
    </row>
    <row r="87" spans="2:30" s="5" customFormat="1" x14ac:dyDescent="0.3">
      <c r="B87" s="5" t="s">
        <v>104</v>
      </c>
      <c r="C87" s="5">
        <v>184</v>
      </c>
      <c r="D87" s="5">
        <v>184</v>
      </c>
      <c r="E87" s="5">
        <v>184</v>
      </c>
      <c r="F87" s="5">
        <v>184</v>
      </c>
      <c r="G87" s="5">
        <v>184</v>
      </c>
      <c r="H87" s="5">
        <v>722</v>
      </c>
      <c r="I87" s="5">
        <v>729</v>
      </c>
      <c r="J87" s="5">
        <v>1076</v>
      </c>
      <c r="K87" s="5">
        <v>951</v>
      </c>
      <c r="L87" s="5">
        <v>1235</v>
      </c>
      <c r="M87" s="5">
        <f>1315+131</f>
        <v>1446</v>
      </c>
      <c r="AB87" s="5">
        <v>184</v>
      </c>
      <c r="AC87" s="5">
        <v>1076</v>
      </c>
      <c r="AD87" s="5">
        <v>1235</v>
      </c>
    </row>
    <row r="88" spans="2:30" s="5" customFormat="1" x14ac:dyDescent="0.3">
      <c r="B88" s="5" t="s">
        <v>105</v>
      </c>
      <c r="C88" s="5">
        <v>399</v>
      </c>
      <c r="D88" s="5">
        <v>465</v>
      </c>
      <c r="E88" s="5">
        <v>441</v>
      </c>
      <c r="F88" s="5">
        <v>431</v>
      </c>
      <c r="G88" s="5">
        <v>421</v>
      </c>
      <c r="H88" s="5">
        <v>413</v>
      </c>
      <c r="I88" s="5">
        <v>411</v>
      </c>
      <c r="J88" s="5">
        <v>394</v>
      </c>
      <c r="K88" s="5">
        <v>392</v>
      </c>
      <c r="L88" s="5">
        <v>396</v>
      </c>
      <c r="M88" s="5">
        <v>257</v>
      </c>
      <c r="AB88" s="5">
        <v>431</v>
      </c>
      <c r="AC88" s="5">
        <v>394</v>
      </c>
      <c r="AD88" s="5">
        <v>396</v>
      </c>
    </row>
    <row r="89" spans="2:30" s="5" customFormat="1" x14ac:dyDescent="0.3">
      <c r="B89" s="5" t="s">
        <v>106</v>
      </c>
      <c r="C89" s="5">
        <v>399</v>
      </c>
      <c r="D89" s="5">
        <v>537</v>
      </c>
      <c r="E89" s="5">
        <v>648</v>
      </c>
      <c r="F89" s="5">
        <v>6733</v>
      </c>
      <c r="G89" s="5">
        <v>6769</v>
      </c>
      <c r="H89" s="5">
        <v>6573</v>
      </c>
      <c r="I89" s="5">
        <v>6366</v>
      </c>
      <c r="J89" s="5">
        <v>6524</v>
      </c>
      <c r="K89" s="5">
        <v>6687</v>
      </c>
      <c r="L89" s="5">
        <v>6721</v>
      </c>
      <c r="M89" s="5">
        <v>6637</v>
      </c>
      <c r="AB89" s="5">
        <v>6733</v>
      </c>
      <c r="AC89" s="5">
        <v>6524</v>
      </c>
      <c r="AD89" s="5">
        <v>6721</v>
      </c>
    </row>
    <row r="90" spans="2:30" s="5" customFormat="1" x14ac:dyDescent="0.3">
      <c r="B90" s="5" t="s">
        <v>107</v>
      </c>
      <c r="C90" s="5">
        <v>4185</v>
      </c>
      <c r="D90" s="5">
        <v>4489</v>
      </c>
      <c r="E90" s="5">
        <v>4849</v>
      </c>
      <c r="F90" s="5">
        <v>4531</v>
      </c>
      <c r="G90" s="5">
        <v>4616</v>
      </c>
      <c r="H90" s="5">
        <v>4458</v>
      </c>
      <c r="I90" s="5">
        <v>4989</v>
      </c>
      <c r="J90" s="5">
        <v>4215</v>
      </c>
      <c r="K90" s="5">
        <v>4942</v>
      </c>
      <c r="L90" s="5">
        <v>4857</v>
      </c>
      <c r="M90" s="5">
        <v>5860</v>
      </c>
      <c r="AB90" s="5">
        <v>4531</v>
      </c>
      <c r="AC90" s="5">
        <v>4215</v>
      </c>
      <c r="AD90" s="5">
        <v>4857</v>
      </c>
    </row>
    <row r="91" spans="2:30" s="8" customFormat="1" x14ac:dyDescent="0.3">
      <c r="B91" s="8" t="s">
        <v>108</v>
      </c>
      <c r="C91" s="8">
        <f t="shared" ref="C91" si="148">SUM(C79:C90)</f>
        <v>86833</v>
      </c>
      <c r="D91" s="8">
        <f t="shared" ref="D91" si="149">SUM(D79:D90)</f>
        <v>90591</v>
      </c>
      <c r="E91" s="8">
        <f t="shared" ref="E91" si="150">SUM(E79:E90)</f>
        <v>93941</v>
      </c>
      <c r="F91" s="8">
        <f t="shared" ref="F91" si="151">SUM(F79:F90)</f>
        <v>106618</v>
      </c>
      <c r="G91" s="8">
        <f t="shared" ref="G91:K91" si="152">SUM(G79:G90)</f>
        <v>109226</v>
      </c>
      <c r="H91" s="8">
        <f t="shared" si="152"/>
        <v>113251</v>
      </c>
      <c r="I91" s="8">
        <f t="shared" si="152"/>
        <v>120277</v>
      </c>
      <c r="J91" s="8">
        <f t="shared" si="152"/>
        <v>122070</v>
      </c>
      <c r="K91" s="8">
        <f t="shared" si="152"/>
        <v>125111</v>
      </c>
      <c r="L91" s="8">
        <f>SUM(L79:L90)</f>
        <v>128567</v>
      </c>
      <c r="M91" s="8">
        <f>SUM(M79:M90)</f>
        <v>133735</v>
      </c>
      <c r="N91" s="8">
        <f t="shared" ref="N91:O91" si="153">SUM(N79:N90)</f>
        <v>0</v>
      </c>
      <c r="O91" s="8">
        <f t="shared" si="153"/>
        <v>0</v>
      </c>
      <c r="AB91" s="8">
        <f t="shared" ref="AB91" si="154">SUM(AB79:AB90)</f>
        <v>106618</v>
      </c>
      <c r="AC91" s="8">
        <f t="shared" ref="AC91" si="155">SUM(AC79:AC90)</f>
        <v>122070</v>
      </c>
      <c r="AD91" s="8">
        <f>SUM(AD79:AD90)</f>
        <v>128567</v>
      </c>
    </row>
    <row r="92" spans="2:30" s="5" customFormat="1" x14ac:dyDescent="0.3">
      <c r="B92" s="5" t="s">
        <v>109</v>
      </c>
      <c r="C92" s="5">
        <v>15904</v>
      </c>
      <c r="D92" s="5">
        <v>15273</v>
      </c>
      <c r="E92" s="5">
        <v>13937</v>
      </c>
      <c r="F92" s="5">
        <v>14431</v>
      </c>
      <c r="G92" s="5">
        <v>14725</v>
      </c>
      <c r="H92" s="5">
        <v>13056</v>
      </c>
      <c r="I92" s="5">
        <v>14654</v>
      </c>
      <c r="J92" s="5">
        <v>12474</v>
      </c>
      <c r="K92" s="5">
        <v>13471</v>
      </c>
      <c r="L92" s="5">
        <v>13212</v>
      </c>
      <c r="M92" s="5">
        <v>12819</v>
      </c>
      <c r="AB92" s="5">
        <v>14431</v>
      </c>
      <c r="AC92" s="5">
        <v>12474</v>
      </c>
      <c r="AD92" s="5">
        <v>13212</v>
      </c>
    </row>
    <row r="93" spans="2:30" s="5" customFormat="1" x14ac:dyDescent="0.3">
      <c r="B93" s="5" t="s">
        <v>110</v>
      </c>
      <c r="C93" s="5">
        <v>8378</v>
      </c>
      <c r="D93" s="5">
        <v>8684</v>
      </c>
      <c r="E93" s="5">
        <v>8530</v>
      </c>
      <c r="F93" s="5">
        <v>9080</v>
      </c>
      <c r="G93" s="5">
        <v>9243</v>
      </c>
      <c r="H93" s="5">
        <v>9616</v>
      </c>
      <c r="I93" s="5">
        <v>10601</v>
      </c>
      <c r="J93" s="5">
        <v>10723</v>
      </c>
      <c r="K93" s="5">
        <v>10802</v>
      </c>
      <c r="L93" s="5">
        <v>11519</v>
      </c>
      <c r="M93" s="5">
        <v>12791</v>
      </c>
      <c r="AB93" s="5">
        <v>9080</v>
      </c>
      <c r="AC93" s="5">
        <v>10723</v>
      </c>
      <c r="AD93" s="5">
        <v>11519</v>
      </c>
    </row>
    <row r="94" spans="2:30" s="5" customFormat="1" x14ac:dyDescent="0.3">
      <c r="B94" s="5" t="s">
        <v>111</v>
      </c>
      <c r="C94" s="5">
        <v>1750</v>
      </c>
      <c r="D94" s="5">
        <v>2176</v>
      </c>
      <c r="E94" s="5">
        <v>2206</v>
      </c>
      <c r="F94" s="5">
        <v>2864</v>
      </c>
      <c r="G94" s="5">
        <v>3024</v>
      </c>
      <c r="H94" s="5">
        <v>2793</v>
      </c>
      <c r="I94" s="5">
        <v>3031</v>
      </c>
      <c r="J94" s="5">
        <v>3168</v>
      </c>
      <c r="K94" s="5">
        <v>3243</v>
      </c>
      <c r="L94" s="5">
        <v>3237</v>
      </c>
      <c r="M94" s="5">
        <v>3756</v>
      </c>
      <c r="AB94" s="5">
        <v>2864</v>
      </c>
      <c r="AC94" s="5">
        <v>3168</v>
      </c>
      <c r="AD94" s="5">
        <v>3237</v>
      </c>
    </row>
    <row r="95" spans="2:30" s="5" customFormat="1" x14ac:dyDescent="0.3">
      <c r="B95" s="5" t="s">
        <v>112</v>
      </c>
      <c r="C95" s="5">
        <v>1404</v>
      </c>
      <c r="D95" s="5">
        <v>1459</v>
      </c>
      <c r="E95" s="5">
        <v>1967</v>
      </c>
      <c r="F95" s="5">
        <v>2373</v>
      </c>
      <c r="G95" s="5">
        <v>2461</v>
      </c>
      <c r="H95" s="5">
        <v>2264</v>
      </c>
      <c r="I95" s="5">
        <v>2291</v>
      </c>
      <c r="J95" s="5">
        <v>2456</v>
      </c>
      <c r="K95" s="5">
        <v>2237</v>
      </c>
      <c r="L95" s="5">
        <v>2040</v>
      </c>
      <c r="M95" s="5">
        <v>1924</v>
      </c>
      <c r="AB95" s="5">
        <v>2373</v>
      </c>
      <c r="AC95" s="5">
        <v>2456</v>
      </c>
      <c r="AD95" s="5">
        <v>2040</v>
      </c>
    </row>
    <row r="96" spans="2:30" s="5" customFormat="1" x14ac:dyDescent="0.3">
      <c r="B96" s="5" t="s">
        <v>113</v>
      </c>
      <c r="C96" s="5">
        <v>1272</v>
      </c>
      <c r="D96" s="5">
        <v>872</v>
      </c>
      <c r="E96" s="5">
        <v>2426</v>
      </c>
      <c r="F96" s="5">
        <v>2857</v>
      </c>
      <c r="G96" s="5">
        <v>2899</v>
      </c>
      <c r="H96" s="5">
        <v>5481</v>
      </c>
      <c r="I96" s="5">
        <v>5405</v>
      </c>
      <c r="J96" s="5">
        <v>5757</v>
      </c>
      <c r="K96" s="5">
        <v>5292</v>
      </c>
      <c r="L96" s="5">
        <v>5180</v>
      </c>
      <c r="M96" s="5">
        <v>5778</v>
      </c>
      <c r="AB96" s="5">
        <v>2857</v>
      </c>
      <c r="AC96" s="5">
        <v>5757</v>
      </c>
      <c r="AD96" s="5">
        <v>5180</v>
      </c>
    </row>
    <row r="97" spans="1:30" s="5" customFormat="1" x14ac:dyDescent="0.3">
      <c r="B97" s="5" t="s">
        <v>114</v>
      </c>
      <c r="C97" s="5">
        <v>2911</v>
      </c>
      <c r="D97" s="5">
        <v>3021</v>
      </c>
      <c r="E97" s="5">
        <v>3059</v>
      </c>
      <c r="F97" s="5">
        <v>3251</v>
      </c>
      <c r="G97" s="5">
        <v>3214</v>
      </c>
      <c r="H97" s="5">
        <v>3357</v>
      </c>
      <c r="I97" s="5">
        <v>3350</v>
      </c>
      <c r="J97" s="5">
        <v>3317</v>
      </c>
      <c r="K97" s="5">
        <v>3610</v>
      </c>
      <c r="L97" s="5">
        <v>3764</v>
      </c>
      <c r="M97" s="5">
        <v>3746</v>
      </c>
      <c r="AB97" s="5">
        <v>3251</v>
      </c>
      <c r="AC97" s="5">
        <v>3317</v>
      </c>
      <c r="AD97" s="5">
        <v>3764</v>
      </c>
    </row>
    <row r="98" spans="1:30" s="5" customFormat="1" x14ac:dyDescent="0.3">
      <c r="B98" s="5" t="s">
        <v>115</v>
      </c>
      <c r="C98" s="5">
        <v>5979</v>
      </c>
      <c r="D98" s="5">
        <v>6924</v>
      </c>
      <c r="E98" s="5">
        <v>7321</v>
      </c>
      <c r="F98" s="5">
        <v>8153</v>
      </c>
      <c r="G98" s="5">
        <v>8480</v>
      </c>
      <c r="H98" s="5">
        <v>9002</v>
      </c>
      <c r="I98" s="5">
        <v>9810</v>
      </c>
      <c r="J98" s="5">
        <v>10495</v>
      </c>
      <c r="K98" s="5">
        <v>11038</v>
      </c>
      <c r="L98" s="5">
        <v>11543</v>
      </c>
      <c r="M98" s="5">
        <v>12205</v>
      </c>
      <c r="AB98" s="5">
        <v>8153</v>
      </c>
      <c r="AC98" s="5">
        <v>10495</v>
      </c>
      <c r="AD98" s="5">
        <v>11543</v>
      </c>
    </row>
    <row r="99" spans="1:30" s="8" customFormat="1" x14ac:dyDescent="0.3">
      <c r="B99" s="8" t="s">
        <v>116</v>
      </c>
      <c r="C99" s="8">
        <f t="shared" ref="C99" si="156">SUM(C92:C98)</f>
        <v>37598</v>
      </c>
      <c r="D99" s="8">
        <f t="shared" ref="D99" si="157">SUM(D92:D98)</f>
        <v>38409</v>
      </c>
      <c r="E99" s="8">
        <f t="shared" ref="E99" si="158">SUM(E92:E98)</f>
        <v>39446</v>
      </c>
      <c r="F99" s="8">
        <f t="shared" ref="F99" si="159">SUM(F92:F98)</f>
        <v>43009</v>
      </c>
      <c r="G99" s="8">
        <f>SUM(G92:G98)</f>
        <v>44046</v>
      </c>
      <c r="H99" s="8">
        <f t="shared" ref="H99:K99" si="160">SUM(H92:H98)</f>
        <v>45569</v>
      </c>
      <c r="I99" s="8">
        <f t="shared" si="160"/>
        <v>49142</v>
      </c>
      <c r="J99" s="8">
        <f t="shared" si="160"/>
        <v>48390</v>
      </c>
      <c r="K99" s="8">
        <f t="shared" si="160"/>
        <v>49693</v>
      </c>
      <c r="L99" s="8">
        <f>SUM(L92:L98)</f>
        <v>50495</v>
      </c>
      <c r="M99" s="8">
        <f>SUM(M92:M98)</f>
        <v>53019</v>
      </c>
      <c r="N99" s="8">
        <f t="shared" ref="N99:O99" si="161">SUM(N92:N98)</f>
        <v>0</v>
      </c>
      <c r="O99" s="8">
        <f t="shared" si="161"/>
        <v>0</v>
      </c>
      <c r="AB99" s="8">
        <f t="shared" ref="AB99" si="162">SUM(AB92:AB98)</f>
        <v>43009</v>
      </c>
      <c r="AC99" s="8">
        <f t="shared" ref="AC99" si="163">SUM(AC92:AC98)</f>
        <v>48390</v>
      </c>
      <c r="AD99" s="8">
        <f>SUM(AD92:AD98)</f>
        <v>50495</v>
      </c>
    </row>
    <row r="100" spans="1:30" s="5" customFormat="1" x14ac:dyDescent="0.3">
      <c r="B100" s="5" t="s">
        <v>117</v>
      </c>
      <c r="C100" s="5">
        <v>407</v>
      </c>
      <c r="D100" s="5">
        <v>288</v>
      </c>
      <c r="E100" s="5">
        <v>277</v>
      </c>
      <c r="F100" s="5">
        <v>242</v>
      </c>
      <c r="G100" s="5">
        <v>73</v>
      </c>
      <c r="H100" s="5">
        <v>72</v>
      </c>
      <c r="I100" s="5">
        <v>70</v>
      </c>
      <c r="J100" s="5">
        <v>63</v>
      </c>
      <c r="K100" s="5">
        <v>62</v>
      </c>
      <c r="L100" s="5">
        <v>61</v>
      </c>
      <c r="M100" s="5">
        <v>59</v>
      </c>
      <c r="AB100" s="5">
        <v>242</v>
      </c>
      <c r="AC100" s="5">
        <v>63</v>
      </c>
      <c r="AD100" s="5">
        <v>61</v>
      </c>
    </row>
    <row r="101" spans="1:30" s="5" customFormat="1" x14ac:dyDescent="0.3">
      <c r="B101" s="5" t="s">
        <v>118</v>
      </c>
      <c r="C101" s="5">
        <v>48054</v>
      </c>
      <c r="D101" s="5">
        <v>51130</v>
      </c>
      <c r="E101" s="5">
        <v>53466</v>
      </c>
      <c r="F101" s="5">
        <v>62634</v>
      </c>
      <c r="G101" s="5">
        <v>64378</v>
      </c>
      <c r="H101" s="5">
        <v>66887</v>
      </c>
      <c r="I101" s="5">
        <v>70356</v>
      </c>
      <c r="J101" s="5">
        <v>72913</v>
      </c>
      <c r="K101" s="5">
        <v>74653</v>
      </c>
      <c r="L101" s="5">
        <v>77314</v>
      </c>
      <c r="M101" s="5">
        <v>79970</v>
      </c>
      <c r="AB101" s="5">
        <v>62634</v>
      </c>
      <c r="AC101" s="5">
        <v>72913</v>
      </c>
      <c r="AD101" s="5">
        <v>77314</v>
      </c>
    </row>
    <row r="102" spans="1:30" s="5" customFormat="1" x14ac:dyDescent="0.3">
      <c r="B102" s="5" t="s">
        <v>119</v>
      </c>
      <c r="C102" s="5">
        <v>774</v>
      </c>
      <c r="D102" s="5">
        <v>764</v>
      </c>
      <c r="E102" s="5">
        <v>752</v>
      </c>
      <c r="F102" s="5">
        <v>733</v>
      </c>
      <c r="G102" s="5">
        <v>729</v>
      </c>
      <c r="H102" s="5">
        <v>723</v>
      </c>
      <c r="I102" s="5">
        <v>709</v>
      </c>
      <c r="J102" s="5">
        <v>704</v>
      </c>
      <c r="K102" s="5">
        <v>703</v>
      </c>
      <c r="L102" s="5">
        <v>697</v>
      </c>
      <c r="M102" s="5">
        <v>687</v>
      </c>
      <c r="AB102" s="5">
        <v>733</v>
      </c>
      <c r="AC102" s="5">
        <v>704</v>
      </c>
      <c r="AD102" s="5">
        <v>697</v>
      </c>
    </row>
    <row r="103" spans="1:30" s="8" customFormat="1" x14ac:dyDescent="0.3">
      <c r="B103" s="8" t="s">
        <v>122</v>
      </c>
      <c r="C103" s="8">
        <f t="shared" ref="C103" si="164">SUM(C100:C102)</f>
        <v>49235</v>
      </c>
      <c r="D103" s="8">
        <f t="shared" ref="D103" si="165">SUM(D100:D102)</f>
        <v>52182</v>
      </c>
      <c r="E103" s="8">
        <f t="shared" ref="E103" si="166">SUM(E100:E102)</f>
        <v>54495</v>
      </c>
      <c r="F103" s="8">
        <f t="shared" ref="F103" si="167">SUM(F100:F102)</f>
        <v>63609</v>
      </c>
      <c r="G103" s="8">
        <f t="shared" ref="G103:K103" si="168">SUM(G100:G102)</f>
        <v>65180</v>
      </c>
      <c r="H103" s="8">
        <f t="shared" si="168"/>
        <v>67682</v>
      </c>
      <c r="I103" s="8">
        <v>120277</v>
      </c>
      <c r="J103" s="8">
        <f t="shared" si="168"/>
        <v>73680</v>
      </c>
      <c r="K103" s="8">
        <f t="shared" si="168"/>
        <v>75418</v>
      </c>
      <c r="L103" s="8">
        <f>SUM(L100:L102)</f>
        <v>78072</v>
      </c>
      <c r="M103" s="8">
        <f>SUM(M100:M102)</f>
        <v>80716</v>
      </c>
      <c r="N103" s="8">
        <f t="shared" ref="N103:O103" si="169">SUM(N100:N102)</f>
        <v>0</v>
      </c>
      <c r="O103" s="8">
        <f t="shared" si="169"/>
        <v>0</v>
      </c>
      <c r="AB103" s="8">
        <f t="shared" ref="AB103" si="170">SUM(AB100:AB102)</f>
        <v>63609</v>
      </c>
      <c r="AC103" s="8">
        <f t="shared" ref="AC103" si="171">SUM(AC100:AC102)</f>
        <v>73680</v>
      </c>
      <c r="AD103" s="8">
        <f>SUM(AD100:AD102)</f>
        <v>78072</v>
      </c>
    </row>
    <row r="104" spans="1:30" s="8" customFormat="1" x14ac:dyDescent="0.3">
      <c r="B104" s="8" t="s">
        <v>120</v>
      </c>
      <c r="C104" s="8">
        <f t="shared" ref="C104" si="172">C103+C99</f>
        <v>86833</v>
      </c>
      <c r="D104" s="8">
        <f t="shared" ref="D104" si="173">D103+D99</f>
        <v>90591</v>
      </c>
      <c r="E104" s="8">
        <f t="shared" ref="E104" si="174">E103+E99</f>
        <v>93941</v>
      </c>
      <c r="F104" s="8">
        <f t="shared" ref="F104" si="175">F103+F99</f>
        <v>106618</v>
      </c>
      <c r="G104" s="8">
        <f t="shared" ref="G104:K104" si="176">G103+G99</f>
        <v>109226</v>
      </c>
      <c r="H104" s="8">
        <f t="shared" si="176"/>
        <v>113251</v>
      </c>
      <c r="I104" s="8">
        <f t="shared" si="176"/>
        <v>169419</v>
      </c>
      <c r="J104" s="8">
        <f t="shared" si="176"/>
        <v>122070</v>
      </c>
      <c r="K104" s="8">
        <f t="shared" si="176"/>
        <v>125111</v>
      </c>
      <c r="L104" s="8">
        <f>L103+L99</f>
        <v>128567</v>
      </c>
      <c r="M104" s="8">
        <f>M103+M99</f>
        <v>133735</v>
      </c>
      <c r="N104" s="8">
        <f t="shared" ref="N104:O104" si="177">N103+N99</f>
        <v>0</v>
      </c>
      <c r="O104" s="8">
        <f t="shared" si="177"/>
        <v>0</v>
      </c>
      <c r="AB104" s="8">
        <f>AB103+AB99</f>
        <v>106618</v>
      </c>
      <c r="AC104" s="8">
        <f>AC103+AC99</f>
        <v>122070</v>
      </c>
      <c r="AD104" s="8">
        <f>AD103+AD99</f>
        <v>128567</v>
      </c>
    </row>
    <row r="108" spans="1:30" s="5" customFormat="1" x14ac:dyDescent="0.3">
      <c r="A108" s="4"/>
      <c r="B108" s="4" t="s">
        <v>123</v>
      </c>
      <c r="C108" s="5">
        <f t="shared" ref="C108:F108" si="178">C49</f>
        <v>2539</v>
      </c>
      <c r="D108" s="5">
        <f t="shared" si="178"/>
        <v>2614</v>
      </c>
      <c r="E108" s="5">
        <f t="shared" si="178"/>
        <v>1878</v>
      </c>
      <c r="F108" s="5">
        <f t="shared" si="178"/>
        <v>7943</v>
      </c>
      <c r="G108" s="5">
        <f t="shared" ref="G108:K108" si="179">G49</f>
        <v>1144</v>
      </c>
      <c r="H108" s="5">
        <f t="shared" si="179"/>
        <v>1416</v>
      </c>
      <c r="I108" s="5">
        <f t="shared" si="179"/>
        <v>2189</v>
      </c>
      <c r="J108" s="5">
        <f t="shared" si="179"/>
        <v>2143</v>
      </c>
      <c r="K108" s="5">
        <f t="shared" si="179"/>
        <v>420</v>
      </c>
      <c r="L108" s="5">
        <f>L49</f>
        <v>1190</v>
      </c>
      <c r="M108" s="5">
        <f>M49</f>
        <v>1389</v>
      </c>
      <c r="AB108" s="5">
        <f>AB49</f>
        <v>14974</v>
      </c>
      <c r="AC108" s="5">
        <f>AC49</f>
        <v>6892</v>
      </c>
      <c r="AD108" s="5">
        <f>AD49</f>
        <v>28609</v>
      </c>
    </row>
    <row r="109" spans="1:30" s="5" customFormat="1" x14ac:dyDescent="0.3">
      <c r="A109" s="4"/>
      <c r="B109" s="4" t="s">
        <v>124</v>
      </c>
      <c r="C109" s="5">
        <v>2539</v>
      </c>
      <c r="D109" s="5">
        <v>2614</v>
      </c>
      <c r="E109" s="5">
        <v>1878</v>
      </c>
      <c r="F109" s="5">
        <v>7943</v>
      </c>
      <c r="G109" s="5">
        <v>1144</v>
      </c>
      <c r="H109" s="5">
        <v>1416</v>
      </c>
      <c r="I109" s="5">
        <v>2189</v>
      </c>
      <c r="J109" s="5">
        <v>2143</v>
      </c>
      <c r="K109" s="5">
        <v>420</v>
      </c>
      <c r="L109" s="5">
        <v>1190</v>
      </c>
      <c r="M109" s="5">
        <v>1389</v>
      </c>
      <c r="AB109" s="5">
        <f t="shared" ref="AB109:AB115" si="180">C109+D109+E109+F109</f>
        <v>14974</v>
      </c>
      <c r="AC109" s="5">
        <f t="shared" ref="AC109:AC115" si="181">G109+H109+I109+J109</f>
        <v>6892</v>
      </c>
      <c r="AD109" s="5">
        <f t="shared" ref="AD109:AD115" si="182">K109+L109+M109+N109</f>
        <v>2999</v>
      </c>
    </row>
    <row r="110" spans="1:30" s="5" customFormat="1" x14ac:dyDescent="0.3">
      <c r="A110" s="4"/>
      <c r="B110" s="4" t="s">
        <v>125</v>
      </c>
      <c r="C110" s="5">
        <v>1046</v>
      </c>
      <c r="D110" s="5">
        <v>1154</v>
      </c>
      <c r="E110" s="5">
        <v>1235</v>
      </c>
      <c r="F110" s="5">
        <v>1232</v>
      </c>
      <c r="G110" s="5">
        <v>1246</v>
      </c>
      <c r="H110" s="5">
        <v>1278</v>
      </c>
      <c r="I110" s="5">
        <v>1348</v>
      </c>
      <c r="J110" s="5">
        <v>1496</v>
      </c>
      <c r="K110" s="5">
        <v>1447</v>
      </c>
      <c r="L110" s="5">
        <v>1433</v>
      </c>
      <c r="M110" s="5">
        <v>1625</v>
      </c>
      <c r="AB110" s="5">
        <f t="shared" si="180"/>
        <v>4667</v>
      </c>
      <c r="AC110" s="5">
        <f t="shared" si="181"/>
        <v>5368</v>
      </c>
      <c r="AD110" s="5">
        <f t="shared" si="182"/>
        <v>4505</v>
      </c>
    </row>
    <row r="111" spans="1:30" s="5" customFormat="1" x14ac:dyDescent="0.3">
      <c r="A111" s="4"/>
      <c r="B111" s="4" t="s">
        <v>126</v>
      </c>
      <c r="C111" s="5">
        <v>418</v>
      </c>
      <c r="D111" s="5">
        <v>445</v>
      </c>
      <c r="E111" s="5">
        <v>465</v>
      </c>
      <c r="F111" s="5">
        <v>484</v>
      </c>
      <c r="G111" s="5">
        <v>524</v>
      </c>
      <c r="H111" s="5">
        <v>439</v>
      </c>
      <c r="I111" s="5">
        <v>457</v>
      </c>
      <c r="J111" s="5">
        <v>579</v>
      </c>
      <c r="K111" s="5">
        <v>573</v>
      </c>
      <c r="L111" s="5">
        <v>635</v>
      </c>
      <c r="M111" s="5">
        <v>663</v>
      </c>
      <c r="AB111" s="5">
        <f t="shared" si="180"/>
        <v>1812</v>
      </c>
      <c r="AC111" s="5">
        <f t="shared" si="181"/>
        <v>1999</v>
      </c>
      <c r="AD111" s="5">
        <f t="shared" si="182"/>
        <v>1871</v>
      </c>
    </row>
    <row r="112" spans="1:30" s="5" customFormat="1" x14ac:dyDescent="0.3">
      <c r="A112" s="4"/>
      <c r="B112" s="4" t="s">
        <v>127</v>
      </c>
      <c r="C112" s="5">
        <v>-55</v>
      </c>
      <c r="D112" s="5">
        <v>-148</v>
      </c>
      <c r="E112" s="5">
        <v>-113</v>
      </c>
      <c r="F112" s="5">
        <v>-6033</v>
      </c>
      <c r="G112" s="5">
        <v>-11</v>
      </c>
      <c r="H112" s="5">
        <v>122</v>
      </c>
      <c r="I112" s="5">
        <v>286</v>
      </c>
      <c r="J112" s="5">
        <v>6</v>
      </c>
      <c r="K112" s="5">
        <v>-43</v>
      </c>
      <c r="L112" s="5">
        <v>52</v>
      </c>
      <c r="M112" s="5">
        <v>225</v>
      </c>
      <c r="AB112" s="5">
        <f t="shared" si="180"/>
        <v>-6349</v>
      </c>
      <c r="AC112" s="5">
        <f t="shared" si="181"/>
        <v>403</v>
      </c>
      <c r="AD112" s="5">
        <f t="shared" si="182"/>
        <v>234</v>
      </c>
    </row>
    <row r="113" spans="1:30" s="5" customFormat="1" x14ac:dyDescent="0.3">
      <c r="A113" s="4"/>
      <c r="B113" s="4" t="s">
        <v>128</v>
      </c>
      <c r="H113" s="5">
        <v>100</v>
      </c>
      <c r="I113" s="5">
        <v>-7</v>
      </c>
      <c r="J113" s="5">
        <v>-347</v>
      </c>
      <c r="K113" s="5">
        <v>125</v>
      </c>
      <c r="L113" s="5">
        <v>-284</v>
      </c>
      <c r="M113" s="5">
        <v>-80</v>
      </c>
      <c r="AB113" s="5">
        <f t="shared" si="180"/>
        <v>0</v>
      </c>
      <c r="AC113" s="5">
        <f t="shared" si="181"/>
        <v>-254</v>
      </c>
      <c r="AD113" s="5">
        <f t="shared" si="182"/>
        <v>-239</v>
      </c>
    </row>
    <row r="114" spans="1:30" s="5" customFormat="1" x14ac:dyDescent="0.3">
      <c r="A114" s="4"/>
      <c r="B114" s="4" t="s">
        <v>129</v>
      </c>
      <c r="C114" s="5">
        <v>40</v>
      </c>
      <c r="D114" s="5">
        <v>-47</v>
      </c>
      <c r="E114" s="5">
        <v>145</v>
      </c>
      <c r="F114" s="5">
        <v>262</v>
      </c>
      <c r="H114" s="5">
        <v>119</v>
      </c>
      <c r="I114" s="5">
        <v>408</v>
      </c>
      <c r="J114" s="5">
        <v>-93</v>
      </c>
      <c r="K114" s="5">
        <v>188</v>
      </c>
      <c r="L114" s="5">
        <v>187</v>
      </c>
      <c r="M114" s="5">
        <v>333</v>
      </c>
      <c r="AB114" s="5">
        <f t="shared" si="180"/>
        <v>400</v>
      </c>
      <c r="AC114" s="5">
        <f t="shared" si="181"/>
        <v>434</v>
      </c>
      <c r="AD114" s="5">
        <f t="shared" si="182"/>
        <v>708</v>
      </c>
    </row>
    <row r="115" spans="1:30" s="5" customFormat="1" x14ac:dyDescent="0.3">
      <c r="A115" s="4"/>
      <c r="B115" s="4" t="s">
        <v>130</v>
      </c>
      <c r="C115" s="5">
        <v>-1475</v>
      </c>
      <c r="D115" s="5">
        <v>-953</v>
      </c>
      <c r="E115" s="5">
        <v>-302</v>
      </c>
      <c r="F115" s="5">
        <v>482</v>
      </c>
      <c r="G115" s="5">
        <v>-2661</v>
      </c>
      <c r="H115" s="5">
        <v>138</v>
      </c>
      <c r="I115" s="5">
        <v>1574</v>
      </c>
      <c r="J115" s="5">
        <v>1030</v>
      </c>
      <c r="K115" s="5">
        <v>-554</v>
      </c>
      <c r="L115" s="5">
        <v>-673</v>
      </c>
      <c r="M115" s="5">
        <v>2083</v>
      </c>
      <c r="AB115" s="5">
        <f t="shared" si="180"/>
        <v>-2248</v>
      </c>
      <c r="AC115" s="5">
        <f t="shared" si="181"/>
        <v>81</v>
      </c>
      <c r="AD115" s="5">
        <f t="shared" si="182"/>
        <v>856</v>
      </c>
    </row>
    <row r="116" spans="1:30" s="8" customFormat="1" x14ac:dyDescent="0.3">
      <c r="A116" s="7"/>
      <c r="B116" s="7" t="s">
        <v>131</v>
      </c>
      <c r="C116" s="8">
        <f>SUM(C109:C115)</f>
        <v>2513</v>
      </c>
      <c r="D116" s="8">
        <f t="shared" ref="D116" si="183">SUM(D109:D115)</f>
        <v>3065</v>
      </c>
      <c r="E116" s="8">
        <f t="shared" ref="E116" si="184">SUM(E109:E115)</f>
        <v>3308</v>
      </c>
      <c r="F116" s="8">
        <f t="shared" ref="F116" si="185">SUM(F109:F115)</f>
        <v>4370</v>
      </c>
      <c r="G116" s="8">
        <f t="shared" ref="G116:K116" si="186">SUM(G109:G115)</f>
        <v>242</v>
      </c>
      <c r="H116" s="8">
        <f t="shared" si="186"/>
        <v>3612</v>
      </c>
      <c r="I116" s="8">
        <f t="shared" si="186"/>
        <v>6255</v>
      </c>
      <c r="J116" s="8">
        <f t="shared" si="186"/>
        <v>4814</v>
      </c>
      <c r="K116" s="8">
        <f t="shared" si="186"/>
        <v>2156</v>
      </c>
      <c r="L116" s="8">
        <f>SUM(L109:L115)</f>
        <v>2540</v>
      </c>
      <c r="M116" s="8">
        <f>SUM(M109:M115)</f>
        <v>6238</v>
      </c>
      <c r="O116" s="5"/>
      <c r="AB116" s="8">
        <f>SUM(AB109:AB115)</f>
        <v>13256</v>
      </c>
      <c r="AC116" s="8">
        <f>SUM(AC109:AC115)</f>
        <v>14923</v>
      </c>
      <c r="AD116" s="8">
        <f>SUM(AD109:AD115)</f>
        <v>10934</v>
      </c>
    </row>
    <row r="117" spans="1:30" s="5" customFormat="1" x14ac:dyDescent="0.3">
      <c r="A117" s="4"/>
      <c r="B117" s="4" t="s">
        <v>132</v>
      </c>
      <c r="C117" s="5">
        <v>-2072</v>
      </c>
      <c r="D117" s="5">
        <v>-2060</v>
      </c>
      <c r="E117" s="5">
        <v>-2460</v>
      </c>
      <c r="F117" s="5">
        <v>-2306</v>
      </c>
      <c r="G117" s="5">
        <v>-2773</v>
      </c>
      <c r="H117" s="5">
        <v>-2272</v>
      </c>
      <c r="I117" s="5">
        <v>-3513</v>
      </c>
      <c r="J117" s="5">
        <v>-2780</v>
      </c>
      <c r="K117" s="5">
        <v>-1492</v>
      </c>
      <c r="L117" s="5">
        <v>-2394</v>
      </c>
      <c r="M117" s="5">
        <v>-2248</v>
      </c>
      <c r="AB117" s="5">
        <f>C117+D117+E117+F117</f>
        <v>-8898</v>
      </c>
      <c r="AC117" s="5">
        <f>G117+H117+I117+J117</f>
        <v>-11338</v>
      </c>
      <c r="AD117" s="5">
        <f>K117+L117+M117+N117</f>
        <v>-6134</v>
      </c>
    </row>
    <row r="118" spans="1:30" s="5" customFormat="1" x14ac:dyDescent="0.3">
      <c r="A118" s="4"/>
      <c r="B118" s="4" t="s">
        <v>133</v>
      </c>
      <c r="C118" s="5">
        <f>-1-2015+1604</f>
        <v>-412</v>
      </c>
      <c r="D118" s="5">
        <f>-5075+3539+138-76</f>
        <v>-1474</v>
      </c>
      <c r="E118" s="5">
        <f>1-6131+3816+12</f>
        <v>-2302</v>
      </c>
      <c r="F118" s="5">
        <f>-1-5891+3394</f>
        <v>-2498</v>
      </c>
      <c r="G118" s="5">
        <f>-4-6622+4315</f>
        <v>-2311</v>
      </c>
      <c r="H118" s="5">
        <f>-8143+6990+200</f>
        <v>-953</v>
      </c>
      <c r="I118" s="5">
        <f>-6032+6670</f>
        <v>638</v>
      </c>
      <c r="J118" s="5">
        <f>-15158+10335</f>
        <v>-4823</v>
      </c>
      <c r="K118" s="5">
        <f>-6015+5856</f>
        <v>-159</v>
      </c>
      <c r="L118" s="5">
        <f>-7485+6935</f>
        <v>-550</v>
      </c>
      <c r="M118" s="5">
        <v>-2107</v>
      </c>
      <c r="AB118" s="5">
        <f>C118+D118+E118+F118</f>
        <v>-6686</v>
      </c>
      <c r="AC118" s="5">
        <f>G118+H118+I118+J118</f>
        <v>-7449</v>
      </c>
      <c r="AD118" s="5">
        <f>K118+L118+M118+N118</f>
        <v>-2816</v>
      </c>
    </row>
    <row r="119" spans="1:30" s="8" customFormat="1" x14ac:dyDescent="0.3">
      <c r="A119" s="7"/>
      <c r="B119" s="7" t="s">
        <v>134</v>
      </c>
      <c r="C119" s="8">
        <f t="shared" ref="C119" si="187">SUM(C117:C118)</f>
        <v>-2484</v>
      </c>
      <c r="D119" s="8">
        <f t="shared" ref="D119" si="188">SUM(D117:D118)</f>
        <v>-3534</v>
      </c>
      <c r="E119" s="8">
        <f t="shared" ref="E119" si="189">SUM(E117:E118)</f>
        <v>-4762</v>
      </c>
      <c r="F119" s="8">
        <f t="shared" ref="F119" si="190">SUM(F117:F118)</f>
        <v>-4804</v>
      </c>
      <c r="G119" s="8">
        <f t="shared" ref="G119:K119" si="191">SUM(G117:G118)</f>
        <v>-5084</v>
      </c>
      <c r="H119" s="8">
        <f t="shared" si="191"/>
        <v>-3225</v>
      </c>
      <c r="I119" s="8">
        <f t="shared" si="191"/>
        <v>-2875</v>
      </c>
      <c r="J119" s="8">
        <f t="shared" si="191"/>
        <v>-7603</v>
      </c>
      <c r="K119" s="8">
        <f t="shared" si="191"/>
        <v>-1651</v>
      </c>
      <c r="L119" s="8">
        <f>SUM(L117:L118)</f>
        <v>-2944</v>
      </c>
      <c r="M119" s="8">
        <f>SUM(M117:M118)</f>
        <v>-4355</v>
      </c>
      <c r="O119" s="5"/>
      <c r="AB119" s="8">
        <f t="shared" ref="AB119:AD119" si="192">SUM(AB117:AB118)</f>
        <v>-15584</v>
      </c>
      <c r="AC119" s="8">
        <f t="shared" si="192"/>
        <v>-18787</v>
      </c>
      <c r="AD119" s="8">
        <f t="shared" si="192"/>
        <v>-8950</v>
      </c>
    </row>
    <row r="120" spans="1:30" s="5" customFormat="1" x14ac:dyDescent="0.3">
      <c r="A120" s="4"/>
      <c r="B120" s="4" t="s">
        <v>5</v>
      </c>
      <c r="C120" s="5">
        <v>-127</v>
      </c>
      <c r="D120" s="5">
        <v>-124</v>
      </c>
      <c r="E120" s="5">
        <v>-140</v>
      </c>
      <c r="F120" s="5">
        <v>-141</v>
      </c>
      <c r="G120" s="5">
        <v>-140</v>
      </c>
      <c r="H120" s="5">
        <v>2598</v>
      </c>
      <c r="I120" s="5">
        <v>-75</v>
      </c>
      <c r="J120" s="5">
        <v>-108</v>
      </c>
      <c r="K120" s="5">
        <v>-50</v>
      </c>
      <c r="L120" s="5">
        <v>-23</v>
      </c>
      <c r="M120" s="5">
        <v>-493</v>
      </c>
      <c r="AB120" s="5">
        <f>C120+D120+E120+F120</f>
        <v>-532</v>
      </c>
      <c r="AC120" s="5">
        <f>G120+H120+I120+J120</f>
        <v>2275</v>
      </c>
      <c r="AD120" s="5">
        <f>K120+L120+M120+N120</f>
        <v>-566</v>
      </c>
    </row>
    <row r="121" spans="1:30" s="5" customFormat="1" x14ac:dyDescent="0.3">
      <c r="A121" s="4"/>
      <c r="B121" s="4" t="s">
        <v>135</v>
      </c>
      <c r="C121" s="5">
        <v>-294</v>
      </c>
      <c r="D121" s="5">
        <v>-233</v>
      </c>
      <c r="E121" s="5">
        <v>2194</v>
      </c>
      <c r="F121" s="5">
        <v>952</v>
      </c>
      <c r="G121" s="5">
        <v>216</v>
      </c>
      <c r="H121" s="5">
        <v>-212</v>
      </c>
      <c r="I121" s="5">
        <v>-107</v>
      </c>
      <c r="J121" s="5">
        <v>677</v>
      </c>
      <c r="K121" s="5">
        <v>-674</v>
      </c>
      <c r="L121" s="5">
        <v>-400</v>
      </c>
      <c r="M121" s="5">
        <v>989</v>
      </c>
      <c r="AB121" s="5">
        <f>C121+D121+E121+F121</f>
        <v>2619</v>
      </c>
      <c r="AC121" s="5">
        <f>G121+H121+I121+J121</f>
        <v>574</v>
      </c>
      <c r="AD121" s="5">
        <f>K121+L121+M121+N121</f>
        <v>-85</v>
      </c>
    </row>
    <row r="122" spans="1:30" s="5" customFormat="1" x14ac:dyDescent="0.3">
      <c r="A122" s="4"/>
      <c r="B122" s="4" t="s">
        <v>136</v>
      </c>
      <c r="C122" s="5">
        <v>-43</v>
      </c>
      <c r="D122" s="5">
        <v>-34</v>
      </c>
      <c r="E122" s="5">
        <v>-45</v>
      </c>
      <c r="F122" s="5">
        <v>-76</v>
      </c>
      <c r="G122" s="5">
        <v>-131</v>
      </c>
      <c r="H122" s="5">
        <v>-43</v>
      </c>
      <c r="I122" s="5">
        <v>-26</v>
      </c>
      <c r="J122" s="5">
        <v>-37</v>
      </c>
      <c r="K122" s="5">
        <v>-22</v>
      </c>
      <c r="L122" s="5">
        <v>-14</v>
      </c>
      <c r="M122" s="5">
        <v>-25</v>
      </c>
      <c r="AB122" s="5">
        <f>C122+D122+E122+F122</f>
        <v>-198</v>
      </c>
      <c r="AC122" s="5">
        <f>G122+H122+I122+J122</f>
        <v>-237</v>
      </c>
      <c r="AD122" s="5">
        <f>K122+L122+M122+N122</f>
        <v>-61</v>
      </c>
    </row>
    <row r="123" spans="1:30" s="5" customFormat="1" x14ac:dyDescent="0.3">
      <c r="A123" s="4"/>
      <c r="B123" s="4" t="s">
        <v>129</v>
      </c>
      <c r="C123" s="5">
        <v>231</v>
      </c>
      <c r="D123" s="5">
        <v>63</v>
      </c>
      <c r="E123" s="5">
        <v>254</v>
      </c>
      <c r="F123" s="5">
        <v>152</v>
      </c>
      <c r="G123" s="5">
        <v>251</v>
      </c>
      <c r="H123" s="5">
        <v>197</v>
      </c>
      <c r="I123" s="5">
        <v>340</v>
      </c>
      <c r="J123" s="5">
        <v>453</v>
      </c>
      <c r="K123" s="5">
        <v>414</v>
      </c>
      <c r="L123" s="5">
        <v>215</v>
      </c>
      <c r="M123" s="5">
        <v>512</v>
      </c>
      <c r="AB123" s="5">
        <f>C123+D123+E123+F123</f>
        <v>700</v>
      </c>
      <c r="AC123" s="5">
        <f>G123+H123+I123+J123</f>
        <v>1241</v>
      </c>
      <c r="AD123" s="5">
        <f>K123+L123+M123+N123</f>
        <v>1141</v>
      </c>
    </row>
    <row r="124" spans="1:30" s="8" customFormat="1" x14ac:dyDescent="0.3">
      <c r="A124" s="7"/>
      <c r="B124" s="7" t="s">
        <v>137</v>
      </c>
      <c r="C124" s="8">
        <f t="shared" ref="C124" si="193">SUM(C120:C123)</f>
        <v>-233</v>
      </c>
      <c r="D124" s="8">
        <f t="shared" ref="D124" si="194">SUM(D120:D123)</f>
        <v>-328</v>
      </c>
      <c r="E124" s="8">
        <f t="shared" ref="E124" si="195">SUM(E120:E123)</f>
        <v>2263</v>
      </c>
      <c r="F124" s="8">
        <f t="shared" ref="F124" si="196">SUM(F120:F123)</f>
        <v>887</v>
      </c>
      <c r="G124" s="8">
        <f t="shared" ref="G124:K124" si="197">SUM(G120:G123)</f>
        <v>196</v>
      </c>
      <c r="H124" s="8">
        <f t="shared" si="197"/>
        <v>2540</v>
      </c>
      <c r="I124" s="8">
        <f t="shared" si="197"/>
        <v>132</v>
      </c>
      <c r="J124" s="8">
        <f t="shared" si="197"/>
        <v>985</v>
      </c>
      <c r="K124" s="8">
        <f t="shared" si="197"/>
        <v>-332</v>
      </c>
      <c r="L124" s="8">
        <f>SUM(L120:L123)</f>
        <v>-222</v>
      </c>
      <c r="M124" s="8">
        <f>SUM(M120:M123)</f>
        <v>983</v>
      </c>
      <c r="O124" s="5"/>
      <c r="AB124" s="8">
        <f t="shared" ref="AB124:AD124" si="198">SUM(AB120:AB123)</f>
        <v>2589</v>
      </c>
      <c r="AC124" s="8">
        <f t="shared" si="198"/>
        <v>3853</v>
      </c>
      <c r="AD124" s="8">
        <f t="shared" si="198"/>
        <v>429</v>
      </c>
    </row>
    <row r="125" spans="1:30" s="5" customFormat="1" x14ac:dyDescent="0.3">
      <c r="A125" s="4"/>
      <c r="B125" s="4" t="s">
        <v>138</v>
      </c>
      <c r="C125" s="5">
        <v>50</v>
      </c>
      <c r="D125" s="5">
        <v>-94</v>
      </c>
      <c r="E125" s="5">
        <v>-98</v>
      </c>
      <c r="F125" s="5">
        <v>146</v>
      </c>
      <c r="G125" s="5">
        <v>-79</v>
      </c>
      <c r="H125" s="5">
        <v>-37</v>
      </c>
      <c r="I125" s="5">
        <v>108</v>
      </c>
      <c r="J125" s="5">
        <v>-133</v>
      </c>
      <c r="K125" s="5">
        <v>40</v>
      </c>
      <c r="L125" s="5">
        <v>111</v>
      </c>
      <c r="M125" s="5">
        <v>-17</v>
      </c>
      <c r="AB125" s="5">
        <f>C125+D125+E125+F125</f>
        <v>4</v>
      </c>
      <c r="AC125" s="5">
        <f>G125+H125+I125+J125</f>
        <v>-141</v>
      </c>
      <c r="AD125" s="5">
        <f>K125+L125+M125+N125</f>
        <v>134</v>
      </c>
    </row>
    <row r="126" spans="1:30" s="8" customFormat="1" x14ac:dyDescent="0.3">
      <c r="A126" s="7"/>
      <c r="B126" s="7" t="s">
        <v>139</v>
      </c>
      <c r="C126" s="8">
        <f t="shared" ref="C126" si="199">C116+C119+C124+C125</f>
        <v>-154</v>
      </c>
      <c r="D126" s="8">
        <f t="shared" ref="D126" si="200">D116+D119+D124+D125</f>
        <v>-891</v>
      </c>
      <c r="E126" s="8">
        <f t="shared" ref="E126" si="201">E116+E119+E124+E125</f>
        <v>711</v>
      </c>
      <c r="F126" s="8">
        <f t="shared" ref="F126" si="202">F116+F119+F124+F125</f>
        <v>599</v>
      </c>
      <c r="G126" s="8">
        <f t="shared" ref="G126:K126" si="203">G116+G119+G124+G125</f>
        <v>-4725</v>
      </c>
      <c r="H126" s="8">
        <f t="shared" si="203"/>
        <v>2890</v>
      </c>
      <c r="I126" s="8">
        <f t="shared" si="203"/>
        <v>3620</v>
      </c>
      <c r="J126" s="8">
        <f t="shared" si="203"/>
        <v>-1937</v>
      </c>
      <c r="K126" s="8">
        <f t="shared" si="203"/>
        <v>213</v>
      </c>
      <c r="L126" s="8">
        <f>L116+L119+L124+L125</f>
        <v>-515</v>
      </c>
      <c r="M126" s="8">
        <f>M116+M119+M124+M125</f>
        <v>2849</v>
      </c>
      <c r="O126" s="5"/>
      <c r="AB126" s="8">
        <f t="shared" ref="AB126:AD126" si="204">AB116+AB119+AB124+AB125</f>
        <v>265</v>
      </c>
      <c r="AC126" s="8">
        <f t="shared" si="204"/>
        <v>-152</v>
      </c>
      <c r="AD126" s="8">
        <f t="shared" si="204"/>
        <v>2547</v>
      </c>
    </row>
    <row r="127" spans="1:30" s="5" customFormat="1" x14ac:dyDescent="0.3">
      <c r="A127" s="4"/>
      <c r="B127" s="4" t="s">
        <v>140</v>
      </c>
      <c r="C127" s="5">
        <v>16924</v>
      </c>
      <c r="D127" s="5">
        <f t="shared" ref="D127:G127" si="205">C128</f>
        <v>16770</v>
      </c>
      <c r="E127" s="5">
        <f t="shared" si="205"/>
        <v>15879</v>
      </c>
      <c r="F127" s="5">
        <f t="shared" si="205"/>
        <v>16590</v>
      </c>
      <c r="G127" s="5">
        <f t="shared" si="205"/>
        <v>17189</v>
      </c>
      <c r="H127" s="5">
        <f>G128</f>
        <v>12464</v>
      </c>
      <c r="I127" s="5">
        <f>H128</f>
        <v>15354</v>
      </c>
      <c r="J127" s="5">
        <f t="shared" ref="J127:K127" si="206">I128</f>
        <v>18974</v>
      </c>
      <c r="K127" s="5">
        <f t="shared" si="206"/>
        <v>17037</v>
      </c>
      <c r="L127" s="5">
        <f>K128</f>
        <v>17250</v>
      </c>
      <c r="M127" s="5">
        <f>L128</f>
        <v>16735</v>
      </c>
      <c r="AB127" s="5">
        <f>C127</f>
        <v>16924</v>
      </c>
      <c r="AC127" s="5">
        <f>AB128</f>
        <v>17189</v>
      </c>
      <c r="AD127" s="5">
        <f>AC128</f>
        <v>17037</v>
      </c>
    </row>
    <row r="128" spans="1:30" s="5" customFormat="1" x14ac:dyDescent="0.3">
      <c r="A128" s="4"/>
      <c r="B128" s="4" t="s">
        <v>141</v>
      </c>
      <c r="C128" s="5">
        <f t="shared" ref="C128" si="207">C127+C126</f>
        <v>16770</v>
      </c>
      <c r="D128" s="5">
        <f t="shared" ref="D128" si="208">D127+D126</f>
        <v>15879</v>
      </c>
      <c r="E128" s="5">
        <f t="shared" ref="E128" si="209">E127+E126</f>
        <v>16590</v>
      </c>
      <c r="F128" s="5">
        <f t="shared" ref="F128" si="210">F127+F126</f>
        <v>17189</v>
      </c>
      <c r="G128" s="5">
        <f t="shared" ref="G128" si="211">G127+G126</f>
        <v>12464</v>
      </c>
      <c r="H128" s="5">
        <f t="shared" ref="H128:J128" si="212">H127+H126</f>
        <v>15354</v>
      </c>
      <c r="I128" s="5">
        <f t="shared" si="212"/>
        <v>18974</v>
      </c>
      <c r="J128" s="5">
        <f t="shared" si="212"/>
        <v>17037</v>
      </c>
      <c r="K128" s="5">
        <f>K127+K126</f>
        <v>17250</v>
      </c>
      <c r="L128" s="5">
        <f>L127+L126</f>
        <v>16735</v>
      </c>
      <c r="M128" s="5">
        <f>M127+M126</f>
        <v>19584</v>
      </c>
      <c r="AB128" s="5">
        <f t="shared" ref="AB128" si="213">AB127+AB126</f>
        <v>17189</v>
      </c>
      <c r="AC128" s="5">
        <f>AC127+AC126</f>
        <v>17037</v>
      </c>
      <c r="AD128" s="5">
        <f>AD127+AD126</f>
        <v>19584</v>
      </c>
    </row>
    <row r="129" spans="1:13" s="5" customFormat="1" x14ac:dyDescent="0.3">
      <c r="A129" s="4"/>
      <c r="B129" s="4"/>
      <c r="C129" s="4"/>
    </row>
    <row r="130" spans="1:13" s="5" customFormat="1" x14ac:dyDescent="0.3">
      <c r="A130" s="4"/>
      <c r="B130" s="4" t="s">
        <v>142</v>
      </c>
      <c r="C130" s="5">
        <f t="shared" ref="C130:F130" si="214">C116+C117</f>
        <v>441</v>
      </c>
      <c r="D130" s="5">
        <f t="shared" si="214"/>
        <v>1005</v>
      </c>
      <c r="E130" s="5">
        <f t="shared" si="214"/>
        <v>848</v>
      </c>
      <c r="F130" s="5">
        <f t="shared" si="214"/>
        <v>2064</v>
      </c>
      <c r="G130" s="5">
        <f t="shared" ref="G130:K130" si="215">G116+G117</f>
        <v>-2531</v>
      </c>
      <c r="H130" s="5">
        <f t="shared" si="215"/>
        <v>1340</v>
      </c>
      <c r="I130" s="5">
        <f t="shared" si="215"/>
        <v>2742</v>
      </c>
      <c r="J130" s="5">
        <f t="shared" si="215"/>
        <v>2034</v>
      </c>
      <c r="K130" s="5">
        <f t="shared" si="215"/>
        <v>664</v>
      </c>
      <c r="L130" s="5">
        <f>L116+L117</f>
        <v>146</v>
      </c>
      <c r="M130" s="5">
        <f>M116+M117</f>
        <v>3990</v>
      </c>
    </row>
    <row r="131" spans="1:13" x14ac:dyDescent="0.3">
      <c r="B131" s="4" t="s">
        <v>143</v>
      </c>
      <c r="C131" s="18">
        <f t="shared" ref="C131:F131" si="216">-C117/C109</f>
        <v>0.8160693186293817</v>
      </c>
      <c r="D131" s="18">
        <f t="shared" si="216"/>
        <v>0.78806426931905127</v>
      </c>
      <c r="E131" s="18">
        <f t="shared" si="216"/>
        <v>1.3099041533546325</v>
      </c>
      <c r="F131" s="18">
        <f t="shared" si="216"/>
        <v>0.290318519451089</v>
      </c>
      <c r="G131" s="18">
        <f t="shared" ref="G131:K131" si="217">-G117/G109</f>
        <v>2.4239510489510487</v>
      </c>
      <c r="H131" s="18">
        <f t="shared" si="217"/>
        <v>1.6045197740112995</v>
      </c>
      <c r="I131" s="18">
        <f t="shared" si="217"/>
        <v>1.6048423937871175</v>
      </c>
      <c r="J131" s="18">
        <f t="shared" si="217"/>
        <v>1.2972468502099861</v>
      </c>
      <c r="K131" s="18">
        <f t="shared" si="217"/>
        <v>3.5523809523809522</v>
      </c>
      <c r="L131" s="18">
        <f>-L117/L109</f>
        <v>2.0117647058823529</v>
      </c>
      <c r="M131" s="18">
        <f>-M117/M109</f>
        <v>1.6184305255579554</v>
      </c>
    </row>
    <row r="135" spans="1:13" s="5" customFormat="1" x14ac:dyDescent="0.3">
      <c r="B135" s="5" t="s">
        <v>144</v>
      </c>
      <c r="C135" s="5">
        <f t="shared" ref="C135:F135" si="218">C51</f>
        <v>2513</v>
      </c>
      <c r="D135" s="5">
        <f t="shared" si="218"/>
        <v>2703</v>
      </c>
      <c r="E135" s="5">
        <f t="shared" si="218"/>
        <v>1853</v>
      </c>
      <c r="F135" s="5">
        <f t="shared" si="218"/>
        <v>7928</v>
      </c>
      <c r="G135" s="5">
        <f t="shared" ref="G135:K135" si="219">G51</f>
        <v>1129</v>
      </c>
      <c r="H135" s="5">
        <f t="shared" si="219"/>
        <v>1400</v>
      </c>
      <c r="I135" s="5">
        <f t="shared" si="219"/>
        <v>2173</v>
      </c>
      <c r="J135" s="5">
        <f t="shared" si="219"/>
        <v>2128</v>
      </c>
      <c r="K135" s="5">
        <f t="shared" si="219"/>
        <v>409</v>
      </c>
      <c r="L135" s="5">
        <f>L51</f>
        <v>1172</v>
      </c>
      <c r="M135" s="5">
        <f t="shared" ref="M135" si="220">M51</f>
        <v>1373</v>
      </c>
    </row>
    <row r="136" spans="1:13" s="5" customFormat="1" x14ac:dyDescent="0.3">
      <c r="B136" s="5" t="s">
        <v>147</v>
      </c>
      <c r="C136" s="5">
        <v>418</v>
      </c>
      <c r="D136" s="5">
        <v>445</v>
      </c>
      <c r="E136" s="5">
        <v>465</v>
      </c>
      <c r="F136" s="5">
        <v>484</v>
      </c>
      <c r="G136" s="5">
        <v>407</v>
      </c>
      <c r="H136" s="5">
        <v>334</v>
      </c>
      <c r="I136" s="5">
        <v>338</v>
      </c>
      <c r="J136" s="5">
        <v>249</v>
      </c>
      <c r="K136" s="5">
        <v>428</v>
      </c>
      <c r="L136" s="5">
        <v>443</v>
      </c>
      <c r="M136" s="5">
        <f>M111</f>
        <v>663</v>
      </c>
    </row>
    <row r="137" spans="1:13" s="5" customFormat="1" x14ac:dyDescent="0.3">
      <c r="B137" s="5" t="s">
        <v>148</v>
      </c>
      <c r="F137" s="5">
        <v>-5927</v>
      </c>
      <c r="H137" s="5">
        <v>78</v>
      </c>
      <c r="I137" s="5">
        <v>-6</v>
      </c>
      <c r="J137" s="5">
        <v>-270</v>
      </c>
      <c r="K137" s="5">
        <v>97</v>
      </c>
      <c r="L137" s="5">
        <v>-222</v>
      </c>
      <c r="M137" s="5">
        <f>M113</f>
        <v>-80</v>
      </c>
    </row>
    <row r="138" spans="1:13" s="8" customFormat="1" x14ac:dyDescent="0.3">
      <c r="B138" s="8" t="s">
        <v>146</v>
      </c>
      <c r="C138" s="8">
        <f t="shared" ref="C138" si="221">SUM(C135:C137)</f>
        <v>2931</v>
      </c>
      <c r="D138" s="8">
        <f t="shared" ref="D138" si="222">SUM(D135:D137)</f>
        <v>3148</v>
      </c>
      <c r="E138" s="8">
        <f t="shared" ref="E138" si="223">SUM(E135:E137)</f>
        <v>2318</v>
      </c>
      <c r="F138" s="8">
        <f t="shared" ref="F138" si="224">SUM(F135:F137)</f>
        <v>2485</v>
      </c>
      <c r="G138" s="8">
        <f t="shared" ref="G138:K138" si="225">SUM(G135:G137)</f>
        <v>1536</v>
      </c>
      <c r="H138" s="8">
        <f t="shared" si="225"/>
        <v>1812</v>
      </c>
      <c r="I138" s="8">
        <f t="shared" si="225"/>
        <v>2505</v>
      </c>
      <c r="J138" s="8">
        <f t="shared" si="225"/>
        <v>2107</v>
      </c>
      <c r="K138" s="8">
        <f t="shared" si="225"/>
        <v>934</v>
      </c>
      <c r="L138" s="8">
        <f>SUM(L135:L137)</f>
        <v>1393</v>
      </c>
      <c r="M138" s="8">
        <f t="shared" ref="M138" si="226">SUM(M135:M137)</f>
        <v>1956</v>
      </c>
    </row>
    <row r="140" spans="1:13" x14ac:dyDescent="0.3">
      <c r="B140" s="5" t="s">
        <v>144</v>
      </c>
      <c r="C140" s="5">
        <f t="shared" ref="C140:F140" si="227">C135</f>
        <v>2513</v>
      </c>
      <c r="D140" s="5">
        <f t="shared" si="227"/>
        <v>2703</v>
      </c>
      <c r="E140" s="5">
        <f t="shared" si="227"/>
        <v>1853</v>
      </c>
      <c r="F140" s="5">
        <f t="shared" si="227"/>
        <v>7928</v>
      </c>
      <c r="G140" s="5">
        <f t="shared" ref="G140:K140" si="228">G135</f>
        <v>1129</v>
      </c>
      <c r="H140" s="5">
        <f t="shared" si="228"/>
        <v>1400</v>
      </c>
      <c r="I140" s="5">
        <f t="shared" si="228"/>
        <v>2173</v>
      </c>
      <c r="J140" s="5">
        <f t="shared" si="228"/>
        <v>2128</v>
      </c>
      <c r="K140" s="5">
        <f t="shared" si="228"/>
        <v>409</v>
      </c>
      <c r="L140" s="5">
        <f>L135</f>
        <v>1172</v>
      </c>
      <c r="M140" s="5">
        <f t="shared" ref="M140" si="229">M135</f>
        <v>1373</v>
      </c>
    </row>
    <row r="141" spans="1:13" x14ac:dyDescent="0.3">
      <c r="B141" s="5" t="s">
        <v>149</v>
      </c>
      <c r="C141" s="5">
        <f t="shared" ref="C141:F141" si="230">-C45</f>
        <v>29</v>
      </c>
      <c r="D141" s="5">
        <f t="shared" si="230"/>
        <v>28</v>
      </c>
      <c r="E141" s="5">
        <f t="shared" si="230"/>
        <v>38</v>
      </c>
      <c r="F141" s="5">
        <f t="shared" si="230"/>
        <v>61</v>
      </c>
      <c r="G141" s="5">
        <f t="shared" ref="G141:K141" si="231">-G45</f>
        <v>76</v>
      </c>
      <c r="H141" s="5">
        <f t="shared" si="231"/>
        <v>86</v>
      </c>
      <c r="I141" s="5">
        <f t="shared" si="231"/>
        <v>92</v>
      </c>
      <c r="J141" s="5">
        <f t="shared" si="231"/>
        <v>96</v>
      </c>
      <c r="K141" s="5">
        <f t="shared" si="231"/>
        <v>91</v>
      </c>
      <c r="L141" s="5">
        <f>-L45</f>
        <v>86</v>
      </c>
      <c r="M141" s="5">
        <f t="shared" ref="M141" si="232">-M45</f>
        <v>76</v>
      </c>
    </row>
    <row r="142" spans="1:13" x14ac:dyDescent="0.3">
      <c r="B142" s="5" t="s">
        <v>150</v>
      </c>
      <c r="C142" s="5">
        <f t="shared" ref="C142:F142" si="233">C48</f>
        <v>261</v>
      </c>
      <c r="D142" s="5">
        <f t="shared" si="233"/>
        <v>323</v>
      </c>
      <c r="E142" s="5">
        <f t="shared" si="233"/>
        <v>167</v>
      </c>
      <c r="F142" s="5">
        <f t="shared" si="233"/>
        <v>-5752</v>
      </c>
      <c r="G142" s="5">
        <f t="shared" ref="G142:K142" si="234">G48</f>
        <v>409</v>
      </c>
      <c r="H142" s="5">
        <f t="shared" si="234"/>
        <v>371</v>
      </c>
      <c r="I142" s="5">
        <f t="shared" si="234"/>
        <v>602</v>
      </c>
      <c r="J142" s="5">
        <f t="shared" si="234"/>
        <v>381</v>
      </c>
      <c r="K142" s="5">
        <f t="shared" si="234"/>
        <v>169</v>
      </c>
      <c r="L142" s="5">
        <f>L48</f>
        <v>359</v>
      </c>
      <c r="M142" s="5">
        <f t="shared" ref="M142" si="235">M48</f>
        <v>570</v>
      </c>
    </row>
    <row r="143" spans="1:13" x14ac:dyDescent="0.3">
      <c r="B143" s="5" t="s">
        <v>125</v>
      </c>
      <c r="C143" s="5">
        <f t="shared" ref="C143:F143" si="236">C110</f>
        <v>1046</v>
      </c>
      <c r="D143" s="5">
        <f t="shared" si="236"/>
        <v>1154</v>
      </c>
      <c r="E143" s="5">
        <f t="shared" si="236"/>
        <v>1235</v>
      </c>
      <c r="F143" s="5">
        <f t="shared" si="236"/>
        <v>1232</v>
      </c>
      <c r="G143" s="5">
        <f t="shared" ref="G143:K143" si="237">G110</f>
        <v>1246</v>
      </c>
      <c r="H143" s="5">
        <f t="shared" si="237"/>
        <v>1278</v>
      </c>
      <c r="I143" s="5">
        <f t="shared" si="237"/>
        <v>1348</v>
      </c>
      <c r="J143" s="5">
        <f t="shared" si="237"/>
        <v>1496</v>
      </c>
      <c r="K143" s="5">
        <f t="shared" si="237"/>
        <v>1447</v>
      </c>
      <c r="L143" s="5">
        <f>L110</f>
        <v>1433</v>
      </c>
      <c r="M143" s="5">
        <f t="shared" ref="M143:M144" si="238">M110</f>
        <v>1625</v>
      </c>
    </row>
    <row r="144" spans="1:13" x14ac:dyDescent="0.3">
      <c r="B144" s="5" t="s">
        <v>145</v>
      </c>
      <c r="C144" s="5">
        <f t="shared" ref="C144:F144" si="239">C111</f>
        <v>418</v>
      </c>
      <c r="D144" s="5">
        <f t="shared" si="239"/>
        <v>445</v>
      </c>
      <c r="E144" s="5">
        <f t="shared" si="239"/>
        <v>465</v>
      </c>
      <c r="F144" s="5">
        <f t="shared" si="239"/>
        <v>484</v>
      </c>
      <c r="G144" s="5">
        <f t="shared" ref="G144:K144" si="240">G111</f>
        <v>524</v>
      </c>
      <c r="H144" s="5">
        <f t="shared" si="240"/>
        <v>439</v>
      </c>
      <c r="I144" s="5">
        <f t="shared" si="240"/>
        <v>457</v>
      </c>
      <c r="J144" s="5">
        <f t="shared" si="240"/>
        <v>579</v>
      </c>
      <c r="K144" s="5">
        <f t="shared" si="240"/>
        <v>573</v>
      </c>
      <c r="L144" s="5">
        <f>L111</f>
        <v>635</v>
      </c>
      <c r="M144" s="5">
        <f t="shared" si="238"/>
        <v>663</v>
      </c>
    </row>
    <row r="145" spans="2:13" x14ac:dyDescent="0.3">
      <c r="B145" s="5" t="s">
        <v>104</v>
      </c>
      <c r="C145" s="5">
        <f t="shared" ref="C145:F145" si="241">C113</f>
        <v>0</v>
      </c>
      <c r="D145" s="5">
        <f t="shared" si="241"/>
        <v>0</v>
      </c>
      <c r="E145" s="5">
        <f t="shared" si="241"/>
        <v>0</v>
      </c>
      <c r="F145" s="5">
        <f t="shared" si="241"/>
        <v>0</v>
      </c>
      <c r="G145" s="5">
        <f t="shared" ref="G145:K145" si="242">G113</f>
        <v>0</v>
      </c>
      <c r="H145" s="5">
        <f t="shared" si="242"/>
        <v>100</v>
      </c>
      <c r="I145" s="5">
        <f t="shared" si="242"/>
        <v>-7</v>
      </c>
      <c r="J145" s="5">
        <f t="shared" si="242"/>
        <v>-347</v>
      </c>
      <c r="K145" s="5">
        <f t="shared" si="242"/>
        <v>125</v>
      </c>
      <c r="L145" s="5">
        <f>L113</f>
        <v>-284</v>
      </c>
      <c r="M145" s="5">
        <f t="shared" ref="M145" si="243">M113</f>
        <v>-80</v>
      </c>
    </row>
    <row r="146" spans="2:13" s="7" customFormat="1" x14ac:dyDescent="0.3">
      <c r="B146" s="8" t="s">
        <v>151</v>
      </c>
      <c r="C146" s="8">
        <f t="shared" ref="C146:F146" si="244">SUM(C140:C145)</f>
        <v>4267</v>
      </c>
      <c r="D146" s="8">
        <f t="shared" si="244"/>
        <v>4653</v>
      </c>
      <c r="E146" s="8">
        <f t="shared" si="244"/>
        <v>3758</v>
      </c>
      <c r="F146" s="8">
        <f t="shared" si="244"/>
        <v>3953</v>
      </c>
      <c r="G146" s="8">
        <f t="shared" ref="G146:L146" si="245">SUM(G140:G145)</f>
        <v>3384</v>
      </c>
      <c r="H146" s="8">
        <f t="shared" si="245"/>
        <v>3674</v>
      </c>
      <c r="I146" s="8">
        <f t="shared" si="245"/>
        <v>4665</v>
      </c>
      <c r="J146" s="8">
        <f t="shared" si="245"/>
        <v>4333</v>
      </c>
      <c r="K146" s="8">
        <f t="shared" si="245"/>
        <v>2814</v>
      </c>
      <c r="L146" s="8">
        <f t="shared" si="245"/>
        <v>3401</v>
      </c>
      <c r="M146" s="8">
        <f t="shared" ref="M146" si="246">SUM(M140:M145)</f>
        <v>4227</v>
      </c>
    </row>
    <row r="147" spans="2:13" x14ac:dyDescent="0.3">
      <c r="B147" s="5" t="s">
        <v>152</v>
      </c>
      <c r="C147" s="5">
        <f t="shared" ref="C147:F147" si="247">C31</f>
        <v>23329</v>
      </c>
      <c r="D147" s="5">
        <f t="shared" si="247"/>
        <v>24927</v>
      </c>
      <c r="E147" s="5">
        <f t="shared" si="247"/>
        <v>23350</v>
      </c>
      <c r="F147" s="5">
        <f t="shared" si="247"/>
        <v>25167</v>
      </c>
      <c r="G147" s="5">
        <f t="shared" ref="G147:K147" si="248">G31</f>
        <v>21301</v>
      </c>
      <c r="H147" s="5">
        <f t="shared" si="248"/>
        <v>25500</v>
      </c>
      <c r="I147" s="5">
        <f t="shared" si="248"/>
        <v>25182</v>
      </c>
      <c r="J147" s="5">
        <f t="shared" si="248"/>
        <v>25707</v>
      </c>
      <c r="K147" s="5">
        <f t="shared" si="248"/>
        <v>19335</v>
      </c>
      <c r="L147" s="5">
        <f>L31</f>
        <v>22496</v>
      </c>
      <c r="M147" s="5">
        <f t="shared" ref="M147" si="249">M31</f>
        <v>28095</v>
      </c>
    </row>
    <row r="148" spans="2:13" s="16" customFormat="1" x14ac:dyDescent="0.3">
      <c r="B148" s="16" t="s">
        <v>153</v>
      </c>
      <c r="C148" s="16">
        <f t="shared" ref="C148" si="250">C146/C147</f>
        <v>0.18290539671653308</v>
      </c>
      <c r="D148" s="16">
        <f t="shared" ref="D148" si="251">D146/D147</f>
        <v>0.18666506198098448</v>
      </c>
      <c r="E148" s="16">
        <f t="shared" ref="E148" si="252">E146/E147</f>
        <v>0.16094218415417558</v>
      </c>
      <c r="F148" s="16">
        <f t="shared" ref="F148" si="253">F146/F147</f>
        <v>0.15707076727460564</v>
      </c>
      <c r="G148" s="16">
        <f t="shared" ref="G148:K148" si="254">G146/G147</f>
        <v>0.15886578094925122</v>
      </c>
      <c r="H148" s="16">
        <f t="shared" si="254"/>
        <v>0.14407843137254903</v>
      </c>
      <c r="I148" s="16">
        <f t="shared" si="254"/>
        <v>0.1852513700262092</v>
      </c>
      <c r="J148" s="16">
        <f t="shared" si="254"/>
        <v>0.16855331232738166</v>
      </c>
      <c r="K148" s="16">
        <f t="shared" si="254"/>
        <v>0.14553917765709853</v>
      </c>
      <c r="L148" s="16">
        <f>L146/L147</f>
        <v>0.15118243243243243</v>
      </c>
      <c r="M148" s="16">
        <f t="shared" ref="M148" si="255">M146/M147</f>
        <v>0.15045381740523225</v>
      </c>
    </row>
  </sheetData>
  <mergeCells count="1">
    <mergeCell ref="X4:AA4"/>
  </mergeCells>
  <phoneticPr fontId="3" type="noConversion"/>
  <hyperlinks>
    <hyperlink ref="A1" location="Main!A1" display="Main" xr:uid="{8186EE72-E3A3-4E38-B1E5-4F486EE19A3E}"/>
  </hyperlinks>
  <pageMargins left="0.7" right="0.7" top="0.75" bottom="0.75" header="0.3" footer="0.3"/>
  <ignoredErrors>
    <ignoredError sqref="AB28:AC49 AB116:AE116 AB119:AE119 AB117:AC118 AE117:AE118 AB124:AE124 AB120:AC123 AE120:AE123 AB125:AC125 AE125 AD28:AD30 AD47:AD49 AD32:AD34" formula="1"/>
  </ignoredErrors>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Gega Mukhigulashvili</dc:creator>
  <cp:lastModifiedBy>Gega Mukhigulashvili</cp:lastModifiedBy>
  <dcterms:created xsi:type="dcterms:W3CDTF">2015-06-05T18:17:20Z</dcterms:created>
  <dcterms:modified xsi:type="dcterms:W3CDTF">2025-10-29T18:10:23Z</dcterms:modified>
</cp:coreProperties>
</file>