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F6C8ACE6-6ADE-40CD-A676-4622429152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38" i="2" l="1"/>
  <c r="AX39" i="2" s="1"/>
  <c r="AX37" i="2"/>
  <c r="AX36" i="2"/>
  <c r="BU19" i="2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CU19" i="2" s="1"/>
  <c r="CV19" i="2" s="1"/>
  <c r="CW19" i="2" s="1"/>
  <c r="CX19" i="2" s="1"/>
  <c r="CY19" i="2" s="1"/>
  <c r="CZ19" i="2" s="1"/>
  <c r="DA19" i="2" s="1"/>
  <c r="DB19" i="2" s="1"/>
  <c r="DC19" i="2" s="1"/>
  <c r="DD19" i="2" s="1"/>
  <c r="DE19" i="2" s="1"/>
  <c r="DF19" i="2" s="1"/>
  <c r="DG19" i="2" s="1"/>
  <c r="DH19" i="2" s="1"/>
  <c r="DI19" i="2" s="1"/>
  <c r="DJ19" i="2" s="1"/>
  <c r="DK19" i="2" s="1"/>
  <c r="DL19" i="2" s="1"/>
  <c r="DM19" i="2" s="1"/>
  <c r="DN19" i="2" s="1"/>
  <c r="DO19" i="2" s="1"/>
  <c r="DP19" i="2" s="1"/>
  <c r="DQ19" i="2" s="1"/>
  <c r="DR19" i="2" s="1"/>
  <c r="DS19" i="2" s="1"/>
  <c r="DT19" i="2" s="1"/>
  <c r="DU19" i="2" s="1"/>
  <c r="DV19" i="2" s="1"/>
  <c r="DW19" i="2" s="1"/>
  <c r="DX19" i="2" s="1"/>
  <c r="DY19" i="2" s="1"/>
  <c r="DZ19" i="2" s="1"/>
  <c r="EA19" i="2" s="1"/>
  <c r="EB19" i="2" s="1"/>
  <c r="EC19" i="2" s="1"/>
  <c r="ED19" i="2" s="1"/>
  <c r="EE19" i="2" s="1"/>
  <c r="EF19" i="2" s="1"/>
  <c r="EG19" i="2" s="1"/>
  <c r="EH19" i="2" s="1"/>
  <c r="EI19" i="2" s="1"/>
  <c r="EJ19" i="2" s="1"/>
  <c r="EK19" i="2" s="1"/>
  <c r="EL19" i="2" s="1"/>
  <c r="EM19" i="2" s="1"/>
  <c r="EN19" i="2" s="1"/>
  <c r="EO19" i="2" s="1"/>
  <c r="EP19" i="2" s="1"/>
  <c r="EQ19" i="2" s="1"/>
  <c r="ER19" i="2" s="1"/>
  <c r="ES19" i="2" s="1"/>
  <c r="ET19" i="2" s="1"/>
  <c r="EU19" i="2" s="1"/>
  <c r="EV19" i="2" s="1"/>
  <c r="EW19" i="2" s="1"/>
  <c r="EX19" i="2" s="1"/>
  <c r="EY19" i="2" s="1"/>
  <c r="EZ19" i="2" s="1"/>
  <c r="FA19" i="2" s="1"/>
  <c r="FB19" i="2" s="1"/>
  <c r="FC19" i="2" s="1"/>
  <c r="FD19" i="2" s="1"/>
  <c r="FE19" i="2" s="1"/>
  <c r="FF19" i="2" s="1"/>
  <c r="FG19" i="2" s="1"/>
  <c r="FH19" i="2" s="1"/>
  <c r="FI19" i="2" s="1"/>
  <c r="FJ19" i="2" s="1"/>
  <c r="FK19" i="2" s="1"/>
  <c r="FL19" i="2" s="1"/>
  <c r="FM19" i="2" s="1"/>
  <c r="FN19" i="2" s="1"/>
  <c r="FO19" i="2" s="1"/>
  <c r="FP19" i="2" s="1"/>
  <c r="FQ19" i="2" s="1"/>
  <c r="FR19" i="2" s="1"/>
  <c r="FS19" i="2" s="1"/>
  <c r="FT19" i="2" s="1"/>
  <c r="FU19" i="2" s="1"/>
  <c r="FV19" i="2" s="1"/>
  <c r="FW19" i="2" s="1"/>
  <c r="FX19" i="2" s="1"/>
  <c r="FY19" i="2" s="1"/>
  <c r="FZ19" i="2" s="1"/>
  <c r="GA19" i="2" s="1"/>
  <c r="GB19" i="2" s="1"/>
  <c r="GC19" i="2" s="1"/>
  <c r="GD19" i="2" s="1"/>
  <c r="GE19" i="2" s="1"/>
  <c r="GF19" i="2" s="1"/>
  <c r="GG19" i="2" s="1"/>
  <c r="GH19" i="2" s="1"/>
  <c r="GI19" i="2" s="1"/>
  <c r="GJ19" i="2" s="1"/>
  <c r="GK19" i="2" s="1"/>
  <c r="GL19" i="2" s="1"/>
  <c r="GM19" i="2" s="1"/>
  <c r="GN19" i="2" s="1"/>
  <c r="GO19" i="2" s="1"/>
  <c r="GP19" i="2" s="1"/>
  <c r="GQ19" i="2" s="1"/>
  <c r="GR19" i="2" s="1"/>
  <c r="GS19" i="2" s="1"/>
  <c r="GT19" i="2" s="1"/>
  <c r="GU19" i="2" s="1"/>
  <c r="GV19" i="2" s="1"/>
  <c r="GW19" i="2" s="1"/>
  <c r="GX19" i="2" s="1"/>
  <c r="GY19" i="2" s="1"/>
  <c r="GZ19" i="2" s="1"/>
  <c r="HA19" i="2" s="1"/>
  <c r="HB19" i="2" s="1"/>
  <c r="HC19" i="2" s="1"/>
  <c r="HD19" i="2" s="1"/>
  <c r="HE19" i="2" s="1"/>
  <c r="HF19" i="2" s="1"/>
  <c r="HG19" i="2" s="1"/>
  <c r="HH19" i="2" s="1"/>
  <c r="HI19" i="2" s="1"/>
  <c r="HJ19" i="2" s="1"/>
  <c r="HK19" i="2" s="1"/>
  <c r="HL19" i="2" s="1"/>
  <c r="HM19" i="2" s="1"/>
  <c r="HN19" i="2" s="1"/>
  <c r="HO19" i="2" s="1"/>
  <c r="HP19" i="2" s="1"/>
  <c r="HQ19" i="2" s="1"/>
  <c r="HR19" i="2" s="1"/>
  <c r="HS19" i="2" s="1"/>
  <c r="HT19" i="2" s="1"/>
  <c r="HU19" i="2" s="1"/>
  <c r="HV19" i="2" s="1"/>
  <c r="HW19" i="2" s="1"/>
  <c r="HX19" i="2" s="1"/>
  <c r="HY19" i="2" s="1"/>
  <c r="HZ19" i="2" s="1"/>
  <c r="IA19" i="2" s="1"/>
  <c r="IB19" i="2" s="1"/>
  <c r="IC19" i="2" s="1"/>
  <c r="ID19" i="2" s="1"/>
  <c r="IE19" i="2" s="1"/>
  <c r="IF19" i="2" s="1"/>
  <c r="IG19" i="2" s="1"/>
  <c r="IH19" i="2" s="1"/>
  <c r="II19" i="2" s="1"/>
  <c r="IJ19" i="2" s="1"/>
  <c r="IK19" i="2" s="1"/>
  <c r="IL19" i="2" s="1"/>
  <c r="IM19" i="2" s="1"/>
  <c r="IN19" i="2" s="1"/>
  <c r="IO19" i="2" s="1"/>
  <c r="IP19" i="2" s="1"/>
  <c r="IQ19" i="2" s="1"/>
  <c r="IR19" i="2" s="1"/>
  <c r="IS19" i="2" s="1"/>
  <c r="IT19" i="2" s="1"/>
  <c r="IU19" i="2" s="1"/>
  <c r="IV19" i="2" s="1"/>
  <c r="IW19" i="2" s="1"/>
  <c r="IX19" i="2" s="1"/>
  <c r="IY19" i="2" s="1"/>
  <c r="IZ19" i="2" s="1"/>
  <c r="JA19" i="2" s="1"/>
  <c r="JB19" i="2" s="1"/>
  <c r="JC19" i="2" s="1"/>
  <c r="JD19" i="2" s="1"/>
  <c r="JE19" i="2" s="1"/>
  <c r="JF19" i="2" s="1"/>
  <c r="JG19" i="2" s="1"/>
  <c r="JH19" i="2" s="1"/>
  <c r="JI19" i="2" s="1"/>
  <c r="JJ19" i="2" s="1"/>
  <c r="JK19" i="2" s="1"/>
  <c r="JL19" i="2" s="1"/>
  <c r="JM19" i="2" s="1"/>
  <c r="JN19" i="2" s="1"/>
  <c r="JO19" i="2" s="1"/>
  <c r="JP19" i="2" s="1"/>
  <c r="JQ19" i="2" s="1"/>
  <c r="JR19" i="2" s="1"/>
  <c r="JS19" i="2" s="1"/>
  <c r="JT19" i="2" s="1"/>
  <c r="JU19" i="2" s="1"/>
  <c r="JV19" i="2" s="1"/>
  <c r="JW19" i="2" s="1"/>
  <c r="JX19" i="2" s="1"/>
  <c r="JY19" i="2" s="1"/>
  <c r="JZ19" i="2" s="1"/>
  <c r="KA19" i="2" s="1"/>
  <c r="KB19" i="2" s="1"/>
  <c r="KC19" i="2" s="1"/>
  <c r="KD19" i="2" s="1"/>
  <c r="KE19" i="2" s="1"/>
  <c r="KF19" i="2" s="1"/>
  <c r="KG19" i="2" s="1"/>
  <c r="KH19" i="2" s="1"/>
  <c r="KI19" i="2" s="1"/>
  <c r="KJ19" i="2" s="1"/>
  <c r="KK19" i="2" s="1"/>
  <c r="KL19" i="2" s="1"/>
  <c r="KM19" i="2" s="1"/>
  <c r="KN19" i="2" s="1"/>
  <c r="KO19" i="2" s="1"/>
  <c r="KP19" i="2" s="1"/>
  <c r="KQ19" i="2" s="1"/>
  <c r="KR19" i="2" s="1"/>
  <c r="KS19" i="2" s="1"/>
  <c r="KT19" i="2" s="1"/>
  <c r="KU19" i="2" s="1"/>
  <c r="KV19" i="2" s="1"/>
  <c r="KW19" i="2" s="1"/>
  <c r="KX19" i="2" s="1"/>
  <c r="KY19" i="2" s="1"/>
  <c r="KZ19" i="2" s="1"/>
  <c r="LA19" i="2" s="1"/>
  <c r="LB19" i="2" s="1"/>
  <c r="LC19" i="2" s="1"/>
  <c r="LD19" i="2" s="1"/>
  <c r="LE19" i="2" s="1"/>
  <c r="LF19" i="2" s="1"/>
  <c r="LG19" i="2" s="1"/>
  <c r="LH19" i="2" s="1"/>
  <c r="LI19" i="2" s="1"/>
  <c r="LJ19" i="2" s="1"/>
  <c r="LK19" i="2" s="1"/>
  <c r="LL19" i="2" s="1"/>
  <c r="LM19" i="2" s="1"/>
  <c r="LN19" i="2" s="1"/>
  <c r="LO19" i="2" s="1"/>
  <c r="LP19" i="2" s="1"/>
  <c r="LQ19" i="2" s="1"/>
  <c r="LR19" i="2" s="1"/>
  <c r="LS19" i="2" s="1"/>
  <c r="LT19" i="2" s="1"/>
  <c r="LU19" i="2" s="1"/>
  <c r="LV19" i="2" s="1"/>
  <c r="LW19" i="2" s="1"/>
  <c r="LX19" i="2" s="1"/>
  <c r="LY19" i="2" s="1"/>
  <c r="LZ19" i="2" s="1"/>
  <c r="MA19" i="2" s="1"/>
  <c r="MB19" i="2" s="1"/>
  <c r="MC19" i="2" s="1"/>
  <c r="MD19" i="2" s="1"/>
  <c r="ME19" i="2" s="1"/>
  <c r="MF19" i="2" s="1"/>
  <c r="MG19" i="2" s="1"/>
  <c r="MH19" i="2" s="1"/>
  <c r="MI19" i="2" s="1"/>
  <c r="MJ19" i="2" s="1"/>
  <c r="MK19" i="2" s="1"/>
  <c r="ML19" i="2" s="1"/>
  <c r="MM19" i="2" s="1"/>
  <c r="MN19" i="2" s="1"/>
  <c r="MO19" i="2" s="1"/>
  <c r="MP19" i="2" s="1"/>
  <c r="MQ19" i="2" s="1"/>
  <c r="MR19" i="2" s="1"/>
  <c r="MS19" i="2" s="1"/>
  <c r="MT19" i="2" s="1"/>
  <c r="MU19" i="2" s="1"/>
  <c r="MV19" i="2" s="1"/>
  <c r="MW19" i="2" s="1"/>
  <c r="MX19" i="2" s="1"/>
  <c r="MY19" i="2" s="1"/>
  <c r="MZ19" i="2" s="1"/>
  <c r="NA19" i="2" s="1"/>
  <c r="NB19" i="2" s="1"/>
  <c r="NC19" i="2" s="1"/>
  <c r="ND19" i="2" s="1"/>
  <c r="NE19" i="2" s="1"/>
  <c r="NF19" i="2" s="1"/>
  <c r="NG19" i="2" s="1"/>
  <c r="NH19" i="2" s="1"/>
  <c r="NI19" i="2" s="1"/>
  <c r="NJ19" i="2" s="1"/>
  <c r="NK19" i="2" s="1"/>
  <c r="NL19" i="2" s="1"/>
  <c r="NM19" i="2" s="1"/>
  <c r="NN19" i="2" s="1"/>
  <c r="NO19" i="2" s="1"/>
  <c r="NP19" i="2" s="1"/>
  <c r="NQ19" i="2" s="1"/>
  <c r="NR19" i="2" s="1"/>
  <c r="NS19" i="2" s="1"/>
  <c r="NT19" i="2" s="1"/>
  <c r="NU19" i="2" s="1"/>
  <c r="NV19" i="2" s="1"/>
  <c r="NW19" i="2" s="1"/>
  <c r="NX19" i="2" s="1"/>
  <c r="NY19" i="2" s="1"/>
  <c r="NZ19" i="2" s="1"/>
  <c r="OA19" i="2" s="1"/>
  <c r="OB19" i="2" s="1"/>
  <c r="OC19" i="2" s="1"/>
  <c r="OD19" i="2" s="1"/>
  <c r="OE19" i="2" s="1"/>
  <c r="OF19" i="2" s="1"/>
  <c r="OG19" i="2" s="1"/>
  <c r="OH19" i="2" s="1"/>
  <c r="OI19" i="2" s="1"/>
  <c r="OJ19" i="2" s="1"/>
  <c r="OK19" i="2" s="1"/>
  <c r="OL19" i="2" s="1"/>
  <c r="OM19" i="2" s="1"/>
  <c r="ON19" i="2" s="1"/>
  <c r="OO19" i="2" s="1"/>
  <c r="OP19" i="2" s="1"/>
  <c r="OQ19" i="2" s="1"/>
  <c r="OR19" i="2" s="1"/>
  <c r="OS19" i="2" s="1"/>
  <c r="OT19" i="2" s="1"/>
  <c r="OU19" i="2" s="1"/>
  <c r="OV19" i="2" s="1"/>
  <c r="OW19" i="2" s="1"/>
  <c r="OX19" i="2" s="1"/>
  <c r="OY19" i="2" s="1"/>
  <c r="OZ19" i="2" s="1"/>
  <c r="PA19" i="2" s="1"/>
  <c r="PB19" i="2" s="1"/>
  <c r="PC19" i="2" s="1"/>
  <c r="PD19" i="2" s="1"/>
  <c r="PE19" i="2" s="1"/>
  <c r="PF19" i="2" s="1"/>
  <c r="PG19" i="2" s="1"/>
  <c r="PH19" i="2" s="1"/>
  <c r="PI19" i="2" s="1"/>
  <c r="PJ19" i="2" s="1"/>
  <c r="PK19" i="2" s="1"/>
  <c r="PL19" i="2" s="1"/>
  <c r="PM19" i="2" s="1"/>
  <c r="PN19" i="2" s="1"/>
  <c r="PO19" i="2" s="1"/>
  <c r="PP19" i="2" s="1"/>
  <c r="PQ19" i="2" s="1"/>
  <c r="PR19" i="2" s="1"/>
  <c r="PS19" i="2" s="1"/>
  <c r="PT19" i="2" s="1"/>
  <c r="PU19" i="2" s="1"/>
  <c r="PV19" i="2" s="1"/>
  <c r="PW19" i="2" s="1"/>
  <c r="PX19" i="2" s="1"/>
  <c r="PY19" i="2" s="1"/>
  <c r="PZ19" i="2" s="1"/>
  <c r="QA19" i="2" s="1"/>
  <c r="QB19" i="2" s="1"/>
  <c r="QC19" i="2" s="1"/>
  <c r="QD19" i="2" s="1"/>
  <c r="QE19" i="2" s="1"/>
  <c r="QF19" i="2" s="1"/>
  <c r="QG19" i="2" s="1"/>
  <c r="QH19" i="2" s="1"/>
  <c r="QI19" i="2" s="1"/>
  <c r="QJ19" i="2" s="1"/>
  <c r="QK19" i="2" s="1"/>
  <c r="QL19" i="2" s="1"/>
  <c r="QM19" i="2" s="1"/>
  <c r="QN19" i="2" s="1"/>
  <c r="QO19" i="2" s="1"/>
  <c r="QP19" i="2" s="1"/>
  <c r="QQ19" i="2" s="1"/>
  <c r="QR19" i="2" s="1"/>
  <c r="QS19" i="2" s="1"/>
  <c r="QT19" i="2" s="1"/>
  <c r="QU19" i="2" s="1"/>
  <c r="QV19" i="2" s="1"/>
  <c r="QW19" i="2" s="1"/>
  <c r="QX19" i="2" s="1"/>
  <c r="QY19" i="2" s="1"/>
  <c r="QZ19" i="2" s="1"/>
  <c r="RA19" i="2" s="1"/>
  <c r="RB19" i="2" s="1"/>
  <c r="RC19" i="2" s="1"/>
  <c r="RD19" i="2" s="1"/>
  <c r="RE19" i="2" s="1"/>
  <c r="RF19" i="2" s="1"/>
  <c r="RG19" i="2" s="1"/>
  <c r="RH19" i="2" s="1"/>
  <c r="RI19" i="2" s="1"/>
  <c r="RJ19" i="2" s="1"/>
  <c r="RK19" i="2" s="1"/>
  <c r="RL19" i="2" s="1"/>
  <c r="RM19" i="2" s="1"/>
  <c r="RN19" i="2" s="1"/>
  <c r="RO19" i="2" s="1"/>
  <c r="RP19" i="2" s="1"/>
  <c r="RQ19" i="2" s="1"/>
  <c r="RR19" i="2" s="1"/>
  <c r="RS19" i="2" s="1"/>
  <c r="RT19" i="2" s="1"/>
  <c r="RU19" i="2" s="1"/>
  <c r="RV19" i="2" s="1"/>
  <c r="RW19" i="2" s="1"/>
  <c r="RX19" i="2" s="1"/>
  <c r="RY19" i="2" s="1"/>
  <c r="RZ19" i="2" s="1"/>
  <c r="SA19" i="2" s="1"/>
  <c r="SB19" i="2" s="1"/>
  <c r="SC19" i="2" s="1"/>
  <c r="SD19" i="2" s="1"/>
  <c r="SE19" i="2" s="1"/>
  <c r="SF19" i="2" s="1"/>
  <c r="SG19" i="2" s="1"/>
  <c r="SH19" i="2" s="1"/>
  <c r="SI19" i="2" s="1"/>
  <c r="SJ19" i="2" s="1"/>
  <c r="SK19" i="2" s="1"/>
  <c r="SL19" i="2" s="1"/>
  <c r="SM19" i="2" s="1"/>
  <c r="SN19" i="2" s="1"/>
  <c r="SO19" i="2" s="1"/>
  <c r="SP19" i="2" s="1"/>
  <c r="SQ19" i="2" s="1"/>
  <c r="SR19" i="2" s="1"/>
  <c r="SS19" i="2" s="1"/>
  <c r="ST19" i="2" s="1"/>
  <c r="SU19" i="2" s="1"/>
  <c r="SV19" i="2" s="1"/>
  <c r="SW19" i="2" s="1"/>
  <c r="SX19" i="2" s="1"/>
  <c r="SY19" i="2" s="1"/>
  <c r="SZ19" i="2" s="1"/>
  <c r="TA19" i="2" s="1"/>
  <c r="TB19" i="2" s="1"/>
  <c r="TC19" i="2" s="1"/>
  <c r="TD19" i="2" s="1"/>
  <c r="TE19" i="2" s="1"/>
  <c r="TF19" i="2" s="1"/>
  <c r="TG19" i="2" s="1"/>
  <c r="TH19" i="2" s="1"/>
  <c r="TI19" i="2" s="1"/>
  <c r="TJ19" i="2" s="1"/>
  <c r="TK19" i="2" s="1"/>
  <c r="TL19" i="2" s="1"/>
  <c r="TM19" i="2" s="1"/>
  <c r="TN19" i="2" s="1"/>
  <c r="TO19" i="2" s="1"/>
  <c r="TP19" i="2" s="1"/>
  <c r="TQ19" i="2" s="1"/>
  <c r="TR19" i="2" s="1"/>
  <c r="TS19" i="2" s="1"/>
  <c r="TT19" i="2" s="1"/>
  <c r="TU19" i="2" s="1"/>
  <c r="TV19" i="2" s="1"/>
  <c r="TW19" i="2" s="1"/>
  <c r="TX19" i="2" s="1"/>
  <c r="TY19" i="2" s="1"/>
  <c r="TZ19" i="2" s="1"/>
  <c r="UA19" i="2" s="1"/>
  <c r="UB19" i="2" s="1"/>
  <c r="UC19" i="2" s="1"/>
  <c r="UD19" i="2" s="1"/>
  <c r="UE19" i="2" s="1"/>
  <c r="UF19" i="2" s="1"/>
  <c r="UG19" i="2" s="1"/>
  <c r="UH19" i="2" s="1"/>
  <c r="UI19" i="2" s="1"/>
  <c r="UJ19" i="2" s="1"/>
  <c r="UK19" i="2" s="1"/>
  <c r="UL19" i="2" s="1"/>
  <c r="UM19" i="2" s="1"/>
  <c r="UN19" i="2" s="1"/>
  <c r="UO19" i="2" s="1"/>
  <c r="UP19" i="2" s="1"/>
  <c r="UQ19" i="2" s="1"/>
  <c r="UR19" i="2" s="1"/>
  <c r="US19" i="2" s="1"/>
  <c r="UT19" i="2" s="1"/>
  <c r="UU19" i="2" s="1"/>
  <c r="UV19" i="2" s="1"/>
  <c r="UW19" i="2" s="1"/>
  <c r="UX19" i="2" s="1"/>
  <c r="UY19" i="2" s="1"/>
  <c r="UZ19" i="2" s="1"/>
  <c r="VA19" i="2" s="1"/>
  <c r="VB19" i="2" s="1"/>
  <c r="VC19" i="2" s="1"/>
  <c r="VD19" i="2" s="1"/>
  <c r="VE19" i="2" s="1"/>
  <c r="VF19" i="2" s="1"/>
  <c r="VG19" i="2" s="1"/>
  <c r="VH19" i="2" s="1"/>
  <c r="VI19" i="2" s="1"/>
  <c r="VJ19" i="2" s="1"/>
  <c r="VK19" i="2" s="1"/>
  <c r="VL19" i="2" s="1"/>
  <c r="VM19" i="2" s="1"/>
  <c r="VN19" i="2" s="1"/>
  <c r="VO19" i="2" s="1"/>
  <c r="VP19" i="2" s="1"/>
  <c r="VQ19" i="2" s="1"/>
  <c r="VR19" i="2" s="1"/>
  <c r="VS19" i="2" s="1"/>
  <c r="VT19" i="2" s="1"/>
  <c r="VU19" i="2" s="1"/>
  <c r="VV19" i="2" s="1"/>
  <c r="VW19" i="2" s="1"/>
  <c r="VX19" i="2" s="1"/>
  <c r="VY19" i="2" s="1"/>
  <c r="VZ19" i="2" s="1"/>
  <c r="WA19" i="2" s="1"/>
  <c r="WB19" i="2" s="1"/>
  <c r="WC19" i="2" s="1"/>
  <c r="WD19" i="2" s="1"/>
  <c r="WE19" i="2" s="1"/>
  <c r="WF19" i="2" s="1"/>
  <c r="WG19" i="2" s="1"/>
  <c r="WH19" i="2" s="1"/>
  <c r="WI19" i="2" s="1"/>
  <c r="WJ19" i="2" s="1"/>
  <c r="WK19" i="2" s="1"/>
  <c r="WL19" i="2" s="1"/>
  <c r="WM19" i="2" s="1"/>
  <c r="WN19" i="2" s="1"/>
  <c r="WO19" i="2" s="1"/>
  <c r="WP19" i="2" s="1"/>
  <c r="WQ19" i="2" s="1"/>
  <c r="WR19" i="2" s="1"/>
  <c r="WS19" i="2" s="1"/>
  <c r="WT19" i="2" s="1"/>
  <c r="WU19" i="2" s="1"/>
  <c r="WV19" i="2" s="1"/>
  <c r="WW19" i="2" s="1"/>
  <c r="WX19" i="2" s="1"/>
  <c r="WY19" i="2" s="1"/>
  <c r="WZ19" i="2" s="1"/>
  <c r="XA19" i="2" s="1"/>
  <c r="XB19" i="2" s="1"/>
  <c r="XC19" i="2" s="1"/>
  <c r="XD19" i="2" s="1"/>
  <c r="XE19" i="2" s="1"/>
  <c r="XF19" i="2" s="1"/>
  <c r="XG19" i="2" s="1"/>
  <c r="XH19" i="2" s="1"/>
  <c r="XI19" i="2" s="1"/>
  <c r="XJ19" i="2" s="1"/>
  <c r="XK19" i="2" s="1"/>
  <c r="XL19" i="2" s="1"/>
  <c r="XM19" i="2" s="1"/>
  <c r="XN19" i="2" s="1"/>
  <c r="XO19" i="2" s="1"/>
  <c r="XP19" i="2" s="1"/>
  <c r="XQ19" i="2" s="1"/>
  <c r="XR19" i="2" s="1"/>
  <c r="XS19" i="2" s="1"/>
  <c r="XT19" i="2" s="1"/>
  <c r="XU19" i="2" s="1"/>
  <c r="XV19" i="2" s="1"/>
  <c r="XW19" i="2" s="1"/>
  <c r="XX19" i="2" s="1"/>
  <c r="XY19" i="2" s="1"/>
  <c r="XZ19" i="2" s="1"/>
  <c r="YA19" i="2" s="1"/>
  <c r="YB19" i="2" s="1"/>
  <c r="YC19" i="2" s="1"/>
  <c r="YD19" i="2" s="1"/>
  <c r="YE19" i="2" s="1"/>
  <c r="YF19" i="2" s="1"/>
  <c r="YG19" i="2" s="1"/>
  <c r="YH19" i="2" s="1"/>
  <c r="YI19" i="2" s="1"/>
  <c r="YJ19" i="2" s="1"/>
  <c r="YK19" i="2" s="1"/>
  <c r="YL19" i="2" s="1"/>
  <c r="YM19" i="2" s="1"/>
  <c r="YN19" i="2" s="1"/>
  <c r="YO19" i="2" s="1"/>
  <c r="YP19" i="2" s="1"/>
  <c r="BT19" i="2"/>
  <c r="AW30" i="2"/>
  <c r="AT30" i="2"/>
  <c r="AU30" i="2" s="1"/>
  <c r="AV30" i="2" s="1"/>
  <c r="AX30" i="2" s="1"/>
  <c r="AY30" i="2" s="1"/>
  <c r="AZ30" i="2" s="1"/>
  <c r="BA30" i="2" s="1"/>
  <c r="BB30" i="2" s="1"/>
  <c r="BC30" i="2" s="1"/>
  <c r="BD30" i="2" s="1"/>
  <c r="BE30" i="2" s="1"/>
  <c r="BF30" i="2" s="1"/>
  <c r="BG30" i="2" s="1"/>
  <c r="BH30" i="2" s="1"/>
  <c r="BI30" i="2" s="1"/>
  <c r="BJ30" i="2" s="1"/>
  <c r="BK30" i="2" s="1"/>
  <c r="BL30" i="2" s="1"/>
  <c r="BM30" i="2" s="1"/>
  <c r="BN30" i="2" s="1"/>
  <c r="BO30" i="2" s="1"/>
  <c r="BP30" i="2" s="1"/>
  <c r="BQ30" i="2" s="1"/>
  <c r="BR30" i="2" s="1"/>
  <c r="BS30" i="2" s="1"/>
  <c r="AS30" i="2"/>
  <c r="AR30" i="2"/>
  <c r="AP30" i="2"/>
  <c r="AP19" i="2"/>
  <c r="AO30" i="2"/>
  <c r="AO19" i="2"/>
  <c r="AO37" i="2"/>
  <c r="AN37" i="2"/>
  <c r="BJ6" i="2"/>
  <c r="BK6" i="2"/>
  <c r="BL6" i="2"/>
  <c r="BM6" i="2" s="1"/>
  <c r="BN6" i="2" s="1"/>
  <c r="BO6" i="2" s="1"/>
  <c r="BP6" i="2" s="1"/>
  <c r="BQ6" i="2" s="1"/>
  <c r="BR6" i="2" s="1"/>
  <c r="BS6" i="2" s="1"/>
  <c r="BA6" i="2"/>
  <c r="BB6" i="2" s="1"/>
  <c r="BC6" i="2" s="1"/>
  <c r="BD6" i="2" s="1"/>
  <c r="BE6" i="2" s="1"/>
  <c r="BF6" i="2" s="1"/>
  <c r="BG6" i="2" s="1"/>
  <c r="BH6" i="2" s="1"/>
  <c r="BI6" i="2" s="1"/>
  <c r="AZ6" i="2"/>
  <c r="AY6" i="2"/>
  <c r="AX6" i="2"/>
  <c r="AW6" i="2"/>
  <c r="AV6" i="2"/>
  <c r="AU6" i="2"/>
  <c r="AT6" i="2"/>
  <c r="AS6" i="2"/>
  <c r="AR6" i="2"/>
  <c r="AS3" i="2"/>
  <c r="AT3" i="2" s="1"/>
  <c r="AU3" i="2" s="1"/>
  <c r="AV3" i="2" s="1"/>
  <c r="AW3" i="2" s="1"/>
  <c r="AX3" i="2" s="1"/>
  <c r="AY3" i="2" s="1"/>
  <c r="AR3" i="2"/>
  <c r="AQ36" i="2"/>
  <c r="AP36" i="2"/>
  <c r="AO36" i="2"/>
  <c r="AO3" i="2"/>
  <c r="AO33" i="2" s="1"/>
  <c r="AP3" i="2"/>
  <c r="AQ3" i="2"/>
  <c r="AQ6" i="2"/>
  <c r="AQ9" i="2"/>
  <c r="AP9" i="2"/>
  <c r="AP6" i="2"/>
  <c r="AP10" i="2" s="1"/>
  <c r="AQ13" i="2"/>
  <c r="AP13" i="2"/>
  <c r="AM37" i="2"/>
  <c r="AL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T37" i="2"/>
  <c r="AD3" i="2"/>
  <c r="AC3" i="2"/>
  <c r="AN36" i="2"/>
  <c r="AM36" i="2"/>
  <c r="AL36" i="2"/>
  <c r="AN35" i="2"/>
  <c r="AM35" i="2"/>
  <c r="AL35" i="2"/>
  <c r="AN34" i="2"/>
  <c r="AM34" i="2"/>
  <c r="AL34" i="2"/>
  <c r="AM33" i="2"/>
  <c r="AL33" i="2"/>
  <c r="AN33" i="2"/>
  <c r="AO35" i="2"/>
  <c r="AO34" i="2"/>
  <c r="AN31" i="2"/>
  <c r="AM31" i="2"/>
  <c r="AL31" i="2"/>
  <c r="AK31" i="2"/>
  <c r="AN30" i="2"/>
  <c r="AM30" i="2"/>
  <c r="AL30" i="2"/>
  <c r="AK30" i="2"/>
  <c r="AN29" i="2"/>
  <c r="AM29" i="2"/>
  <c r="AL29" i="2"/>
  <c r="AK29" i="2"/>
  <c r="AN28" i="2"/>
  <c r="AM28" i="2"/>
  <c r="AL28" i="2"/>
  <c r="AK28" i="2"/>
  <c r="AN27" i="2"/>
  <c r="AM27" i="2"/>
  <c r="AL27" i="2"/>
  <c r="AK27" i="2"/>
  <c r="AN26" i="2"/>
  <c r="AM26" i="2"/>
  <c r="AL26" i="2"/>
  <c r="AK26" i="2"/>
  <c r="AK20" i="2"/>
  <c r="AL20" i="2"/>
  <c r="AM20" i="2"/>
  <c r="AN20" i="2"/>
  <c r="AN18" i="2"/>
  <c r="AM18" i="2"/>
  <c r="AL18" i="2"/>
  <c r="AK18" i="2"/>
  <c r="AN16" i="2"/>
  <c r="AM16" i="2"/>
  <c r="AL16" i="2"/>
  <c r="AK16" i="2"/>
  <c r="AN15" i="2"/>
  <c r="AM15" i="2"/>
  <c r="AL15" i="2"/>
  <c r="AK15" i="2"/>
  <c r="AN12" i="2"/>
  <c r="AM12" i="2"/>
  <c r="AL12" i="2"/>
  <c r="AK12" i="2"/>
  <c r="AN11" i="2"/>
  <c r="AM11" i="2"/>
  <c r="AL11" i="2"/>
  <c r="AK11" i="2"/>
  <c r="AN8" i="2"/>
  <c r="AN9" i="2" s="1"/>
  <c r="AM8" i="2"/>
  <c r="AL8" i="2"/>
  <c r="AK8" i="2"/>
  <c r="AN7" i="2"/>
  <c r="AM7" i="2"/>
  <c r="AL7" i="2"/>
  <c r="AK7" i="2"/>
  <c r="AN5" i="2"/>
  <c r="AM5" i="2"/>
  <c r="AL5" i="2"/>
  <c r="AK5" i="2"/>
  <c r="AN4" i="2"/>
  <c r="AM4" i="2"/>
  <c r="AL4" i="2"/>
  <c r="AK4" i="2"/>
  <c r="AN3" i="2"/>
  <c r="AM3" i="2"/>
  <c r="AL3" i="2"/>
  <c r="AL6" i="2" s="1"/>
  <c r="AK3" i="2"/>
  <c r="AK6" i="2" s="1"/>
  <c r="AN6" i="2"/>
  <c r="AO13" i="2"/>
  <c r="AO9" i="2"/>
  <c r="AN13" i="2"/>
  <c r="AM13" i="2"/>
  <c r="AL13" i="2"/>
  <c r="AK13" i="2"/>
  <c r="AM9" i="2"/>
  <c r="AL9" i="2"/>
  <c r="AK9" i="2"/>
  <c r="K83" i="2"/>
  <c r="C79" i="2"/>
  <c r="C76" i="2"/>
  <c r="G79" i="2"/>
  <c r="G76" i="2"/>
  <c r="C71" i="2"/>
  <c r="G71" i="2"/>
  <c r="C69" i="2"/>
  <c r="C68" i="2"/>
  <c r="G69" i="2"/>
  <c r="G68" i="2"/>
  <c r="C15" i="2"/>
  <c r="G15" i="2"/>
  <c r="D16" i="2"/>
  <c r="D15" i="2"/>
  <c r="H15" i="2"/>
  <c r="E15" i="2"/>
  <c r="E9" i="2"/>
  <c r="I15" i="2"/>
  <c r="AL87" i="2"/>
  <c r="AK87" i="2"/>
  <c r="AK79" i="2"/>
  <c r="AK76" i="2"/>
  <c r="AL79" i="2"/>
  <c r="AL76" i="2"/>
  <c r="AP37" i="2" l="1"/>
  <c r="AQ30" i="2"/>
  <c r="AQ10" i="2"/>
  <c r="AO6" i="2"/>
  <c r="AP14" i="2"/>
  <c r="AP17" i="2" s="1"/>
  <c r="AQ14" i="2"/>
  <c r="AQ17" i="2" s="1"/>
  <c r="AN10" i="2"/>
  <c r="AM6" i="2"/>
  <c r="AM10" i="2" s="1"/>
  <c r="AM14" i="2" s="1"/>
  <c r="AM17" i="2" s="1"/>
  <c r="AM19" i="2" s="1"/>
  <c r="AM21" i="2" s="1"/>
  <c r="AL10" i="2"/>
  <c r="AL14" i="2" s="1"/>
  <c r="AL17" i="2" s="1"/>
  <c r="AL19" i="2" s="1"/>
  <c r="AL21" i="2" s="1"/>
  <c r="AK10" i="2"/>
  <c r="AK14" i="2" s="1"/>
  <c r="AK17" i="2" s="1"/>
  <c r="AK19" i="2" s="1"/>
  <c r="AK21" i="2" s="1"/>
  <c r="AN14" i="2"/>
  <c r="AN17" i="2" s="1"/>
  <c r="AN19" i="2" s="1"/>
  <c r="AN21" i="2" s="1"/>
  <c r="AL71" i="2"/>
  <c r="AL75" i="2" s="1"/>
  <c r="AK71" i="2"/>
  <c r="AK75" i="2" s="1"/>
  <c r="AK69" i="2"/>
  <c r="AL69" i="2"/>
  <c r="AK68" i="2"/>
  <c r="AL68" i="2"/>
  <c r="AL80" i="2"/>
  <c r="AK80" i="2"/>
  <c r="F57" i="2"/>
  <c r="F54" i="2"/>
  <c r="J57" i="2"/>
  <c r="J54" i="2"/>
  <c r="F48" i="2"/>
  <c r="F46" i="2"/>
  <c r="F43" i="2"/>
  <c r="F42" i="2"/>
  <c r="J43" i="2"/>
  <c r="J48" i="2"/>
  <c r="J46" i="2"/>
  <c r="J42" i="2"/>
  <c r="F16" i="2"/>
  <c r="F15" i="2"/>
  <c r="J15" i="2"/>
  <c r="N202" i="2"/>
  <c r="M202" i="2"/>
  <c r="L202" i="2"/>
  <c r="K202" i="2"/>
  <c r="J202" i="2"/>
  <c r="I202" i="2"/>
  <c r="H202" i="2"/>
  <c r="G202" i="2"/>
  <c r="N201" i="2"/>
  <c r="M201" i="2"/>
  <c r="L201" i="2"/>
  <c r="K201" i="2"/>
  <c r="J201" i="2"/>
  <c r="I201" i="2"/>
  <c r="H201" i="2"/>
  <c r="G201" i="2"/>
  <c r="N200" i="2"/>
  <c r="M200" i="2"/>
  <c r="L200" i="2"/>
  <c r="K200" i="2"/>
  <c r="J200" i="2"/>
  <c r="I200" i="2"/>
  <c r="H200" i="2"/>
  <c r="G200" i="2"/>
  <c r="N199" i="2"/>
  <c r="M199" i="2"/>
  <c r="L199" i="2"/>
  <c r="K199" i="2"/>
  <c r="J199" i="2"/>
  <c r="I199" i="2"/>
  <c r="H199" i="2"/>
  <c r="G199" i="2"/>
  <c r="N198" i="2"/>
  <c r="K198" i="2"/>
  <c r="J198" i="2"/>
  <c r="I198" i="2"/>
  <c r="H198" i="2"/>
  <c r="G198" i="2"/>
  <c r="O198" i="2"/>
  <c r="N186" i="2"/>
  <c r="M186" i="2"/>
  <c r="L186" i="2"/>
  <c r="K186" i="2"/>
  <c r="J186" i="2"/>
  <c r="I186" i="2"/>
  <c r="H186" i="2"/>
  <c r="G186" i="2"/>
  <c r="N185" i="2"/>
  <c r="M185" i="2"/>
  <c r="L185" i="2"/>
  <c r="K185" i="2"/>
  <c r="J185" i="2"/>
  <c r="I185" i="2"/>
  <c r="H185" i="2"/>
  <c r="G185" i="2"/>
  <c r="K163" i="2"/>
  <c r="J163" i="2"/>
  <c r="I163" i="2"/>
  <c r="H163" i="2"/>
  <c r="G163" i="2"/>
  <c r="F163" i="2"/>
  <c r="E163" i="2"/>
  <c r="D163" i="2"/>
  <c r="K162" i="2"/>
  <c r="J162" i="2"/>
  <c r="I162" i="2"/>
  <c r="H162" i="2"/>
  <c r="G162" i="2"/>
  <c r="F162" i="2"/>
  <c r="E162" i="2"/>
  <c r="D162" i="2"/>
  <c r="K160" i="2"/>
  <c r="J160" i="2"/>
  <c r="I160" i="2"/>
  <c r="H160" i="2"/>
  <c r="G160" i="2"/>
  <c r="F160" i="2"/>
  <c r="E160" i="2"/>
  <c r="D160" i="2"/>
  <c r="K159" i="2"/>
  <c r="J159" i="2"/>
  <c r="I159" i="2"/>
  <c r="H159" i="2"/>
  <c r="G159" i="2"/>
  <c r="F159" i="2"/>
  <c r="E159" i="2"/>
  <c r="D159" i="2"/>
  <c r="K157" i="2"/>
  <c r="J157" i="2"/>
  <c r="I157" i="2"/>
  <c r="H157" i="2"/>
  <c r="G157" i="2"/>
  <c r="F157" i="2"/>
  <c r="E157" i="2"/>
  <c r="D157" i="2"/>
  <c r="K156" i="2"/>
  <c r="J156" i="2"/>
  <c r="I156" i="2"/>
  <c r="H156" i="2"/>
  <c r="G156" i="2"/>
  <c r="F156" i="2"/>
  <c r="E156" i="2"/>
  <c r="D156" i="2"/>
  <c r="K154" i="2"/>
  <c r="J154" i="2"/>
  <c r="I154" i="2"/>
  <c r="H154" i="2"/>
  <c r="G154" i="2"/>
  <c r="F154" i="2"/>
  <c r="E154" i="2"/>
  <c r="D154" i="2"/>
  <c r="K153" i="2"/>
  <c r="J153" i="2"/>
  <c r="I153" i="2"/>
  <c r="H153" i="2"/>
  <c r="G153" i="2"/>
  <c r="F153" i="2"/>
  <c r="E153" i="2"/>
  <c r="D153" i="2"/>
  <c r="N149" i="2"/>
  <c r="M149" i="2"/>
  <c r="L149" i="2"/>
  <c r="K149" i="2"/>
  <c r="J149" i="2"/>
  <c r="I149" i="2"/>
  <c r="H149" i="2"/>
  <c r="G149" i="2"/>
  <c r="N148" i="2"/>
  <c r="M148" i="2"/>
  <c r="L148" i="2"/>
  <c r="K148" i="2"/>
  <c r="J148" i="2"/>
  <c r="I148" i="2"/>
  <c r="H148" i="2"/>
  <c r="G148" i="2"/>
  <c r="N146" i="2"/>
  <c r="M146" i="2"/>
  <c r="L146" i="2"/>
  <c r="K146" i="2"/>
  <c r="J146" i="2"/>
  <c r="I146" i="2"/>
  <c r="H146" i="2"/>
  <c r="G146" i="2"/>
  <c r="N145" i="2"/>
  <c r="M145" i="2"/>
  <c r="L145" i="2"/>
  <c r="K145" i="2"/>
  <c r="J145" i="2"/>
  <c r="I145" i="2"/>
  <c r="H145" i="2"/>
  <c r="G145" i="2"/>
  <c r="N143" i="2"/>
  <c r="M143" i="2"/>
  <c r="L143" i="2"/>
  <c r="K143" i="2"/>
  <c r="J143" i="2"/>
  <c r="I143" i="2"/>
  <c r="H143" i="2"/>
  <c r="G143" i="2"/>
  <c r="N142" i="2"/>
  <c r="M142" i="2"/>
  <c r="L142" i="2"/>
  <c r="K142" i="2"/>
  <c r="J142" i="2"/>
  <c r="I142" i="2"/>
  <c r="H142" i="2"/>
  <c r="G142" i="2"/>
  <c r="N140" i="2"/>
  <c r="M140" i="2"/>
  <c r="L140" i="2"/>
  <c r="K140" i="2"/>
  <c r="J140" i="2"/>
  <c r="I140" i="2"/>
  <c r="H140" i="2"/>
  <c r="G140" i="2"/>
  <c r="N139" i="2"/>
  <c r="M139" i="2"/>
  <c r="L139" i="2"/>
  <c r="K139" i="2"/>
  <c r="J139" i="2"/>
  <c r="I139" i="2"/>
  <c r="H139" i="2"/>
  <c r="G139" i="2"/>
  <c r="N119" i="2"/>
  <c r="M119" i="2"/>
  <c r="L119" i="2"/>
  <c r="K119" i="2"/>
  <c r="J119" i="2"/>
  <c r="I119" i="2"/>
  <c r="H119" i="2"/>
  <c r="G119" i="2"/>
  <c r="N118" i="2"/>
  <c r="M118" i="2"/>
  <c r="L118" i="2"/>
  <c r="K118" i="2"/>
  <c r="J118" i="2"/>
  <c r="I118" i="2"/>
  <c r="H118" i="2"/>
  <c r="G118" i="2"/>
  <c r="N116" i="2"/>
  <c r="M116" i="2"/>
  <c r="L116" i="2"/>
  <c r="K116" i="2"/>
  <c r="J116" i="2"/>
  <c r="I116" i="2"/>
  <c r="H116" i="2"/>
  <c r="G116" i="2"/>
  <c r="N115" i="2"/>
  <c r="M115" i="2"/>
  <c r="L115" i="2"/>
  <c r="K115" i="2"/>
  <c r="J115" i="2"/>
  <c r="I115" i="2"/>
  <c r="H115" i="2"/>
  <c r="G115" i="2"/>
  <c r="N35" i="2"/>
  <c r="M35" i="2"/>
  <c r="L35" i="2"/>
  <c r="K35" i="2"/>
  <c r="J35" i="2"/>
  <c r="I35" i="2"/>
  <c r="H35" i="2"/>
  <c r="G35" i="2"/>
  <c r="N34" i="2"/>
  <c r="M34" i="2"/>
  <c r="L34" i="2"/>
  <c r="K34" i="2"/>
  <c r="J34" i="2"/>
  <c r="I34" i="2"/>
  <c r="H34" i="2"/>
  <c r="G34" i="2"/>
  <c r="N33" i="2"/>
  <c r="M33" i="2"/>
  <c r="L33" i="2"/>
  <c r="K33" i="2"/>
  <c r="J33" i="2"/>
  <c r="I33" i="2"/>
  <c r="H33" i="2"/>
  <c r="G33" i="2"/>
  <c r="J132" i="2"/>
  <c r="I132" i="2"/>
  <c r="H132" i="2"/>
  <c r="G132" i="2"/>
  <c r="F132" i="2"/>
  <c r="E132" i="2"/>
  <c r="D132" i="2"/>
  <c r="C132" i="2"/>
  <c r="J129" i="2"/>
  <c r="I129" i="2"/>
  <c r="H129" i="2"/>
  <c r="G129" i="2"/>
  <c r="F129" i="2"/>
  <c r="E129" i="2"/>
  <c r="D129" i="2"/>
  <c r="C129" i="2"/>
  <c r="J126" i="2"/>
  <c r="I126" i="2"/>
  <c r="H126" i="2"/>
  <c r="G126" i="2"/>
  <c r="F126" i="2"/>
  <c r="E126" i="2"/>
  <c r="D126" i="2"/>
  <c r="C126" i="2"/>
  <c r="J110" i="2"/>
  <c r="I110" i="2"/>
  <c r="H110" i="2"/>
  <c r="G110" i="2"/>
  <c r="F110" i="2"/>
  <c r="E110" i="2"/>
  <c r="D110" i="2"/>
  <c r="C110" i="2"/>
  <c r="J109" i="2"/>
  <c r="I109" i="2"/>
  <c r="H109" i="2"/>
  <c r="G109" i="2"/>
  <c r="F109" i="2"/>
  <c r="E109" i="2"/>
  <c r="D109" i="2"/>
  <c r="C109" i="2"/>
  <c r="J106" i="2"/>
  <c r="I106" i="2"/>
  <c r="H106" i="2"/>
  <c r="G106" i="2"/>
  <c r="F106" i="2"/>
  <c r="E106" i="2"/>
  <c r="D106" i="2"/>
  <c r="C106" i="2"/>
  <c r="J99" i="2"/>
  <c r="I99" i="2"/>
  <c r="H99" i="2"/>
  <c r="G99" i="2"/>
  <c r="F99" i="2"/>
  <c r="E99" i="2"/>
  <c r="D99" i="2"/>
  <c r="C99" i="2"/>
  <c r="J87" i="2"/>
  <c r="I87" i="2"/>
  <c r="H87" i="2"/>
  <c r="G87" i="2"/>
  <c r="F87" i="2"/>
  <c r="E87" i="2"/>
  <c r="D87" i="2"/>
  <c r="C87" i="2"/>
  <c r="J80" i="2"/>
  <c r="I80" i="2"/>
  <c r="H80" i="2"/>
  <c r="G80" i="2"/>
  <c r="F80" i="2"/>
  <c r="E80" i="2"/>
  <c r="D80" i="2"/>
  <c r="C80" i="2"/>
  <c r="J75" i="2"/>
  <c r="I75" i="2"/>
  <c r="H75" i="2"/>
  <c r="G75" i="2"/>
  <c r="F75" i="2"/>
  <c r="E75" i="2"/>
  <c r="D75" i="2"/>
  <c r="C75" i="2"/>
  <c r="J70" i="2"/>
  <c r="J86" i="2" s="1"/>
  <c r="I70" i="2"/>
  <c r="I86" i="2" s="1"/>
  <c r="H70" i="2"/>
  <c r="G70" i="2"/>
  <c r="F70" i="2"/>
  <c r="F86" i="2" s="1"/>
  <c r="E70" i="2"/>
  <c r="E86" i="2" s="1"/>
  <c r="D70" i="2"/>
  <c r="D86" i="2" s="1"/>
  <c r="C70" i="2"/>
  <c r="C86" i="2" s="1"/>
  <c r="C88" i="2" s="1"/>
  <c r="I58" i="2"/>
  <c r="I60" i="2" s="1"/>
  <c r="H58" i="2"/>
  <c r="H60" i="2" s="1"/>
  <c r="G58" i="2"/>
  <c r="G60" i="2" s="1"/>
  <c r="E58" i="2"/>
  <c r="E60" i="2" s="1"/>
  <c r="D58" i="2"/>
  <c r="D60" i="2" s="1"/>
  <c r="C58" i="2"/>
  <c r="C60" i="2" s="1"/>
  <c r="I50" i="2"/>
  <c r="H50" i="2"/>
  <c r="G50" i="2"/>
  <c r="E50" i="2"/>
  <c r="D50" i="2"/>
  <c r="C50" i="2"/>
  <c r="I40" i="2"/>
  <c r="H40" i="2"/>
  <c r="G40" i="2"/>
  <c r="E40" i="2"/>
  <c r="D40" i="2"/>
  <c r="C40" i="2"/>
  <c r="J13" i="2"/>
  <c r="I13" i="2"/>
  <c r="H13" i="2"/>
  <c r="G13" i="2"/>
  <c r="F13" i="2"/>
  <c r="E13" i="2"/>
  <c r="D13" i="2"/>
  <c r="C13" i="2"/>
  <c r="J9" i="2"/>
  <c r="I9" i="2"/>
  <c r="H9" i="2"/>
  <c r="G9" i="2"/>
  <c r="F9" i="2"/>
  <c r="D9" i="2"/>
  <c r="C9" i="2"/>
  <c r="J6" i="2"/>
  <c r="I6" i="2"/>
  <c r="I31" i="2" s="1"/>
  <c r="H6" i="2"/>
  <c r="H31" i="2" s="1"/>
  <c r="G6" i="2"/>
  <c r="G31" i="2" s="1"/>
  <c r="F6" i="2"/>
  <c r="E6" i="2"/>
  <c r="E31" i="2" s="1"/>
  <c r="D6" i="2"/>
  <c r="D31" i="2" s="1"/>
  <c r="C6" i="2"/>
  <c r="C31" i="2" s="1"/>
  <c r="K15" i="2"/>
  <c r="K6" i="2"/>
  <c r="K9" i="2"/>
  <c r="K13" i="2"/>
  <c r="K40" i="2"/>
  <c r="K50" i="2"/>
  <c r="K58" i="2"/>
  <c r="K60" i="2" s="1"/>
  <c r="K70" i="2"/>
  <c r="K86" i="2" s="1"/>
  <c r="K75" i="2"/>
  <c r="K80" i="2"/>
  <c r="K87" i="2"/>
  <c r="M80" i="2"/>
  <c r="M75" i="2"/>
  <c r="L15" i="2"/>
  <c r="J9" i="1"/>
  <c r="Q70" i="2"/>
  <c r="Q86" i="2" s="1"/>
  <c r="N80" i="2"/>
  <c r="N75" i="2"/>
  <c r="N70" i="2"/>
  <c r="N86" i="2" s="1"/>
  <c r="N89" i="2" s="1"/>
  <c r="R80" i="2"/>
  <c r="R75" i="2"/>
  <c r="R70" i="2"/>
  <c r="R86" i="2" s="1"/>
  <c r="O50" i="2"/>
  <c r="O58" i="2"/>
  <c r="O60" i="2" s="1"/>
  <c r="N40" i="2"/>
  <c r="N50" i="2"/>
  <c r="N58" i="2"/>
  <c r="N60" i="2" s="1"/>
  <c r="M15" i="2"/>
  <c r="Q15" i="2"/>
  <c r="P58" i="2"/>
  <c r="P60" i="2" s="1"/>
  <c r="P50" i="2"/>
  <c r="P40" i="2"/>
  <c r="N106" i="2"/>
  <c r="AN87" i="2"/>
  <c r="AM87" i="2"/>
  <c r="AN80" i="2"/>
  <c r="AM80" i="2"/>
  <c r="AN75" i="2"/>
  <c r="AM75" i="2"/>
  <c r="AN70" i="2"/>
  <c r="AM70" i="2"/>
  <c r="N15" i="2"/>
  <c r="R15" i="2"/>
  <c r="R202" i="2"/>
  <c r="Q202" i="2"/>
  <c r="P202" i="2"/>
  <c r="O202" i="2"/>
  <c r="R201" i="2"/>
  <c r="Q201" i="2"/>
  <c r="P201" i="2"/>
  <c r="O201" i="2"/>
  <c r="R200" i="2"/>
  <c r="Q200" i="2"/>
  <c r="P200" i="2"/>
  <c r="O200" i="2"/>
  <c r="Q199" i="2"/>
  <c r="P199" i="2"/>
  <c r="O199" i="2"/>
  <c r="R199" i="2"/>
  <c r="T70" i="2"/>
  <c r="T86" i="2" s="1"/>
  <c r="T58" i="2"/>
  <c r="T60" i="2" s="1"/>
  <c r="T50" i="2"/>
  <c r="AD40" i="2"/>
  <c r="AC40" i="2"/>
  <c r="AB40" i="2"/>
  <c r="AA40" i="2"/>
  <c r="Z40" i="2"/>
  <c r="Y40" i="2"/>
  <c r="X40" i="2"/>
  <c r="W40" i="2"/>
  <c r="V40" i="2"/>
  <c r="U40" i="2"/>
  <c r="S40" i="2"/>
  <c r="R40" i="2"/>
  <c r="Q40" i="2"/>
  <c r="O40" i="2"/>
  <c r="M40" i="2"/>
  <c r="L40" i="2"/>
  <c r="T40" i="2"/>
  <c r="S50" i="2"/>
  <c r="R58" i="2"/>
  <c r="R60" i="2" s="1"/>
  <c r="R50" i="2"/>
  <c r="S58" i="2"/>
  <c r="S60" i="2" s="1"/>
  <c r="O15" i="2"/>
  <c r="S15" i="2"/>
  <c r="AD186" i="2"/>
  <c r="AC186" i="2"/>
  <c r="AB186" i="2"/>
  <c r="AA186" i="2"/>
  <c r="Z186" i="2"/>
  <c r="Y186" i="2"/>
  <c r="X186" i="2"/>
  <c r="W186" i="2"/>
  <c r="V186" i="2"/>
  <c r="U186" i="2"/>
  <c r="T186" i="2"/>
  <c r="AD185" i="2"/>
  <c r="AC185" i="2"/>
  <c r="AB185" i="2"/>
  <c r="AA185" i="2"/>
  <c r="Z185" i="2"/>
  <c r="Y185" i="2"/>
  <c r="X185" i="2"/>
  <c r="W185" i="2"/>
  <c r="V185" i="2"/>
  <c r="U185" i="2"/>
  <c r="S186" i="2"/>
  <c r="R186" i="2"/>
  <c r="Q186" i="2"/>
  <c r="P186" i="2"/>
  <c r="O186" i="2"/>
  <c r="S185" i="2"/>
  <c r="R185" i="2"/>
  <c r="Q185" i="2"/>
  <c r="P185" i="2"/>
  <c r="O185" i="2"/>
  <c r="T185" i="2"/>
  <c r="AD163" i="2"/>
  <c r="AC163" i="2"/>
  <c r="AB163" i="2"/>
  <c r="AA163" i="2"/>
  <c r="Z163" i="2"/>
  <c r="Y163" i="2"/>
  <c r="X163" i="2"/>
  <c r="W163" i="2"/>
  <c r="V163" i="2"/>
  <c r="U163" i="2"/>
  <c r="AD162" i="2"/>
  <c r="AC162" i="2"/>
  <c r="AB162" i="2"/>
  <c r="AA162" i="2"/>
  <c r="Z162" i="2"/>
  <c r="Y162" i="2"/>
  <c r="X162" i="2"/>
  <c r="W162" i="2"/>
  <c r="V162" i="2"/>
  <c r="U162" i="2"/>
  <c r="AD160" i="2"/>
  <c r="AC160" i="2"/>
  <c r="AB160" i="2"/>
  <c r="AA160" i="2"/>
  <c r="Z160" i="2"/>
  <c r="Y160" i="2"/>
  <c r="X160" i="2"/>
  <c r="W160" i="2"/>
  <c r="V160" i="2"/>
  <c r="U160" i="2"/>
  <c r="AD159" i="2"/>
  <c r="AC159" i="2"/>
  <c r="AB159" i="2"/>
  <c r="AA159" i="2"/>
  <c r="Z159" i="2"/>
  <c r="Y159" i="2"/>
  <c r="X159" i="2"/>
  <c r="W159" i="2"/>
  <c r="V159" i="2"/>
  <c r="U159" i="2"/>
  <c r="AD157" i="2"/>
  <c r="AC157" i="2"/>
  <c r="AB157" i="2"/>
  <c r="AA157" i="2"/>
  <c r="Z157" i="2"/>
  <c r="Y157" i="2"/>
  <c r="X157" i="2"/>
  <c r="W157" i="2"/>
  <c r="V157" i="2"/>
  <c r="U157" i="2"/>
  <c r="AD156" i="2"/>
  <c r="AC156" i="2"/>
  <c r="AB156" i="2"/>
  <c r="AA156" i="2"/>
  <c r="Z156" i="2"/>
  <c r="Y156" i="2"/>
  <c r="X156" i="2"/>
  <c r="W156" i="2"/>
  <c r="V156" i="2"/>
  <c r="U156" i="2"/>
  <c r="AD154" i="2"/>
  <c r="AC154" i="2"/>
  <c r="AB154" i="2"/>
  <c r="AA154" i="2"/>
  <c r="Z154" i="2"/>
  <c r="Y154" i="2"/>
  <c r="X154" i="2"/>
  <c r="W154" i="2"/>
  <c r="V154" i="2"/>
  <c r="U154" i="2"/>
  <c r="AD153" i="2"/>
  <c r="AC153" i="2"/>
  <c r="AB153" i="2"/>
  <c r="AA153" i="2"/>
  <c r="Z153" i="2"/>
  <c r="Y153" i="2"/>
  <c r="X153" i="2"/>
  <c r="W153" i="2"/>
  <c r="V153" i="2"/>
  <c r="U153" i="2"/>
  <c r="S163" i="2"/>
  <c r="R163" i="2"/>
  <c r="Q163" i="2"/>
  <c r="P163" i="2"/>
  <c r="O163" i="2"/>
  <c r="N163" i="2"/>
  <c r="M163" i="2"/>
  <c r="L163" i="2"/>
  <c r="S162" i="2"/>
  <c r="R162" i="2"/>
  <c r="Q162" i="2"/>
  <c r="P162" i="2"/>
  <c r="O162" i="2"/>
  <c r="N162" i="2"/>
  <c r="M162" i="2"/>
  <c r="L162" i="2"/>
  <c r="S160" i="2"/>
  <c r="R160" i="2"/>
  <c r="Q160" i="2"/>
  <c r="P160" i="2"/>
  <c r="O160" i="2"/>
  <c r="N160" i="2"/>
  <c r="M160" i="2"/>
  <c r="L160" i="2"/>
  <c r="S159" i="2"/>
  <c r="R159" i="2"/>
  <c r="Q159" i="2"/>
  <c r="P159" i="2"/>
  <c r="O159" i="2"/>
  <c r="N159" i="2"/>
  <c r="M159" i="2"/>
  <c r="L159" i="2"/>
  <c r="S157" i="2"/>
  <c r="R157" i="2"/>
  <c r="Q157" i="2"/>
  <c r="P157" i="2"/>
  <c r="O157" i="2"/>
  <c r="N157" i="2"/>
  <c r="M157" i="2"/>
  <c r="L157" i="2"/>
  <c r="S156" i="2"/>
  <c r="R156" i="2"/>
  <c r="Q156" i="2"/>
  <c r="P156" i="2"/>
  <c r="O156" i="2"/>
  <c r="N156" i="2"/>
  <c r="M156" i="2"/>
  <c r="L156" i="2"/>
  <c r="S154" i="2"/>
  <c r="R154" i="2"/>
  <c r="Q154" i="2"/>
  <c r="P154" i="2"/>
  <c r="O154" i="2"/>
  <c r="N154" i="2"/>
  <c r="M154" i="2"/>
  <c r="L154" i="2"/>
  <c r="S153" i="2"/>
  <c r="R153" i="2"/>
  <c r="Q153" i="2"/>
  <c r="P153" i="2"/>
  <c r="O153" i="2"/>
  <c r="N153" i="2"/>
  <c r="M153" i="2"/>
  <c r="L153" i="2"/>
  <c r="T163" i="2"/>
  <c r="T162" i="2"/>
  <c r="T160" i="2"/>
  <c r="T159" i="2"/>
  <c r="T157" i="2"/>
  <c r="T156" i="2"/>
  <c r="T154" i="2"/>
  <c r="T153" i="2"/>
  <c r="AD149" i="2"/>
  <c r="AC149" i="2"/>
  <c r="AB149" i="2"/>
  <c r="AA149" i="2"/>
  <c r="Z149" i="2"/>
  <c r="Y149" i="2"/>
  <c r="X149" i="2"/>
  <c r="W149" i="2"/>
  <c r="V149" i="2"/>
  <c r="U149" i="2"/>
  <c r="AD148" i="2"/>
  <c r="AC148" i="2"/>
  <c r="AB148" i="2"/>
  <c r="AA148" i="2"/>
  <c r="Z148" i="2"/>
  <c r="Y148" i="2"/>
  <c r="X148" i="2"/>
  <c r="W148" i="2"/>
  <c r="V148" i="2"/>
  <c r="U148" i="2"/>
  <c r="AD146" i="2"/>
  <c r="AC146" i="2"/>
  <c r="AB146" i="2"/>
  <c r="AA146" i="2"/>
  <c r="Z146" i="2"/>
  <c r="Y146" i="2"/>
  <c r="X146" i="2"/>
  <c r="W146" i="2"/>
  <c r="V146" i="2"/>
  <c r="U146" i="2"/>
  <c r="AD145" i="2"/>
  <c r="AC145" i="2"/>
  <c r="AB145" i="2"/>
  <c r="AA145" i="2"/>
  <c r="Z145" i="2"/>
  <c r="Y145" i="2"/>
  <c r="X145" i="2"/>
  <c r="W145" i="2"/>
  <c r="V145" i="2"/>
  <c r="U145" i="2"/>
  <c r="AD143" i="2"/>
  <c r="AC143" i="2"/>
  <c r="AB143" i="2"/>
  <c r="AA143" i="2"/>
  <c r="Z143" i="2"/>
  <c r="Y143" i="2"/>
  <c r="X143" i="2"/>
  <c r="W143" i="2"/>
  <c r="V143" i="2"/>
  <c r="U143" i="2"/>
  <c r="AD142" i="2"/>
  <c r="AC142" i="2"/>
  <c r="AB142" i="2"/>
  <c r="AA142" i="2"/>
  <c r="Z142" i="2"/>
  <c r="Y142" i="2"/>
  <c r="X142" i="2"/>
  <c r="W142" i="2"/>
  <c r="V142" i="2"/>
  <c r="U142" i="2"/>
  <c r="AD140" i="2"/>
  <c r="AC140" i="2"/>
  <c r="AB140" i="2"/>
  <c r="AA140" i="2"/>
  <c r="Z140" i="2"/>
  <c r="Y140" i="2"/>
  <c r="X140" i="2"/>
  <c r="W140" i="2"/>
  <c r="V140" i="2"/>
  <c r="U140" i="2"/>
  <c r="AD139" i="2"/>
  <c r="AC139" i="2"/>
  <c r="AB139" i="2"/>
  <c r="AA139" i="2"/>
  <c r="Z139" i="2"/>
  <c r="Y139" i="2"/>
  <c r="X139" i="2"/>
  <c r="W139" i="2"/>
  <c r="V139" i="2"/>
  <c r="U139" i="2"/>
  <c r="S149" i="2"/>
  <c r="R149" i="2"/>
  <c r="Q149" i="2"/>
  <c r="P149" i="2"/>
  <c r="O149" i="2"/>
  <c r="S148" i="2"/>
  <c r="R148" i="2"/>
  <c r="Q148" i="2"/>
  <c r="P148" i="2"/>
  <c r="O148" i="2"/>
  <c r="S146" i="2"/>
  <c r="R146" i="2"/>
  <c r="Q146" i="2"/>
  <c r="P146" i="2"/>
  <c r="O146" i="2"/>
  <c r="S145" i="2"/>
  <c r="R145" i="2"/>
  <c r="Q145" i="2"/>
  <c r="P145" i="2"/>
  <c r="O145" i="2"/>
  <c r="S143" i="2"/>
  <c r="R143" i="2"/>
  <c r="Q143" i="2"/>
  <c r="P143" i="2"/>
  <c r="O143" i="2"/>
  <c r="S142" i="2"/>
  <c r="R142" i="2"/>
  <c r="Q142" i="2"/>
  <c r="P142" i="2"/>
  <c r="O142" i="2"/>
  <c r="S140" i="2"/>
  <c r="R140" i="2"/>
  <c r="Q140" i="2"/>
  <c r="P140" i="2"/>
  <c r="O140" i="2"/>
  <c r="S139" i="2"/>
  <c r="R139" i="2"/>
  <c r="Q139" i="2"/>
  <c r="P139" i="2"/>
  <c r="O139" i="2"/>
  <c r="T149" i="2"/>
  <c r="T148" i="2"/>
  <c r="T146" i="2"/>
  <c r="T145" i="2"/>
  <c r="T143" i="2"/>
  <c r="T142" i="2"/>
  <c r="T140" i="2"/>
  <c r="T139" i="2"/>
  <c r="AD132" i="2"/>
  <c r="AC132" i="2"/>
  <c r="AB132" i="2"/>
  <c r="AA132" i="2"/>
  <c r="Z132" i="2"/>
  <c r="Y132" i="2"/>
  <c r="X132" i="2"/>
  <c r="W132" i="2"/>
  <c r="V132" i="2"/>
  <c r="U132" i="2"/>
  <c r="S132" i="2"/>
  <c r="R132" i="2"/>
  <c r="Q132" i="2"/>
  <c r="P132" i="2"/>
  <c r="O132" i="2"/>
  <c r="N132" i="2"/>
  <c r="M132" i="2"/>
  <c r="L132" i="2"/>
  <c r="K132" i="2"/>
  <c r="T132" i="2"/>
  <c r="AD129" i="2"/>
  <c r="AC129" i="2"/>
  <c r="AB129" i="2"/>
  <c r="AA129" i="2"/>
  <c r="Z129" i="2"/>
  <c r="Y129" i="2"/>
  <c r="X129" i="2"/>
  <c r="W129" i="2"/>
  <c r="V129" i="2"/>
  <c r="U129" i="2"/>
  <c r="S129" i="2"/>
  <c r="R129" i="2"/>
  <c r="Q129" i="2"/>
  <c r="P129" i="2"/>
  <c r="O129" i="2"/>
  <c r="N129" i="2"/>
  <c r="M129" i="2"/>
  <c r="L129" i="2"/>
  <c r="K129" i="2"/>
  <c r="T129" i="2"/>
  <c r="AD126" i="2"/>
  <c r="AC126" i="2"/>
  <c r="AB126" i="2"/>
  <c r="AA126" i="2"/>
  <c r="Z126" i="2"/>
  <c r="Y126" i="2"/>
  <c r="X126" i="2"/>
  <c r="W126" i="2"/>
  <c r="V126" i="2"/>
  <c r="U126" i="2"/>
  <c r="S126" i="2"/>
  <c r="R126" i="2"/>
  <c r="Q126" i="2"/>
  <c r="P126" i="2"/>
  <c r="O126" i="2"/>
  <c r="N126" i="2"/>
  <c r="M126" i="2"/>
  <c r="L126" i="2"/>
  <c r="K126" i="2"/>
  <c r="T126" i="2"/>
  <c r="AD119" i="2"/>
  <c r="AC119" i="2"/>
  <c r="AB119" i="2"/>
  <c r="AA119" i="2"/>
  <c r="Z119" i="2"/>
  <c r="Y119" i="2"/>
  <c r="X119" i="2"/>
  <c r="W119" i="2"/>
  <c r="V119" i="2"/>
  <c r="U119" i="2"/>
  <c r="T119" i="2"/>
  <c r="AD118" i="2"/>
  <c r="AC118" i="2"/>
  <c r="AB118" i="2"/>
  <c r="AA118" i="2"/>
  <c r="Z118" i="2"/>
  <c r="Y118" i="2"/>
  <c r="X118" i="2"/>
  <c r="W118" i="2"/>
  <c r="V118" i="2"/>
  <c r="U118" i="2"/>
  <c r="T118" i="2"/>
  <c r="AD117" i="2"/>
  <c r="AC117" i="2"/>
  <c r="AB117" i="2"/>
  <c r="AA117" i="2"/>
  <c r="Z117" i="2"/>
  <c r="Y117" i="2"/>
  <c r="X117" i="2"/>
  <c r="W117" i="2"/>
  <c r="V117" i="2"/>
  <c r="U117" i="2"/>
  <c r="T117" i="2"/>
  <c r="AD116" i="2"/>
  <c r="AC116" i="2"/>
  <c r="AB116" i="2"/>
  <c r="AA116" i="2"/>
  <c r="Z116" i="2"/>
  <c r="Y116" i="2"/>
  <c r="X116" i="2"/>
  <c r="W116" i="2"/>
  <c r="V116" i="2"/>
  <c r="U116" i="2"/>
  <c r="T116" i="2"/>
  <c r="AD115" i="2"/>
  <c r="AC115" i="2"/>
  <c r="AB115" i="2"/>
  <c r="AA115" i="2"/>
  <c r="Z115" i="2"/>
  <c r="Y115" i="2"/>
  <c r="X115" i="2"/>
  <c r="W115" i="2"/>
  <c r="V115" i="2"/>
  <c r="U115" i="2"/>
  <c r="S119" i="2"/>
  <c r="R119" i="2"/>
  <c r="Q119" i="2"/>
  <c r="P119" i="2"/>
  <c r="O119" i="2"/>
  <c r="S118" i="2"/>
  <c r="R118" i="2"/>
  <c r="Q118" i="2"/>
  <c r="P118" i="2"/>
  <c r="O118" i="2"/>
  <c r="S117" i="2"/>
  <c r="R117" i="2"/>
  <c r="Q117" i="2"/>
  <c r="P117" i="2"/>
  <c r="S116" i="2"/>
  <c r="R116" i="2"/>
  <c r="Q116" i="2"/>
  <c r="P116" i="2"/>
  <c r="O116" i="2"/>
  <c r="S115" i="2"/>
  <c r="R115" i="2"/>
  <c r="Q115" i="2"/>
  <c r="P115" i="2"/>
  <c r="O115" i="2"/>
  <c r="T115" i="2"/>
  <c r="AD111" i="2"/>
  <c r="AC111" i="2"/>
  <c r="AB111" i="2"/>
  <c r="AA111" i="2"/>
  <c r="Z111" i="2"/>
  <c r="Y111" i="2"/>
  <c r="X111" i="2"/>
  <c r="W111" i="2"/>
  <c r="V111" i="2"/>
  <c r="U111" i="2"/>
  <c r="T111" i="2"/>
  <c r="AD110" i="2"/>
  <c r="AC110" i="2"/>
  <c r="AB110" i="2"/>
  <c r="AA110" i="2"/>
  <c r="Z110" i="2"/>
  <c r="Y110" i="2"/>
  <c r="X110" i="2"/>
  <c r="W110" i="2"/>
  <c r="V110" i="2"/>
  <c r="U110" i="2"/>
  <c r="T110" i="2"/>
  <c r="AD109" i="2"/>
  <c r="AC109" i="2"/>
  <c r="AB109" i="2"/>
  <c r="AA109" i="2"/>
  <c r="Z109" i="2"/>
  <c r="Y109" i="2"/>
  <c r="X109" i="2"/>
  <c r="W109" i="2"/>
  <c r="V109" i="2"/>
  <c r="U109" i="2"/>
  <c r="S111" i="2"/>
  <c r="R111" i="2"/>
  <c r="Q111" i="2"/>
  <c r="P111" i="2"/>
  <c r="O111" i="2"/>
  <c r="N111" i="2"/>
  <c r="M111" i="2"/>
  <c r="L111" i="2"/>
  <c r="S110" i="2"/>
  <c r="R110" i="2"/>
  <c r="Q110" i="2"/>
  <c r="P110" i="2"/>
  <c r="O110" i="2"/>
  <c r="N110" i="2"/>
  <c r="M110" i="2"/>
  <c r="L110" i="2"/>
  <c r="K110" i="2"/>
  <c r="S109" i="2"/>
  <c r="R109" i="2"/>
  <c r="Q109" i="2"/>
  <c r="P109" i="2"/>
  <c r="O109" i="2"/>
  <c r="N109" i="2"/>
  <c r="M109" i="2"/>
  <c r="L109" i="2"/>
  <c r="K109" i="2"/>
  <c r="T109" i="2"/>
  <c r="AD106" i="2"/>
  <c r="AC106" i="2"/>
  <c r="AB106" i="2"/>
  <c r="AA106" i="2"/>
  <c r="Z106" i="2"/>
  <c r="Y106" i="2"/>
  <c r="X106" i="2"/>
  <c r="W106" i="2"/>
  <c r="V106" i="2"/>
  <c r="U106" i="2"/>
  <c r="S106" i="2"/>
  <c r="R106" i="2"/>
  <c r="Q106" i="2"/>
  <c r="P106" i="2"/>
  <c r="O106" i="2"/>
  <c r="M106" i="2"/>
  <c r="L106" i="2"/>
  <c r="K106" i="2"/>
  <c r="T106" i="2"/>
  <c r="AD99" i="2"/>
  <c r="AC99" i="2"/>
  <c r="AB99" i="2"/>
  <c r="AA99" i="2"/>
  <c r="Z99" i="2"/>
  <c r="Y99" i="2"/>
  <c r="X99" i="2"/>
  <c r="W99" i="2"/>
  <c r="U99" i="2"/>
  <c r="T99" i="2"/>
  <c r="S99" i="2"/>
  <c r="R99" i="2"/>
  <c r="Q99" i="2"/>
  <c r="P99" i="2"/>
  <c r="O99" i="2"/>
  <c r="N99" i="2"/>
  <c r="M99" i="2"/>
  <c r="L99" i="2"/>
  <c r="K99" i="2"/>
  <c r="V99" i="2"/>
  <c r="N87" i="2"/>
  <c r="M87" i="2"/>
  <c r="L87" i="2"/>
  <c r="AD87" i="2"/>
  <c r="AC87" i="2"/>
  <c r="AB87" i="2"/>
  <c r="AA87" i="2"/>
  <c r="Z87" i="2"/>
  <c r="Y87" i="2"/>
  <c r="X87" i="2"/>
  <c r="W87" i="2"/>
  <c r="V87" i="2"/>
  <c r="U87" i="2"/>
  <c r="S87" i="2"/>
  <c r="R87" i="2"/>
  <c r="Q87" i="2"/>
  <c r="P87" i="2"/>
  <c r="O87" i="2"/>
  <c r="T87" i="2"/>
  <c r="AD80" i="2"/>
  <c r="AC80" i="2"/>
  <c r="AB80" i="2"/>
  <c r="AA80" i="2"/>
  <c r="Z80" i="2"/>
  <c r="Y80" i="2"/>
  <c r="X80" i="2"/>
  <c r="W80" i="2"/>
  <c r="V80" i="2"/>
  <c r="U80" i="2"/>
  <c r="T80" i="2"/>
  <c r="S80" i="2"/>
  <c r="Q80" i="2"/>
  <c r="P80" i="2"/>
  <c r="O80" i="2"/>
  <c r="L80" i="2"/>
  <c r="AD75" i="2"/>
  <c r="AC75" i="2"/>
  <c r="AB75" i="2"/>
  <c r="AA75" i="2"/>
  <c r="Z75" i="2"/>
  <c r="Y75" i="2"/>
  <c r="X75" i="2"/>
  <c r="W75" i="2"/>
  <c r="V75" i="2"/>
  <c r="U75" i="2"/>
  <c r="T75" i="2"/>
  <c r="S75" i="2"/>
  <c r="Q75" i="2"/>
  <c r="P75" i="2"/>
  <c r="O75" i="2"/>
  <c r="L75" i="2"/>
  <c r="AD70" i="2"/>
  <c r="AD86" i="2" s="1"/>
  <c r="AC70" i="2"/>
  <c r="AC86" i="2" s="1"/>
  <c r="AB70" i="2"/>
  <c r="AB86" i="2" s="1"/>
  <c r="AA70" i="2"/>
  <c r="AA86" i="2" s="1"/>
  <c r="Z70" i="2"/>
  <c r="Z86" i="2" s="1"/>
  <c r="Y70" i="2"/>
  <c r="X70" i="2"/>
  <c r="W70" i="2"/>
  <c r="W86" i="2" s="1"/>
  <c r="V70" i="2"/>
  <c r="V86" i="2" s="1"/>
  <c r="U70" i="2"/>
  <c r="U86" i="2" s="1"/>
  <c r="S70" i="2"/>
  <c r="S86" i="2" s="1"/>
  <c r="P70" i="2"/>
  <c r="P86" i="2" s="1"/>
  <c r="O70" i="2"/>
  <c r="O86" i="2" s="1"/>
  <c r="M70" i="2"/>
  <c r="L70" i="2"/>
  <c r="L86" i="2" s="1"/>
  <c r="J10" i="1"/>
  <c r="AD58" i="2"/>
  <c r="AD60" i="2" s="1"/>
  <c r="AC58" i="2"/>
  <c r="AC60" i="2" s="1"/>
  <c r="AB58" i="2"/>
  <c r="AB60" i="2" s="1"/>
  <c r="AA58" i="2"/>
  <c r="AA60" i="2" s="1"/>
  <c r="Z58" i="2"/>
  <c r="Z60" i="2" s="1"/>
  <c r="Y58" i="2"/>
  <c r="Y60" i="2" s="1"/>
  <c r="X58" i="2"/>
  <c r="X60" i="2" s="1"/>
  <c r="W58" i="2"/>
  <c r="W60" i="2" s="1"/>
  <c r="V58" i="2"/>
  <c r="V60" i="2" s="1"/>
  <c r="U58" i="2"/>
  <c r="U60" i="2" s="1"/>
  <c r="Q58" i="2"/>
  <c r="Q60" i="2" s="1"/>
  <c r="M58" i="2"/>
  <c r="M60" i="2" s="1"/>
  <c r="L58" i="2"/>
  <c r="L60" i="2" s="1"/>
  <c r="AD50" i="2"/>
  <c r="AC50" i="2"/>
  <c r="AB50" i="2"/>
  <c r="AA50" i="2"/>
  <c r="Z50" i="2"/>
  <c r="Y50" i="2"/>
  <c r="X50" i="2"/>
  <c r="W50" i="2"/>
  <c r="V50" i="2"/>
  <c r="U50" i="2"/>
  <c r="Q50" i="2"/>
  <c r="M50" i="2"/>
  <c r="L50" i="2"/>
  <c r="S35" i="2"/>
  <c r="R35" i="2"/>
  <c r="Q35" i="2"/>
  <c r="P35" i="2"/>
  <c r="O35" i="2"/>
  <c r="S34" i="2"/>
  <c r="R34" i="2"/>
  <c r="Q34" i="2"/>
  <c r="P34" i="2"/>
  <c r="O34" i="2"/>
  <c r="S33" i="2"/>
  <c r="R33" i="2"/>
  <c r="Q33" i="2"/>
  <c r="P33" i="2"/>
  <c r="O33" i="2"/>
  <c r="AD35" i="2"/>
  <c r="AC35" i="2"/>
  <c r="AB35" i="2"/>
  <c r="AA35" i="2"/>
  <c r="Z35" i="2"/>
  <c r="Y35" i="2"/>
  <c r="X35" i="2"/>
  <c r="W35" i="2"/>
  <c r="V35" i="2"/>
  <c r="U35" i="2"/>
  <c r="AD34" i="2"/>
  <c r="AC34" i="2"/>
  <c r="AB34" i="2"/>
  <c r="AA34" i="2"/>
  <c r="Z34" i="2"/>
  <c r="Y34" i="2"/>
  <c r="X34" i="2"/>
  <c r="W34" i="2"/>
  <c r="V34" i="2"/>
  <c r="U34" i="2"/>
  <c r="AD33" i="2"/>
  <c r="AC33" i="2"/>
  <c r="AB33" i="2"/>
  <c r="AA33" i="2"/>
  <c r="Z33" i="2"/>
  <c r="Y33" i="2"/>
  <c r="X33" i="2"/>
  <c r="W33" i="2"/>
  <c r="V33" i="2"/>
  <c r="U33" i="2"/>
  <c r="T35" i="2"/>
  <c r="T34" i="2"/>
  <c r="T33" i="2"/>
  <c r="P15" i="2"/>
  <c r="T15" i="2"/>
  <c r="T13" i="2"/>
  <c r="T9" i="2"/>
  <c r="T6" i="2"/>
  <c r="U6" i="2"/>
  <c r="U31" i="2" s="1"/>
  <c r="V6" i="2"/>
  <c r="W6" i="2"/>
  <c r="W31" i="2" s="1"/>
  <c r="X6" i="2"/>
  <c r="X31" i="2" s="1"/>
  <c r="Y6" i="2"/>
  <c r="Y31" i="2" s="1"/>
  <c r="Z6" i="2"/>
  <c r="Z31" i="2" s="1"/>
  <c r="AA6" i="2"/>
  <c r="AA31" i="2" s="1"/>
  <c r="AB6" i="2"/>
  <c r="AC6" i="2"/>
  <c r="AC31" i="2" s="1"/>
  <c r="AD6" i="2"/>
  <c r="U9" i="2"/>
  <c r="V9" i="2"/>
  <c r="W9" i="2"/>
  <c r="X9" i="2"/>
  <c r="Y9" i="2"/>
  <c r="Z9" i="2"/>
  <c r="AA9" i="2"/>
  <c r="AB9" i="2"/>
  <c r="AC9" i="2"/>
  <c r="AD9" i="2"/>
  <c r="U13" i="2"/>
  <c r="V13" i="2"/>
  <c r="W13" i="2"/>
  <c r="X13" i="2"/>
  <c r="Y13" i="2"/>
  <c r="Z13" i="2"/>
  <c r="AA13" i="2"/>
  <c r="AB13" i="2"/>
  <c r="AC13" i="2"/>
  <c r="AD13" i="2"/>
  <c r="R13" i="2"/>
  <c r="Q13" i="2"/>
  <c r="P13" i="2"/>
  <c r="O13" i="2"/>
  <c r="N13" i="2"/>
  <c r="M13" i="2"/>
  <c r="L13" i="2"/>
  <c r="S13" i="2"/>
  <c r="R9" i="2"/>
  <c r="Q9" i="2"/>
  <c r="P9" i="2"/>
  <c r="O9" i="2"/>
  <c r="N9" i="2"/>
  <c r="M9" i="2"/>
  <c r="L9" i="2"/>
  <c r="S9" i="2"/>
  <c r="R6" i="2"/>
  <c r="R31" i="2" s="1"/>
  <c r="Q6" i="2"/>
  <c r="Q31" i="2" s="1"/>
  <c r="P6" i="2"/>
  <c r="P31" i="2" s="1"/>
  <c r="O6" i="2"/>
  <c r="O31" i="2" s="1"/>
  <c r="N6" i="2"/>
  <c r="N36" i="2" s="1"/>
  <c r="M6" i="2"/>
  <c r="L6" i="2"/>
  <c r="S6" i="2"/>
  <c r="J8" i="1"/>
  <c r="AQ19" i="2" l="1"/>
  <c r="AQ37" i="2" s="1"/>
  <c r="AO31" i="2"/>
  <c r="AO27" i="2"/>
  <c r="AO10" i="2"/>
  <c r="AO14" i="2" s="1"/>
  <c r="AM64" i="2"/>
  <c r="AN64" i="2"/>
  <c r="AK64" i="2"/>
  <c r="AL64" i="2"/>
  <c r="J89" i="2"/>
  <c r="J58" i="2"/>
  <c r="J60" i="2" s="1"/>
  <c r="H112" i="2"/>
  <c r="C112" i="2"/>
  <c r="J158" i="2"/>
  <c r="J50" i="2"/>
  <c r="K36" i="2"/>
  <c r="AL70" i="2"/>
  <c r="AL86" i="2" s="1"/>
  <c r="F40" i="2"/>
  <c r="L36" i="2"/>
  <c r="D155" i="2"/>
  <c r="H144" i="2"/>
  <c r="G82" i="2"/>
  <c r="J40" i="2"/>
  <c r="M147" i="2"/>
  <c r="C10" i="2"/>
  <c r="C14" i="2" s="1"/>
  <c r="C28" i="2" s="1"/>
  <c r="D161" i="2"/>
  <c r="N147" i="2"/>
  <c r="G144" i="2"/>
  <c r="G147" i="2"/>
  <c r="C27" i="2"/>
  <c r="I89" i="2"/>
  <c r="K158" i="2"/>
  <c r="K141" i="2"/>
  <c r="I141" i="2"/>
  <c r="AL88" i="2"/>
  <c r="N144" i="2"/>
  <c r="F58" i="2"/>
  <c r="F60" i="2" s="1"/>
  <c r="D158" i="2"/>
  <c r="J112" i="2"/>
  <c r="I144" i="2"/>
  <c r="I112" i="2"/>
  <c r="J144" i="2"/>
  <c r="E158" i="2"/>
  <c r="D88" i="2"/>
  <c r="E161" i="2"/>
  <c r="E155" i="2"/>
  <c r="H161" i="2"/>
  <c r="G155" i="2"/>
  <c r="G141" i="2"/>
  <c r="I27" i="2"/>
  <c r="M36" i="2"/>
  <c r="H135" i="2"/>
  <c r="H176" i="2" s="1"/>
  <c r="I161" i="2"/>
  <c r="L147" i="2"/>
  <c r="H158" i="2"/>
  <c r="L144" i="2"/>
  <c r="G112" i="2"/>
  <c r="AL82" i="2"/>
  <c r="AK70" i="2"/>
  <c r="F50" i="2"/>
  <c r="J36" i="2"/>
  <c r="J27" i="2"/>
  <c r="J31" i="2"/>
  <c r="J10" i="2"/>
  <c r="J26" i="2" s="1"/>
  <c r="G161" i="2"/>
  <c r="F158" i="2"/>
  <c r="G158" i="2"/>
  <c r="F155" i="2"/>
  <c r="J141" i="2"/>
  <c r="J161" i="2"/>
  <c r="M144" i="2"/>
  <c r="I158" i="2"/>
  <c r="M141" i="2"/>
  <c r="K161" i="2"/>
  <c r="J147" i="2"/>
  <c r="H141" i="2"/>
  <c r="H147" i="2"/>
  <c r="H10" i="2"/>
  <c r="H82" i="2"/>
  <c r="K144" i="2"/>
  <c r="K147" i="2"/>
  <c r="H155" i="2"/>
  <c r="I10" i="2"/>
  <c r="L141" i="2"/>
  <c r="I155" i="2"/>
  <c r="J155" i="2"/>
  <c r="N141" i="2"/>
  <c r="K155" i="2"/>
  <c r="E27" i="2"/>
  <c r="K10" i="2"/>
  <c r="K14" i="2" s="1"/>
  <c r="K17" i="2" s="1"/>
  <c r="K29" i="2" s="1"/>
  <c r="E10" i="2"/>
  <c r="E26" i="2" s="1"/>
  <c r="E112" i="2"/>
  <c r="H36" i="2"/>
  <c r="I147" i="2"/>
  <c r="F161" i="2"/>
  <c r="I36" i="2"/>
  <c r="D27" i="2"/>
  <c r="D10" i="2"/>
  <c r="D112" i="2"/>
  <c r="G36" i="2"/>
  <c r="H27" i="2"/>
  <c r="C82" i="2"/>
  <c r="C84" i="2" s="1"/>
  <c r="D83" i="2" s="1"/>
  <c r="G135" i="2"/>
  <c r="G176" i="2" s="1"/>
  <c r="F10" i="2"/>
  <c r="F31" i="2"/>
  <c r="I88" i="2"/>
  <c r="G10" i="2"/>
  <c r="F27" i="2"/>
  <c r="G86" i="2"/>
  <c r="G89" i="2" s="1"/>
  <c r="J88" i="2"/>
  <c r="G27" i="2"/>
  <c r="H86" i="2"/>
  <c r="H89" i="2" s="1"/>
  <c r="F112" i="2"/>
  <c r="E88" i="2"/>
  <c r="C135" i="2"/>
  <c r="C175" i="2" s="1"/>
  <c r="F88" i="2"/>
  <c r="I82" i="2"/>
  <c r="I135" i="2"/>
  <c r="J82" i="2"/>
  <c r="J135" i="2"/>
  <c r="E135" i="2"/>
  <c r="E172" i="2" s="1"/>
  <c r="D82" i="2"/>
  <c r="D135" i="2"/>
  <c r="E82" i="2"/>
  <c r="F82" i="2"/>
  <c r="F135" i="2"/>
  <c r="K82" i="2"/>
  <c r="K84" i="2" s="1"/>
  <c r="L83" i="2" s="1"/>
  <c r="K27" i="2"/>
  <c r="K88" i="2"/>
  <c r="K31" i="2"/>
  <c r="AM82" i="2"/>
  <c r="AM84" i="2" s="1"/>
  <c r="AN83" i="2" s="1"/>
  <c r="X158" i="2"/>
  <c r="AN82" i="2"/>
  <c r="AM86" i="2"/>
  <c r="AN86" i="2"/>
  <c r="AA147" i="2"/>
  <c r="M158" i="2"/>
  <c r="AB147" i="2"/>
  <c r="N158" i="2"/>
  <c r="AA158" i="2"/>
  <c r="AC155" i="2"/>
  <c r="T155" i="2"/>
  <c r="V155" i="2"/>
  <c r="L158" i="2"/>
  <c r="Q161" i="2"/>
  <c r="S158" i="2"/>
  <c r="AC161" i="2"/>
  <c r="Z158" i="2"/>
  <c r="X155" i="2"/>
  <c r="M155" i="2"/>
  <c r="Z141" i="2"/>
  <c r="Q158" i="2"/>
  <c r="AD158" i="2"/>
  <c r="V161" i="2"/>
  <c r="AD161" i="2"/>
  <c r="U158" i="2"/>
  <c r="R141" i="2"/>
  <c r="AB155" i="2"/>
  <c r="R158" i="2"/>
  <c r="T147" i="2"/>
  <c r="W161" i="2"/>
  <c r="L161" i="2"/>
  <c r="O155" i="2"/>
  <c r="AD155" i="2"/>
  <c r="M161" i="2"/>
  <c r="Y147" i="2"/>
  <c r="Y161" i="2"/>
  <c r="V158" i="2"/>
  <c r="T158" i="2"/>
  <c r="N161" i="2"/>
  <c r="O147" i="2"/>
  <c r="Y158" i="2"/>
  <c r="W158" i="2"/>
  <c r="Z161" i="2"/>
  <c r="U155" i="2"/>
  <c r="AA161" i="2"/>
  <c r="R155" i="2"/>
  <c r="O144" i="2"/>
  <c r="S147" i="2"/>
  <c r="Z147" i="2"/>
  <c r="AB161" i="2"/>
  <c r="L155" i="2"/>
  <c r="AC141" i="2"/>
  <c r="P144" i="2"/>
  <c r="AC158" i="2"/>
  <c r="U161" i="2"/>
  <c r="O141" i="2"/>
  <c r="AB144" i="2"/>
  <c r="Y155" i="2"/>
  <c r="U144" i="2"/>
  <c r="X147" i="2"/>
  <c r="P141" i="2"/>
  <c r="Q141" i="2"/>
  <c r="N155" i="2"/>
  <c r="W144" i="2"/>
  <c r="O161" i="2"/>
  <c r="Z155" i="2"/>
  <c r="P161" i="2"/>
  <c r="Q155" i="2"/>
  <c r="V141" i="2"/>
  <c r="AD144" i="2"/>
  <c r="Q147" i="2"/>
  <c r="AD147" i="2"/>
  <c r="R161" i="2"/>
  <c r="W155" i="2"/>
  <c r="AA155" i="2"/>
  <c r="W147" i="2"/>
  <c r="O158" i="2"/>
  <c r="S141" i="2"/>
  <c r="X144" i="2"/>
  <c r="T161" i="2"/>
  <c r="P155" i="2"/>
  <c r="P158" i="2"/>
  <c r="AB158" i="2"/>
  <c r="N112" i="2"/>
  <c r="AA112" i="2"/>
  <c r="T141" i="2"/>
  <c r="W141" i="2"/>
  <c r="AA144" i="2"/>
  <c r="R147" i="2"/>
  <c r="S155" i="2"/>
  <c r="S161" i="2"/>
  <c r="X161" i="2"/>
  <c r="X141" i="2"/>
  <c r="V147" i="2"/>
  <c r="R144" i="2"/>
  <c r="S144" i="2"/>
  <c r="U147" i="2"/>
  <c r="Y141" i="2"/>
  <c r="Q144" i="2"/>
  <c r="AD141" i="2"/>
  <c r="V144" i="2"/>
  <c r="T144" i="2"/>
  <c r="U141" i="2"/>
  <c r="AC144" i="2"/>
  <c r="P147" i="2"/>
  <c r="AC147" i="2"/>
  <c r="AA141" i="2"/>
  <c r="AB141" i="2"/>
  <c r="Y144" i="2"/>
  <c r="Z144" i="2"/>
  <c r="O112" i="2"/>
  <c r="AB112" i="2"/>
  <c r="K112" i="2"/>
  <c r="X112" i="2"/>
  <c r="L112" i="2"/>
  <c r="Y112" i="2"/>
  <c r="T112" i="2"/>
  <c r="W112" i="2"/>
  <c r="O135" i="2"/>
  <c r="O175" i="2" s="1"/>
  <c r="AC135" i="2"/>
  <c r="AC169" i="2" s="1"/>
  <c r="AD135" i="2"/>
  <c r="P112" i="2"/>
  <c r="AC112" i="2"/>
  <c r="M112" i="2"/>
  <c r="Z112" i="2"/>
  <c r="Q112" i="2"/>
  <c r="AD112" i="2"/>
  <c r="P88" i="2"/>
  <c r="R112" i="2"/>
  <c r="Q88" i="2"/>
  <c r="S112" i="2"/>
  <c r="T135" i="2"/>
  <c r="U112" i="2"/>
  <c r="V112" i="2"/>
  <c r="U135" i="2"/>
  <c r="Q135" i="2"/>
  <c r="Q169" i="2" s="1"/>
  <c r="V135" i="2"/>
  <c r="V175" i="2" s="1"/>
  <c r="R135" i="2"/>
  <c r="R169" i="2" s="1"/>
  <c r="W135" i="2"/>
  <c r="W175" i="2" s="1"/>
  <c r="V88" i="2"/>
  <c r="AB135" i="2"/>
  <c r="AB169" i="2" s="1"/>
  <c r="K135" i="2"/>
  <c r="X135" i="2"/>
  <c r="X169" i="2" s="1"/>
  <c r="L135" i="2"/>
  <c r="Y135" i="2"/>
  <c r="Y169" i="2" s="1"/>
  <c r="V82" i="2"/>
  <c r="M135" i="2"/>
  <c r="Z135" i="2"/>
  <c r="Z169" i="2" s="1"/>
  <c r="N135" i="2"/>
  <c r="AA135" i="2"/>
  <c r="P135" i="2"/>
  <c r="P169" i="2" s="1"/>
  <c r="S135" i="2"/>
  <c r="S169" i="2" s="1"/>
  <c r="AD88" i="2"/>
  <c r="Y82" i="2"/>
  <c r="W88" i="2"/>
  <c r="M82" i="2"/>
  <c r="N88" i="2"/>
  <c r="O88" i="2"/>
  <c r="L88" i="2"/>
  <c r="U82" i="2"/>
  <c r="T89" i="2"/>
  <c r="T88" i="2"/>
  <c r="Z89" i="2"/>
  <c r="Z88" i="2"/>
  <c r="AD89" i="2"/>
  <c r="AA89" i="2"/>
  <c r="AA88" i="2"/>
  <c r="AB88" i="2"/>
  <c r="AC88" i="2"/>
  <c r="S89" i="2"/>
  <c r="S88" i="2"/>
  <c r="W82" i="2"/>
  <c r="M86" i="2"/>
  <c r="Y86" i="2"/>
  <c r="AC89" i="2" s="1"/>
  <c r="L82" i="2"/>
  <c r="X82" i="2"/>
  <c r="R88" i="2"/>
  <c r="U88" i="2"/>
  <c r="T82" i="2"/>
  <c r="X86" i="2"/>
  <c r="X88" i="2" s="1"/>
  <c r="P89" i="2"/>
  <c r="R89" i="2"/>
  <c r="U89" i="2"/>
  <c r="V89" i="2"/>
  <c r="W89" i="2"/>
  <c r="Z82" i="2"/>
  <c r="O82" i="2"/>
  <c r="P82" i="2"/>
  <c r="Q82" i="2"/>
  <c r="R82" i="2"/>
  <c r="N82" i="2"/>
  <c r="AA82" i="2"/>
  <c r="AB82" i="2"/>
  <c r="AC82" i="2"/>
  <c r="S82" i="2"/>
  <c r="AD82" i="2"/>
  <c r="L27" i="2"/>
  <c r="AD27" i="2"/>
  <c r="AC27" i="2"/>
  <c r="S27" i="2"/>
  <c r="AA27" i="2"/>
  <c r="Z27" i="2"/>
  <c r="V27" i="2"/>
  <c r="X27" i="2"/>
  <c r="Y27" i="2"/>
  <c r="R36" i="2"/>
  <c r="N27" i="2"/>
  <c r="X36" i="2"/>
  <c r="O27" i="2"/>
  <c r="U27" i="2"/>
  <c r="AC36" i="2"/>
  <c r="O36" i="2"/>
  <c r="AB36" i="2"/>
  <c r="L10" i="2"/>
  <c r="L26" i="2" s="1"/>
  <c r="T31" i="2"/>
  <c r="S10" i="2"/>
  <c r="S14" i="2" s="1"/>
  <c r="S17" i="2" s="1"/>
  <c r="S19" i="2" s="1"/>
  <c r="W27" i="2"/>
  <c r="AB27" i="2"/>
  <c r="T36" i="2"/>
  <c r="P27" i="2"/>
  <c r="Q27" i="2"/>
  <c r="W36" i="2"/>
  <c r="R27" i="2"/>
  <c r="Y36" i="2"/>
  <c r="AB31" i="2"/>
  <c r="M10" i="2"/>
  <c r="M31" i="2"/>
  <c r="N10" i="2"/>
  <c r="N14" i="2" s="1"/>
  <c r="L31" i="2"/>
  <c r="P36" i="2"/>
  <c r="V31" i="2"/>
  <c r="Z36" i="2"/>
  <c r="Q36" i="2"/>
  <c r="M27" i="2"/>
  <c r="U36" i="2"/>
  <c r="V36" i="2"/>
  <c r="AD36" i="2"/>
  <c r="AD31" i="2"/>
  <c r="S31" i="2"/>
  <c r="S36" i="2"/>
  <c r="T27" i="2"/>
  <c r="AA36" i="2"/>
  <c r="N31" i="2"/>
  <c r="X10" i="2"/>
  <c r="W10" i="2"/>
  <c r="R10" i="2"/>
  <c r="R26" i="2" s="1"/>
  <c r="AB10" i="2"/>
  <c r="AA10" i="2"/>
  <c r="U10" i="2"/>
  <c r="AD10" i="2"/>
  <c r="AC10" i="2"/>
  <c r="T10" i="2"/>
  <c r="V10" i="2"/>
  <c r="O10" i="2"/>
  <c r="Z10" i="2"/>
  <c r="P10" i="2"/>
  <c r="Y10" i="2"/>
  <c r="Q10" i="2"/>
  <c r="Q26" i="2" s="1"/>
  <c r="AR19" i="2" l="1"/>
  <c r="AO26" i="2"/>
  <c r="AO17" i="2"/>
  <c r="AO28" i="2"/>
  <c r="AM89" i="2"/>
  <c r="K26" i="2"/>
  <c r="C26" i="2"/>
  <c r="C17" i="2"/>
  <c r="C19" i="2" s="1"/>
  <c r="AK82" i="2"/>
  <c r="AK84" i="2" s="1"/>
  <c r="AL83" i="2" s="1"/>
  <c r="AK86" i="2"/>
  <c r="G169" i="2"/>
  <c r="J14" i="2"/>
  <c r="J28" i="2" s="1"/>
  <c r="H169" i="2"/>
  <c r="H172" i="2"/>
  <c r="H175" i="2"/>
  <c r="H150" i="2"/>
  <c r="H168" i="2"/>
  <c r="H174" i="2"/>
  <c r="H167" i="2"/>
  <c r="H170" i="2"/>
  <c r="H173" i="2"/>
  <c r="H171" i="2"/>
  <c r="H177" i="2"/>
  <c r="L150" i="2"/>
  <c r="AL84" i="2"/>
  <c r="M88" i="2"/>
  <c r="M89" i="2"/>
  <c r="G164" i="2"/>
  <c r="G150" i="2"/>
  <c r="I14" i="2"/>
  <c r="I26" i="2"/>
  <c r="F172" i="2"/>
  <c r="F164" i="2"/>
  <c r="G175" i="2"/>
  <c r="M175" i="2"/>
  <c r="M150" i="2"/>
  <c r="G168" i="2"/>
  <c r="H14" i="2"/>
  <c r="H26" i="2"/>
  <c r="D169" i="2"/>
  <c r="D164" i="2"/>
  <c r="G171" i="2"/>
  <c r="D84" i="2"/>
  <c r="E83" i="2" s="1"/>
  <c r="E84" i="2" s="1"/>
  <c r="F83" i="2" s="1"/>
  <c r="F84" i="2" s="1"/>
  <c r="G83" i="2" s="1"/>
  <c r="G84" i="2" s="1"/>
  <c r="H83" i="2" s="1"/>
  <c r="H84" i="2" s="1"/>
  <c r="I83" i="2" s="1"/>
  <c r="I84" i="2" s="1"/>
  <c r="J83" i="2" s="1"/>
  <c r="J84" i="2" s="1"/>
  <c r="E14" i="2"/>
  <c r="E17" i="2" s="1"/>
  <c r="G174" i="2"/>
  <c r="E164" i="2"/>
  <c r="G177" i="2"/>
  <c r="D26" i="2"/>
  <c r="D14" i="2"/>
  <c r="L89" i="2"/>
  <c r="N169" i="2"/>
  <c r="N150" i="2"/>
  <c r="C169" i="2"/>
  <c r="J169" i="2"/>
  <c r="J150" i="2"/>
  <c r="J164" i="2"/>
  <c r="F175" i="2"/>
  <c r="G167" i="2"/>
  <c r="G172" i="2"/>
  <c r="K89" i="2"/>
  <c r="K175" i="2"/>
  <c r="K164" i="2"/>
  <c r="K150" i="2"/>
  <c r="G170" i="2"/>
  <c r="H164" i="2"/>
  <c r="I150" i="2"/>
  <c r="I164" i="2"/>
  <c r="G173" i="2"/>
  <c r="G88" i="2"/>
  <c r="J175" i="2"/>
  <c r="F169" i="2"/>
  <c r="E176" i="2"/>
  <c r="E173" i="2"/>
  <c r="E170" i="2"/>
  <c r="E167" i="2"/>
  <c r="E177" i="2"/>
  <c r="E174" i="2"/>
  <c r="E171" i="2"/>
  <c r="E168" i="2"/>
  <c r="E169" i="2"/>
  <c r="D172" i="2"/>
  <c r="D177" i="2"/>
  <c r="D168" i="2"/>
  <c r="D176" i="2"/>
  <c r="D173" i="2"/>
  <c r="D170" i="2"/>
  <c r="D167" i="2"/>
  <c r="D171" i="2"/>
  <c r="D174" i="2"/>
  <c r="H88" i="2"/>
  <c r="G14" i="2"/>
  <c r="G26" i="2"/>
  <c r="F26" i="2"/>
  <c r="F14" i="2"/>
  <c r="F177" i="2"/>
  <c r="F174" i="2"/>
  <c r="F171" i="2"/>
  <c r="F168" i="2"/>
  <c r="F170" i="2"/>
  <c r="F167" i="2"/>
  <c r="F173" i="2"/>
  <c r="F176" i="2"/>
  <c r="E175" i="2"/>
  <c r="D175" i="2"/>
  <c r="I176" i="2"/>
  <c r="I173" i="2"/>
  <c r="I170" i="2"/>
  <c r="I167" i="2"/>
  <c r="I177" i="2"/>
  <c r="I174" i="2"/>
  <c r="I171" i="2"/>
  <c r="I168" i="2"/>
  <c r="I172" i="2"/>
  <c r="I175" i="2"/>
  <c r="C172" i="2"/>
  <c r="C176" i="2"/>
  <c r="C173" i="2"/>
  <c r="C170" i="2"/>
  <c r="C167" i="2"/>
  <c r="C171" i="2"/>
  <c r="C177" i="2"/>
  <c r="C168" i="2"/>
  <c r="C174" i="2"/>
  <c r="I169" i="2"/>
  <c r="J176" i="2"/>
  <c r="J173" i="2"/>
  <c r="J170" i="2"/>
  <c r="J167" i="2"/>
  <c r="J172" i="2"/>
  <c r="J171" i="2"/>
  <c r="J177" i="2"/>
  <c r="J168" i="2"/>
  <c r="J174" i="2"/>
  <c r="K28" i="2"/>
  <c r="K19" i="2"/>
  <c r="K21" i="2" s="1"/>
  <c r="Z175" i="2"/>
  <c r="V169" i="2"/>
  <c r="AN84" i="2"/>
  <c r="AN89" i="2"/>
  <c r="AN88" i="2"/>
  <c r="AM88" i="2"/>
  <c r="Q172" i="2"/>
  <c r="R172" i="2"/>
  <c r="O169" i="2"/>
  <c r="N175" i="2"/>
  <c r="U173" i="2"/>
  <c r="U167" i="2"/>
  <c r="U176" i="2"/>
  <c r="U171" i="2"/>
  <c r="U174" i="2"/>
  <c r="U168" i="2"/>
  <c r="U175" i="2"/>
  <c r="U170" i="2"/>
  <c r="U177" i="2"/>
  <c r="U172" i="2"/>
  <c r="L164" i="2"/>
  <c r="L174" i="2"/>
  <c r="L170" i="2"/>
  <c r="L177" i="2"/>
  <c r="L176" i="2"/>
  <c r="L172" i="2"/>
  <c r="L168" i="2"/>
  <c r="L171" i="2"/>
  <c r="L167" i="2"/>
  <c r="L169" i="2"/>
  <c r="L173" i="2"/>
  <c r="AC174" i="2"/>
  <c r="AC175" i="2"/>
  <c r="AC177" i="2"/>
  <c r="AC171" i="2"/>
  <c r="AC173" i="2"/>
  <c r="AC167" i="2"/>
  <c r="AC168" i="2"/>
  <c r="AC176" i="2"/>
  <c r="AC170" i="2"/>
  <c r="S164" i="2"/>
  <c r="S177" i="2"/>
  <c r="S173" i="2"/>
  <c r="S167" i="2"/>
  <c r="S174" i="2"/>
  <c r="S170" i="2"/>
  <c r="S175" i="2"/>
  <c r="S171" i="2"/>
  <c r="S176" i="2"/>
  <c r="S168" i="2"/>
  <c r="AB164" i="2"/>
  <c r="AB176" i="2"/>
  <c r="AB170" i="2"/>
  <c r="AB173" i="2"/>
  <c r="AB174" i="2"/>
  <c r="AB177" i="2"/>
  <c r="AB171" i="2"/>
  <c r="AB167" i="2"/>
  <c r="AB168" i="2"/>
  <c r="AB175" i="2"/>
  <c r="S172" i="2"/>
  <c r="AC172" i="2"/>
  <c r="X174" i="2"/>
  <c r="X168" i="2"/>
  <c r="X171" i="2"/>
  <c r="X177" i="2"/>
  <c r="X176" i="2"/>
  <c r="X170" i="2"/>
  <c r="X172" i="2"/>
  <c r="X167" i="2"/>
  <c r="X173" i="2"/>
  <c r="K176" i="2"/>
  <c r="K174" i="2"/>
  <c r="K170" i="2"/>
  <c r="K168" i="2"/>
  <c r="K172" i="2"/>
  <c r="K171" i="2"/>
  <c r="K167" i="2"/>
  <c r="K173" i="2"/>
  <c r="K177" i="2"/>
  <c r="K169" i="2"/>
  <c r="P164" i="2"/>
  <c r="P170" i="2"/>
  <c r="P176" i="2"/>
  <c r="P168" i="2"/>
  <c r="P174" i="2"/>
  <c r="P177" i="2"/>
  <c r="P173" i="2"/>
  <c r="P167" i="2"/>
  <c r="P175" i="2"/>
  <c r="P171" i="2"/>
  <c r="U169" i="2"/>
  <c r="X175" i="2"/>
  <c r="P172" i="2"/>
  <c r="AA176" i="2"/>
  <c r="AA170" i="2"/>
  <c r="AA174" i="2"/>
  <c r="AA173" i="2"/>
  <c r="AA167" i="2"/>
  <c r="AA177" i="2"/>
  <c r="AA171" i="2"/>
  <c r="AA172" i="2"/>
  <c r="AA168" i="2"/>
  <c r="AA169" i="2"/>
  <c r="AA175" i="2"/>
  <c r="W164" i="2"/>
  <c r="W174" i="2"/>
  <c r="W168" i="2"/>
  <c r="W176" i="2"/>
  <c r="W170" i="2"/>
  <c r="W177" i="2"/>
  <c r="W171" i="2"/>
  <c r="W172" i="2"/>
  <c r="W167" i="2"/>
  <c r="W173" i="2"/>
  <c r="AB172" i="2"/>
  <c r="AD177" i="2"/>
  <c r="AD171" i="2"/>
  <c r="AD168" i="2"/>
  <c r="AD175" i="2"/>
  <c r="AD174" i="2"/>
  <c r="AD173" i="2"/>
  <c r="AD167" i="2"/>
  <c r="AD176" i="2"/>
  <c r="AD170" i="2"/>
  <c r="T170" i="2"/>
  <c r="T168" i="2"/>
  <c r="T176" i="2"/>
  <c r="T169" i="2"/>
  <c r="T174" i="2"/>
  <c r="T167" i="2"/>
  <c r="T177" i="2"/>
  <c r="T173" i="2"/>
  <c r="T172" i="2"/>
  <c r="T171" i="2"/>
  <c r="O164" i="2"/>
  <c r="O171" i="2"/>
  <c r="O167" i="2"/>
  <c r="O177" i="2"/>
  <c r="O173" i="2"/>
  <c r="O170" i="2"/>
  <c r="O176" i="2"/>
  <c r="O168" i="2"/>
  <c r="O174" i="2"/>
  <c r="AD169" i="2"/>
  <c r="N164" i="2"/>
  <c r="N171" i="2"/>
  <c r="N167" i="2"/>
  <c r="N177" i="2"/>
  <c r="N176" i="2"/>
  <c r="N172" i="2"/>
  <c r="N168" i="2"/>
  <c r="N173" i="2"/>
  <c r="N174" i="2"/>
  <c r="N170" i="2"/>
  <c r="R164" i="2"/>
  <c r="R176" i="2"/>
  <c r="R168" i="2"/>
  <c r="R170" i="2"/>
  <c r="R171" i="2"/>
  <c r="R174" i="2"/>
  <c r="R175" i="2"/>
  <c r="R167" i="2"/>
  <c r="R177" i="2"/>
  <c r="R173" i="2"/>
  <c r="Y175" i="2"/>
  <c r="O172" i="2"/>
  <c r="Z167" i="2"/>
  <c r="Z176" i="2"/>
  <c r="Z170" i="2"/>
  <c r="Z172" i="2"/>
  <c r="Z173" i="2"/>
  <c r="Z177" i="2"/>
  <c r="Z171" i="2"/>
  <c r="Z168" i="2"/>
  <c r="Z174" i="2"/>
  <c r="V164" i="2"/>
  <c r="V173" i="2"/>
  <c r="V167" i="2"/>
  <c r="V176" i="2"/>
  <c r="V171" i="2"/>
  <c r="V174" i="2"/>
  <c r="V168" i="2"/>
  <c r="V170" i="2"/>
  <c r="V177" i="2"/>
  <c r="V172" i="2"/>
  <c r="L175" i="2"/>
  <c r="W169" i="2"/>
  <c r="Y167" i="2"/>
  <c r="Y173" i="2"/>
  <c r="Y176" i="2"/>
  <c r="Y170" i="2"/>
  <c r="Y177" i="2"/>
  <c r="Y171" i="2"/>
  <c r="Y172" i="2"/>
  <c r="Y168" i="2"/>
  <c r="Y174" i="2"/>
  <c r="M177" i="2"/>
  <c r="M167" i="2"/>
  <c r="M173" i="2"/>
  <c r="M171" i="2"/>
  <c r="M176" i="2"/>
  <c r="M172" i="2"/>
  <c r="M168" i="2"/>
  <c r="M169" i="2"/>
  <c r="M170" i="2"/>
  <c r="M174" i="2"/>
  <c r="Q176" i="2"/>
  <c r="Q168" i="2"/>
  <c r="Q177" i="2"/>
  <c r="Q173" i="2"/>
  <c r="Q174" i="2"/>
  <c r="Q170" i="2"/>
  <c r="Q171" i="2"/>
  <c r="Q175" i="2"/>
  <c r="Q167" i="2"/>
  <c r="AD172" i="2"/>
  <c r="T175" i="2"/>
  <c r="Z150" i="2"/>
  <c r="Z164" i="2"/>
  <c r="M164" i="2"/>
  <c r="Q164" i="2"/>
  <c r="U150" i="2"/>
  <c r="U164" i="2"/>
  <c r="AA150" i="2"/>
  <c r="AA164" i="2"/>
  <c r="Y164" i="2"/>
  <c r="AD164" i="2"/>
  <c r="X150" i="2"/>
  <c r="X164" i="2"/>
  <c r="AC164" i="2"/>
  <c r="T164" i="2"/>
  <c r="W150" i="2"/>
  <c r="T150" i="2"/>
  <c r="S150" i="2"/>
  <c r="AB150" i="2"/>
  <c r="P150" i="2"/>
  <c r="V150" i="2"/>
  <c r="Q150" i="2"/>
  <c r="R150" i="2"/>
  <c r="Y150" i="2"/>
  <c r="AD150" i="2"/>
  <c r="AC150" i="2"/>
  <c r="O150" i="2"/>
  <c r="L84" i="2"/>
  <c r="M83" i="2" s="1"/>
  <c r="M84" i="2" s="1"/>
  <c r="N83" i="2" s="1"/>
  <c r="N84" i="2" s="1"/>
  <c r="O83" i="2" s="1"/>
  <c r="O84" i="2" s="1"/>
  <c r="P83" i="2" s="1"/>
  <c r="P84" i="2" s="1"/>
  <c r="Q83" i="2" s="1"/>
  <c r="Q84" i="2" s="1"/>
  <c r="R83" i="2" s="1"/>
  <c r="R84" i="2" s="1"/>
  <c r="S83" i="2" s="1"/>
  <c r="S84" i="2" s="1"/>
  <c r="T83" i="2" s="1"/>
  <c r="T84" i="2" s="1"/>
  <c r="U83" i="2" s="1"/>
  <c r="U84" i="2" s="1"/>
  <c r="V83" i="2" s="1"/>
  <c r="V84" i="2" s="1"/>
  <c r="W83" i="2" s="1"/>
  <c r="W84" i="2" s="1"/>
  <c r="X83" i="2" s="1"/>
  <c r="X84" i="2" s="1"/>
  <c r="Y83" i="2" s="1"/>
  <c r="Y84" i="2" s="1"/>
  <c r="Z83" i="2" s="1"/>
  <c r="Z84" i="2" s="1"/>
  <c r="AA83" i="2" s="1"/>
  <c r="AA84" i="2" s="1"/>
  <c r="AB83" i="2" s="1"/>
  <c r="AB84" i="2" s="1"/>
  <c r="AC83" i="2" s="1"/>
  <c r="AC84" i="2" s="1"/>
  <c r="AD83" i="2" s="1"/>
  <c r="AD84" i="2" s="1"/>
  <c r="O89" i="2"/>
  <c r="Q89" i="2"/>
  <c r="AB89" i="2"/>
  <c r="X89" i="2"/>
  <c r="Y89" i="2"/>
  <c r="Y88" i="2"/>
  <c r="L14" i="2"/>
  <c r="L17" i="2" s="1"/>
  <c r="Q14" i="2"/>
  <c r="Q17" i="2" s="1"/>
  <c r="S29" i="2"/>
  <c r="S26" i="2"/>
  <c r="R14" i="2"/>
  <c r="R17" i="2" s="1"/>
  <c r="S28" i="2"/>
  <c r="T14" i="2"/>
  <c r="T26" i="2"/>
  <c r="AC14" i="2"/>
  <c r="AC26" i="2"/>
  <c r="AD14" i="2"/>
  <c r="AD26" i="2"/>
  <c r="AA14" i="2"/>
  <c r="AA26" i="2"/>
  <c r="AB14" i="2"/>
  <c r="AB26" i="2"/>
  <c r="N26" i="2"/>
  <c r="Y14" i="2"/>
  <c r="Y26" i="2"/>
  <c r="P14" i="2"/>
  <c r="P28" i="2" s="1"/>
  <c r="P26" i="2"/>
  <c r="M14" i="2"/>
  <c r="M26" i="2"/>
  <c r="Z14" i="2"/>
  <c r="Z26" i="2"/>
  <c r="W14" i="2"/>
  <c r="W26" i="2"/>
  <c r="S21" i="2"/>
  <c r="S64" i="2"/>
  <c r="S30" i="2"/>
  <c r="U14" i="2"/>
  <c r="U26" i="2"/>
  <c r="O14" i="2"/>
  <c r="O26" i="2"/>
  <c r="X14" i="2"/>
  <c r="X26" i="2"/>
  <c r="V14" i="2"/>
  <c r="V26" i="2"/>
  <c r="J12" i="1"/>
  <c r="AS19" i="2" l="1"/>
  <c r="AO29" i="2"/>
  <c r="C29" i="2"/>
  <c r="J17" i="2"/>
  <c r="J29" i="2" s="1"/>
  <c r="AK88" i="2"/>
  <c r="AL89" i="2"/>
  <c r="D17" i="2"/>
  <c r="D28" i="2"/>
  <c r="I28" i="2"/>
  <c r="I17" i="2"/>
  <c r="E28" i="2"/>
  <c r="H28" i="2"/>
  <c r="H17" i="2"/>
  <c r="J19" i="2"/>
  <c r="G28" i="2"/>
  <c r="G17" i="2"/>
  <c r="E29" i="2"/>
  <c r="E19" i="2"/>
  <c r="F17" i="2"/>
  <c r="F28" i="2"/>
  <c r="C30" i="2"/>
  <c r="C21" i="2"/>
  <c r="C64" i="2"/>
  <c r="K64" i="2"/>
  <c r="K30" i="2"/>
  <c r="L28" i="2"/>
  <c r="R28" i="2"/>
  <c r="Q28" i="2"/>
  <c r="L19" i="2"/>
  <c r="L29" i="2"/>
  <c r="Z17" i="2"/>
  <c r="Z28" i="2"/>
  <c r="AB17" i="2"/>
  <c r="AB28" i="2"/>
  <c r="T17" i="2"/>
  <c r="T28" i="2"/>
  <c r="X17" i="2"/>
  <c r="X28" i="2"/>
  <c r="M17" i="2"/>
  <c r="M28" i="2"/>
  <c r="R19" i="2"/>
  <c r="R29" i="2"/>
  <c r="O17" i="2"/>
  <c r="O28" i="2"/>
  <c r="AA17" i="2"/>
  <c r="AA28" i="2"/>
  <c r="U17" i="2"/>
  <c r="U28" i="2"/>
  <c r="Q19" i="2"/>
  <c r="Q29" i="2"/>
  <c r="P17" i="2"/>
  <c r="Y17" i="2"/>
  <c r="Y28" i="2"/>
  <c r="AD17" i="2"/>
  <c r="AD28" i="2"/>
  <c r="V17" i="2"/>
  <c r="V28" i="2"/>
  <c r="W17" i="2"/>
  <c r="W28" i="2"/>
  <c r="N17" i="2"/>
  <c r="N28" i="2"/>
  <c r="AC17" i="2"/>
  <c r="AC28" i="2"/>
  <c r="AT19" i="2" l="1"/>
  <c r="AO21" i="2"/>
  <c r="H29" i="2"/>
  <c r="H19" i="2"/>
  <c r="D29" i="2"/>
  <c r="D19" i="2"/>
  <c r="I19" i="2"/>
  <c r="I29" i="2"/>
  <c r="E30" i="2"/>
  <c r="E21" i="2"/>
  <c r="E64" i="2"/>
  <c r="G19" i="2"/>
  <c r="G29" i="2"/>
  <c r="J30" i="2"/>
  <c r="J64" i="2"/>
  <c r="J21" i="2"/>
  <c r="F29" i="2"/>
  <c r="F19" i="2"/>
  <c r="AC19" i="2"/>
  <c r="AC29" i="2"/>
  <c r="Y19" i="2"/>
  <c r="Y29" i="2"/>
  <c r="P19" i="2"/>
  <c r="P29" i="2"/>
  <c r="R21" i="2"/>
  <c r="R64" i="2"/>
  <c r="R30" i="2"/>
  <c r="L21" i="2"/>
  <c r="L30" i="2"/>
  <c r="L64" i="2"/>
  <c r="Q21" i="2"/>
  <c r="Q64" i="2"/>
  <c r="Q30" i="2"/>
  <c r="M19" i="2"/>
  <c r="M29" i="2"/>
  <c r="N19" i="2"/>
  <c r="N29" i="2"/>
  <c r="U19" i="2"/>
  <c r="U29" i="2"/>
  <c r="X19" i="2"/>
  <c r="X29" i="2"/>
  <c r="W19" i="2"/>
  <c r="W29" i="2"/>
  <c r="AA19" i="2"/>
  <c r="AA29" i="2"/>
  <c r="T19" i="2"/>
  <c r="T29" i="2"/>
  <c r="V19" i="2"/>
  <c r="V29" i="2"/>
  <c r="AB19" i="2"/>
  <c r="AB29" i="2"/>
  <c r="AD19" i="2"/>
  <c r="AD29" i="2"/>
  <c r="O19" i="2"/>
  <c r="O29" i="2"/>
  <c r="Z19" i="2"/>
  <c r="AD37" i="2" s="1"/>
  <c r="Z29" i="2"/>
  <c r="AU19" i="2" l="1"/>
  <c r="AC37" i="2"/>
  <c r="AB37" i="2"/>
  <c r="X37" i="2"/>
  <c r="AA37" i="2"/>
  <c r="W37" i="2"/>
  <c r="V37" i="2"/>
  <c r="Z37" i="2"/>
  <c r="U37" i="2"/>
  <c r="Y37" i="2"/>
  <c r="I30" i="2"/>
  <c r="I64" i="2"/>
  <c r="I21" i="2"/>
  <c r="D30" i="2"/>
  <c r="D64" i="2"/>
  <c r="D21" i="2"/>
  <c r="H30" i="2"/>
  <c r="H64" i="2"/>
  <c r="H21" i="2"/>
  <c r="G64" i="2"/>
  <c r="G21" i="2"/>
  <c r="G30" i="2"/>
  <c r="F64" i="2"/>
  <c r="F21" i="2"/>
  <c r="F30" i="2"/>
  <c r="O21" i="2"/>
  <c r="O30" i="2"/>
  <c r="O64" i="2"/>
  <c r="AA21" i="2"/>
  <c r="AA64" i="2"/>
  <c r="AA30" i="2"/>
  <c r="AC21" i="2"/>
  <c r="AC30" i="2"/>
  <c r="AC64" i="2"/>
  <c r="AD21" i="2"/>
  <c r="AD30" i="2"/>
  <c r="AD64" i="2"/>
  <c r="W21" i="2"/>
  <c r="W64" i="2"/>
  <c r="W30" i="2"/>
  <c r="AB21" i="2"/>
  <c r="AB30" i="2"/>
  <c r="AB64" i="2"/>
  <c r="X21" i="2"/>
  <c r="X64" i="2"/>
  <c r="X30" i="2"/>
  <c r="U21" i="2"/>
  <c r="U30" i="2"/>
  <c r="U64" i="2"/>
  <c r="V21" i="2"/>
  <c r="V30" i="2"/>
  <c r="V64" i="2"/>
  <c r="N21" i="2"/>
  <c r="N30" i="2"/>
  <c r="N64" i="2"/>
  <c r="P21" i="2"/>
  <c r="P30" i="2"/>
  <c r="P64" i="2"/>
  <c r="Z21" i="2"/>
  <c r="Z64" i="2"/>
  <c r="Z30" i="2"/>
  <c r="T21" i="2"/>
  <c r="T64" i="2"/>
  <c r="T30" i="2"/>
  <c r="M21" i="2"/>
  <c r="M30" i="2"/>
  <c r="M64" i="2"/>
  <c r="Y21" i="2"/>
  <c r="Y64" i="2"/>
  <c r="Y30" i="2"/>
  <c r="AV19" i="2" l="1"/>
  <c r="AW19" i="2" l="1"/>
  <c r="AX19" i="2" l="1"/>
  <c r="AY19" i="2" l="1"/>
  <c r="AZ19" i="2" l="1"/>
  <c r="BA19" i="2" l="1"/>
  <c r="BB19" i="2" l="1"/>
  <c r="BC19" i="2" l="1"/>
  <c r="BD19" i="2" l="1"/>
  <c r="BE19" i="2" l="1"/>
  <c r="BF19" i="2" l="1"/>
  <c r="BG19" i="2" l="1"/>
  <c r="BH19" i="2" l="1"/>
  <c r="BI19" i="2" l="1"/>
  <c r="BJ19" i="2" l="1"/>
  <c r="BK19" i="2" l="1"/>
  <c r="BL19" i="2" l="1"/>
  <c r="BM19" i="2" l="1"/>
  <c r="BN19" i="2" l="1"/>
  <c r="BO19" i="2" l="1"/>
  <c r="BP19" i="2" l="1"/>
  <c r="BQ19" i="2" l="1"/>
  <c r="BS19" i="2" l="1"/>
  <c r="BR19" i="2"/>
</calcChain>
</file>

<file path=xl/sharedStrings.xml><?xml version="1.0" encoding="utf-8"?>
<sst xmlns="http://schemas.openxmlformats.org/spreadsheetml/2006/main" count="216" uniqueCount="153">
  <si>
    <t>P</t>
  </si>
  <si>
    <t>S/O</t>
  </si>
  <si>
    <t>MC</t>
  </si>
  <si>
    <t>Cash</t>
  </si>
  <si>
    <t>Debt</t>
  </si>
  <si>
    <t>EV</t>
  </si>
  <si>
    <t>Main</t>
  </si>
  <si>
    <t>Q225</t>
  </si>
  <si>
    <t>Q125</t>
  </si>
  <si>
    <t>Q223</t>
  </si>
  <si>
    <t>Q323</t>
  </si>
  <si>
    <t>Q423</t>
  </si>
  <si>
    <t>Q124</t>
  </si>
  <si>
    <t>Q224</t>
  </si>
  <si>
    <t>Q324</t>
  </si>
  <si>
    <t>Q424</t>
  </si>
  <si>
    <t>Q123</t>
  </si>
  <si>
    <t>Q325</t>
  </si>
  <si>
    <t>Q425</t>
  </si>
  <si>
    <t>Q126</t>
  </si>
  <si>
    <t>Q226</t>
  </si>
  <si>
    <t>Q326</t>
  </si>
  <si>
    <t>Q426</t>
  </si>
  <si>
    <t>Q127</t>
  </si>
  <si>
    <t>Q227</t>
  </si>
  <si>
    <t>Q327</t>
  </si>
  <si>
    <t>Q427</t>
  </si>
  <si>
    <t>Premiums</t>
  </si>
  <si>
    <t>Product revenue</t>
  </si>
  <si>
    <t>Service fees</t>
  </si>
  <si>
    <t>Total revenue</t>
  </si>
  <si>
    <t>Benefit expense</t>
  </si>
  <si>
    <t>Cost of products</t>
  </si>
  <si>
    <t>Operating expense</t>
  </si>
  <si>
    <t>COGS</t>
  </si>
  <si>
    <t>Gross profit</t>
  </si>
  <si>
    <t>Amort. of intangibles</t>
  </si>
  <si>
    <t>OpEx</t>
  </si>
  <si>
    <t>OpInc</t>
  </si>
  <si>
    <t>Interest expense</t>
  </si>
  <si>
    <t>Pretax income</t>
  </si>
  <si>
    <t>Taxes</t>
  </si>
  <si>
    <t>Net Income</t>
  </si>
  <si>
    <t>EPS</t>
  </si>
  <si>
    <t>Interest income</t>
  </si>
  <si>
    <t>DPS</t>
  </si>
  <si>
    <t>Adj. NI</t>
  </si>
  <si>
    <t>Gross Margin</t>
  </si>
  <si>
    <t>Op Margin</t>
  </si>
  <si>
    <t>Interest Margin</t>
  </si>
  <si>
    <t>Tax Margin</t>
  </si>
  <si>
    <t>Net Margin</t>
  </si>
  <si>
    <t>YoY Revenue</t>
  </si>
  <si>
    <t>YoY Premiums</t>
  </si>
  <si>
    <t>YoY Product revenue</t>
  </si>
  <si>
    <t>YoY Service fees</t>
  </si>
  <si>
    <t>Adj. Net Margin</t>
  </si>
  <si>
    <t>Model NI</t>
  </si>
  <si>
    <t>GAAP NI</t>
  </si>
  <si>
    <t>Net Cash</t>
  </si>
  <si>
    <t>OCA</t>
  </si>
  <si>
    <t>Held for sale</t>
  </si>
  <si>
    <t>PP&amp;A</t>
  </si>
  <si>
    <t>ONCA</t>
  </si>
  <si>
    <t>Total assets</t>
  </si>
  <si>
    <t>Claims pay.</t>
  </si>
  <si>
    <t>Short-term debt</t>
  </si>
  <si>
    <t>Current long-term debt</t>
  </si>
  <si>
    <t>OCL</t>
  </si>
  <si>
    <t>Long-term debt</t>
  </si>
  <si>
    <t>ONCL</t>
  </si>
  <si>
    <t>Total liabilities</t>
  </si>
  <si>
    <t xml:space="preserve">SE </t>
  </si>
  <si>
    <t>L+SE</t>
  </si>
  <si>
    <t>D&amp;A</t>
  </si>
  <si>
    <t>Share-based comp.</t>
  </si>
  <si>
    <t>A/R</t>
  </si>
  <si>
    <t>CFFO</t>
  </si>
  <si>
    <t>Investments</t>
  </si>
  <si>
    <t>Subsidiaries</t>
  </si>
  <si>
    <t>CapEx</t>
  </si>
  <si>
    <t>Other</t>
  </si>
  <si>
    <t>CFFI</t>
  </si>
  <si>
    <t>Repurchase of stock</t>
  </si>
  <si>
    <t>CFFF</t>
  </si>
  <si>
    <t>FX adj.</t>
  </si>
  <si>
    <t>CF</t>
  </si>
  <si>
    <t>FCF</t>
  </si>
  <si>
    <t>CapEx Margin</t>
  </si>
  <si>
    <t>FCF Margin</t>
  </si>
  <si>
    <t>YoY FCF</t>
  </si>
  <si>
    <t>Changes in assets and liabilities</t>
  </si>
  <si>
    <t>Other non-cash</t>
  </si>
  <si>
    <t>Dividends</t>
  </si>
  <si>
    <t>BOP Cash</t>
  </si>
  <si>
    <t>EOP Cash</t>
  </si>
  <si>
    <t>Health Benefits</t>
  </si>
  <si>
    <t>Operating Revenue</t>
  </si>
  <si>
    <t>CarelonRx</t>
  </si>
  <si>
    <t>Carelon Services</t>
  </si>
  <si>
    <t>Corporate &amp; Other</t>
  </si>
  <si>
    <t>Eliminations</t>
  </si>
  <si>
    <t>Total</t>
  </si>
  <si>
    <t>Operating Gains</t>
  </si>
  <si>
    <t>Operating Margin</t>
  </si>
  <si>
    <t>YoY Growth</t>
  </si>
  <si>
    <t>Medical Membership (in thousands)</t>
  </si>
  <si>
    <t>Individual</t>
  </si>
  <si>
    <t>Employer Group</t>
  </si>
  <si>
    <t>Commercial Risk-Based</t>
  </si>
  <si>
    <t>BlueCard</t>
  </si>
  <si>
    <t>Employer Group Fee-Based</t>
  </si>
  <si>
    <t>Commercial Fee-Based</t>
  </si>
  <si>
    <t>MCR Adv.</t>
  </si>
  <si>
    <t>Total MCR</t>
  </si>
  <si>
    <t>MCD</t>
  </si>
  <si>
    <t>MCR Sup.</t>
  </si>
  <si>
    <t>Fed. Employee Program</t>
  </si>
  <si>
    <t>Total Membership</t>
  </si>
  <si>
    <t>Other Metrics (in millions)</t>
  </si>
  <si>
    <t>CarelonRx Quarterly Adjusted Scripts</t>
  </si>
  <si>
    <t>Carelon Services Consumers Served</t>
  </si>
  <si>
    <t>QoQ Growth</t>
  </si>
  <si>
    <t>% of Total</t>
  </si>
  <si>
    <t>Securities</t>
  </si>
  <si>
    <t>Long-term Inv.</t>
  </si>
  <si>
    <t>Goodwill and intangibles</t>
  </si>
  <si>
    <t>Other Membership (in thousands)</t>
  </si>
  <si>
    <t>Dental Members</t>
  </si>
  <si>
    <t>Dental Admin. Members</t>
  </si>
  <si>
    <t>Vision Members</t>
  </si>
  <si>
    <t>MCR Part D Only</t>
  </si>
  <si>
    <t>Wellpoint/Amerigroup</t>
  </si>
  <si>
    <t>Carelon</t>
  </si>
  <si>
    <t>Anthem BCBS</t>
  </si>
  <si>
    <t>Life and Disability Members</t>
  </si>
  <si>
    <t>Q121</t>
  </si>
  <si>
    <t>Q221</t>
  </si>
  <si>
    <t>Q321</t>
  </si>
  <si>
    <t>Q421</t>
  </si>
  <si>
    <t>Q122</t>
  </si>
  <si>
    <t>Q222</t>
  </si>
  <si>
    <t>Q322</t>
  </si>
  <si>
    <t>Q422</t>
  </si>
  <si>
    <t>YoY NI</t>
  </si>
  <si>
    <t>NI Model</t>
  </si>
  <si>
    <t>Thesis: Healthcare is not going anywhere, revenue will continue to crow at a rate of risk premium (1~2%), margins will be squeezed by regulation but, tech will help business cut costs and increase margins)</t>
  </si>
  <si>
    <t>Maturity</t>
  </si>
  <si>
    <t>Discount</t>
  </si>
  <si>
    <t>NPV</t>
  </si>
  <si>
    <t>Share</t>
  </si>
  <si>
    <t>Current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</si>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</sst>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71" formatCode="#,##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5" fillId="0" borderId="0" xfId="1" applyFon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9" fontId="1" fillId="0" borderId="0" xfId="0" applyNumberFormat="1" applyFont="1"/>
    <xf numFmtId="166" fontId="1" fillId="0" borderId="0" xfId="0" applyNumberFormat="1" applyFont="1"/>
    <xf numFmtId="166" fontId="2" fillId="0" borderId="0" xfId="0" applyNumberFormat="1" applyFont="1"/>
    <xf numFmtId="3" fontId="2" fillId="0" borderId="0" xfId="0" applyNumberFormat="1" applyFont="1" applyAlignment="1">
      <alignment horizontal="left" indent="1"/>
    </xf>
    <xf numFmtId="171" fontId="2" fillId="0" borderId="0" xfId="0" applyNumberFormat="1" applyFont="1"/>
    <xf numFmtId="171" fontId="1" fillId="0" borderId="0" xfId="0" applyNumberFormat="1" applyFont="1"/>
    <xf numFmtId="166" fontId="2" fillId="0" borderId="0" xfId="0" applyNumberFormat="1" applyFont="1" applyAlignment="1">
      <alignment horizontal="left" indent="1"/>
    </xf>
    <xf numFmtId="2" fontId="1" fillId="0" borderId="0" xfId="0" applyNumberFormat="1" applyFont="1"/>
    <xf numFmtId="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7620</xdr:colOff>
      <xdr:row>0</xdr:row>
      <xdr:rowOff>38100</xdr:rowOff>
    </xdr:from>
    <xdr:to>
      <xdr:col>40</xdr:col>
      <xdr:colOff>7620</xdr:colOff>
      <xdr:row>201</xdr:row>
      <xdr:rowOff>152400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CD8CBA7-4813-1736-B1E6-F89C3F1C8269}"/>
            </a:ext>
          </a:extLst>
        </xdr:cNvPr>
        <xdr:cNvCxnSpPr/>
      </xdr:nvCxnSpPr>
      <xdr:spPr>
        <a:xfrm>
          <a:off x="24391620" y="38100"/>
          <a:ext cx="0" cy="34575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0</xdr:row>
      <xdr:rowOff>22860</xdr:rowOff>
    </xdr:from>
    <xdr:to>
      <xdr:col>20</xdr:col>
      <xdr:colOff>0</xdr:colOff>
      <xdr:row>202</xdr:row>
      <xdr:rowOff>38100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EE63DAF-B242-62E9-BD2B-93D06B6DEF47}"/>
            </a:ext>
          </a:extLst>
        </xdr:cNvPr>
        <xdr:cNvCxnSpPr/>
      </xdr:nvCxnSpPr>
      <xdr:spPr>
        <a:xfrm>
          <a:off x="12192000" y="22860"/>
          <a:ext cx="0" cy="33878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J12"/>
  <sheetViews>
    <sheetView tabSelected="1" workbookViewId="0">
      <selection activeCell="N5" sqref="N5"/>
    </sheetView>
  </sheetViews>
  <sheetFormatPr defaultRowHeight="13.2" x14ac:dyDescent="0.25"/>
  <cols>
    <col min="1" max="16384" width="8.88671875" style="1"/>
  </cols>
  <sheetData>
    <row r="6" spans="3:10" x14ac:dyDescent="0.25">
      <c r="I6" s="1" t="s">
        <v>0</v>
      </c>
      <c r="J6" s="2">
        <v>311</v>
      </c>
    </row>
    <row r="7" spans="3:10" x14ac:dyDescent="0.25">
      <c r="C7" s="1" t="s">
        <v>134</v>
      </c>
      <c r="I7" s="1" t="s">
        <v>1</v>
      </c>
      <c r="J7" s="3">
        <v>225.178304</v>
      </c>
    </row>
    <row r="8" spans="3:10" x14ac:dyDescent="0.25">
      <c r="C8" s="1" t="s">
        <v>132</v>
      </c>
      <c r="I8" s="1" t="s">
        <v>2</v>
      </c>
      <c r="J8" s="3">
        <f>+J6*J7</f>
        <v>70030.452544</v>
      </c>
    </row>
    <row r="9" spans="3:10" x14ac:dyDescent="0.25">
      <c r="C9" s="1" t="s">
        <v>133</v>
      </c>
      <c r="I9" s="1" t="s">
        <v>3</v>
      </c>
      <c r="J9" s="3">
        <f>Model!T41+Model!T42+Model!T46</f>
        <v>46345</v>
      </c>
    </row>
    <row r="10" spans="3:10" x14ac:dyDescent="0.25">
      <c r="I10" s="1" t="s">
        <v>4</v>
      </c>
      <c r="J10" s="3">
        <f>Model!T52+Model!T53+Model!T56</f>
        <v>30186</v>
      </c>
    </row>
    <row r="11" spans="3:10" x14ac:dyDescent="0.25">
      <c r="J11" s="3"/>
    </row>
    <row r="12" spans="3:10" x14ac:dyDescent="0.25">
      <c r="I12" s="1" t="s">
        <v>5</v>
      </c>
      <c r="J12" s="3">
        <f>+J8-J9+J10</f>
        <v>53871.452544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9E70-C05A-4489-8D92-5CB5F15AB623}">
  <dimension ref="A1:YP202"/>
  <sheetViews>
    <sheetView zoomScale="80" zoomScaleNormal="80" workbookViewId="0">
      <pane xSplit="2" ySplit="2" topLeftCell="AE19" activePane="bottomRight" state="frozen"/>
      <selection pane="topRight" activeCell="C1" sqref="C1"/>
      <selection pane="bottomLeft" activeCell="A3" sqref="A3"/>
      <selection pane="bottomRight" activeCell="AX38" sqref="AX38"/>
    </sheetView>
  </sheetViews>
  <sheetFormatPr defaultRowHeight="13.2" x14ac:dyDescent="0.25"/>
  <cols>
    <col min="1" max="49" width="8.88671875" style="1"/>
    <col min="50" max="50" width="8.5546875" style="1" customWidth="1"/>
    <col min="51" max="16384" width="8.88671875" style="1"/>
  </cols>
  <sheetData>
    <row r="1" spans="1:71" x14ac:dyDescent="0.25">
      <c r="A1" s="4" t="s">
        <v>6</v>
      </c>
    </row>
    <row r="2" spans="1:71" x14ac:dyDescent="0.25">
      <c r="C2" s="1" t="s">
        <v>136</v>
      </c>
      <c r="D2" s="1" t="s">
        <v>137</v>
      </c>
      <c r="E2" s="1" t="s">
        <v>138</v>
      </c>
      <c r="F2" s="1" t="s">
        <v>139</v>
      </c>
      <c r="G2" s="1" t="s">
        <v>140</v>
      </c>
      <c r="H2" s="1" t="s">
        <v>141</v>
      </c>
      <c r="I2" s="1" t="s">
        <v>142</v>
      </c>
      <c r="J2" s="1" t="s">
        <v>143</v>
      </c>
      <c r="K2" s="1" t="s">
        <v>16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8</v>
      </c>
      <c r="T2" s="1" t="s">
        <v>7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K2" s="1">
        <v>2021</v>
      </c>
      <c r="AL2" s="1">
        <v>2022</v>
      </c>
      <c r="AM2" s="1">
        <v>2023</v>
      </c>
      <c r="AN2" s="1">
        <v>2024</v>
      </c>
      <c r="AO2" s="1">
        <v>2025</v>
      </c>
      <c r="AP2" s="1">
        <v>2026</v>
      </c>
      <c r="AQ2" s="1">
        <v>2027</v>
      </c>
      <c r="AR2" s="1">
        <v>2028</v>
      </c>
      <c r="AS2" s="1">
        <v>2029</v>
      </c>
      <c r="AT2" s="1">
        <v>2030</v>
      </c>
      <c r="AU2" s="1">
        <v>2031</v>
      </c>
      <c r="AV2" s="1">
        <v>2032</v>
      </c>
      <c r="AW2" s="1">
        <v>2033</v>
      </c>
      <c r="AX2" s="1">
        <v>2034</v>
      </c>
      <c r="AY2" s="1">
        <v>2035</v>
      </c>
      <c r="AZ2" s="1">
        <v>2036</v>
      </c>
      <c r="BA2" s="1">
        <v>2037</v>
      </c>
      <c r="BB2" s="1">
        <v>2038</v>
      </c>
      <c r="BC2" s="1">
        <v>2039</v>
      </c>
      <c r="BD2" s="1">
        <v>2040</v>
      </c>
      <c r="BE2" s="1">
        <v>2041</v>
      </c>
      <c r="BF2" s="1">
        <v>2042</v>
      </c>
      <c r="BG2" s="1">
        <v>2043</v>
      </c>
      <c r="BH2" s="1">
        <v>2044</v>
      </c>
      <c r="BI2" s="1">
        <v>2045</v>
      </c>
      <c r="BJ2" s="1">
        <v>2046</v>
      </c>
      <c r="BK2" s="1">
        <v>2047</v>
      </c>
      <c r="BL2" s="1">
        <v>2048</v>
      </c>
      <c r="BM2" s="1">
        <v>2049</v>
      </c>
      <c r="BN2" s="1">
        <v>2050</v>
      </c>
      <c r="BO2" s="1">
        <v>2051</v>
      </c>
      <c r="BP2" s="1">
        <v>2052</v>
      </c>
      <c r="BQ2" s="1">
        <v>2053</v>
      </c>
      <c r="BR2" s="1">
        <v>2054</v>
      </c>
      <c r="BS2" s="1">
        <v>2055</v>
      </c>
    </row>
    <row r="3" spans="1:71" s="3" customFormat="1" x14ac:dyDescent="0.25">
      <c r="B3" s="3" t="s">
        <v>27</v>
      </c>
      <c r="C3" s="3">
        <v>27676</v>
      </c>
      <c r="D3" s="3">
        <v>28533</v>
      </c>
      <c r="E3" s="3">
        <v>30395</v>
      </c>
      <c r="F3" s="3">
        <v>30769</v>
      </c>
      <c r="G3" s="3">
        <v>32785</v>
      </c>
      <c r="H3" s="3">
        <v>33076</v>
      </c>
      <c r="I3" s="3">
        <v>33722</v>
      </c>
      <c r="J3" s="3">
        <v>33646</v>
      </c>
      <c r="K3" s="3">
        <v>35868</v>
      </c>
      <c r="L3" s="3">
        <v>36589</v>
      </c>
      <c r="M3" s="3">
        <v>35259</v>
      </c>
      <c r="N3" s="3">
        <v>35138</v>
      </c>
      <c r="O3" s="3">
        <v>35696</v>
      </c>
      <c r="P3" s="3">
        <v>35416</v>
      </c>
      <c r="Q3" s="3">
        <v>36809</v>
      </c>
      <c r="R3" s="3">
        <v>36245</v>
      </c>
      <c r="S3" s="3">
        <v>40887</v>
      </c>
      <c r="T3" s="3">
        <v>41271</v>
      </c>
      <c r="U3" s="3">
        <v>49260</v>
      </c>
      <c r="V3" s="3">
        <v>49560</v>
      </c>
      <c r="W3" s="3">
        <v>51080</v>
      </c>
      <c r="X3" s="3">
        <v>52330</v>
      </c>
      <c r="Y3" s="3">
        <v>51720</v>
      </c>
      <c r="Z3" s="3">
        <v>51940</v>
      </c>
      <c r="AA3" s="3">
        <v>54260</v>
      </c>
      <c r="AB3" s="3">
        <v>55940</v>
      </c>
      <c r="AC3" s="3">
        <f>+Y3*1.04</f>
        <v>53788.800000000003</v>
      </c>
      <c r="AD3" s="3">
        <f>+Z3*1.04</f>
        <v>54017.599999999999</v>
      </c>
      <c r="AK3" s="3">
        <f>+C3+D3+E3+F3</f>
        <v>117373</v>
      </c>
      <c r="AL3" s="3">
        <f>+G3+H3+I3+J3</f>
        <v>133229</v>
      </c>
      <c r="AM3" s="3">
        <f>+K3+L3+M3+N3</f>
        <v>142854</v>
      </c>
      <c r="AN3" s="3">
        <f>+O3+P3+Q3+R3</f>
        <v>144166</v>
      </c>
      <c r="AO3" s="3">
        <f>+S3+T3+U3+V3</f>
        <v>180978</v>
      </c>
      <c r="AP3" s="3">
        <f>+W3+X3+Y3+Z3</f>
        <v>207070</v>
      </c>
      <c r="AQ3" s="3">
        <f>+AA3+AB3+AC3+AD3</f>
        <v>218006.39999999999</v>
      </c>
      <c r="AR3" s="3">
        <f>+AQ3*1.05</f>
        <v>228906.72</v>
      </c>
      <c r="AS3" s="3">
        <f t="shared" ref="AS3:AY3" si="0">+AR3*1.05</f>
        <v>240352.05600000001</v>
      </c>
      <c r="AT3" s="3">
        <f t="shared" si="0"/>
        <v>252369.65880000003</v>
      </c>
      <c r="AU3" s="3">
        <f t="shared" si="0"/>
        <v>264988.14174000005</v>
      </c>
      <c r="AV3" s="3">
        <f t="shared" si="0"/>
        <v>278237.54882700008</v>
      </c>
      <c r="AW3" s="3">
        <f t="shared" si="0"/>
        <v>292149.4262683501</v>
      </c>
      <c r="AX3" s="3">
        <f t="shared" si="0"/>
        <v>306756.89758176764</v>
      </c>
      <c r="AY3" s="3">
        <f t="shared" si="0"/>
        <v>322094.74246085604</v>
      </c>
    </row>
    <row r="4" spans="1:71" s="3" customFormat="1" x14ac:dyDescent="0.25">
      <c r="B4" s="3" t="s">
        <v>28</v>
      </c>
      <c r="C4" s="3">
        <v>2737</v>
      </c>
      <c r="D4" s="3">
        <v>3042</v>
      </c>
      <c r="E4" s="3">
        <v>3353</v>
      </c>
      <c r="F4" s="3">
        <v>3525</v>
      </c>
      <c r="G4" s="3">
        <v>3301</v>
      </c>
      <c r="H4" s="3">
        <v>3568</v>
      </c>
      <c r="I4" s="3">
        <v>3972</v>
      </c>
      <c r="J4" s="3">
        <v>4137</v>
      </c>
      <c r="K4" s="3">
        <v>4022</v>
      </c>
      <c r="L4" s="3">
        <v>4859</v>
      </c>
      <c r="M4" s="3">
        <v>5177</v>
      </c>
      <c r="N4" s="3">
        <v>5394</v>
      </c>
      <c r="O4" s="3">
        <v>4499</v>
      </c>
      <c r="P4" s="3">
        <v>5530</v>
      </c>
      <c r="Q4" s="3">
        <v>5887</v>
      </c>
      <c r="R4" s="3">
        <v>6714</v>
      </c>
      <c r="S4" s="3">
        <v>5809</v>
      </c>
      <c r="T4" s="3">
        <v>6042</v>
      </c>
      <c r="AK4" s="3">
        <f t="shared" ref="AK4:AK5" si="1">+C4+D4+E4+F4</f>
        <v>12657</v>
      </c>
      <c r="AL4" s="3">
        <f t="shared" ref="AL4:AL5" si="2">+G4+H4+I4+J4</f>
        <v>14978</v>
      </c>
      <c r="AM4" s="3">
        <f t="shared" ref="AM4:AM5" si="3">+K4+L4+M4+N4</f>
        <v>19452</v>
      </c>
      <c r="AN4" s="3">
        <f t="shared" ref="AN4:AN5" si="4">+O4+P4+Q4+R4</f>
        <v>22630</v>
      </c>
    </row>
    <row r="5" spans="1:71" s="3" customFormat="1" x14ac:dyDescent="0.25">
      <c r="B5" s="3" t="s">
        <v>29</v>
      </c>
      <c r="C5" s="3">
        <v>1685</v>
      </c>
      <c r="D5" s="3">
        <v>1704</v>
      </c>
      <c r="E5" s="3">
        <v>1800</v>
      </c>
      <c r="F5" s="3">
        <v>1724</v>
      </c>
      <c r="G5" s="3">
        <v>1800</v>
      </c>
      <c r="H5" s="3">
        <v>1838</v>
      </c>
      <c r="I5" s="3">
        <v>1931</v>
      </c>
      <c r="J5" s="3">
        <v>1884</v>
      </c>
      <c r="K5" s="3">
        <v>2008</v>
      </c>
      <c r="L5" s="3">
        <v>1929</v>
      </c>
      <c r="M5" s="3">
        <v>2044</v>
      </c>
      <c r="N5" s="3">
        <v>1922</v>
      </c>
      <c r="O5" s="3">
        <v>2078</v>
      </c>
      <c r="P5" s="3">
        <v>2277</v>
      </c>
      <c r="Q5" s="3">
        <v>2023</v>
      </c>
      <c r="R5" s="3">
        <v>2030</v>
      </c>
      <c r="S5" s="3">
        <v>2069</v>
      </c>
      <c r="T5" s="3">
        <v>2108</v>
      </c>
      <c r="AK5" s="3">
        <f t="shared" si="1"/>
        <v>6913</v>
      </c>
      <c r="AL5" s="3">
        <f t="shared" si="2"/>
        <v>7453</v>
      </c>
      <c r="AM5" s="3">
        <f t="shared" si="3"/>
        <v>7903</v>
      </c>
      <c r="AN5" s="3">
        <f t="shared" si="4"/>
        <v>8408</v>
      </c>
    </row>
    <row r="6" spans="1:71" s="6" customFormat="1" x14ac:dyDescent="0.25">
      <c r="B6" s="6" t="s">
        <v>30</v>
      </c>
      <c r="C6" s="6">
        <f t="shared" ref="C6" si="5">SUM(C3:C5)</f>
        <v>32098</v>
      </c>
      <c r="D6" s="6">
        <f t="shared" ref="D6" si="6">SUM(D3:D5)</f>
        <v>33279</v>
      </c>
      <c r="E6" s="6">
        <f t="shared" ref="E6" si="7">SUM(E3:E5)</f>
        <v>35548</v>
      </c>
      <c r="F6" s="6">
        <f t="shared" ref="F6" si="8">SUM(F3:F5)</f>
        <v>36018</v>
      </c>
      <c r="G6" s="6">
        <f t="shared" ref="G6" si="9">SUM(G3:G5)</f>
        <v>37886</v>
      </c>
      <c r="H6" s="6">
        <f t="shared" ref="H6" si="10">SUM(H3:H5)</f>
        <v>38482</v>
      </c>
      <c r="I6" s="6">
        <f t="shared" ref="I6" si="11">SUM(I3:I5)</f>
        <v>39625</v>
      </c>
      <c r="J6" s="6">
        <f t="shared" ref="J6" si="12">SUM(J3:J5)</f>
        <v>39667</v>
      </c>
      <c r="K6" s="6">
        <f t="shared" ref="K6:R6" si="13">SUM(K3:K5)</f>
        <v>41898</v>
      </c>
      <c r="L6" s="6">
        <f t="shared" si="13"/>
        <v>43377</v>
      </c>
      <c r="M6" s="6">
        <f t="shared" si="13"/>
        <v>42480</v>
      </c>
      <c r="N6" s="6">
        <f t="shared" si="13"/>
        <v>42454</v>
      </c>
      <c r="O6" s="6">
        <f t="shared" si="13"/>
        <v>42273</v>
      </c>
      <c r="P6" s="6">
        <f t="shared" si="13"/>
        <v>43223</v>
      </c>
      <c r="Q6" s="6">
        <f t="shared" si="13"/>
        <v>44719</v>
      </c>
      <c r="R6" s="6">
        <f t="shared" si="13"/>
        <v>44989</v>
      </c>
      <c r="S6" s="6">
        <f>SUM(S3:S5)</f>
        <v>48765</v>
      </c>
      <c r="T6" s="6">
        <f>SUM(T3:T5)</f>
        <v>49421</v>
      </c>
      <c r="U6" s="6">
        <f t="shared" ref="U6:AD6" si="14">SUM(U3:U5)</f>
        <v>49260</v>
      </c>
      <c r="V6" s="6">
        <f t="shared" si="14"/>
        <v>49560</v>
      </c>
      <c r="W6" s="6">
        <f t="shared" si="14"/>
        <v>51080</v>
      </c>
      <c r="X6" s="6">
        <f t="shared" si="14"/>
        <v>52330</v>
      </c>
      <c r="Y6" s="6">
        <f t="shared" si="14"/>
        <v>51720</v>
      </c>
      <c r="Z6" s="6">
        <f t="shared" si="14"/>
        <v>51940</v>
      </c>
      <c r="AA6" s="6">
        <f t="shared" si="14"/>
        <v>54260</v>
      </c>
      <c r="AB6" s="6">
        <f t="shared" si="14"/>
        <v>55940</v>
      </c>
      <c r="AC6" s="6">
        <f t="shared" si="14"/>
        <v>53788.800000000003</v>
      </c>
      <c r="AD6" s="6">
        <f t="shared" si="14"/>
        <v>54017.599999999999</v>
      </c>
      <c r="AK6" s="6">
        <f t="shared" ref="AK6" si="15">SUM(AK3:AK5)</f>
        <v>136943</v>
      </c>
      <c r="AL6" s="6">
        <f t="shared" ref="AL6" si="16">SUM(AL3:AL5)</f>
        <v>155660</v>
      </c>
      <c r="AM6" s="6">
        <f t="shared" ref="AM6" si="17">SUM(AM3:AM5)</f>
        <v>170209</v>
      </c>
      <c r="AN6" s="6">
        <f t="shared" ref="AN6" si="18">SUM(AN3:AN5)</f>
        <v>175204</v>
      </c>
      <c r="AO6" s="6">
        <f>SUM(AO3:AO5)</f>
        <v>180978</v>
      </c>
      <c r="AP6" s="6">
        <f t="shared" ref="AP6:AQ6" si="19">SUM(AP3:AP5)</f>
        <v>207070</v>
      </c>
      <c r="AQ6" s="6">
        <f t="shared" si="19"/>
        <v>218006.39999999999</v>
      </c>
      <c r="AR6" s="6">
        <f t="shared" ref="AR6" si="20">SUM(AR3:AR5)</f>
        <v>228906.72</v>
      </c>
      <c r="AS6" s="6">
        <f t="shared" ref="AS6" si="21">SUM(AS3:AS5)</f>
        <v>240352.05600000001</v>
      </c>
      <c r="AT6" s="6">
        <f t="shared" ref="AT6" si="22">SUM(AT3:AT5)</f>
        <v>252369.65880000003</v>
      </c>
      <c r="AU6" s="6">
        <f t="shared" ref="AU6" si="23">SUM(AU3:AU5)</f>
        <v>264988.14174000005</v>
      </c>
      <c r="AV6" s="6">
        <f t="shared" ref="AV6" si="24">SUM(AV3:AV5)</f>
        <v>278237.54882700008</v>
      </c>
      <c r="AW6" s="6">
        <f t="shared" ref="AW6" si="25">SUM(AW3:AW5)</f>
        <v>292149.4262683501</v>
      </c>
      <c r="AX6" s="6">
        <f t="shared" ref="AX6" si="26">SUM(AX3:AX5)</f>
        <v>306756.89758176764</v>
      </c>
      <c r="AY6" s="6">
        <f t="shared" ref="AY6" si="27">SUM(AY3:AY5)</f>
        <v>322094.74246085604</v>
      </c>
      <c r="AZ6" s="6">
        <f>+AY6*1.03</f>
        <v>331757.5847346817</v>
      </c>
      <c r="BA6" s="6">
        <f t="shared" ref="BA6:BS6" si="28">+AZ6*1.03</f>
        <v>341710.31227672216</v>
      </c>
      <c r="BB6" s="6">
        <f t="shared" si="28"/>
        <v>351961.62164502381</v>
      </c>
      <c r="BC6" s="6">
        <f t="shared" si="28"/>
        <v>362520.47029437457</v>
      </c>
      <c r="BD6" s="6">
        <f t="shared" si="28"/>
        <v>373396.08440320584</v>
      </c>
      <c r="BE6" s="6">
        <f t="shared" si="28"/>
        <v>384597.96693530201</v>
      </c>
      <c r="BF6" s="6">
        <f t="shared" si="28"/>
        <v>396135.90594336111</v>
      </c>
      <c r="BG6" s="6">
        <f t="shared" si="28"/>
        <v>408019.98312166194</v>
      </c>
      <c r="BH6" s="6">
        <f t="shared" si="28"/>
        <v>420260.58261531178</v>
      </c>
      <c r="BI6" s="6">
        <f t="shared" si="28"/>
        <v>432868.40009377117</v>
      </c>
      <c r="BJ6" s="6">
        <f t="shared" si="28"/>
        <v>445854.45209658431</v>
      </c>
      <c r="BK6" s="6">
        <f t="shared" si="28"/>
        <v>459230.08565948188</v>
      </c>
      <c r="BL6" s="6">
        <f t="shared" si="28"/>
        <v>473006.98822926637</v>
      </c>
      <c r="BM6" s="6">
        <f t="shared" si="28"/>
        <v>487197.19787614438</v>
      </c>
      <c r="BN6" s="6">
        <f t="shared" si="28"/>
        <v>501813.11381242872</v>
      </c>
      <c r="BO6" s="6">
        <f t="shared" si="28"/>
        <v>516867.50722680159</v>
      </c>
      <c r="BP6" s="6">
        <f t="shared" si="28"/>
        <v>532373.53244360571</v>
      </c>
      <c r="BQ6" s="6">
        <f t="shared" si="28"/>
        <v>548344.7384169139</v>
      </c>
      <c r="BR6" s="6">
        <f t="shared" si="28"/>
        <v>564795.08056942129</v>
      </c>
      <c r="BS6" s="6">
        <f t="shared" si="28"/>
        <v>581738.93298650393</v>
      </c>
    </row>
    <row r="7" spans="1:71" s="3" customFormat="1" x14ac:dyDescent="0.25">
      <c r="B7" s="3" t="s">
        <v>31</v>
      </c>
      <c r="C7" s="3">
        <v>23699</v>
      </c>
      <c r="D7" s="3">
        <v>24763</v>
      </c>
      <c r="E7" s="3">
        <v>26645</v>
      </c>
      <c r="F7" s="3">
        <v>27538</v>
      </c>
      <c r="G7" s="3">
        <v>28215</v>
      </c>
      <c r="H7" s="3">
        <v>28777</v>
      </c>
      <c r="I7" s="3">
        <v>29404</v>
      </c>
      <c r="J7" s="3">
        <v>30091</v>
      </c>
      <c r="K7" s="3">
        <v>30786</v>
      </c>
      <c r="L7" s="3">
        <v>31604</v>
      </c>
      <c r="M7" s="3">
        <v>30606</v>
      </c>
      <c r="N7" s="3">
        <v>31334</v>
      </c>
      <c r="O7" s="3">
        <v>30546</v>
      </c>
      <c r="P7" s="3">
        <v>30572</v>
      </c>
      <c r="Q7" s="3">
        <v>32949</v>
      </c>
      <c r="R7" s="3">
        <v>33500</v>
      </c>
      <c r="S7" s="3">
        <v>35312</v>
      </c>
      <c r="T7" s="3">
        <v>36706</v>
      </c>
      <c r="AK7" s="3">
        <f t="shared" ref="AK7:AK8" si="29">+C7+D7+E7+F7</f>
        <v>102645</v>
      </c>
      <c r="AL7" s="3">
        <f t="shared" ref="AL7:AL8" si="30">+G7+H7+I7+J7</f>
        <v>116487</v>
      </c>
      <c r="AM7" s="3">
        <f t="shared" ref="AM7:AM8" si="31">+K7+L7+M7+N7</f>
        <v>124330</v>
      </c>
      <c r="AN7" s="3">
        <f t="shared" ref="AN7:AN8" si="32">+O7+P7+Q7+R7</f>
        <v>127567</v>
      </c>
    </row>
    <row r="8" spans="1:71" s="3" customFormat="1" x14ac:dyDescent="0.25">
      <c r="B8" s="3" t="s">
        <v>32</v>
      </c>
      <c r="C8" s="3">
        <v>2313</v>
      </c>
      <c r="D8" s="3">
        <v>2614</v>
      </c>
      <c r="E8" s="3">
        <v>2898</v>
      </c>
      <c r="F8" s="3">
        <v>3070</v>
      </c>
      <c r="G8" s="3">
        <v>2883</v>
      </c>
      <c r="H8" s="3">
        <v>3069</v>
      </c>
      <c r="I8" s="3">
        <v>3437</v>
      </c>
      <c r="J8" s="3">
        <v>3646</v>
      </c>
      <c r="K8" s="3">
        <v>3481</v>
      </c>
      <c r="L8" s="3">
        <v>4327</v>
      </c>
      <c r="M8" s="3">
        <v>4648</v>
      </c>
      <c r="N8" s="3">
        <v>4837</v>
      </c>
      <c r="O8" s="3">
        <v>3825</v>
      </c>
      <c r="P8" s="3">
        <v>4820</v>
      </c>
      <c r="Q8" s="3">
        <v>5093</v>
      </c>
      <c r="R8" s="3">
        <v>6012</v>
      </c>
      <c r="S8" s="3">
        <v>4983</v>
      </c>
      <c r="T8" s="3">
        <v>5293</v>
      </c>
      <c r="AK8" s="3">
        <f t="shared" si="29"/>
        <v>10895</v>
      </c>
      <c r="AL8" s="3">
        <f t="shared" si="30"/>
        <v>13035</v>
      </c>
      <c r="AM8" s="3">
        <f t="shared" si="31"/>
        <v>17293</v>
      </c>
      <c r="AN8" s="3">
        <f t="shared" si="32"/>
        <v>19750</v>
      </c>
    </row>
    <row r="9" spans="1:71" s="6" customFormat="1" x14ac:dyDescent="0.25">
      <c r="B9" s="6" t="s">
        <v>34</v>
      </c>
      <c r="C9" s="6">
        <f t="shared" ref="C9" si="33">SUM(C7:C8)</f>
        <v>26012</v>
      </c>
      <c r="D9" s="6">
        <f t="shared" ref="D9" si="34">SUM(D7:D8)</f>
        <v>27377</v>
      </c>
      <c r="E9" s="6">
        <f t="shared" ref="E9" si="35">SUM(E7:E8)</f>
        <v>29543</v>
      </c>
      <c r="F9" s="6">
        <f t="shared" ref="F9" si="36">SUM(F7:F8)</f>
        <v>30608</v>
      </c>
      <c r="G9" s="6">
        <f t="shared" ref="G9" si="37">SUM(G7:G8)</f>
        <v>31098</v>
      </c>
      <c r="H9" s="6">
        <f t="shared" ref="H9" si="38">SUM(H7:H8)</f>
        <v>31846</v>
      </c>
      <c r="I9" s="6">
        <f t="shared" ref="I9" si="39">SUM(I7:I8)</f>
        <v>32841</v>
      </c>
      <c r="J9" s="6">
        <f t="shared" ref="J9" si="40">SUM(J7:J8)</f>
        <v>33737</v>
      </c>
      <c r="K9" s="6">
        <f t="shared" ref="K9:R9" si="41">SUM(K7:K8)</f>
        <v>34267</v>
      </c>
      <c r="L9" s="6">
        <f t="shared" si="41"/>
        <v>35931</v>
      </c>
      <c r="M9" s="6">
        <f t="shared" si="41"/>
        <v>35254</v>
      </c>
      <c r="N9" s="6">
        <f t="shared" si="41"/>
        <v>36171</v>
      </c>
      <c r="O9" s="6">
        <f t="shared" si="41"/>
        <v>34371</v>
      </c>
      <c r="P9" s="6">
        <f t="shared" si="41"/>
        <v>35392</v>
      </c>
      <c r="Q9" s="6">
        <f t="shared" si="41"/>
        <v>38042</v>
      </c>
      <c r="R9" s="6">
        <f t="shared" si="41"/>
        <v>39512</v>
      </c>
      <c r="S9" s="6">
        <f>SUM(S7:S8)</f>
        <v>40295</v>
      </c>
      <c r="T9" s="6">
        <f>SUM(T7:T8)</f>
        <v>41999</v>
      </c>
      <c r="U9" s="6">
        <f t="shared" ref="U9:AD9" si="42">SUM(U7:U8)</f>
        <v>0</v>
      </c>
      <c r="V9" s="6">
        <f t="shared" si="42"/>
        <v>0</v>
      </c>
      <c r="W9" s="6">
        <f t="shared" si="42"/>
        <v>0</v>
      </c>
      <c r="X9" s="6">
        <f t="shared" si="42"/>
        <v>0</v>
      </c>
      <c r="Y9" s="6">
        <f t="shared" si="42"/>
        <v>0</v>
      </c>
      <c r="Z9" s="6">
        <f t="shared" si="42"/>
        <v>0</v>
      </c>
      <c r="AA9" s="6">
        <f t="shared" si="42"/>
        <v>0</v>
      </c>
      <c r="AB9" s="6">
        <f t="shared" si="42"/>
        <v>0</v>
      </c>
      <c r="AC9" s="6">
        <f t="shared" si="42"/>
        <v>0</v>
      </c>
      <c r="AD9" s="6">
        <f t="shared" si="42"/>
        <v>0</v>
      </c>
      <c r="AK9" s="6">
        <f t="shared" ref="AK9" si="43">SUM(AK7:AK8)</f>
        <v>113540</v>
      </c>
      <c r="AL9" s="6">
        <f t="shared" ref="AL9" si="44">SUM(AL7:AL8)</f>
        <v>129522</v>
      </c>
      <c r="AM9" s="6">
        <f t="shared" ref="AM9" si="45">SUM(AM7:AM8)</f>
        <v>141623</v>
      </c>
      <c r="AN9" s="6">
        <f t="shared" ref="AN9" si="46">SUM(AN7:AN8)</f>
        <v>147317</v>
      </c>
      <c r="AO9" s="6">
        <f t="shared" ref="AO9" si="47">SUM(AO7:AO8)</f>
        <v>0</v>
      </c>
      <c r="AP9" s="6">
        <f t="shared" ref="AP9" si="48">SUM(AP7:AP8)</f>
        <v>0</v>
      </c>
      <c r="AQ9" s="6">
        <f t="shared" ref="AQ9" si="49">SUM(AQ7:AQ8)</f>
        <v>0</v>
      </c>
    </row>
    <row r="10" spans="1:71" s="6" customFormat="1" x14ac:dyDescent="0.25">
      <c r="B10" s="6" t="s">
        <v>35</v>
      </c>
      <c r="C10" s="6">
        <f t="shared" ref="C10" si="50">C6-C9</f>
        <v>6086</v>
      </c>
      <c r="D10" s="6">
        <f t="shared" ref="D10" si="51">D6-D9</f>
        <v>5902</v>
      </c>
      <c r="E10" s="6">
        <f t="shared" ref="E10" si="52">E6-E9</f>
        <v>6005</v>
      </c>
      <c r="F10" s="6">
        <f t="shared" ref="F10" si="53">F6-F9</f>
        <v>5410</v>
      </c>
      <c r="G10" s="6">
        <f t="shared" ref="G10" si="54">G6-G9</f>
        <v>6788</v>
      </c>
      <c r="H10" s="6">
        <f t="shared" ref="H10" si="55">H6-H9</f>
        <v>6636</v>
      </c>
      <c r="I10" s="6">
        <f t="shared" ref="I10" si="56">I6-I9</f>
        <v>6784</v>
      </c>
      <c r="J10" s="6">
        <f t="shared" ref="J10" si="57">J6-J9</f>
        <v>5930</v>
      </c>
      <c r="K10" s="6">
        <f t="shared" ref="K10:R10" si="58">K6-K9</f>
        <v>7631</v>
      </c>
      <c r="L10" s="6">
        <f t="shared" si="58"/>
        <v>7446</v>
      </c>
      <c r="M10" s="6">
        <f t="shared" si="58"/>
        <v>7226</v>
      </c>
      <c r="N10" s="6">
        <f t="shared" si="58"/>
        <v>6283</v>
      </c>
      <c r="O10" s="6">
        <f t="shared" si="58"/>
        <v>7902</v>
      </c>
      <c r="P10" s="6">
        <f t="shared" si="58"/>
        <v>7831</v>
      </c>
      <c r="Q10" s="6">
        <f t="shared" si="58"/>
        <v>6677</v>
      </c>
      <c r="R10" s="6">
        <f t="shared" si="58"/>
        <v>5477</v>
      </c>
      <c r="S10" s="6">
        <f>S6-S9</f>
        <v>8470</v>
      </c>
      <c r="T10" s="6">
        <f>T6-T9</f>
        <v>7422</v>
      </c>
      <c r="U10" s="6">
        <f t="shared" ref="U10:AD10" si="59">U6-U9</f>
        <v>49260</v>
      </c>
      <c r="V10" s="6">
        <f t="shared" si="59"/>
        <v>49560</v>
      </c>
      <c r="W10" s="6">
        <f t="shared" si="59"/>
        <v>51080</v>
      </c>
      <c r="X10" s="6">
        <f t="shared" si="59"/>
        <v>52330</v>
      </c>
      <c r="Y10" s="6">
        <f t="shared" si="59"/>
        <v>51720</v>
      </c>
      <c r="Z10" s="6">
        <f t="shared" si="59"/>
        <v>51940</v>
      </c>
      <c r="AA10" s="6">
        <f t="shared" si="59"/>
        <v>54260</v>
      </c>
      <c r="AB10" s="6">
        <f t="shared" si="59"/>
        <v>55940</v>
      </c>
      <c r="AC10" s="6">
        <f t="shared" si="59"/>
        <v>53788.800000000003</v>
      </c>
      <c r="AD10" s="6">
        <f t="shared" si="59"/>
        <v>54017.599999999999</v>
      </c>
      <c r="AK10" s="6">
        <f t="shared" ref="AK10" si="60">AK6-AK9</f>
        <v>23403</v>
      </c>
      <c r="AL10" s="6">
        <f t="shared" ref="AL10" si="61">AL6-AL9</f>
        <v>26138</v>
      </c>
      <c r="AM10" s="6">
        <f t="shared" ref="AM10" si="62">AM6-AM9</f>
        <v>28586</v>
      </c>
      <c r="AN10" s="6">
        <f t="shared" ref="AN10" si="63">AN6-AN9</f>
        <v>27887</v>
      </c>
      <c r="AO10" s="6">
        <f t="shared" ref="AO10" si="64">AO6-AO9</f>
        <v>180978</v>
      </c>
      <c r="AP10" s="6">
        <f t="shared" ref="AP10" si="65">AP6-AP9</f>
        <v>207070</v>
      </c>
      <c r="AQ10" s="6">
        <f t="shared" ref="AQ10" si="66">AQ6-AQ9</f>
        <v>218006.39999999999</v>
      </c>
    </row>
    <row r="11" spans="1:71" s="3" customFormat="1" x14ac:dyDescent="0.25">
      <c r="B11" s="3" t="s">
        <v>33</v>
      </c>
      <c r="C11" s="3">
        <v>3925</v>
      </c>
      <c r="D11" s="3">
        <v>3821</v>
      </c>
      <c r="E11" s="3">
        <v>3946</v>
      </c>
      <c r="F11" s="3">
        <v>4222</v>
      </c>
      <c r="G11" s="3">
        <v>4341</v>
      </c>
      <c r="H11" s="3">
        <v>4269</v>
      </c>
      <c r="I11" s="3">
        <v>4514</v>
      </c>
      <c r="J11" s="3">
        <v>4562</v>
      </c>
      <c r="K11" s="3">
        <v>4800</v>
      </c>
      <c r="L11" s="3">
        <v>4818</v>
      </c>
      <c r="M11" s="3">
        <v>5470</v>
      </c>
      <c r="N11" s="3">
        <v>4999</v>
      </c>
      <c r="O11" s="3">
        <v>4886</v>
      </c>
      <c r="P11" s="3">
        <v>5066</v>
      </c>
      <c r="Q11" s="3">
        <v>5269</v>
      </c>
      <c r="R11" s="3">
        <v>4804</v>
      </c>
      <c r="S11" s="3">
        <v>5300</v>
      </c>
      <c r="T11" s="3">
        <v>4997</v>
      </c>
      <c r="AK11" s="3">
        <f t="shared" ref="AK11:AK12" si="67">+C11+D11+E11+F11</f>
        <v>15914</v>
      </c>
      <c r="AL11" s="3">
        <f t="shared" ref="AL11:AL12" si="68">+G11+H11+I11+J11</f>
        <v>17686</v>
      </c>
      <c r="AM11" s="3">
        <f t="shared" ref="AM11:AM12" si="69">+K11+L11+M11+N11</f>
        <v>20087</v>
      </c>
      <c r="AN11" s="3">
        <f t="shared" ref="AN11:AN12" si="70">+O11+P11+Q11+R11</f>
        <v>20025</v>
      </c>
    </row>
    <row r="12" spans="1:71" s="3" customFormat="1" x14ac:dyDescent="0.25">
      <c r="B12" s="3" t="s">
        <v>36</v>
      </c>
      <c r="C12" s="3">
        <v>80</v>
      </c>
      <c r="D12" s="3">
        <v>90</v>
      </c>
      <c r="E12" s="3">
        <v>136</v>
      </c>
      <c r="F12" s="3">
        <v>135</v>
      </c>
      <c r="G12" s="3">
        <v>129</v>
      </c>
      <c r="H12" s="3">
        <v>166</v>
      </c>
      <c r="I12" s="3">
        <v>225</v>
      </c>
      <c r="J12" s="3">
        <v>247</v>
      </c>
      <c r="K12" s="3">
        <v>235</v>
      </c>
      <c r="L12" s="3">
        <v>221</v>
      </c>
      <c r="M12" s="3">
        <v>212</v>
      </c>
      <c r="N12" s="3">
        <v>217</v>
      </c>
      <c r="O12" s="3">
        <v>116</v>
      </c>
      <c r="P12" s="3">
        <v>162</v>
      </c>
      <c r="Q12" s="3">
        <v>122</v>
      </c>
      <c r="R12" s="3">
        <v>180</v>
      </c>
      <c r="S12" s="3">
        <v>155</v>
      </c>
      <c r="T12" s="3">
        <v>147</v>
      </c>
      <c r="AK12" s="3">
        <f t="shared" si="67"/>
        <v>441</v>
      </c>
      <c r="AL12" s="3">
        <f t="shared" si="68"/>
        <v>767</v>
      </c>
      <c r="AM12" s="3">
        <f t="shared" si="69"/>
        <v>885</v>
      </c>
      <c r="AN12" s="3">
        <f t="shared" si="70"/>
        <v>580</v>
      </c>
    </row>
    <row r="13" spans="1:71" s="6" customFormat="1" x14ac:dyDescent="0.25">
      <c r="B13" s="6" t="s">
        <v>37</v>
      </c>
      <c r="C13" s="6">
        <f t="shared" ref="C13" si="71">SUM(C11:C12)</f>
        <v>4005</v>
      </c>
      <c r="D13" s="6">
        <f t="shared" ref="D13" si="72">SUM(D11:D12)</f>
        <v>3911</v>
      </c>
      <c r="E13" s="6">
        <f t="shared" ref="E13" si="73">SUM(E11:E12)</f>
        <v>4082</v>
      </c>
      <c r="F13" s="6">
        <f t="shared" ref="F13" si="74">SUM(F11:F12)</f>
        <v>4357</v>
      </c>
      <c r="G13" s="6">
        <f t="shared" ref="G13" si="75">SUM(G11:G12)</f>
        <v>4470</v>
      </c>
      <c r="H13" s="6">
        <f t="shared" ref="H13" si="76">SUM(H11:H12)</f>
        <v>4435</v>
      </c>
      <c r="I13" s="6">
        <f t="shared" ref="I13" si="77">SUM(I11:I12)</f>
        <v>4739</v>
      </c>
      <c r="J13" s="6">
        <f t="shared" ref="J13" si="78">SUM(J11:J12)</f>
        <v>4809</v>
      </c>
      <c r="K13" s="6">
        <f t="shared" ref="K13:R13" si="79">SUM(K11:K12)</f>
        <v>5035</v>
      </c>
      <c r="L13" s="6">
        <f t="shared" si="79"/>
        <v>5039</v>
      </c>
      <c r="M13" s="6">
        <f t="shared" si="79"/>
        <v>5682</v>
      </c>
      <c r="N13" s="6">
        <f t="shared" si="79"/>
        <v>5216</v>
      </c>
      <c r="O13" s="6">
        <f t="shared" si="79"/>
        <v>5002</v>
      </c>
      <c r="P13" s="6">
        <f t="shared" si="79"/>
        <v>5228</v>
      </c>
      <c r="Q13" s="6">
        <f t="shared" si="79"/>
        <v>5391</v>
      </c>
      <c r="R13" s="6">
        <f t="shared" si="79"/>
        <v>4984</v>
      </c>
      <c r="S13" s="6">
        <f>SUM(S11:S12)</f>
        <v>5455</v>
      </c>
      <c r="T13" s="6">
        <f>SUM(T11:T12)</f>
        <v>5144</v>
      </c>
      <c r="U13" s="6">
        <f t="shared" ref="U13:AD13" si="80">SUM(U11:U12)</f>
        <v>0</v>
      </c>
      <c r="V13" s="6">
        <f t="shared" si="80"/>
        <v>0</v>
      </c>
      <c r="W13" s="6">
        <f t="shared" si="80"/>
        <v>0</v>
      </c>
      <c r="X13" s="6">
        <f t="shared" si="80"/>
        <v>0</v>
      </c>
      <c r="Y13" s="6">
        <f t="shared" si="80"/>
        <v>0</v>
      </c>
      <c r="Z13" s="6">
        <f t="shared" si="80"/>
        <v>0</v>
      </c>
      <c r="AA13" s="6">
        <f t="shared" si="80"/>
        <v>0</v>
      </c>
      <c r="AB13" s="6">
        <f t="shared" si="80"/>
        <v>0</v>
      </c>
      <c r="AC13" s="6">
        <f t="shared" si="80"/>
        <v>0</v>
      </c>
      <c r="AD13" s="6">
        <f t="shared" si="80"/>
        <v>0</v>
      </c>
      <c r="AK13" s="6">
        <f t="shared" ref="AK13" si="81">SUM(AK11:AK12)</f>
        <v>16355</v>
      </c>
      <c r="AL13" s="6">
        <f t="shared" ref="AL13" si="82">SUM(AL11:AL12)</f>
        <v>18453</v>
      </c>
      <c r="AM13" s="6">
        <f t="shared" ref="AM13" si="83">SUM(AM11:AM12)</f>
        <v>20972</v>
      </c>
      <c r="AN13" s="6">
        <f t="shared" ref="AN13" si="84">SUM(AN11:AN12)</f>
        <v>20605</v>
      </c>
      <c r="AO13" s="6">
        <f t="shared" ref="AO13" si="85">SUM(AO11:AO12)</f>
        <v>0</v>
      </c>
      <c r="AP13" s="6">
        <f t="shared" ref="AP13" si="86">SUM(AP11:AP12)</f>
        <v>0</v>
      </c>
      <c r="AQ13" s="6">
        <f t="shared" ref="AQ13" si="87">SUM(AQ11:AQ12)</f>
        <v>0</v>
      </c>
    </row>
    <row r="14" spans="1:71" s="6" customFormat="1" x14ac:dyDescent="0.25">
      <c r="B14" s="6" t="s">
        <v>38</v>
      </c>
      <c r="C14" s="6">
        <f t="shared" ref="C14" si="88">C10-C13</f>
        <v>2081</v>
      </c>
      <c r="D14" s="6">
        <f t="shared" ref="D14" si="89">D10-D13</f>
        <v>1991</v>
      </c>
      <c r="E14" s="6">
        <f t="shared" ref="E14" si="90">E10-E13</f>
        <v>1923</v>
      </c>
      <c r="F14" s="6">
        <f t="shared" ref="F14" si="91">F10-F13</f>
        <v>1053</v>
      </c>
      <c r="G14" s="6">
        <f t="shared" ref="G14" si="92">G10-G13</f>
        <v>2318</v>
      </c>
      <c r="H14" s="6">
        <f t="shared" ref="H14" si="93">H10-H13</f>
        <v>2201</v>
      </c>
      <c r="I14" s="6">
        <f t="shared" ref="I14" si="94">I10-I13</f>
        <v>2045</v>
      </c>
      <c r="J14" s="6">
        <f t="shared" ref="J14" si="95">J10-J13</f>
        <v>1121</v>
      </c>
      <c r="K14" s="6">
        <f t="shared" ref="K14:R14" si="96">K10-K13</f>
        <v>2596</v>
      </c>
      <c r="L14" s="6">
        <f t="shared" si="96"/>
        <v>2407</v>
      </c>
      <c r="M14" s="6">
        <f t="shared" si="96"/>
        <v>1544</v>
      </c>
      <c r="N14" s="6">
        <f t="shared" si="96"/>
        <v>1067</v>
      </c>
      <c r="O14" s="6">
        <f t="shared" si="96"/>
        <v>2900</v>
      </c>
      <c r="P14" s="6">
        <f t="shared" si="96"/>
        <v>2603</v>
      </c>
      <c r="Q14" s="6">
        <f t="shared" si="96"/>
        <v>1286</v>
      </c>
      <c r="R14" s="6">
        <f t="shared" si="96"/>
        <v>493</v>
      </c>
      <c r="S14" s="6">
        <f>S10-S13</f>
        <v>3015</v>
      </c>
      <c r="T14" s="6">
        <f>T10-T13</f>
        <v>2278</v>
      </c>
      <c r="U14" s="6">
        <f t="shared" ref="U14:AD14" si="97">U10-U13</f>
        <v>49260</v>
      </c>
      <c r="V14" s="6">
        <f t="shared" si="97"/>
        <v>49560</v>
      </c>
      <c r="W14" s="6">
        <f t="shared" si="97"/>
        <v>51080</v>
      </c>
      <c r="X14" s="6">
        <f t="shared" si="97"/>
        <v>52330</v>
      </c>
      <c r="Y14" s="6">
        <f t="shared" si="97"/>
        <v>51720</v>
      </c>
      <c r="Z14" s="6">
        <f t="shared" si="97"/>
        <v>51940</v>
      </c>
      <c r="AA14" s="6">
        <f t="shared" si="97"/>
        <v>54260</v>
      </c>
      <c r="AB14" s="6">
        <f t="shared" si="97"/>
        <v>55940</v>
      </c>
      <c r="AC14" s="6">
        <f t="shared" si="97"/>
        <v>53788.800000000003</v>
      </c>
      <c r="AD14" s="6">
        <f t="shared" si="97"/>
        <v>54017.599999999999</v>
      </c>
      <c r="AK14" s="6">
        <f t="shared" ref="AK14" si="98">AK10-AK13</f>
        <v>7048</v>
      </c>
      <c r="AL14" s="6">
        <f t="shared" ref="AL14" si="99">AL10-AL13</f>
        <v>7685</v>
      </c>
      <c r="AM14" s="6">
        <f t="shared" ref="AM14" si="100">AM10-AM13</f>
        <v>7614</v>
      </c>
      <c r="AN14" s="6">
        <f t="shared" ref="AN14" si="101">AN10-AN13</f>
        <v>7282</v>
      </c>
      <c r="AO14" s="6">
        <f t="shared" ref="AO14" si="102">AO10-AO13</f>
        <v>180978</v>
      </c>
      <c r="AP14" s="6">
        <f t="shared" ref="AP14" si="103">AP10-AP13</f>
        <v>207070</v>
      </c>
      <c r="AQ14" s="6">
        <f t="shared" ref="AQ14" si="104">AQ10-AQ13</f>
        <v>218006.39999999999</v>
      </c>
    </row>
    <row r="15" spans="1:71" s="3" customFormat="1" x14ac:dyDescent="0.25">
      <c r="B15" s="3" t="s">
        <v>44</v>
      </c>
      <c r="C15" s="3">
        <f>291-4</f>
        <v>287</v>
      </c>
      <c r="D15" s="3">
        <f>400+172</f>
        <v>572</v>
      </c>
      <c r="E15" s="3">
        <f>335-61</f>
        <v>274</v>
      </c>
      <c r="F15" s="3">
        <f>352+211</f>
        <v>563</v>
      </c>
      <c r="G15" s="3">
        <f>360-151</f>
        <v>209</v>
      </c>
      <c r="H15" s="3">
        <f>381-231</f>
        <v>150</v>
      </c>
      <c r="I15" s="3">
        <f>371-57</f>
        <v>314</v>
      </c>
      <c r="J15" s="3">
        <f>373-111</f>
        <v>262</v>
      </c>
      <c r="K15" s="3">
        <f>387-113</f>
        <v>274</v>
      </c>
      <c r="L15" s="3">
        <f>416-121</f>
        <v>295</v>
      </c>
      <c r="M15" s="3">
        <f>493-124</f>
        <v>369</v>
      </c>
      <c r="N15" s="3">
        <f>529-336</f>
        <v>193</v>
      </c>
      <c r="O15" s="3">
        <f>465-161</f>
        <v>304</v>
      </c>
      <c r="P15" s="3">
        <f>508-85+240</f>
        <v>663</v>
      </c>
      <c r="Q15" s="3">
        <f>551-125-39</f>
        <v>387</v>
      </c>
      <c r="R15" s="3">
        <f>527-74</f>
        <v>453</v>
      </c>
      <c r="S15" s="3">
        <f>590-464</f>
        <v>126</v>
      </c>
      <c r="T15" s="3">
        <f>486-131</f>
        <v>355</v>
      </c>
      <c r="AK15" s="3">
        <f t="shared" ref="AK15:AK16" si="105">+C15+D15+E15+F15</f>
        <v>1696</v>
      </c>
      <c r="AL15" s="3">
        <f t="shared" ref="AL15:AL16" si="106">+G15+H15+I15+J15</f>
        <v>935</v>
      </c>
      <c r="AM15" s="3">
        <f t="shared" ref="AM15:AM16" si="107">+K15+L15+M15+N15</f>
        <v>1131</v>
      </c>
      <c r="AN15" s="3">
        <f t="shared" ref="AN15:AN16" si="108">+O15+P15+Q15+R15</f>
        <v>1807</v>
      </c>
    </row>
    <row r="16" spans="1:71" s="3" customFormat="1" x14ac:dyDescent="0.25">
      <c r="B16" s="3" t="s">
        <v>39</v>
      </c>
      <c r="C16" s="3">
        <v>192</v>
      </c>
      <c r="D16" s="3">
        <f>205+5</f>
        <v>210</v>
      </c>
      <c r="E16" s="3">
        <v>201</v>
      </c>
      <c r="F16" s="3">
        <f>200+16</f>
        <v>216</v>
      </c>
      <c r="G16" s="3">
        <v>201</v>
      </c>
      <c r="H16" s="3">
        <v>208</v>
      </c>
      <c r="I16" s="3">
        <v>213</v>
      </c>
      <c r="J16" s="3">
        <v>229</v>
      </c>
      <c r="K16" s="3">
        <v>251</v>
      </c>
      <c r="L16" s="3">
        <v>261</v>
      </c>
      <c r="M16" s="3">
        <v>259</v>
      </c>
      <c r="N16" s="3">
        <v>259</v>
      </c>
      <c r="O16" s="3">
        <v>265</v>
      </c>
      <c r="P16" s="3">
        <v>280</v>
      </c>
      <c r="Q16" s="3">
        <v>300</v>
      </c>
      <c r="R16" s="3">
        <v>340</v>
      </c>
      <c r="S16" s="3">
        <v>344</v>
      </c>
      <c r="T16" s="3">
        <v>341</v>
      </c>
      <c r="AK16" s="3">
        <f t="shared" si="105"/>
        <v>819</v>
      </c>
      <c r="AL16" s="3">
        <f t="shared" si="106"/>
        <v>851</v>
      </c>
      <c r="AM16" s="3">
        <f t="shared" si="107"/>
        <v>1030</v>
      </c>
      <c r="AN16" s="3">
        <f t="shared" si="108"/>
        <v>1185</v>
      </c>
    </row>
    <row r="17" spans="2:666" s="6" customFormat="1" x14ac:dyDescent="0.25">
      <c r="B17" s="6" t="s">
        <v>40</v>
      </c>
      <c r="C17" s="6">
        <f t="shared" ref="C17" si="109">C14+C15-C16</f>
        <v>2176</v>
      </c>
      <c r="D17" s="6">
        <f t="shared" ref="D17" si="110">D14+D15-D16</f>
        <v>2353</v>
      </c>
      <c r="E17" s="6">
        <f t="shared" ref="E17" si="111">E14+E15-E16</f>
        <v>1996</v>
      </c>
      <c r="F17" s="6">
        <f t="shared" ref="F17" si="112">F14+F15-F16</f>
        <v>1400</v>
      </c>
      <c r="G17" s="6">
        <f t="shared" ref="G17" si="113">G14+G15-G16</f>
        <v>2326</v>
      </c>
      <c r="H17" s="6">
        <f t="shared" ref="H17" si="114">H14+H15-H16</f>
        <v>2143</v>
      </c>
      <c r="I17" s="6">
        <f t="shared" ref="I17" si="115">I14+I15-I16</f>
        <v>2146</v>
      </c>
      <c r="J17" s="6">
        <f t="shared" ref="J17" si="116">J14+J15-J16</f>
        <v>1154</v>
      </c>
      <c r="K17" s="6">
        <f t="shared" ref="K17:R17" si="117">K14+K15-K16</f>
        <v>2619</v>
      </c>
      <c r="L17" s="6">
        <f t="shared" si="117"/>
        <v>2441</v>
      </c>
      <c r="M17" s="6">
        <f t="shared" si="117"/>
        <v>1654</v>
      </c>
      <c r="N17" s="6">
        <f t="shared" si="117"/>
        <v>1001</v>
      </c>
      <c r="O17" s="6">
        <f t="shared" si="117"/>
        <v>2939</v>
      </c>
      <c r="P17" s="6">
        <f>P14+P15-P16</f>
        <v>2986</v>
      </c>
      <c r="Q17" s="6">
        <f t="shared" si="117"/>
        <v>1373</v>
      </c>
      <c r="R17" s="6">
        <f t="shared" si="117"/>
        <v>606</v>
      </c>
      <c r="S17" s="6">
        <f>S14+S15-S16</f>
        <v>2797</v>
      </c>
      <c r="T17" s="6">
        <f>T14+T15-T16</f>
        <v>2292</v>
      </c>
      <c r="U17" s="6">
        <f t="shared" ref="U17:AD17" si="118">U14+U15-U16</f>
        <v>49260</v>
      </c>
      <c r="V17" s="6">
        <f t="shared" si="118"/>
        <v>49560</v>
      </c>
      <c r="W17" s="6">
        <f t="shared" si="118"/>
        <v>51080</v>
      </c>
      <c r="X17" s="6">
        <f t="shared" si="118"/>
        <v>52330</v>
      </c>
      <c r="Y17" s="6">
        <f t="shared" si="118"/>
        <v>51720</v>
      </c>
      <c r="Z17" s="6">
        <f t="shared" si="118"/>
        <v>51940</v>
      </c>
      <c r="AA17" s="6">
        <f t="shared" si="118"/>
        <v>54260</v>
      </c>
      <c r="AB17" s="6">
        <f t="shared" si="118"/>
        <v>55940</v>
      </c>
      <c r="AC17" s="6">
        <f t="shared" si="118"/>
        <v>53788.800000000003</v>
      </c>
      <c r="AD17" s="6">
        <f t="shared" si="118"/>
        <v>54017.599999999999</v>
      </c>
      <c r="AK17" s="6">
        <f t="shared" ref="AK17" si="119">AK14+AK15-AK16</f>
        <v>7925</v>
      </c>
      <c r="AL17" s="6">
        <f t="shared" ref="AL17" si="120">AL14+AL15-AL16</f>
        <v>7769</v>
      </c>
      <c r="AM17" s="6">
        <f t="shared" ref="AM17" si="121">AM14+AM15-AM16</f>
        <v>7715</v>
      </c>
      <c r="AN17" s="6">
        <f t="shared" ref="AN17" si="122">AN14+AN15-AN16</f>
        <v>7904</v>
      </c>
      <c r="AO17" s="6">
        <f t="shared" ref="AO17" si="123">AO14+AO15-AO16</f>
        <v>180978</v>
      </c>
      <c r="AP17" s="6">
        <f t="shared" ref="AP17" si="124">AP14+AP15-AP16</f>
        <v>207070</v>
      </c>
      <c r="AQ17" s="6">
        <f t="shared" ref="AQ17" si="125">AQ14+AQ15-AQ16</f>
        <v>218006.39999999999</v>
      </c>
    </row>
    <row r="18" spans="2:666" s="3" customFormat="1" x14ac:dyDescent="0.25">
      <c r="B18" s="3" t="s">
        <v>41</v>
      </c>
      <c r="C18" s="3">
        <v>509</v>
      </c>
      <c r="D18" s="3">
        <v>552</v>
      </c>
      <c r="E18" s="3">
        <v>494</v>
      </c>
      <c r="F18" s="3">
        <v>275</v>
      </c>
      <c r="G18" s="3">
        <v>531</v>
      </c>
      <c r="H18" s="3">
        <v>493</v>
      </c>
      <c r="I18" s="3">
        <v>533</v>
      </c>
      <c r="J18" s="3">
        <v>193</v>
      </c>
      <c r="K18" s="3">
        <v>615</v>
      </c>
      <c r="L18" s="3">
        <v>585</v>
      </c>
      <c r="M18" s="3">
        <v>354</v>
      </c>
      <c r="N18" s="3">
        <v>170</v>
      </c>
      <c r="O18" s="3">
        <v>690</v>
      </c>
      <c r="P18" s="3">
        <v>685</v>
      </c>
      <c r="Q18" s="3">
        <v>365</v>
      </c>
      <c r="R18" s="3">
        <v>193</v>
      </c>
      <c r="S18" s="3">
        <v>613</v>
      </c>
      <c r="T18" s="3">
        <v>548</v>
      </c>
      <c r="AK18" s="3">
        <f>+C18+D18+E18+F18</f>
        <v>1830</v>
      </c>
      <c r="AL18" s="3">
        <f>+G18+H18+I18+J18</f>
        <v>1750</v>
      </c>
      <c r="AM18" s="3">
        <f>+K18+L18+M18+N18</f>
        <v>1724</v>
      </c>
      <c r="AN18" s="3">
        <f>+O18+P18+Q18+R18</f>
        <v>1933</v>
      </c>
    </row>
    <row r="19" spans="2:666" s="6" customFormat="1" x14ac:dyDescent="0.25">
      <c r="B19" s="6" t="s">
        <v>42</v>
      </c>
      <c r="C19" s="6">
        <f t="shared" ref="C19" si="126">C17-C18</f>
        <v>1667</v>
      </c>
      <c r="D19" s="6">
        <f t="shared" ref="D19" si="127">D17-D18</f>
        <v>1801</v>
      </c>
      <c r="E19" s="6">
        <f t="shared" ref="E19" si="128">E17-E18</f>
        <v>1502</v>
      </c>
      <c r="F19" s="6">
        <f t="shared" ref="F19" si="129">F17-F18</f>
        <v>1125</v>
      </c>
      <c r="G19" s="6">
        <f t="shared" ref="G19" si="130">G17-G18</f>
        <v>1795</v>
      </c>
      <c r="H19" s="6">
        <f t="shared" ref="H19" si="131">H17-H18</f>
        <v>1650</v>
      </c>
      <c r="I19" s="6">
        <f t="shared" ref="I19" si="132">I17-I18</f>
        <v>1613</v>
      </c>
      <c r="J19" s="6">
        <f t="shared" ref="J19" si="133">J17-J18</f>
        <v>961</v>
      </c>
      <c r="K19" s="6">
        <f t="shared" ref="K19:R19" si="134">K17-K18</f>
        <v>2004</v>
      </c>
      <c r="L19" s="6">
        <f t="shared" si="134"/>
        <v>1856</v>
      </c>
      <c r="M19" s="6">
        <f t="shared" si="134"/>
        <v>1300</v>
      </c>
      <c r="N19" s="6">
        <f t="shared" si="134"/>
        <v>831</v>
      </c>
      <c r="O19" s="6">
        <f t="shared" si="134"/>
        <v>2249</v>
      </c>
      <c r="P19" s="6">
        <f t="shared" si="134"/>
        <v>2301</v>
      </c>
      <c r="Q19" s="6">
        <f t="shared" si="134"/>
        <v>1008</v>
      </c>
      <c r="R19" s="6">
        <f t="shared" si="134"/>
        <v>413</v>
      </c>
      <c r="S19" s="6">
        <f>S17-S18</f>
        <v>2184</v>
      </c>
      <c r="T19" s="6">
        <f>T17-T18</f>
        <v>1744</v>
      </c>
      <c r="U19" s="6">
        <f t="shared" ref="U19:AD19" si="135">U17-U18</f>
        <v>49260</v>
      </c>
      <c r="V19" s="6">
        <f t="shared" si="135"/>
        <v>49560</v>
      </c>
      <c r="W19" s="6">
        <f t="shared" si="135"/>
        <v>51080</v>
      </c>
      <c r="X19" s="6">
        <f t="shared" si="135"/>
        <v>52330</v>
      </c>
      <c r="Y19" s="6">
        <f t="shared" si="135"/>
        <v>51720</v>
      </c>
      <c r="Z19" s="6">
        <f t="shared" si="135"/>
        <v>51940</v>
      </c>
      <c r="AA19" s="6">
        <f t="shared" si="135"/>
        <v>54260</v>
      </c>
      <c r="AB19" s="6">
        <f t="shared" si="135"/>
        <v>55940</v>
      </c>
      <c r="AC19" s="6">
        <f t="shared" si="135"/>
        <v>53788.800000000003</v>
      </c>
      <c r="AD19" s="6">
        <f t="shared" si="135"/>
        <v>54017.599999999999</v>
      </c>
      <c r="AK19" s="6">
        <f t="shared" ref="AK19" si="136">AK17-AK18</f>
        <v>6095</v>
      </c>
      <c r="AL19" s="6">
        <f t="shared" ref="AL19" si="137">AL17-AL18</f>
        <v>6019</v>
      </c>
      <c r="AM19" s="6">
        <f t="shared" ref="AM19" si="138">AM17-AM18</f>
        <v>5991</v>
      </c>
      <c r="AN19" s="6">
        <f t="shared" ref="AN19" si="139">AN17-AN18</f>
        <v>5971</v>
      </c>
      <c r="AO19" s="6">
        <f>+AN19*0.953</f>
        <v>5690.3629999999994</v>
      </c>
      <c r="AP19" s="6">
        <f>+AO19*1.098</f>
        <v>6248.0185739999997</v>
      </c>
      <c r="AQ19" s="6">
        <f t="shared" ref="AP19:BS19" si="140">+AQ6*AQ30</f>
        <v>7014.0204131302135</v>
      </c>
      <c r="AR19" s="6">
        <f>+AR6*AR30</f>
        <v>7593.6281537867253</v>
      </c>
      <c r="AS19" s="6">
        <f t="shared" si="140"/>
        <v>8213.661617476062</v>
      </c>
      <c r="AT19" s="6">
        <f t="shared" si="140"/>
        <v>8876.7143571498655</v>
      </c>
      <c r="AU19" s="6">
        <f t="shared" si="140"/>
        <v>9585.5382167473599</v>
      </c>
      <c r="AV19" s="6">
        <f t="shared" si="140"/>
        <v>10343.052676411729</v>
      </c>
      <c r="AW19" s="6">
        <f t="shared" si="140"/>
        <v>11152.354736500667</v>
      </c>
      <c r="AX19" s="6">
        <f t="shared" si="140"/>
        <v>12016.729370907469</v>
      </c>
      <c r="AY19" s="6">
        <f t="shared" si="140"/>
        <v>12939.6605819137</v>
      </c>
      <c r="AZ19" s="6">
        <f t="shared" si="140"/>
        <v>13659.607984105793</v>
      </c>
      <c r="BA19" s="6">
        <f t="shared" si="140"/>
        <v>14411.106535905688</v>
      </c>
      <c r="BB19" s="6">
        <f t="shared" si="140"/>
        <v>15195.401353627884</v>
      </c>
      <c r="BC19" s="6">
        <f t="shared" si="140"/>
        <v>16013.783864531097</v>
      </c>
      <c r="BD19" s="6">
        <f t="shared" si="140"/>
        <v>16867.593464870235</v>
      </c>
      <c r="BE19" s="6">
        <f t="shared" si="140"/>
        <v>17758.219235751647</v>
      </c>
      <c r="BF19" s="6">
        <f t="shared" si="140"/>
        <v>18687.101718767557</v>
      </c>
      <c r="BG19" s="6">
        <f t="shared" si="140"/>
        <v>19655.734753452249</v>
      </c>
      <c r="BH19" s="6">
        <f t="shared" si="140"/>
        <v>20665.667378671125</v>
      </c>
      <c r="BI19" s="6">
        <f t="shared" si="140"/>
        <v>21718.505800125033</v>
      </c>
      <c r="BJ19" s="6">
        <f t="shared" si="140"/>
        <v>22815.915426225369</v>
      </c>
      <c r="BK19" s="6">
        <f t="shared" si="140"/>
        <v>23959.622974671613</v>
      </c>
      <c r="BL19" s="6">
        <f t="shared" si="140"/>
        <v>25151.41865214103</v>
      </c>
      <c r="BM19" s="6">
        <f t="shared" si="140"/>
        <v>26393.158409581407</v>
      </c>
      <c r="BN19" s="6">
        <f t="shared" si="140"/>
        <v>27686.766275681279</v>
      </c>
      <c r="BO19" s="6">
        <f t="shared" si="140"/>
        <v>29034.236771178523</v>
      </c>
      <c r="BP19" s="6">
        <f t="shared" si="140"/>
        <v>30437.637406757487</v>
      </c>
      <c r="BQ19" s="6">
        <f t="shared" si="140"/>
        <v>31899.111267377128</v>
      </c>
      <c r="BR19" s="6">
        <f t="shared" si="140"/>
        <v>33420.879685967862</v>
      </c>
      <c r="BS19" s="6">
        <f t="shared" si="140"/>
        <v>35005.245009533399</v>
      </c>
      <c r="BT19" s="6">
        <f>+BS19*(1+$AX$34)</f>
        <v>34655.192559438066</v>
      </c>
      <c r="BU19" s="6">
        <f t="shared" ref="BU19:EF19" si="141">+BT19*(1+$AX$34)</f>
        <v>34308.640633843686</v>
      </c>
      <c r="BV19" s="6">
        <f t="shared" si="141"/>
        <v>33965.55422750525</v>
      </c>
      <c r="BW19" s="6">
        <f t="shared" si="141"/>
        <v>33625.898685230197</v>
      </c>
      <c r="BX19" s="6">
        <f t="shared" si="141"/>
        <v>33289.639698377898</v>
      </c>
      <c r="BY19" s="6">
        <f t="shared" si="141"/>
        <v>32956.743301394119</v>
      </c>
      <c r="BZ19" s="6">
        <f t="shared" si="141"/>
        <v>32627.175868380178</v>
      </c>
      <c r="CA19" s="6">
        <f t="shared" si="141"/>
        <v>32300.904109696377</v>
      </c>
      <c r="CB19" s="6">
        <f t="shared" si="141"/>
        <v>31977.895068599413</v>
      </c>
      <c r="CC19" s="6">
        <f t="shared" si="141"/>
        <v>31658.116117913418</v>
      </c>
      <c r="CD19" s="6">
        <f t="shared" si="141"/>
        <v>31341.534956734282</v>
      </c>
      <c r="CE19" s="6">
        <f t="shared" si="141"/>
        <v>31028.11960716694</v>
      </c>
      <c r="CF19" s="6">
        <f t="shared" si="141"/>
        <v>30717.838411095272</v>
      </c>
      <c r="CG19" s="6">
        <f t="shared" si="141"/>
        <v>30410.660026984318</v>
      </c>
      <c r="CH19" s="6">
        <f t="shared" si="141"/>
        <v>30106.553426714476</v>
      </c>
      <c r="CI19" s="6">
        <f t="shared" si="141"/>
        <v>29805.487892447331</v>
      </c>
      <c r="CJ19" s="6">
        <f t="shared" si="141"/>
        <v>29507.433013522856</v>
      </c>
      <c r="CK19" s="6">
        <f t="shared" si="141"/>
        <v>29212.358683387625</v>
      </c>
      <c r="CL19" s="6">
        <f t="shared" si="141"/>
        <v>28920.235096553748</v>
      </c>
      <c r="CM19" s="6">
        <f t="shared" si="141"/>
        <v>28631.032745588211</v>
      </c>
      <c r="CN19" s="6">
        <f t="shared" si="141"/>
        <v>28344.722418132329</v>
      </c>
      <c r="CO19" s="6">
        <f t="shared" si="141"/>
        <v>28061.275193951005</v>
      </c>
      <c r="CP19" s="6">
        <f t="shared" si="141"/>
        <v>27780.662442011497</v>
      </c>
      <c r="CQ19" s="6">
        <f t="shared" si="141"/>
        <v>27502.855817591382</v>
      </c>
      <c r="CR19" s="6">
        <f t="shared" si="141"/>
        <v>27227.82725941547</v>
      </c>
      <c r="CS19" s="6">
        <f t="shared" si="141"/>
        <v>26955.548986821315</v>
      </c>
      <c r="CT19" s="6">
        <f t="shared" si="141"/>
        <v>26685.993496953102</v>
      </c>
      <c r="CU19" s="6">
        <f t="shared" si="141"/>
        <v>26419.13356198357</v>
      </c>
      <c r="CV19" s="6">
        <f t="shared" si="141"/>
        <v>26154.942226363735</v>
      </c>
      <c r="CW19" s="6">
        <f t="shared" si="141"/>
        <v>25893.392804100098</v>
      </c>
      <c r="CX19" s="6">
        <f t="shared" si="141"/>
        <v>25634.458876059096</v>
      </c>
      <c r="CY19" s="6">
        <f t="shared" si="141"/>
        <v>25378.114287298504</v>
      </c>
      <c r="CZ19" s="6">
        <f t="shared" si="141"/>
        <v>25124.33314442552</v>
      </c>
      <c r="DA19" s="6">
        <f t="shared" si="141"/>
        <v>24873.089812981263</v>
      </c>
      <c r="DB19" s="6">
        <f t="shared" si="141"/>
        <v>24624.358914851451</v>
      </c>
      <c r="DC19" s="6">
        <f t="shared" si="141"/>
        <v>24378.115325702936</v>
      </c>
      <c r="DD19" s="6">
        <f t="shared" si="141"/>
        <v>24134.334172445906</v>
      </c>
      <c r="DE19" s="6">
        <f t="shared" si="141"/>
        <v>23892.990830721446</v>
      </c>
      <c r="DF19" s="6">
        <f t="shared" si="141"/>
        <v>23654.060922414232</v>
      </c>
      <c r="DG19" s="6">
        <f t="shared" si="141"/>
        <v>23417.520313190089</v>
      </c>
      <c r="DH19" s="6">
        <f t="shared" si="141"/>
        <v>23183.345110058188</v>
      </c>
      <c r="DI19" s="6">
        <f t="shared" si="141"/>
        <v>22951.511658957606</v>
      </c>
      <c r="DJ19" s="6">
        <f t="shared" si="141"/>
        <v>22721.99654236803</v>
      </c>
      <c r="DK19" s="6">
        <f t="shared" si="141"/>
        <v>22494.77657694435</v>
      </c>
      <c r="DL19" s="6">
        <f t="shared" si="141"/>
        <v>22269.828811174906</v>
      </c>
      <c r="DM19" s="6">
        <f t="shared" si="141"/>
        <v>22047.130523063155</v>
      </c>
      <c r="DN19" s="6">
        <f t="shared" si="141"/>
        <v>21826.659217832523</v>
      </c>
      <c r="DO19" s="6">
        <f t="shared" si="141"/>
        <v>21608.392625654196</v>
      </c>
      <c r="DP19" s="6">
        <f t="shared" si="141"/>
        <v>21392.308699397654</v>
      </c>
      <c r="DQ19" s="6">
        <f t="shared" si="141"/>
        <v>21178.385612403676</v>
      </c>
      <c r="DR19" s="6">
        <f t="shared" si="141"/>
        <v>20966.601756279637</v>
      </c>
      <c r="DS19" s="6">
        <f t="shared" si="141"/>
        <v>20756.935738716842</v>
      </c>
      <c r="DT19" s="6">
        <f t="shared" si="141"/>
        <v>20549.366381329673</v>
      </c>
      <c r="DU19" s="6">
        <f t="shared" si="141"/>
        <v>20343.872717516377</v>
      </c>
      <c r="DV19" s="6">
        <f t="shared" si="141"/>
        <v>20140.433990341211</v>
      </c>
      <c r="DW19" s="6">
        <f t="shared" si="141"/>
        <v>19939.029650437798</v>
      </c>
      <c r="DX19" s="6">
        <f t="shared" si="141"/>
        <v>19739.63935393342</v>
      </c>
      <c r="DY19" s="6">
        <f t="shared" si="141"/>
        <v>19542.242960394087</v>
      </c>
      <c r="DZ19" s="6">
        <f t="shared" si="141"/>
        <v>19346.820530790148</v>
      </c>
      <c r="EA19" s="6">
        <f t="shared" si="141"/>
        <v>19153.352325482247</v>
      </c>
      <c r="EB19" s="6">
        <f t="shared" si="141"/>
        <v>18961.818802227423</v>
      </c>
      <c r="EC19" s="6">
        <f t="shared" si="141"/>
        <v>18772.200614205147</v>
      </c>
      <c r="ED19" s="6">
        <f t="shared" si="141"/>
        <v>18584.478608063095</v>
      </c>
      <c r="EE19" s="6">
        <f t="shared" si="141"/>
        <v>18398.633821982465</v>
      </c>
      <c r="EF19" s="6">
        <f t="shared" si="141"/>
        <v>18214.647483762641</v>
      </c>
      <c r="EG19" s="6">
        <f t="shared" ref="EG19:GR19" si="142">+EF19*(1+$AX$34)</f>
        <v>18032.501008925014</v>
      </c>
      <c r="EH19" s="6">
        <f t="shared" si="142"/>
        <v>17852.175998835763</v>
      </c>
      <c r="EI19" s="6">
        <f t="shared" si="142"/>
        <v>17673.654238847404</v>
      </c>
      <c r="EJ19" s="6">
        <f t="shared" si="142"/>
        <v>17496.917696458931</v>
      </c>
      <c r="EK19" s="6">
        <f t="shared" si="142"/>
        <v>17321.948519494341</v>
      </c>
      <c r="EL19" s="6">
        <f t="shared" si="142"/>
        <v>17148.729034299398</v>
      </c>
      <c r="EM19" s="6">
        <f t="shared" si="142"/>
        <v>16977.241743956405</v>
      </c>
      <c r="EN19" s="6">
        <f t="shared" si="142"/>
        <v>16807.469326516843</v>
      </c>
      <c r="EO19" s="6">
        <f t="shared" si="142"/>
        <v>16639.394633251675</v>
      </c>
      <c r="EP19" s="6">
        <f t="shared" si="142"/>
        <v>16473.000686919157</v>
      </c>
      <c r="EQ19" s="6">
        <f t="shared" si="142"/>
        <v>16308.270680049965</v>
      </c>
      <c r="ER19" s="6">
        <f t="shared" si="142"/>
        <v>16145.187973249465</v>
      </c>
      <c r="ES19" s="6">
        <f t="shared" si="142"/>
        <v>15983.736093516971</v>
      </c>
      <c r="ET19" s="6">
        <f t="shared" si="142"/>
        <v>15823.898732581802</v>
      </c>
      <c r="EU19" s="6">
        <f t="shared" si="142"/>
        <v>15665.659745255984</v>
      </c>
      <c r="EV19" s="6">
        <f t="shared" si="142"/>
        <v>15509.003147803423</v>
      </c>
      <c r="EW19" s="6">
        <f t="shared" si="142"/>
        <v>15353.91311632539</v>
      </c>
      <c r="EX19" s="6">
        <f t="shared" si="142"/>
        <v>15200.373985162136</v>
      </c>
      <c r="EY19" s="6">
        <f t="shared" si="142"/>
        <v>15048.370245310514</v>
      </c>
      <c r="EZ19" s="6">
        <f t="shared" si="142"/>
        <v>14897.886542857408</v>
      </c>
      <c r="FA19" s="6">
        <f t="shared" si="142"/>
        <v>14748.907677428833</v>
      </c>
      <c r="FB19" s="6">
        <f t="shared" si="142"/>
        <v>14601.418600654544</v>
      </c>
      <c r="FC19" s="6">
        <f t="shared" si="142"/>
        <v>14455.404414647999</v>
      </c>
      <c r="FD19" s="6">
        <f t="shared" si="142"/>
        <v>14310.850370501519</v>
      </c>
      <c r="FE19" s="6">
        <f t="shared" si="142"/>
        <v>14167.741866796503</v>
      </c>
      <c r="FF19" s="6">
        <f t="shared" si="142"/>
        <v>14026.064448128538</v>
      </c>
      <c r="FG19" s="6">
        <f t="shared" si="142"/>
        <v>13885.803803647252</v>
      </c>
      <c r="FH19" s="6">
        <f t="shared" si="142"/>
        <v>13746.945765610779</v>
      </c>
      <c r="FI19" s="6">
        <f t="shared" si="142"/>
        <v>13609.47630795467</v>
      </c>
      <c r="FJ19" s="6">
        <f t="shared" si="142"/>
        <v>13473.381544875123</v>
      </c>
      <c r="FK19" s="6">
        <f t="shared" si="142"/>
        <v>13338.647729426371</v>
      </c>
      <c r="FL19" s="6">
        <f t="shared" si="142"/>
        <v>13205.261252132108</v>
      </c>
      <c r="FM19" s="6">
        <f t="shared" si="142"/>
        <v>13073.208639610786</v>
      </c>
      <c r="FN19" s="6">
        <f t="shared" si="142"/>
        <v>12942.476553214678</v>
      </c>
      <c r="FO19" s="6">
        <f t="shared" si="142"/>
        <v>12813.051787682531</v>
      </c>
      <c r="FP19" s="6">
        <f t="shared" si="142"/>
        <v>12684.921269805705</v>
      </c>
      <c r="FQ19" s="6">
        <f t="shared" si="142"/>
        <v>12558.072057107649</v>
      </c>
      <c r="FR19" s="6">
        <f t="shared" si="142"/>
        <v>12432.491336536572</v>
      </c>
      <c r="FS19" s="6">
        <f t="shared" si="142"/>
        <v>12308.166423171206</v>
      </c>
      <c r="FT19" s="6">
        <f t="shared" si="142"/>
        <v>12185.084758939494</v>
      </c>
      <c r="FU19" s="6">
        <f t="shared" si="142"/>
        <v>12063.233911350098</v>
      </c>
      <c r="FV19" s="6">
        <f t="shared" si="142"/>
        <v>11942.601572236597</v>
      </c>
      <c r="FW19" s="6">
        <f t="shared" si="142"/>
        <v>11823.175556514232</v>
      </c>
      <c r="FX19" s="6">
        <f t="shared" si="142"/>
        <v>11704.94380094909</v>
      </c>
      <c r="FY19" s="6">
        <f t="shared" si="142"/>
        <v>11587.894362939598</v>
      </c>
      <c r="FZ19" s="6">
        <f t="shared" si="142"/>
        <v>11472.015419310203</v>
      </c>
      <c r="GA19" s="6">
        <f t="shared" si="142"/>
        <v>11357.2952651171</v>
      </c>
      <c r="GB19" s="6">
        <f t="shared" si="142"/>
        <v>11243.722312465929</v>
      </c>
      <c r="GC19" s="6">
        <f t="shared" si="142"/>
        <v>11131.285089341269</v>
      </c>
      <c r="GD19" s="6">
        <f t="shared" si="142"/>
        <v>11019.972238447855</v>
      </c>
      <c r="GE19" s="6">
        <f t="shared" si="142"/>
        <v>10909.772516063376</v>
      </c>
      <c r="GF19" s="6">
        <f t="shared" si="142"/>
        <v>10800.674790902742</v>
      </c>
      <c r="GG19" s="6">
        <f t="shared" si="142"/>
        <v>10692.668042993715</v>
      </c>
      <c r="GH19" s="6">
        <f t="shared" si="142"/>
        <v>10585.741362563778</v>
      </c>
      <c r="GI19" s="6">
        <f t="shared" si="142"/>
        <v>10479.883948938141</v>
      </c>
      <c r="GJ19" s="6">
        <f t="shared" si="142"/>
        <v>10375.085109448759</v>
      </c>
      <c r="GK19" s="6">
        <f t="shared" si="142"/>
        <v>10271.334258354271</v>
      </c>
      <c r="GL19" s="6">
        <f t="shared" si="142"/>
        <v>10168.620915770727</v>
      </c>
      <c r="GM19" s="6">
        <f t="shared" si="142"/>
        <v>10066.934706613019</v>
      </c>
      <c r="GN19" s="6">
        <f t="shared" si="142"/>
        <v>9966.2653595468892</v>
      </c>
      <c r="GO19" s="6">
        <f t="shared" si="142"/>
        <v>9866.6027059514199</v>
      </c>
      <c r="GP19" s="6">
        <f t="shared" si="142"/>
        <v>9767.9366788919051</v>
      </c>
      <c r="GQ19" s="6">
        <f t="shared" si="142"/>
        <v>9670.2573121029855</v>
      </c>
      <c r="GR19" s="6">
        <f t="shared" si="142"/>
        <v>9573.5547389819549</v>
      </c>
      <c r="GS19" s="6">
        <f t="shared" ref="GS19:JD19" si="143">+GR19*(1+$AX$34)</f>
        <v>9477.8191915921361</v>
      </c>
      <c r="GT19" s="6">
        <f t="shared" si="143"/>
        <v>9383.0409996762155</v>
      </c>
      <c r="GU19" s="6">
        <f t="shared" si="143"/>
        <v>9289.2105896794528</v>
      </c>
      <c r="GV19" s="6">
        <f t="shared" si="143"/>
        <v>9196.3184837826575</v>
      </c>
      <c r="GW19" s="6">
        <f t="shared" si="143"/>
        <v>9104.3552989448308</v>
      </c>
      <c r="GX19" s="6">
        <f t="shared" si="143"/>
        <v>9013.3117459553832</v>
      </c>
      <c r="GY19" s="6">
        <f t="shared" si="143"/>
        <v>8923.1786284958289</v>
      </c>
      <c r="GZ19" s="6">
        <f t="shared" si="143"/>
        <v>8833.9468422108712</v>
      </c>
      <c r="HA19" s="6">
        <f t="shared" si="143"/>
        <v>8745.6073737887618</v>
      </c>
      <c r="HB19" s="6">
        <f t="shared" si="143"/>
        <v>8658.1513000508749</v>
      </c>
      <c r="HC19" s="6">
        <f t="shared" si="143"/>
        <v>8571.5697870503664</v>
      </c>
      <c r="HD19" s="6">
        <f t="shared" si="143"/>
        <v>8485.8540891798621</v>
      </c>
      <c r="HE19" s="6">
        <f t="shared" si="143"/>
        <v>8400.9955482880632</v>
      </c>
      <c r="HF19" s="6">
        <f t="shared" si="143"/>
        <v>8316.985592805182</v>
      </c>
      <c r="HG19" s="6">
        <f t="shared" si="143"/>
        <v>8233.8157368771299</v>
      </c>
      <c r="HH19" s="6">
        <f t="shared" si="143"/>
        <v>8151.4775795083588</v>
      </c>
      <c r="HI19" s="6">
        <f t="shared" si="143"/>
        <v>8069.9628037132752</v>
      </c>
      <c r="HJ19" s="6">
        <f t="shared" si="143"/>
        <v>7989.2631756761421</v>
      </c>
      <c r="HK19" s="6">
        <f t="shared" si="143"/>
        <v>7909.3705439193809</v>
      </c>
      <c r="HL19" s="6">
        <f t="shared" si="143"/>
        <v>7830.2768384801866</v>
      </c>
      <c r="HM19" s="6">
        <f t="shared" si="143"/>
        <v>7751.9740700953844</v>
      </c>
      <c r="HN19" s="6">
        <f t="shared" si="143"/>
        <v>7674.4543293944307</v>
      </c>
      <c r="HO19" s="6">
        <f t="shared" si="143"/>
        <v>7597.7097861004868</v>
      </c>
      <c r="HP19" s="6">
        <f t="shared" si="143"/>
        <v>7521.7326882394818</v>
      </c>
      <c r="HQ19" s="6">
        <f t="shared" si="143"/>
        <v>7446.5153613570874</v>
      </c>
      <c r="HR19" s="6">
        <f t="shared" si="143"/>
        <v>7372.0502077435167</v>
      </c>
      <c r="HS19" s="6">
        <f t="shared" si="143"/>
        <v>7298.3297056660813</v>
      </c>
      <c r="HT19" s="6">
        <f t="shared" si="143"/>
        <v>7225.34640860942</v>
      </c>
      <c r="HU19" s="6">
        <f t="shared" si="143"/>
        <v>7153.092944523326</v>
      </c>
      <c r="HV19" s="6">
        <f t="shared" si="143"/>
        <v>7081.5620150780924</v>
      </c>
      <c r="HW19" s="6">
        <f t="shared" si="143"/>
        <v>7010.7463949273115</v>
      </c>
      <c r="HX19" s="6">
        <f t="shared" si="143"/>
        <v>6940.6389309780379</v>
      </c>
      <c r="HY19" s="6">
        <f t="shared" si="143"/>
        <v>6871.2325416682579</v>
      </c>
      <c r="HZ19" s="6">
        <f t="shared" si="143"/>
        <v>6802.5202162515752</v>
      </c>
      <c r="IA19" s="6">
        <f t="shared" si="143"/>
        <v>6734.4950140890596</v>
      </c>
      <c r="IB19" s="6">
        <f t="shared" si="143"/>
        <v>6667.1500639481692</v>
      </c>
      <c r="IC19" s="6">
        <f t="shared" si="143"/>
        <v>6600.4785633086876</v>
      </c>
      <c r="ID19" s="6">
        <f t="shared" si="143"/>
        <v>6534.473777675601</v>
      </c>
      <c r="IE19" s="6">
        <f t="shared" si="143"/>
        <v>6469.1290398988449</v>
      </c>
      <c r="IF19" s="6">
        <f t="shared" si="143"/>
        <v>6404.4377494998562</v>
      </c>
      <c r="IG19" s="6">
        <f t="shared" si="143"/>
        <v>6340.3933720048572</v>
      </c>
      <c r="IH19" s="6">
        <f t="shared" si="143"/>
        <v>6276.9894382848088</v>
      </c>
      <c r="II19" s="6">
        <f t="shared" si="143"/>
        <v>6214.2195439019606</v>
      </c>
      <c r="IJ19" s="6">
        <f t="shared" si="143"/>
        <v>6152.0773484629408</v>
      </c>
      <c r="IK19" s="6">
        <f t="shared" si="143"/>
        <v>6090.5565749783109</v>
      </c>
      <c r="IL19" s="6">
        <f t="shared" si="143"/>
        <v>6029.651009228528</v>
      </c>
      <c r="IM19" s="6">
        <f t="shared" si="143"/>
        <v>5969.3544991362423</v>
      </c>
      <c r="IN19" s="6">
        <f t="shared" si="143"/>
        <v>5909.6609541448797</v>
      </c>
      <c r="IO19" s="6">
        <f t="shared" si="143"/>
        <v>5850.564344603431</v>
      </c>
      <c r="IP19" s="6">
        <f t="shared" si="143"/>
        <v>5792.0587011573962</v>
      </c>
      <c r="IQ19" s="6">
        <f t="shared" si="143"/>
        <v>5734.1381141458223</v>
      </c>
      <c r="IR19" s="6">
        <f t="shared" si="143"/>
        <v>5676.7967330043639</v>
      </c>
      <c r="IS19" s="6">
        <f t="shared" si="143"/>
        <v>5620.0287656743203</v>
      </c>
      <c r="IT19" s="6">
        <f t="shared" si="143"/>
        <v>5563.8284780175773</v>
      </c>
      <c r="IU19" s="6">
        <f t="shared" si="143"/>
        <v>5508.1901932374012</v>
      </c>
      <c r="IV19" s="6">
        <f t="shared" si="143"/>
        <v>5453.1082913050268</v>
      </c>
      <c r="IW19" s="6">
        <f t="shared" si="143"/>
        <v>5398.5772083919765</v>
      </c>
      <c r="IX19" s="6">
        <f t="shared" si="143"/>
        <v>5344.5914363080565</v>
      </c>
      <c r="IY19" s="6">
        <f t="shared" si="143"/>
        <v>5291.1455219449763</v>
      </c>
      <c r="IZ19" s="6">
        <f t="shared" si="143"/>
        <v>5238.2340667255266</v>
      </c>
      <c r="JA19" s="6">
        <f t="shared" si="143"/>
        <v>5185.8517260582712</v>
      </c>
      <c r="JB19" s="6">
        <f t="shared" si="143"/>
        <v>5133.9932087976886</v>
      </c>
      <c r="JC19" s="6">
        <f t="shared" si="143"/>
        <v>5082.6532767097115</v>
      </c>
      <c r="JD19" s="6">
        <f t="shared" si="143"/>
        <v>5031.8267439426145</v>
      </c>
      <c r="JE19" s="6">
        <f t="shared" ref="JE19:LP19" si="144">+JD19*(1+$AX$34)</f>
        <v>4981.5084765031879</v>
      </c>
      <c r="JF19" s="6">
        <f t="shared" si="144"/>
        <v>4931.6933917381557</v>
      </c>
      <c r="JG19" s="6">
        <f t="shared" si="144"/>
        <v>4882.3764578207738</v>
      </c>
      <c r="JH19" s="6">
        <f t="shared" si="144"/>
        <v>4833.5526932425664</v>
      </c>
      <c r="JI19" s="6">
        <f t="shared" si="144"/>
        <v>4785.2171663101408</v>
      </c>
      <c r="JJ19" s="6">
        <f t="shared" si="144"/>
        <v>4737.3649946470396</v>
      </c>
      <c r="JK19" s="6">
        <f t="shared" si="144"/>
        <v>4689.9913447005692</v>
      </c>
      <c r="JL19" s="6">
        <f t="shared" si="144"/>
        <v>4643.0914312535633</v>
      </c>
      <c r="JM19" s="6">
        <f t="shared" si="144"/>
        <v>4596.6605169410277</v>
      </c>
      <c r="JN19" s="6">
        <f t="shared" si="144"/>
        <v>4550.6939117716174</v>
      </c>
      <c r="JO19" s="6">
        <f t="shared" si="144"/>
        <v>4505.1869726539016</v>
      </c>
      <c r="JP19" s="6">
        <f t="shared" si="144"/>
        <v>4460.1351029273628</v>
      </c>
      <c r="JQ19" s="6">
        <f t="shared" si="144"/>
        <v>4415.5337518980896</v>
      </c>
      <c r="JR19" s="6">
        <f t="shared" si="144"/>
        <v>4371.378414379109</v>
      </c>
      <c r="JS19" s="6">
        <f t="shared" si="144"/>
        <v>4327.6646302353183</v>
      </c>
      <c r="JT19" s="6">
        <f t="shared" si="144"/>
        <v>4284.3879839329647</v>
      </c>
      <c r="JU19" s="6">
        <f t="shared" si="144"/>
        <v>4241.5441040936348</v>
      </c>
      <c r="JV19" s="6">
        <f t="shared" si="144"/>
        <v>4199.1286630526984</v>
      </c>
      <c r="JW19" s="6">
        <f t="shared" si="144"/>
        <v>4157.1373764221717</v>
      </c>
      <c r="JX19" s="6">
        <f t="shared" si="144"/>
        <v>4115.5660026579499</v>
      </c>
      <c r="JY19" s="6">
        <f t="shared" si="144"/>
        <v>4074.4103426313704</v>
      </c>
      <c r="JZ19" s="6">
        <f t="shared" si="144"/>
        <v>4033.6662392050566</v>
      </c>
      <c r="KA19" s="6">
        <f t="shared" si="144"/>
        <v>3993.329576813006</v>
      </c>
      <c r="KB19" s="6">
        <f t="shared" si="144"/>
        <v>3953.3962810448761</v>
      </c>
      <c r="KC19" s="6">
        <f t="shared" si="144"/>
        <v>3913.8623182344272</v>
      </c>
      <c r="KD19" s="6">
        <f t="shared" si="144"/>
        <v>3874.7236950520828</v>
      </c>
      <c r="KE19" s="6">
        <f t="shared" si="144"/>
        <v>3835.976458101562</v>
      </c>
      <c r="KF19" s="6">
        <f t="shared" si="144"/>
        <v>3797.6166935205465</v>
      </c>
      <c r="KG19" s="6">
        <f t="shared" si="144"/>
        <v>3759.6405265853409</v>
      </c>
      <c r="KH19" s="6">
        <f t="shared" si="144"/>
        <v>3722.0441213194877</v>
      </c>
      <c r="KI19" s="6">
        <f t="shared" si="144"/>
        <v>3684.8236801062926</v>
      </c>
      <c r="KJ19" s="6">
        <f t="shared" si="144"/>
        <v>3647.9754433052299</v>
      </c>
      <c r="KK19" s="6">
        <f t="shared" si="144"/>
        <v>3611.4956888721777</v>
      </c>
      <c r="KL19" s="6">
        <f t="shared" si="144"/>
        <v>3575.3807319834559</v>
      </c>
      <c r="KM19" s="6">
        <f t="shared" si="144"/>
        <v>3539.6269246636211</v>
      </c>
      <c r="KN19" s="6">
        <f t="shared" si="144"/>
        <v>3504.230655416985</v>
      </c>
      <c r="KO19" s="6">
        <f t="shared" si="144"/>
        <v>3469.188348862815</v>
      </c>
      <c r="KP19" s="6">
        <f t="shared" si="144"/>
        <v>3434.4964653741868</v>
      </c>
      <c r="KQ19" s="6">
        <f t="shared" si="144"/>
        <v>3400.1515007204448</v>
      </c>
      <c r="KR19" s="6">
        <f t="shared" si="144"/>
        <v>3366.1499857132403</v>
      </c>
      <c r="KS19" s="6">
        <f t="shared" si="144"/>
        <v>3332.4884858561077</v>
      </c>
      <c r="KT19" s="6">
        <f t="shared" si="144"/>
        <v>3299.1636009975464</v>
      </c>
      <c r="KU19" s="6">
        <f t="shared" si="144"/>
        <v>3266.1719649875708</v>
      </c>
      <c r="KV19" s="6">
        <f t="shared" si="144"/>
        <v>3233.5102453376953</v>
      </c>
      <c r="KW19" s="6">
        <f t="shared" si="144"/>
        <v>3201.1751428843181</v>
      </c>
      <c r="KX19" s="6">
        <f t="shared" si="144"/>
        <v>3169.163391455475</v>
      </c>
      <c r="KY19" s="6">
        <f t="shared" si="144"/>
        <v>3137.4717575409204</v>
      </c>
      <c r="KZ19" s="6">
        <f t="shared" si="144"/>
        <v>3106.0970399655112</v>
      </c>
      <c r="LA19" s="6">
        <f t="shared" si="144"/>
        <v>3075.036069565856</v>
      </c>
      <c r="LB19" s="6">
        <f t="shared" si="144"/>
        <v>3044.2857088701976</v>
      </c>
      <c r="LC19" s="6">
        <f t="shared" si="144"/>
        <v>3013.8428517814955</v>
      </c>
      <c r="LD19" s="6">
        <f t="shared" si="144"/>
        <v>2983.7044232636804</v>
      </c>
      <c r="LE19" s="6">
        <f t="shared" si="144"/>
        <v>2953.8673790310436</v>
      </c>
      <c r="LF19" s="6">
        <f t="shared" si="144"/>
        <v>2924.3287052407331</v>
      </c>
      <c r="LG19" s="6">
        <f t="shared" si="144"/>
        <v>2895.085418188326</v>
      </c>
      <c r="LH19" s="6">
        <f t="shared" si="144"/>
        <v>2866.1345640064428</v>
      </c>
      <c r="LI19" s="6">
        <f t="shared" si="144"/>
        <v>2837.4732183663782</v>
      </c>
      <c r="LJ19" s="6">
        <f t="shared" si="144"/>
        <v>2809.0984861827146</v>
      </c>
      <c r="LK19" s="6">
        <f t="shared" si="144"/>
        <v>2781.0075013208875</v>
      </c>
      <c r="LL19" s="6">
        <f t="shared" si="144"/>
        <v>2753.1974263076786</v>
      </c>
      <c r="LM19" s="6">
        <f t="shared" si="144"/>
        <v>2725.6654520446018</v>
      </c>
      <c r="LN19" s="6">
        <f t="shared" si="144"/>
        <v>2698.4087975241559</v>
      </c>
      <c r="LO19" s="6">
        <f t="shared" si="144"/>
        <v>2671.4247095489145</v>
      </c>
      <c r="LP19" s="6">
        <f t="shared" si="144"/>
        <v>2644.7104624534254</v>
      </c>
      <c r="LQ19" s="6">
        <f t="shared" ref="LQ19:OB19" si="145">+LP19*(1+$AX$34)</f>
        <v>2618.263357828891</v>
      </c>
      <c r="LR19" s="6">
        <f t="shared" si="145"/>
        <v>2592.0807242506021</v>
      </c>
      <c r="LS19" s="6">
        <f t="shared" si="145"/>
        <v>2566.1599170080958</v>
      </c>
      <c r="LT19" s="6">
        <f t="shared" si="145"/>
        <v>2540.4983178380148</v>
      </c>
      <c r="LU19" s="6">
        <f t="shared" si="145"/>
        <v>2515.0933346596348</v>
      </c>
      <c r="LV19" s="6">
        <f t="shared" si="145"/>
        <v>2489.9424013130383</v>
      </c>
      <c r="LW19" s="6">
        <f t="shared" si="145"/>
        <v>2465.0429772999078</v>
      </c>
      <c r="LX19" s="6">
        <f t="shared" si="145"/>
        <v>2440.3925475269089</v>
      </c>
      <c r="LY19" s="6">
        <f t="shared" si="145"/>
        <v>2415.9886220516396</v>
      </c>
      <c r="LZ19" s="6">
        <f t="shared" si="145"/>
        <v>2391.8287358311231</v>
      </c>
      <c r="MA19" s="6">
        <f t="shared" si="145"/>
        <v>2367.9104484728118</v>
      </c>
      <c r="MB19" s="6">
        <f t="shared" si="145"/>
        <v>2344.2313439880836</v>
      </c>
      <c r="MC19" s="6">
        <f t="shared" si="145"/>
        <v>2320.7890305482028</v>
      </c>
      <c r="MD19" s="6">
        <f t="shared" si="145"/>
        <v>2297.5811402427207</v>
      </c>
      <c r="ME19" s="6">
        <f t="shared" si="145"/>
        <v>2274.6053288402936</v>
      </c>
      <c r="MF19" s="6">
        <f t="shared" si="145"/>
        <v>2251.8592755518907</v>
      </c>
      <c r="MG19" s="6">
        <f t="shared" si="145"/>
        <v>2229.3406827963718</v>
      </c>
      <c r="MH19" s="6">
        <f t="shared" si="145"/>
        <v>2207.047275968408</v>
      </c>
      <c r="MI19" s="6">
        <f t="shared" si="145"/>
        <v>2184.976803208724</v>
      </c>
      <c r="MJ19" s="6">
        <f t="shared" si="145"/>
        <v>2163.1270351766366</v>
      </c>
      <c r="MK19" s="6">
        <f t="shared" si="145"/>
        <v>2141.4957648248701</v>
      </c>
      <c r="ML19" s="6">
        <f t="shared" si="145"/>
        <v>2120.0808071766214</v>
      </c>
      <c r="MM19" s="6">
        <f t="shared" si="145"/>
        <v>2098.879999104855</v>
      </c>
      <c r="MN19" s="6">
        <f t="shared" si="145"/>
        <v>2077.8911991138066</v>
      </c>
      <c r="MO19" s="6">
        <f t="shared" si="145"/>
        <v>2057.1122871226685</v>
      </c>
      <c r="MP19" s="6">
        <f t="shared" si="145"/>
        <v>2036.5411642514418</v>
      </c>
      <c r="MQ19" s="6">
        <f t="shared" si="145"/>
        <v>2016.1757526089275</v>
      </c>
      <c r="MR19" s="6">
        <f t="shared" si="145"/>
        <v>1996.0139950828382</v>
      </c>
      <c r="MS19" s="6">
        <f t="shared" si="145"/>
        <v>1976.0538551320099</v>
      </c>
      <c r="MT19" s="6">
        <f t="shared" si="145"/>
        <v>1956.2933165806896</v>
      </c>
      <c r="MU19" s="6">
        <f t="shared" si="145"/>
        <v>1936.7303834148827</v>
      </c>
      <c r="MV19" s="6">
        <f t="shared" si="145"/>
        <v>1917.3630795807339</v>
      </c>
      <c r="MW19" s="6">
        <f t="shared" si="145"/>
        <v>1898.1894487849265</v>
      </c>
      <c r="MX19" s="6">
        <f t="shared" si="145"/>
        <v>1879.2075542970772</v>
      </c>
      <c r="MY19" s="6">
        <f t="shared" si="145"/>
        <v>1860.4154787541065</v>
      </c>
      <c r="MZ19" s="6">
        <f t="shared" si="145"/>
        <v>1841.8113239665654</v>
      </c>
      <c r="NA19" s="6">
        <f t="shared" si="145"/>
        <v>1823.3932107268997</v>
      </c>
      <c r="NB19" s="6">
        <f t="shared" si="145"/>
        <v>1805.1592786196306</v>
      </c>
      <c r="NC19" s="6">
        <f t="shared" si="145"/>
        <v>1787.1076858334343</v>
      </c>
      <c r="ND19" s="6">
        <f t="shared" si="145"/>
        <v>1769.2366089750999</v>
      </c>
      <c r="NE19" s="6">
        <f t="shared" si="145"/>
        <v>1751.5442428853489</v>
      </c>
      <c r="NF19" s="6">
        <f t="shared" si="145"/>
        <v>1734.0288004564954</v>
      </c>
      <c r="NG19" s="6">
        <f t="shared" si="145"/>
        <v>1716.6885124519304</v>
      </c>
      <c r="NH19" s="6">
        <f t="shared" si="145"/>
        <v>1699.5216273274111</v>
      </c>
      <c r="NI19" s="6">
        <f t="shared" si="145"/>
        <v>1682.526411054137</v>
      </c>
      <c r="NJ19" s="6">
        <f t="shared" si="145"/>
        <v>1665.7011469435956</v>
      </c>
      <c r="NK19" s="6">
        <f t="shared" si="145"/>
        <v>1649.0441354741597</v>
      </c>
      <c r="NL19" s="6">
        <f t="shared" si="145"/>
        <v>1632.5536941194182</v>
      </c>
      <c r="NM19" s="6">
        <f t="shared" si="145"/>
        <v>1616.2281571782239</v>
      </c>
      <c r="NN19" s="6">
        <f t="shared" si="145"/>
        <v>1600.0658756064418</v>
      </c>
      <c r="NO19" s="6">
        <f t="shared" si="145"/>
        <v>1584.0652168503773</v>
      </c>
      <c r="NP19" s="6">
        <f t="shared" si="145"/>
        <v>1568.2245646818735</v>
      </c>
      <c r="NQ19" s="6">
        <f t="shared" si="145"/>
        <v>1552.5423190350548</v>
      </c>
      <c r="NR19" s="6">
        <f t="shared" si="145"/>
        <v>1537.0168958447043</v>
      </c>
      <c r="NS19" s="6">
        <f t="shared" si="145"/>
        <v>1521.6467268862573</v>
      </c>
      <c r="NT19" s="6">
        <f t="shared" si="145"/>
        <v>1506.4302596173948</v>
      </c>
      <c r="NU19" s="6">
        <f t="shared" si="145"/>
        <v>1491.3659570212208</v>
      </c>
      <c r="NV19" s="6">
        <f t="shared" si="145"/>
        <v>1476.4522974510085</v>
      </c>
      <c r="NW19" s="6">
        <f t="shared" si="145"/>
        <v>1461.6877744764984</v>
      </c>
      <c r="NX19" s="6">
        <f t="shared" si="145"/>
        <v>1447.0708967317335</v>
      </c>
      <c r="NY19" s="6">
        <f t="shared" si="145"/>
        <v>1432.6001877644162</v>
      </c>
      <c r="NZ19" s="6">
        <f t="shared" si="145"/>
        <v>1418.2741858867721</v>
      </c>
      <c r="OA19" s="6">
        <f t="shared" si="145"/>
        <v>1404.0914440279043</v>
      </c>
      <c r="OB19" s="6">
        <f t="shared" si="145"/>
        <v>1390.0505295876253</v>
      </c>
      <c r="OC19" s="6">
        <f t="shared" ref="OC19:QN19" si="146">+OB19*(1+$AX$34)</f>
        <v>1376.1500242917491</v>
      </c>
      <c r="OD19" s="6">
        <f t="shared" si="146"/>
        <v>1362.3885240488316</v>
      </c>
      <c r="OE19" s="6">
        <f t="shared" si="146"/>
        <v>1348.7646388083433</v>
      </c>
      <c r="OF19" s="6">
        <f t="shared" si="146"/>
        <v>1335.2769924202598</v>
      </c>
      <c r="OG19" s="6">
        <f t="shared" si="146"/>
        <v>1321.9242224960572</v>
      </c>
      <c r="OH19" s="6">
        <f t="shared" si="146"/>
        <v>1308.7049802710965</v>
      </c>
      <c r="OI19" s="6">
        <f t="shared" si="146"/>
        <v>1295.6179304683856</v>
      </c>
      <c r="OJ19" s="6">
        <f t="shared" si="146"/>
        <v>1282.6617511637016</v>
      </c>
      <c r="OK19" s="6">
        <f t="shared" si="146"/>
        <v>1269.8351336520645</v>
      </c>
      <c r="OL19" s="6">
        <f t="shared" si="146"/>
        <v>1257.136782315544</v>
      </c>
      <c r="OM19" s="6">
        <f t="shared" si="146"/>
        <v>1244.5654144923885</v>
      </c>
      <c r="ON19" s="6">
        <f t="shared" si="146"/>
        <v>1232.1197603474645</v>
      </c>
      <c r="OO19" s="6">
        <f t="shared" si="146"/>
        <v>1219.7985627439898</v>
      </c>
      <c r="OP19" s="6">
        <f t="shared" si="146"/>
        <v>1207.6005771165499</v>
      </c>
      <c r="OQ19" s="6">
        <f t="shared" si="146"/>
        <v>1195.5245713453844</v>
      </c>
      <c r="OR19" s="6">
        <f t="shared" si="146"/>
        <v>1183.5693256319305</v>
      </c>
      <c r="OS19" s="6">
        <f t="shared" si="146"/>
        <v>1171.7336323756113</v>
      </c>
      <c r="OT19" s="6">
        <f t="shared" si="146"/>
        <v>1160.0162960518551</v>
      </c>
      <c r="OU19" s="6">
        <f t="shared" si="146"/>
        <v>1148.4161330913364</v>
      </c>
      <c r="OV19" s="6">
        <f t="shared" si="146"/>
        <v>1136.931971760423</v>
      </c>
      <c r="OW19" s="6">
        <f t="shared" si="146"/>
        <v>1125.5626520428189</v>
      </c>
      <c r="OX19" s="6">
        <f t="shared" si="146"/>
        <v>1114.3070255223906</v>
      </c>
      <c r="OY19" s="6">
        <f t="shared" si="146"/>
        <v>1103.1639552671668</v>
      </c>
      <c r="OZ19" s="6">
        <f t="shared" si="146"/>
        <v>1092.132315714495</v>
      </c>
      <c r="PA19" s="6">
        <f t="shared" si="146"/>
        <v>1081.21099255735</v>
      </c>
      <c r="PB19" s="6">
        <f t="shared" si="146"/>
        <v>1070.3988826317764</v>
      </c>
      <c r="PC19" s="6">
        <f t="shared" si="146"/>
        <v>1059.6948938054586</v>
      </c>
      <c r="PD19" s="6">
        <f t="shared" si="146"/>
        <v>1049.0979448674041</v>
      </c>
      <c r="PE19" s="6">
        <f t="shared" si="146"/>
        <v>1038.6069654187299</v>
      </c>
      <c r="PF19" s="6">
        <f t="shared" si="146"/>
        <v>1028.2208957645425</v>
      </c>
      <c r="PG19" s="6">
        <f t="shared" si="146"/>
        <v>1017.9386868068971</v>
      </c>
      <c r="PH19" s="6">
        <f t="shared" si="146"/>
        <v>1007.7592999388281</v>
      </c>
      <c r="PI19" s="6">
        <f t="shared" si="146"/>
        <v>997.68170693943978</v>
      </c>
      <c r="PJ19" s="6">
        <f t="shared" si="146"/>
        <v>987.70488987004535</v>
      </c>
      <c r="PK19" s="6">
        <f t="shared" si="146"/>
        <v>977.82784097134493</v>
      </c>
      <c r="PL19" s="6">
        <f t="shared" si="146"/>
        <v>968.04956256163143</v>
      </c>
      <c r="PM19" s="6">
        <f t="shared" si="146"/>
        <v>958.36906693601509</v>
      </c>
      <c r="PN19" s="6">
        <f t="shared" si="146"/>
        <v>948.78537626665491</v>
      </c>
      <c r="PO19" s="6">
        <f t="shared" si="146"/>
        <v>939.29752250398838</v>
      </c>
      <c r="PP19" s="6">
        <f t="shared" si="146"/>
        <v>929.90454727894848</v>
      </c>
      <c r="PQ19" s="6">
        <f t="shared" si="146"/>
        <v>920.60550180615894</v>
      </c>
      <c r="PR19" s="6">
        <f t="shared" si="146"/>
        <v>911.39944678809729</v>
      </c>
      <c r="PS19" s="6">
        <f t="shared" si="146"/>
        <v>902.28545232021634</v>
      </c>
      <c r="PT19" s="6">
        <f t="shared" si="146"/>
        <v>893.26259779701411</v>
      </c>
      <c r="PU19" s="6">
        <f t="shared" si="146"/>
        <v>884.32997181904398</v>
      </c>
      <c r="PV19" s="6">
        <f t="shared" si="146"/>
        <v>875.48667210085353</v>
      </c>
      <c r="PW19" s="6">
        <f t="shared" si="146"/>
        <v>866.73180537984501</v>
      </c>
      <c r="PX19" s="6">
        <f t="shared" si="146"/>
        <v>858.06448732604656</v>
      </c>
      <c r="PY19" s="6">
        <f t="shared" si="146"/>
        <v>849.48384245278612</v>
      </c>
      <c r="PZ19" s="6">
        <f t="shared" si="146"/>
        <v>840.98900402825825</v>
      </c>
      <c r="QA19" s="6">
        <f t="shared" si="146"/>
        <v>832.57911398797569</v>
      </c>
      <c r="QB19" s="6">
        <f t="shared" si="146"/>
        <v>824.25332284809588</v>
      </c>
      <c r="QC19" s="6">
        <f t="shared" si="146"/>
        <v>816.01078961961491</v>
      </c>
      <c r="QD19" s="6">
        <f t="shared" si="146"/>
        <v>807.8506817234188</v>
      </c>
      <c r="QE19" s="6">
        <f t="shared" si="146"/>
        <v>799.77217490618466</v>
      </c>
      <c r="QF19" s="6">
        <f t="shared" si="146"/>
        <v>791.77445315712282</v>
      </c>
      <c r="QG19" s="6">
        <f t="shared" si="146"/>
        <v>783.85670862555162</v>
      </c>
      <c r="QH19" s="6">
        <f t="shared" si="146"/>
        <v>776.01814153929604</v>
      </c>
      <c r="QI19" s="6">
        <f t="shared" si="146"/>
        <v>768.2579601239031</v>
      </c>
      <c r="QJ19" s="6">
        <f t="shared" si="146"/>
        <v>760.57538052266409</v>
      </c>
      <c r="QK19" s="6">
        <f t="shared" si="146"/>
        <v>752.96962671743745</v>
      </c>
      <c r="QL19" s="6">
        <f t="shared" si="146"/>
        <v>745.43993045026309</v>
      </c>
      <c r="QM19" s="6">
        <f t="shared" si="146"/>
        <v>737.98553114576043</v>
      </c>
      <c r="QN19" s="6">
        <f t="shared" si="146"/>
        <v>730.60567583430282</v>
      </c>
      <c r="QO19" s="6">
        <f t="shared" ref="QO19:SZ19" si="147">+QN19*(1+$AX$34)</f>
        <v>723.29961907595975</v>
      </c>
      <c r="QP19" s="6">
        <f t="shared" si="147"/>
        <v>716.0666228852001</v>
      </c>
      <c r="QQ19" s="6">
        <f t="shared" si="147"/>
        <v>708.90595665634805</v>
      </c>
      <c r="QR19" s="6">
        <f t="shared" si="147"/>
        <v>701.81689708978456</v>
      </c>
      <c r="QS19" s="6">
        <f t="shared" si="147"/>
        <v>694.79872811888674</v>
      </c>
      <c r="QT19" s="6">
        <f t="shared" si="147"/>
        <v>687.85074083769791</v>
      </c>
      <c r="QU19" s="6">
        <f t="shared" si="147"/>
        <v>680.97223342932091</v>
      </c>
      <c r="QV19" s="6">
        <f t="shared" si="147"/>
        <v>674.16251109502764</v>
      </c>
      <c r="QW19" s="6">
        <f t="shared" si="147"/>
        <v>667.42088598407736</v>
      </c>
      <c r="QX19" s="6">
        <f t="shared" si="147"/>
        <v>660.74667712423661</v>
      </c>
      <c r="QY19" s="6">
        <f t="shared" si="147"/>
        <v>654.13921035299427</v>
      </c>
      <c r="QZ19" s="6">
        <f t="shared" si="147"/>
        <v>647.59781824946435</v>
      </c>
      <c r="RA19" s="6">
        <f t="shared" si="147"/>
        <v>641.12184006696975</v>
      </c>
      <c r="RB19" s="6">
        <f t="shared" si="147"/>
        <v>634.71062166630009</v>
      </c>
      <c r="RC19" s="6">
        <f t="shared" si="147"/>
        <v>628.36351544963713</v>
      </c>
      <c r="RD19" s="6">
        <f t="shared" si="147"/>
        <v>622.07988029514081</v>
      </c>
      <c r="RE19" s="6">
        <f t="shared" si="147"/>
        <v>615.85908149218938</v>
      </c>
      <c r="RF19" s="6">
        <f t="shared" si="147"/>
        <v>609.70049067726745</v>
      </c>
      <c r="RG19" s="6">
        <f t="shared" si="147"/>
        <v>603.60348577049479</v>
      </c>
      <c r="RH19" s="6">
        <f t="shared" si="147"/>
        <v>597.56745091278981</v>
      </c>
      <c r="RI19" s="6">
        <f t="shared" si="147"/>
        <v>591.59177640366192</v>
      </c>
      <c r="RJ19" s="6">
        <f t="shared" si="147"/>
        <v>585.67585863962529</v>
      </c>
      <c r="RK19" s="6">
        <f t="shared" si="147"/>
        <v>579.81910005322902</v>
      </c>
      <c r="RL19" s="6">
        <f t="shared" si="147"/>
        <v>574.02090905269677</v>
      </c>
      <c r="RM19" s="6">
        <f t="shared" si="147"/>
        <v>568.28069996216982</v>
      </c>
      <c r="RN19" s="6">
        <f t="shared" si="147"/>
        <v>562.59789296254814</v>
      </c>
      <c r="RO19" s="6">
        <f t="shared" si="147"/>
        <v>556.97191403292265</v>
      </c>
      <c r="RP19" s="6">
        <f t="shared" si="147"/>
        <v>551.40219489259346</v>
      </c>
      <c r="RQ19" s="6">
        <f t="shared" si="147"/>
        <v>545.88817294366754</v>
      </c>
      <c r="RR19" s="6">
        <f t="shared" si="147"/>
        <v>540.42929121423083</v>
      </c>
      <c r="RS19" s="6">
        <f t="shared" si="147"/>
        <v>535.02499830208853</v>
      </c>
      <c r="RT19" s="6">
        <f t="shared" si="147"/>
        <v>529.67474831906759</v>
      </c>
      <c r="RU19" s="6">
        <f t="shared" si="147"/>
        <v>524.37800083587695</v>
      </c>
      <c r="RV19" s="6">
        <f t="shared" si="147"/>
        <v>519.13422082751822</v>
      </c>
      <c r="RW19" s="6">
        <f t="shared" si="147"/>
        <v>513.94287861924306</v>
      </c>
      <c r="RX19" s="6">
        <f t="shared" si="147"/>
        <v>508.80344983305065</v>
      </c>
      <c r="RY19" s="6">
        <f t="shared" si="147"/>
        <v>503.71541533472015</v>
      </c>
      <c r="RZ19" s="6">
        <f t="shared" si="147"/>
        <v>498.67826118137293</v>
      </c>
      <c r="SA19" s="6">
        <f t="shared" si="147"/>
        <v>493.69147856955919</v>
      </c>
      <c r="SB19" s="6">
        <f t="shared" si="147"/>
        <v>488.7545637838636</v>
      </c>
      <c r="SC19" s="6">
        <f t="shared" si="147"/>
        <v>483.86701814602498</v>
      </c>
      <c r="SD19" s="6">
        <f t="shared" si="147"/>
        <v>479.02834796456472</v>
      </c>
      <c r="SE19" s="6">
        <f t="shared" si="147"/>
        <v>474.23806448491905</v>
      </c>
      <c r="SF19" s="6">
        <f t="shared" si="147"/>
        <v>469.49568384006983</v>
      </c>
      <c r="SG19" s="6">
        <f t="shared" si="147"/>
        <v>464.80072700166915</v>
      </c>
      <c r="SH19" s="6">
        <f t="shared" si="147"/>
        <v>460.15271973165244</v>
      </c>
      <c r="SI19" s="6">
        <f t="shared" si="147"/>
        <v>455.55119253433588</v>
      </c>
      <c r="SJ19" s="6">
        <f t="shared" si="147"/>
        <v>450.99568060899253</v>
      </c>
      <c r="SK19" s="6">
        <f t="shared" si="147"/>
        <v>446.48572380290261</v>
      </c>
      <c r="SL19" s="6">
        <f t="shared" si="147"/>
        <v>442.02086656487359</v>
      </c>
      <c r="SM19" s="6">
        <f t="shared" si="147"/>
        <v>437.60065789922487</v>
      </c>
      <c r="SN19" s="6">
        <f t="shared" si="147"/>
        <v>433.22465132023262</v>
      </c>
      <c r="SO19" s="6">
        <f t="shared" si="147"/>
        <v>428.89240480703029</v>
      </c>
      <c r="SP19" s="6">
        <f t="shared" si="147"/>
        <v>424.60348075895996</v>
      </c>
      <c r="SQ19" s="6">
        <f t="shared" si="147"/>
        <v>420.35744595137038</v>
      </c>
      <c r="SR19" s="6">
        <f t="shared" si="147"/>
        <v>416.15387149185665</v>
      </c>
      <c r="SS19" s="6">
        <f t="shared" si="147"/>
        <v>411.9923327769381</v>
      </c>
      <c r="ST19" s="6">
        <f t="shared" si="147"/>
        <v>407.87240944916874</v>
      </c>
      <c r="SU19" s="6">
        <f t="shared" si="147"/>
        <v>403.79368535467705</v>
      </c>
      <c r="SV19" s="6">
        <f t="shared" si="147"/>
        <v>399.75574850113026</v>
      </c>
      <c r="SW19" s="6">
        <f t="shared" si="147"/>
        <v>395.75819101611893</v>
      </c>
      <c r="SX19" s="6">
        <f t="shared" si="147"/>
        <v>391.80060910595773</v>
      </c>
      <c r="SY19" s="6">
        <f t="shared" si="147"/>
        <v>387.88260301489817</v>
      </c>
      <c r="SZ19" s="6">
        <f t="shared" si="147"/>
        <v>384.00377698474921</v>
      </c>
      <c r="TA19" s="6">
        <f t="shared" ref="TA19:VL19" si="148">+SZ19*(1+$AX$34)</f>
        <v>380.16373921490174</v>
      </c>
      <c r="TB19" s="6">
        <f t="shared" si="148"/>
        <v>376.36210182275272</v>
      </c>
      <c r="TC19" s="6">
        <f t="shared" si="148"/>
        <v>372.5984808045252</v>
      </c>
      <c r="TD19" s="6">
        <f t="shared" si="148"/>
        <v>368.87249599647993</v>
      </c>
      <c r="TE19" s="6">
        <f t="shared" si="148"/>
        <v>365.18377103651511</v>
      </c>
      <c r="TF19" s="6">
        <f t="shared" si="148"/>
        <v>361.53193332614995</v>
      </c>
      <c r="TG19" s="6">
        <f t="shared" si="148"/>
        <v>357.91661399288847</v>
      </c>
      <c r="TH19" s="6">
        <f t="shared" si="148"/>
        <v>354.3374478529596</v>
      </c>
      <c r="TI19" s="6">
        <f t="shared" si="148"/>
        <v>350.79407337443001</v>
      </c>
      <c r="TJ19" s="6">
        <f t="shared" si="148"/>
        <v>347.28613264068571</v>
      </c>
      <c r="TK19" s="6">
        <f t="shared" si="148"/>
        <v>343.81327131427884</v>
      </c>
      <c r="TL19" s="6">
        <f t="shared" si="148"/>
        <v>340.37513860113603</v>
      </c>
      <c r="TM19" s="6">
        <f t="shared" si="148"/>
        <v>336.97138721512465</v>
      </c>
      <c r="TN19" s="6">
        <f t="shared" si="148"/>
        <v>333.60167334297341</v>
      </c>
      <c r="TO19" s="6">
        <f t="shared" si="148"/>
        <v>330.26565660954367</v>
      </c>
      <c r="TP19" s="6">
        <f t="shared" si="148"/>
        <v>326.96300004344823</v>
      </c>
      <c r="TQ19" s="6">
        <f t="shared" si="148"/>
        <v>323.69337004301377</v>
      </c>
      <c r="TR19" s="6">
        <f t="shared" si="148"/>
        <v>320.45643634258363</v>
      </c>
      <c r="TS19" s="6">
        <f t="shared" si="148"/>
        <v>317.25187197915778</v>
      </c>
      <c r="TT19" s="6">
        <f t="shared" si="148"/>
        <v>314.0793532593662</v>
      </c>
      <c r="TU19" s="6">
        <f t="shared" si="148"/>
        <v>310.93855972677255</v>
      </c>
      <c r="TV19" s="6">
        <f t="shared" si="148"/>
        <v>307.82917412950485</v>
      </c>
      <c r="TW19" s="6">
        <f t="shared" si="148"/>
        <v>304.75088238820979</v>
      </c>
      <c r="TX19" s="6">
        <f t="shared" si="148"/>
        <v>301.70337356432771</v>
      </c>
      <c r="TY19" s="6">
        <f t="shared" si="148"/>
        <v>298.68633982868442</v>
      </c>
      <c r="TZ19" s="6">
        <f t="shared" si="148"/>
        <v>295.69947643039757</v>
      </c>
      <c r="UA19" s="6">
        <f t="shared" si="148"/>
        <v>292.74248166609357</v>
      </c>
      <c r="UB19" s="6">
        <f t="shared" si="148"/>
        <v>289.81505684943261</v>
      </c>
      <c r="UC19" s="6">
        <f t="shared" si="148"/>
        <v>286.91690628093829</v>
      </c>
      <c r="UD19" s="6">
        <f t="shared" si="148"/>
        <v>284.04773721812893</v>
      </c>
      <c r="UE19" s="6">
        <f t="shared" si="148"/>
        <v>281.20725984594765</v>
      </c>
      <c r="UF19" s="6">
        <f t="shared" si="148"/>
        <v>278.3951872474882</v>
      </c>
      <c r="UG19" s="6">
        <f t="shared" si="148"/>
        <v>275.61123537501334</v>
      </c>
      <c r="UH19" s="6">
        <f t="shared" si="148"/>
        <v>272.85512302126318</v>
      </c>
      <c r="UI19" s="6">
        <f t="shared" si="148"/>
        <v>270.12657179105054</v>
      </c>
      <c r="UJ19" s="6">
        <f t="shared" si="148"/>
        <v>267.42530607314001</v>
      </c>
      <c r="UK19" s="6">
        <f t="shared" si="148"/>
        <v>264.75105301240859</v>
      </c>
      <c r="UL19" s="6">
        <f t="shared" si="148"/>
        <v>262.10354248228452</v>
      </c>
      <c r="UM19" s="6">
        <f t="shared" si="148"/>
        <v>259.4825070574617</v>
      </c>
      <c r="UN19" s="6">
        <f t="shared" si="148"/>
        <v>256.88768198688706</v>
      </c>
      <c r="UO19" s="6">
        <f t="shared" si="148"/>
        <v>254.31880516701818</v>
      </c>
      <c r="UP19" s="6">
        <f t="shared" si="148"/>
        <v>251.77561711534801</v>
      </c>
      <c r="UQ19" s="6">
        <f t="shared" si="148"/>
        <v>249.25786094419453</v>
      </c>
      <c r="UR19" s="6">
        <f t="shared" si="148"/>
        <v>246.76528233475258</v>
      </c>
      <c r="US19" s="6">
        <f t="shared" si="148"/>
        <v>244.29762951140506</v>
      </c>
      <c r="UT19" s="6">
        <f t="shared" si="148"/>
        <v>241.85465321629101</v>
      </c>
      <c r="UU19" s="6">
        <f t="shared" si="148"/>
        <v>239.43610668412811</v>
      </c>
      <c r="UV19" s="6">
        <f t="shared" si="148"/>
        <v>237.04174561728684</v>
      </c>
      <c r="UW19" s="6">
        <f t="shared" si="148"/>
        <v>234.67132816111396</v>
      </c>
      <c r="UX19" s="6">
        <f t="shared" si="148"/>
        <v>232.32461487950283</v>
      </c>
      <c r="UY19" s="6">
        <f t="shared" si="148"/>
        <v>230.00136873070781</v>
      </c>
      <c r="UZ19" s="6">
        <f t="shared" si="148"/>
        <v>227.70135504340072</v>
      </c>
      <c r="VA19" s="6">
        <f t="shared" si="148"/>
        <v>225.4243414929667</v>
      </c>
      <c r="VB19" s="6">
        <f t="shared" si="148"/>
        <v>223.17009807803703</v>
      </c>
      <c r="VC19" s="6">
        <f t="shared" si="148"/>
        <v>220.93839709725665</v>
      </c>
      <c r="VD19" s="6">
        <f t="shared" si="148"/>
        <v>218.72901312628409</v>
      </c>
      <c r="VE19" s="6">
        <f t="shared" si="148"/>
        <v>216.54172299502125</v>
      </c>
      <c r="VF19" s="6">
        <f t="shared" si="148"/>
        <v>214.37630576507104</v>
      </c>
      <c r="VG19" s="6">
        <f t="shared" si="148"/>
        <v>212.23254270742032</v>
      </c>
      <c r="VH19" s="6">
        <f t="shared" si="148"/>
        <v>210.11021728034612</v>
      </c>
      <c r="VI19" s="6">
        <f t="shared" si="148"/>
        <v>208.00911510754267</v>
      </c>
      <c r="VJ19" s="6">
        <f t="shared" si="148"/>
        <v>205.92902395646723</v>
      </c>
      <c r="VK19" s="6">
        <f t="shared" si="148"/>
        <v>203.86973371690257</v>
      </c>
      <c r="VL19" s="6">
        <f t="shared" si="148"/>
        <v>201.83103637973355</v>
      </c>
      <c r="VM19" s="6">
        <f t="shared" ref="VM19:XX19" si="149">+VL19*(1+$AX$34)</f>
        <v>199.81272601593622</v>
      </c>
      <c r="VN19" s="6">
        <f t="shared" si="149"/>
        <v>197.81459875577687</v>
      </c>
      <c r="VO19" s="6">
        <f t="shared" si="149"/>
        <v>195.83645276821909</v>
      </c>
      <c r="VP19" s="6">
        <f t="shared" si="149"/>
        <v>193.8780882405369</v>
      </c>
      <c r="VQ19" s="6">
        <f t="shared" si="149"/>
        <v>191.93930735813152</v>
      </c>
      <c r="VR19" s="6">
        <f t="shared" si="149"/>
        <v>190.0199142845502</v>
      </c>
      <c r="VS19" s="6">
        <f t="shared" si="149"/>
        <v>188.11971514170469</v>
      </c>
      <c r="VT19" s="6">
        <f t="shared" si="149"/>
        <v>186.23851799028765</v>
      </c>
      <c r="VU19" s="6">
        <f t="shared" si="149"/>
        <v>184.37613281038477</v>
      </c>
      <c r="VV19" s="6">
        <f t="shared" si="149"/>
        <v>182.53237148228092</v>
      </c>
      <c r="VW19" s="6">
        <f t="shared" si="149"/>
        <v>180.70704776745811</v>
      </c>
      <c r="VX19" s="6">
        <f t="shared" si="149"/>
        <v>178.89997728978352</v>
      </c>
      <c r="VY19" s="6">
        <f t="shared" si="149"/>
        <v>177.1109775168857</v>
      </c>
      <c r="VZ19" s="6">
        <f t="shared" si="149"/>
        <v>175.33986774171683</v>
      </c>
      <c r="WA19" s="6">
        <f t="shared" si="149"/>
        <v>173.58646906429965</v>
      </c>
      <c r="WB19" s="6">
        <f t="shared" si="149"/>
        <v>171.85060437365667</v>
      </c>
      <c r="WC19" s="6">
        <f t="shared" si="149"/>
        <v>170.1320983299201</v>
      </c>
      <c r="WD19" s="6">
        <f t="shared" si="149"/>
        <v>168.43077734662089</v>
      </c>
      <c r="WE19" s="6">
        <f t="shared" si="149"/>
        <v>166.74646957315468</v>
      </c>
      <c r="WF19" s="6">
        <f t="shared" si="149"/>
        <v>165.07900487742313</v>
      </c>
      <c r="WG19" s="6">
        <f t="shared" si="149"/>
        <v>163.42821482864889</v>
      </c>
      <c r="WH19" s="6">
        <f t="shared" si="149"/>
        <v>161.79393268036239</v>
      </c>
      <c r="WI19" s="6">
        <f t="shared" si="149"/>
        <v>160.17599335355877</v>
      </c>
      <c r="WJ19" s="6">
        <f t="shared" si="149"/>
        <v>158.57423342002318</v>
      </c>
      <c r="WK19" s="6">
        <f t="shared" si="149"/>
        <v>156.98849108582294</v>
      </c>
      <c r="WL19" s="6">
        <f t="shared" si="149"/>
        <v>155.41860617496471</v>
      </c>
      <c r="WM19" s="6">
        <f t="shared" si="149"/>
        <v>153.86442011321506</v>
      </c>
      <c r="WN19" s="6">
        <f t="shared" si="149"/>
        <v>152.32577591208292</v>
      </c>
      <c r="WO19" s="6">
        <f t="shared" si="149"/>
        <v>150.80251815296208</v>
      </c>
      <c r="WP19" s="6">
        <f t="shared" si="149"/>
        <v>149.29449297143245</v>
      </c>
      <c r="WQ19" s="6">
        <f t="shared" si="149"/>
        <v>147.80154804171812</v>
      </c>
      <c r="WR19" s="6">
        <f t="shared" si="149"/>
        <v>146.32353256130094</v>
      </c>
      <c r="WS19" s="6">
        <f t="shared" si="149"/>
        <v>144.86029723568794</v>
      </c>
      <c r="WT19" s="6">
        <f t="shared" si="149"/>
        <v>143.41169426333104</v>
      </c>
      <c r="WU19" s="6">
        <f t="shared" si="149"/>
        <v>141.97757732069772</v>
      </c>
      <c r="WV19" s="6">
        <f t="shared" si="149"/>
        <v>140.55780154749075</v>
      </c>
      <c r="WW19" s="6">
        <f t="shared" si="149"/>
        <v>139.15222353201585</v>
      </c>
      <c r="WX19" s="6">
        <f t="shared" si="149"/>
        <v>137.76070129669569</v>
      </c>
      <c r="WY19" s="6">
        <f t="shared" si="149"/>
        <v>136.38309428372872</v>
      </c>
      <c r="WZ19" s="6">
        <f t="shared" si="149"/>
        <v>135.01926334089143</v>
      </c>
      <c r="XA19" s="6">
        <f t="shared" si="149"/>
        <v>133.66907070748252</v>
      </c>
      <c r="XB19" s="6">
        <f t="shared" si="149"/>
        <v>132.33238000040768</v>
      </c>
      <c r="XC19" s="6">
        <f t="shared" si="149"/>
        <v>131.00905620040359</v>
      </c>
      <c r="XD19" s="6">
        <f t="shared" si="149"/>
        <v>129.69896563839956</v>
      </c>
      <c r="XE19" s="6">
        <f t="shared" si="149"/>
        <v>128.40197598201556</v>
      </c>
      <c r="XF19" s="6">
        <f t="shared" si="149"/>
        <v>127.1179562221954</v>
      </c>
      <c r="XG19" s="6">
        <f t="shared" si="149"/>
        <v>125.84677665997344</v>
      </c>
      <c r="XH19" s="6">
        <f t="shared" si="149"/>
        <v>124.58830889337371</v>
      </c>
      <c r="XI19" s="6">
        <f t="shared" si="149"/>
        <v>123.34242580443997</v>
      </c>
      <c r="XJ19" s="6">
        <f t="shared" si="149"/>
        <v>122.10900154639558</v>
      </c>
      <c r="XK19" s="6">
        <f t="shared" si="149"/>
        <v>120.88791153093162</v>
      </c>
      <c r="XL19" s="6">
        <f t="shared" si="149"/>
        <v>119.6790324156223</v>
      </c>
      <c r="XM19" s="6">
        <f t="shared" si="149"/>
        <v>118.48224209146608</v>
      </c>
      <c r="XN19" s="6">
        <f t="shared" si="149"/>
        <v>117.29741967055142</v>
      </c>
      <c r="XO19" s="6">
        <f t="shared" si="149"/>
        <v>116.12444547384591</v>
      </c>
      <c r="XP19" s="6">
        <f t="shared" si="149"/>
        <v>114.96320101910744</v>
      </c>
      <c r="XQ19" s="6">
        <f t="shared" si="149"/>
        <v>113.81356900891637</v>
      </c>
      <c r="XR19" s="6">
        <f t="shared" si="149"/>
        <v>112.6754333188272</v>
      </c>
      <c r="XS19" s="6">
        <f t="shared" si="149"/>
        <v>111.54867898563893</v>
      </c>
      <c r="XT19" s="6">
        <f t="shared" si="149"/>
        <v>110.43319219578254</v>
      </c>
      <c r="XU19" s="6">
        <f t="shared" si="149"/>
        <v>109.32886027382472</v>
      </c>
      <c r="XV19" s="6">
        <f t="shared" si="149"/>
        <v>108.23557167108646</v>
      </c>
      <c r="XW19" s="6">
        <f t="shared" si="149"/>
        <v>107.1532159543756</v>
      </c>
      <c r="XX19" s="6">
        <f t="shared" si="149"/>
        <v>106.08168379483185</v>
      </c>
      <c r="XY19" s="6">
        <f t="shared" ref="XY19:YP19" si="150">+XX19*(1+$AX$34)</f>
        <v>105.02086695688352</v>
      </c>
      <c r="XZ19" s="6">
        <f t="shared" si="150"/>
        <v>103.97065828731469</v>
      </c>
      <c r="YA19" s="6">
        <f t="shared" si="150"/>
        <v>102.93095170444154</v>
      </c>
      <c r="YB19" s="6">
        <f t="shared" si="150"/>
        <v>101.90164218739713</v>
      </c>
      <c r="YC19" s="6">
        <f t="shared" si="150"/>
        <v>100.88262576552316</v>
      </c>
      <c r="YD19" s="6">
        <f t="shared" si="150"/>
        <v>99.873799507867929</v>
      </c>
      <c r="YE19" s="6">
        <f t="shared" si="150"/>
        <v>98.875061512789244</v>
      </c>
      <c r="YF19" s="6">
        <f t="shared" si="150"/>
        <v>97.886310897661346</v>
      </c>
      <c r="YG19" s="6">
        <f t="shared" si="150"/>
        <v>96.907447788684735</v>
      </c>
      <c r="YH19" s="6">
        <f t="shared" si="150"/>
        <v>95.938373310797886</v>
      </c>
      <c r="YI19" s="6">
        <f t="shared" si="150"/>
        <v>94.978989577689902</v>
      </c>
      <c r="YJ19" s="6">
        <f t="shared" si="150"/>
        <v>94.029199681912999</v>
      </c>
      <c r="YK19" s="6">
        <f t="shared" si="150"/>
        <v>93.088907685093872</v>
      </c>
      <c r="YL19" s="6">
        <f t="shared" si="150"/>
        <v>92.158018608242926</v>
      </c>
      <c r="YM19" s="6">
        <f t="shared" si="150"/>
        <v>91.236438422160489</v>
      </c>
      <c r="YN19" s="6">
        <f t="shared" si="150"/>
        <v>90.324074037938885</v>
      </c>
      <c r="YO19" s="6">
        <f t="shared" si="150"/>
        <v>89.420833297559497</v>
      </c>
      <c r="YP19" s="6">
        <f t="shared" si="150"/>
        <v>88.526624964583903</v>
      </c>
    </row>
    <row r="20" spans="2:666" s="3" customFormat="1" x14ac:dyDescent="0.25">
      <c r="B20" s="3" t="s">
        <v>1</v>
      </c>
      <c r="C20" s="3">
        <v>248.2</v>
      </c>
      <c r="D20" s="3">
        <v>247.4</v>
      </c>
      <c r="E20" s="3">
        <v>246</v>
      </c>
      <c r="F20" s="3">
        <v>245.5</v>
      </c>
      <c r="G20" s="3">
        <v>244.4</v>
      </c>
      <c r="H20" s="3">
        <v>243.4</v>
      </c>
      <c r="I20" s="3">
        <v>242.2</v>
      </c>
      <c r="J20" s="3">
        <v>241.2</v>
      </c>
      <c r="K20" s="3">
        <v>239.7</v>
      </c>
      <c r="L20" s="3">
        <v>237.8</v>
      </c>
      <c r="M20" s="3">
        <v>236.5</v>
      </c>
      <c r="N20" s="3">
        <v>235.8</v>
      </c>
      <c r="O20" s="3">
        <v>234.2</v>
      </c>
      <c r="P20" s="3">
        <v>233.4</v>
      </c>
      <c r="Q20" s="3">
        <v>233.1</v>
      </c>
      <c r="R20" s="3">
        <v>231.1</v>
      </c>
      <c r="S20" s="3">
        <v>227.2</v>
      </c>
      <c r="T20" s="3">
        <v>225.8</v>
      </c>
      <c r="AK20" s="3">
        <f>+F20</f>
        <v>245.5</v>
      </c>
      <c r="AL20" s="3">
        <f>+J20</f>
        <v>241.2</v>
      </c>
      <c r="AM20" s="3">
        <f>+N20</f>
        <v>235.8</v>
      </c>
      <c r="AN20" s="3">
        <f>R20</f>
        <v>231.1</v>
      </c>
    </row>
    <row r="21" spans="2:666" s="7" customFormat="1" x14ac:dyDescent="0.25">
      <c r="B21" s="7" t="s">
        <v>43</v>
      </c>
      <c r="C21" s="7">
        <f t="shared" ref="C21" si="151">C19/C20</f>
        <v>6.7163577759871078</v>
      </c>
      <c r="D21" s="7">
        <f t="shared" ref="D21" si="152">D19/D20</f>
        <v>7.2797089733225544</v>
      </c>
      <c r="E21" s="7">
        <f t="shared" ref="E21" si="153">E19/E20</f>
        <v>6.1056910569105689</v>
      </c>
      <c r="F21" s="7">
        <f t="shared" ref="F21" si="154">F19/F20</f>
        <v>4.5824847250509162</v>
      </c>
      <c r="G21" s="7">
        <f t="shared" ref="G21" si="155">G19/G20</f>
        <v>7.3445171849427169</v>
      </c>
      <c r="H21" s="7">
        <f t="shared" ref="H21" si="156">H19/H20</f>
        <v>6.7789646672144617</v>
      </c>
      <c r="I21" s="7">
        <f t="shared" ref="I21" si="157">I19/I20</f>
        <v>6.6597853014037991</v>
      </c>
      <c r="J21" s="7">
        <f t="shared" ref="J21" si="158">J19/J20</f>
        <v>3.9842454394693201</v>
      </c>
      <c r="K21" s="7">
        <f t="shared" ref="K21:R21" si="159">K19/K20</f>
        <v>8.3604505632040063</v>
      </c>
      <c r="L21" s="7">
        <f t="shared" si="159"/>
        <v>7.8048780487804876</v>
      </c>
      <c r="M21" s="7">
        <f t="shared" si="159"/>
        <v>5.4968287526427062</v>
      </c>
      <c r="N21" s="7">
        <f t="shared" si="159"/>
        <v>3.5241730279898218</v>
      </c>
      <c r="O21" s="7">
        <f t="shared" si="159"/>
        <v>9.6029035012809576</v>
      </c>
      <c r="P21" s="7">
        <f t="shared" si="159"/>
        <v>9.858611825192801</v>
      </c>
      <c r="Q21" s="7">
        <f t="shared" si="159"/>
        <v>4.3243243243243246</v>
      </c>
      <c r="R21" s="7">
        <f t="shared" si="159"/>
        <v>1.7871051492860235</v>
      </c>
      <c r="S21" s="7">
        <f>S19/S20</f>
        <v>9.612676056338028</v>
      </c>
      <c r="T21" s="7">
        <f>T19/T20</f>
        <v>7.7236492471213456</v>
      </c>
      <c r="U21" s="7" t="e">
        <f t="shared" ref="U21:AD21" si="160">U19/U20</f>
        <v>#DIV/0!</v>
      </c>
      <c r="V21" s="7" t="e">
        <f t="shared" si="160"/>
        <v>#DIV/0!</v>
      </c>
      <c r="W21" s="7" t="e">
        <f t="shared" si="160"/>
        <v>#DIV/0!</v>
      </c>
      <c r="X21" s="7" t="e">
        <f t="shared" si="160"/>
        <v>#DIV/0!</v>
      </c>
      <c r="Y21" s="7" t="e">
        <f t="shared" si="160"/>
        <v>#DIV/0!</v>
      </c>
      <c r="Z21" s="7" t="e">
        <f t="shared" si="160"/>
        <v>#DIV/0!</v>
      </c>
      <c r="AA21" s="7" t="e">
        <f t="shared" si="160"/>
        <v>#DIV/0!</v>
      </c>
      <c r="AB21" s="7" t="e">
        <f t="shared" si="160"/>
        <v>#DIV/0!</v>
      </c>
      <c r="AC21" s="7" t="e">
        <f t="shared" si="160"/>
        <v>#DIV/0!</v>
      </c>
      <c r="AD21" s="7" t="e">
        <f t="shared" si="160"/>
        <v>#DIV/0!</v>
      </c>
      <c r="AK21" s="7">
        <f t="shared" ref="AK21" si="161">AK19/AK20</f>
        <v>24.826883910386965</v>
      </c>
      <c r="AL21" s="7">
        <f t="shared" ref="AL21" si="162">AL19/AL20</f>
        <v>24.954394693200666</v>
      </c>
      <c r="AM21" s="7">
        <f t="shared" ref="AM21" si="163">AM19/AM20</f>
        <v>25.407124681933841</v>
      </c>
      <c r="AN21" s="7">
        <f t="shared" ref="AN21" si="164">AN19/AN20</f>
        <v>25.837299870186069</v>
      </c>
      <c r="AO21" s="7" t="e">
        <f t="shared" ref="AO21" si="165">AO19/AO20</f>
        <v>#DIV/0!</v>
      </c>
    </row>
    <row r="22" spans="2:666" s="2" customFormat="1" x14ac:dyDescent="0.25">
      <c r="B22" s="2" t="s">
        <v>45</v>
      </c>
      <c r="P22" s="2">
        <v>1.63</v>
      </c>
      <c r="T22" s="2">
        <v>1.71</v>
      </c>
    </row>
    <row r="23" spans="2:666" s="3" customFormat="1" x14ac:dyDescent="0.25">
      <c r="B23" s="3" t="s">
        <v>46</v>
      </c>
      <c r="P23" s="3">
        <v>2278</v>
      </c>
      <c r="T23" s="3">
        <v>1894</v>
      </c>
    </row>
    <row r="26" spans="2:666" x14ac:dyDescent="0.25">
      <c r="B26" s="1" t="s">
        <v>47</v>
      </c>
      <c r="C26" s="9">
        <f t="shared" ref="C26:J26" si="166">C10/C6</f>
        <v>0.18960682908592436</v>
      </c>
      <c r="D26" s="9">
        <f t="shared" si="166"/>
        <v>0.17734907899876798</v>
      </c>
      <c r="E26" s="9">
        <f t="shared" si="166"/>
        <v>0.16892652188590077</v>
      </c>
      <c r="F26" s="9">
        <f t="shared" si="166"/>
        <v>0.15020267643955801</v>
      </c>
      <c r="G26" s="9">
        <f t="shared" si="166"/>
        <v>0.17916908620598637</v>
      </c>
      <c r="H26" s="9">
        <f t="shared" si="166"/>
        <v>0.17244425965386415</v>
      </c>
      <c r="I26" s="9">
        <f t="shared" si="166"/>
        <v>0.171205047318612</v>
      </c>
      <c r="J26" s="9">
        <f t="shared" si="166"/>
        <v>0.14949454206267174</v>
      </c>
      <c r="K26" s="9">
        <f t="shared" ref="K26:S26" si="167">K10/K6</f>
        <v>0.18213279870160867</v>
      </c>
      <c r="L26" s="9">
        <f t="shared" si="167"/>
        <v>0.17165779099522788</v>
      </c>
      <c r="M26" s="9">
        <f t="shared" si="167"/>
        <v>0.17010357815442562</v>
      </c>
      <c r="N26" s="9">
        <f t="shared" si="167"/>
        <v>0.14799547745795449</v>
      </c>
      <c r="O26" s="9">
        <f t="shared" si="167"/>
        <v>0.18692782627208857</v>
      </c>
      <c r="P26" s="9">
        <f t="shared" si="167"/>
        <v>0.18117668833722786</v>
      </c>
      <c r="Q26" s="9">
        <f t="shared" si="167"/>
        <v>0.14931013663096224</v>
      </c>
      <c r="R26" s="9">
        <f t="shared" si="167"/>
        <v>0.1217408699904421</v>
      </c>
      <c r="S26" s="9">
        <f t="shared" si="167"/>
        <v>0.17369014662155235</v>
      </c>
      <c r="T26" s="9">
        <f>T10/T6</f>
        <v>0.15017907367313491</v>
      </c>
      <c r="U26" s="9">
        <f t="shared" ref="U26:AD26" si="168">U10/U6</f>
        <v>1</v>
      </c>
      <c r="V26" s="9">
        <f t="shared" si="168"/>
        <v>1</v>
      </c>
      <c r="W26" s="9">
        <f t="shared" si="168"/>
        <v>1</v>
      </c>
      <c r="X26" s="9">
        <f t="shared" si="168"/>
        <v>1</v>
      </c>
      <c r="Y26" s="9">
        <f t="shared" si="168"/>
        <v>1</v>
      </c>
      <c r="Z26" s="9">
        <f t="shared" si="168"/>
        <v>1</v>
      </c>
      <c r="AA26" s="9">
        <f t="shared" si="168"/>
        <v>1</v>
      </c>
      <c r="AB26" s="9">
        <f t="shared" si="168"/>
        <v>1</v>
      </c>
      <c r="AC26" s="9">
        <f t="shared" si="168"/>
        <v>1</v>
      </c>
      <c r="AD26" s="9">
        <f t="shared" si="168"/>
        <v>1</v>
      </c>
      <c r="AK26" s="9">
        <f t="shared" ref="AK26:AO26" si="169">AK10/AK6</f>
        <v>0.17089592020037533</v>
      </c>
      <c r="AL26" s="9">
        <f t="shared" si="169"/>
        <v>0.16791725555698317</v>
      </c>
      <c r="AM26" s="9">
        <f t="shared" si="169"/>
        <v>0.16794646581555617</v>
      </c>
      <c r="AN26" s="9">
        <f t="shared" si="169"/>
        <v>0.15916874043971599</v>
      </c>
      <c r="AO26" s="9">
        <f t="shared" si="169"/>
        <v>1</v>
      </c>
    </row>
    <row r="27" spans="2:666" x14ac:dyDescent="0.25">
      <c r="B27" s="1" t="s">
        <v>48</v>
      </c>
      <c r="C27" s="9">
        <f t="shared" ref="C27:J27" si="170">C13/C6</f>
        <v>0.12477412922923546</v>
      </c>
      <c r="D27" s="9">
        <f t="shared" si="170"/>
        <v>0.11752156014303314</v>
      </c>
      <c r="E27" s="9">
        <f t="shared" si="170"/>
        <v>0.11483065151344661</v>
      </c>
      <c r="F27" s="9">
        <f t="shared" si="170"/>
        <v>0.12096729413071242</v>
      </c>
      <c r="G27" s="9">
        <f t="shared" si="170"/>
        <v>0.11798553555403052</v>
      </c>
      <c r="H27" s="9">
        <f t="shared" si="170"/>
        <v>0.11524868769814459</v>
      </c>
      <c r="I27" s="9">
        <f t="shared" si="170"/>
        <v>0.11959621451104101</v>
      </c>
      <c r="J27" s="9">
        <f t="shared" si="170"/>
        <v>0.12123427534222402</v>
      </c>
      <c r="K27" s="9">
        <f t="shared" ref="K27:S27" si="171">K13/K6</f>
        <v>0.12017280061100769</v>
      </c>
      <c r="L27" s="9">
        <f t="shared" si="171"/>
        <v>0.11616755423381055</v>
      </c>
      <c r="M27" s="9">
        <f t="shared" si="171"/>
        <v>0.13375706214689265</v>
      </c>
      <c r="N27" s="9">
        <f t="shared" si="171"/>
        <v>0.12286239223630283</v>
      </c>
      <c r="O27" s="9">
        <f t="shared" si="171"/>
        <v>0.11832611832611832</v>
      </c>
      <c r="P27" s="9">
        <f t="shared" si="171"/>
        <v>0.12095412164819656</v>
      </c>
      <c r="Q27" s="9">
        <f t="shared" si="171"/>
        <v>0.12055278516961471</v>
      </c>
      <c r="R27" s="9">
        <f t="shared" si="171"/>
        <v>0.11078263575540688</v>
      </c>
      <c r="S27" s="9">
        <f t="shared" si="171"/>
        <v>0.11186301650774121</v>
      </c>
      <c r="T27" s="9">
        <f>T13/T6</f>
        <v>0.10408530786507759</v>
      </c>
      <c r="U27" s="9">
        <f t="shared" ref="U27:AD27" si="172">U13/U6</f>
        <v>0</v>
      </c>
      <c r="V27" s="9">
        <f t="shared" si="172"/>
        <v>0</v>
      </c>
      <c r="W27" s="9">
        <f t="shared" si="172"/>
        <v>0</v>
      </c>
      <c r="X27" s="9">
        <f t="shared" si="172"/>
        <v>0</v>
      </c>
      <c r="Y27" s="9">
        <f t="shared" si="172"/>
        <v>0</v>
      </c>
      <c r="Z27" s="9">
        <f t="shared" si="172"/>
        <v>0</v>
      </c>
      <c r="AA27" s="9">
        <f t="shared" si="172"/>
        <v>0</v>
      </c>
      <c r="AB27" s="9">
        <f t="shared" si="172"/>
        <v>0</v>
      </c>
      <c r="AC27" s="9">
        <f t="shared" si="172"/>
        <v>0</v>
      </c>
      <c r="AD27" s="9">
        <f t="shared" si="172"/>
        <v>0</v>
      </c>
      <c r="AK27" s="9">
        <f t="shared" ref="AK27:AO27" si="173">AK13/AK6</f>
        <v>0.11942925158642646</v>
      </c>
      <c r="AL27" s="9">
        <f t="shared" si="173"/>
        <v>0.11854683284080689</v>
      </c>
      <c r="AM27" s="9">
        <f t="shared" si="173"/>
        <v>0.1232132260926273</v>
      </c>
      <c r="AN27" s="9">
        <f t="shared" si="173"/>
        <v>0.1176057624255154</v>
      </c>
      <c r="AO27" s="9">
        <f t="shared" si="173"/>
        <v>0</v>
      </c>
    </row>
    <row r="28" spans="2:666" x14ac:dyDescent="0.25">
      <c r="B28" s="1" t="s">
        <v>49</v>
      </c>
      <c r="C28" s="9">
        <f t="shared" ref="C28:J28" si="174">(C15-C16)/C14</f>
        <v>4.5651129264776547E-2</v>
      </c>
      <c r="D28" s="9">
        <f t="shared" si="174"/>
        <v>0.18181818181818182</v>
      </c>
      <c r="E28" s="9">
        <f t="shared" si="174"/>
        <v>3.7961518460738426E-2</v>
      </c>
      <c r="F28" s="9">
        <f t="shared" si="174"/>
        <v>0.32953466286799621</v>
      </c>
      <c r="G28" s="9">
        <f t="shared" si="174"/>
        <v>3.4512510785159622E-3</v>
      </c>
      <c r="H28" s="9">
        <f t="shared" si="174"/>
        <v>-2.6351658337119492E-2</v>
      </c>
      <c r="I28" s="9">
        <f t="shared" si="174"/>
        <v>4.9388753056234719E-2</v>
      </c>
      <c r="J28" s="9">
        <f t="shared" si="174"/>
        <v>2.9438001784121322E-2</v>
      </c>
      <c r="K28" s="9">
        <f t="shared" ref="K28:S28" si="175">(K15-K16)/K14</f>
        <v>8.8597842835130974E-3</v>
      </c>
      <c r="L28" s="9">
        <f t="shared" si="175"/>
        <v>1.4125467386788533E-2</v>
      </c>
      <c r="M28" s="9">
        <f t="shared" si="175"/>
        <v>7.1243523316062179E-2</v>
      </c>
      <c r="N28" s="9">
        <f t="shared" si="175"/>
        <v>-6.1855670103092786E-2</v>
      </c>
      <c r="O28" s="9">
        <f t="shared" si="175"/>
        <v>1.3448275862068966E-2</v>
      </c>
      <c r="P28" s="9">
        <f t="shared" si="175"/>
        <v>0.14713791778716864</v>
      </c>
      <c r="Q28" s="9">
        <f t="shared" si="175"/>
        <v>6.7651632970451014E-2</v>
      </c>
      <c r="R28" s="9">
        <f t="shared" si="175"/>
        <v>0.22920892494929007</v>
      </c>
      <c r="S28" s="9">
        <f t="shared" si="175"/>
        <v>-7.2305140961857375E-2</v>
      </c>
      <c r="T28" s="9">
        <f>(T15-T16)/T14</f>
        <v>6.145741878841089E-3</v>
      </c>
      <c r="U28" s="9">
        <f t="shared" ref="U28:AD28" si="176">(U15-U16)/U14</f>
        <v>0</v>
      </c>
      <c r="V28" s="9">
        <f t="shared" si="176"/>
        <v>0</v>
      </c>
      <c r="W28" s="9">
        <f t="shared" si="176"/>
        <v>0</v>
      </c>
      <c r="X28" s="9">
        <f t="shared" si="176"/>
        <v>0</v>
      </c>
      <c r="Y28" s="9">
        <f t="shared" si="176"/>
        <v>0</v>
      </c>
      <c r="Z28" s="9">
        <f t="shared" si="176"/>
        <v>0</v>
      </c>
      <c r="AA28" s="9">
        <f t="shared" si="176"/>
        <v>0</v>
      </c>
      <c r="AB28" s="9">
        <f t="shared" si="176"/>
        <v>0</v>
      </c>
      <c r="AC28" s="9">
        <f t="shared" si="176"/>
        <v>0</v>
      </c>
      <c r="AD28" s="9">
        <f t="shared" si="176"/>
        <v>0</v>
      </c>
      <c r="AK28" s="9">
        <f t="shared" ref="AK28:AO28" si="177">(AK15-AK16)/AK14</f>
        <v>0.12443246311010216</v>
      </c>
      <c r="AL28" s="9">
        <f t="shared" si="177"/>
        <v>1.0930383864671439E-2</v>
      </c>
      <c r="AM28" s="9">
        <f t="shared" si="177"/>
        <v>1.3265038087733123E-2</v>
      </c>
      <c r="AN28" s="9">
        <f t="shared" si="177"/>
        <v>8.5416094479538587E-2</v>
      </c>
      <c r="AO28" s="9">
        <f t="shared" si="177"/>
        <v>0</v>
      </c>
    </row>
    <row r="29" spans="2:666" x14ac:dyDescent="0.25">
      <c r="B29" s="1" t="s">
        <v>50</v>
      </c>
      <c r="C29" s="9">
        <f t="shared" ref="C29:J29" si="178">C18/C17</f>
        <v>0.23391544117647059</v>
      </c>
      <c r="D29" s="9">
        <f t="shared" si="178"/>
        <v>0.23459413514662134</v>
      </c>
      <c r="E29" s="9">
        <f t="shared" si="178"/>
        <v>0.24749498997995992</v>
      </c>
      <c r="F29" s="9">
        <f t="shared" si="178"/>
        <v>0.19642857142857142</v>
      </c>
      <c r="G29" s="9">
        <f t="shared" si="178"/>
        <v>0.22828890799656062</v>
      </c>
      <c r="H29" s="9">
        <f t="shared" si="178"/>
        <v>0.23005132991133925</v>
      </c>
      <c r="I29" s="9">
        <f t="shared" si="178"/>
        <v>0.24836905871388629</v>
      </c>
      <c r="J29" s="9">
        <f t="shared" si="178"/>
        <v>0.16724436741767765</v>
      </c>
      <c r="K29" s="9">
        <f t="shared" ref="K29:S29" si="179">K18/K17</f>
        <v>0.23482245131729668</v>
      </c>
      <c r="L29" s="9">
        <f t="shared" si="179"/>
        <v>0.23965587873822203</v>
      </c>
      <c r="M29" s="9">
        <f t="shared" si="179"/>
        <v>0.21402660217654171</v>
      </c>
      <c r="N29" s="9">
        <f t="shared" si="179"/>
        <v>0.16983016983016982</v>
      </c>
      <c r="O29" s="9">
        <f t="shared" si="179"/>
        <v>0.23477373256209594</v>
      </c>
      <c r="P29" s="9">
        <f t="shared" si="179"/>
        <v>0.22940388479571333</v>
      </c>
      <c r="Q29" s="9">
        <f t="shared" si="179"/>
        <v>0.2658412235979607</v>
      </c>
      <c r="R29" s="9">
        <f t="shared" si="179"/>
        <v>0.31848184818481851</v>
      </c>
      <c r="S29" s="9">
        <f t="shared" si="179"/>
        <v>0.21916338934572757</v>
      </c>
      <c r="T29" s="9">
        <f>T18/T17</f>
        <v>0.23909249563699825</v>
      </c>
      <c r="U29" s="9">
        <f t="shared" ref="U29:AD29" si="180">U18/U17</f>
        <v>0</v>
      </c>
      <c r="V29" s="9">
        <f t="shared" si="180"/>
        <v>0</v>
      </c>
      <c r="W29" s="9">
        <f t="shared" si="180"/>
        <v>0</v>
      </c>
      <c r="X29" s="9">
        <f t="shared" si="180"/>
        <v>0</v>
      </c>
      <c r="Y29" s="9">
        <f t="shared" si="180"/>
        <v>0</v>
      </c>
      <c r="Z29" s="9">
        <f t="shared" si="180"/>
        <v>0</v>
      </c>
      <c r="AA29" s="9">
        <f t="shared" si="180"/>
        <v>0</v>
      </c>
      <c r="AB29" s="9">
        <f t="shared" si="180"/>
        <v>0</v>
      </c>
      <c r="AC29" s="9">
        <f t="shared" si="180"/>
        <v>0</v>
      </c>
      <c r="AD29" s="9">
        <f t="shared" si="180"/>
        <v>0</v>
      </c>
      <c r="AK29" s="9">
        <f t="shared" ref="AK29:AO29" si="181">AK18/AK17</f>
        <v>0.23091482649842271</v>
      </c>
      <c r="AL29" s="9">
        <f t="shared" si="181"/>
        <v>0.22525421547174668</v>
      </c>
      <c r="AM29" s="9">
        <f t="shared" si="181"/>
        <v>0.22346079066753077</v>
      </c>
      <c r="AN29" s="9">
        <f t="shared" si="181"/>
        <v>0.24455971659919029</v>
      </c>
      <c r="AO29" s="9">
        <f t="shared" si="181"/>
        <v>0</v>
      </c>
    </row>
    <row r="30" spans="2:666" s="9" customFormat="1" x14ac:dyDescent="0.25">
      <c r="B30" s="9" t="s">
        <v>51</v>
      </c>
      <c r="C30" s="9">
        <f t="shared" ref="C30:J30" si="182">C19/C6</f>
        <v>5.1934699981307245E-2</v>
      </c>
      <c r="D30" s="9">
        <f t="shared" si="182"/>
        <v>5.4118212686679289E-2</v>
      </c>
      <c r="E30" s="9">
        <f t="shared" si="182"/>
        <v>4.2252728704849779E-2</v>
      </c>
      <c r="F30" s="9">
        <f t="shared" si="182"/>
        <v>3.1234382808595702E-2</v>
      </c>
      <c r="G30" s="9">
        <f t="shared" si="182"/>
        <v>4.7378979042390329E-2</v>
      </c>
      <c r="H30" s="9">
        <f t="shared" si="182"/>
        <v>4.2877189335273631E-2</v>
      </c>
      <c r="I30" s="9">
        <f t="shared" si="182"/>
        <v>4.0706624605678234E-2</v>
      </c>
      <c r="J30" s="9">
        <f t="shared" si="182"/>
        <v>2.4226687170696044E-2</v>
      </c>
      <c r="K30" s="9">
        <f t="shared" ref="K30:S30" si="183">K19/K6</f>
        <v>4.7830445367320638E-2</v>
      </c>
      <c r="L30" s="9">
        <f t="shared" si="183"/>
        <v>4.2787652442538675E-2</v>
      </c>
      <c r="M30" s="9">
        <f t="shared" si="183"/>
        <v>3.0602636534839925E-2</v>
      </c>
      <c r="N30" s="9">
        <f t="shared" si="183"/>
        <v>1.9574127290714657E-2</v>
      </c>
      <c r="O30" s="9">
        <f t="shared" si="183"/>
        <v>5.3201807300167957E-2</v>
      </c>
      <c r="P30" s="9">
        <f t="shared" si="183"/>
        <v>5.3235545889919716E-2</v>
      </c>
      <c r="Q30" s="9">
        <f t="shared" si="183"/>
        <v>2.2540754489143316E-2</v>
      </c>
      <c r="R30" s="9">
        <f t="shared" si="183"/>
        <v>9.180021783102536E-3</v>
      </c>
      <c r="S30" s="9">
        <f t="shared" si="183"/>
        <v>4.4786219624730852E-2</v>
      </c>
      <c r="T30" s="9">
        <f>T19/T6</f>
        <v>3.5288642479917441E-2</v>
      </c>
      <c r="U30" s="9">
        <f t="shared" ref="U30:AD30" si="184">U19/U6</f>
        <v>1</v>
      </c>
      <c r="V30" s="9">
        <f t="shared" si="184"/>
        <v>1</v>
      </c>
      <c r="W30" s="9">
        <f t="shared" si="184"/>
        <v>1</v>
      </c>
      <c r="X30" s="9">
        <f t="shared" si="184"/>
        <v>1</v>
      </c>
      <c r="Y30" s="9">
        <f t="shared" si="184"/>
        <v>1</v>
      </c>
      <c r="Z30" s="9">
        <f t="shared" si="184"/>
        <v>1</v>
      </c>
      <c r="AA30" s="9">
        <f t="shared" si="184"/>
        <v>1</v>
      </c>
      <c r="AB30" s="9">
        <f t="shared" si="184"/>
        <v>1</v>
      </c>
      <c r="AC30" s="9">
        <f t="shared" si="184"/>
        <v>1</v>
      </c>
      <c r="AD30" s="9">
        <f t="shared" si="184"/>
        <v>1</v>
      </c>
      <c r="AK30" s="9">
        <f t="shared" ref="AK30:AP30" si="185">AK19/AK6</f>
        <v>4.4507568842511121E-2</v>
      </c>
      <c r="AL30" s="9">
        <f t="shared" si="185"/>
        <v>3.8667608891173072E-2</v>
      </c>
      <c r="AM30" s="9">
        <f t="shared" si="185"/>
        <v>3.5197903753620551E-2</v>
      </c>
      <c r="AN30" s="9">
        <f t="shared" si="185"/>
        <v>3.4080272139905485E-2</v>
      </c>
      <c r="AO30" s="9">
        <f t="shared" si="185"/>
        <v>3.1442291328227734E-2</v>
      </c>
      <c r="AP30" s="9">
        <f t="shared" si="185"/>
        <v>3.0173461022842515E-2</v>
      </c>
      <c r="AQ30" s="9">
        <f t="shared" ref="AQ30:BS30" si="186">+AP30+0.002</f>
        <v>3.2173461022842513E-2</v>
      </c>
      <c r="AR30" s="9">
        <f>+AQ30+0.001</f>
        <v>3.3173461022842514E-2</v>
      </c>
      <c r="AS30" s="9">
        <f t="shared" ref="AS30:BS30" si="187">+AR30+0.001</f>
        <v>3.4173461022842515E-2</v>
      </c>
      <c r="AT30" s="9">
        <f t="shared" si="187"/>
        <v>3.5173461022842516E-2</v>
      </c>
      <c r="AU30" s="9">
        <f t="shared" si="187"/>
        <v>3.6173461022842517E-2</v>
      </c>
      <c r="AV30" s="9">
        <f t="shared" si="187"/>
        <v>3.7173461022842517E-2</v>
      </c>
      <c r="AW30" s="9">
        <f>+AV30+0.001</f>
        <v>3.8173461022842518E-2</v>
      </c>
      <c r="AX30" s="9">
        <f t="shared" si="187"/>
        <v>3.9173461022842519E-2</v>
      </c>
      <c r="AY30" s="9">
        <f t="shared" si="187"/>
        <v>4.017346102284252E-2</v>
      </c>
      <c r="AZ30" s="9">
        <f t="shared" si="187"/>
        <v>4.1173461022842521E-2</v>
      </c>
      <c r="BA30" s="9">
        <f t="shared" si="187"/>
        <v>4.2173461022842522E-2</v>
      </c>
      <c r="BB30" s="9">
        <f t="shared" si="187"/>
        <v>4.3173461022842523E-2</v>
      </c>
      <c r="BC30" s="9">
        <f t="shared" si="187"/>
        <v>4.4173461022842524E-2</v>
      </c>
      <c r="BD30" s="9">
        <f t="shared" si="187"/>
        <v>4.5173461022842525E-2</v>
      </c>
      <c r="BE30" s="9">
        <f t="shared" si="187"/>
        <v>4.6173461022842525E-2</v>
      </c>
      <c r="BF30" s="9">
        <f t="shared" si="187"/>
        <v>4.7173461022842526E-2</v>
      </c>
      <c r="BG30" s="9">
        <f t="shared" si="187"/>
        <v>4.8173461022842527E-2</v>
      </c>
      <c r="BH30" s="9">
        <f t="shared" si="187"/>
        <v>4.9173461022842528E-2</v>
      </c>
      <c r="BI30" s="9">
        <f t="shared" si="187"/>
        <v>5.0173461022842529E-2</v>
      </c>
      <c r="BJ30" s="9">
        <f t="shared" si="187"/>
        <v>5.117346102284253E-2</v>
      </c>
      <c r="BK30" s="9">
        <f t="shared" si="187"/>
        <v>5.2173461022842531E-2</v>
      </c>
      <c r="BL30" s="9">
        <f t="shared" si="187"/>
        <v>5.3173461022842532E-2</v>
      </c>
      <c r="BM30" s="9">
        <f t="shared" si="187"/>
        <v>5.4173461022842533E-2</v>
      </c>
      <c r="BN30" s="9">
        <f t="shared" si="187"/>
        <v>5.5173461022842533E-2</v>
      </c>
      <c r="BO30" s="9">
        <f t="shared" si="187"/>
        <v>5.6173461022842534E-2</v>
      </c>
      <c r="BP30" s="9">
        <f t="shared" si="187"/>
        <v>5.7173461022842535E-2</v>
      </c>
      <c r="BQ30" s="9">
        <f t="shared" si="187"/>
        <v>5.8173461022842536E-2</v>
      </c>
      <c r="BR30" s="9">
        <f t="shared" si="187"/>
        <v>5.9173461022842537E-2</v>
      </c>
      <c r="BS30" s="9">
        <f t="shared" si="187"/>
        <v>6.0173461022842538E-2</v>
      </c>
    </row>
    <row r="31" spans="2:666" x14ac:dyDescent="0.25">
      <c r="B31" s="1" t="s">
        <v>56</v>
      </c>
      <c r="C31" s="9">
        <f t="shared" ref="C31:J31" si="188">C23/C6</f>
        <v>0</v>
      </c>
      <c r="D31" s="9">
        <f t="shared" si="188"/>
        <v>0</v>
      </c>
      <c r="E31" s="9">
        <f t="shared" si="188"/>
        <v>0</v>
      </c>
      <c r="F31" s="9">
        <f t="shared" si="188"/>
        <v>0</v>
      </c>
      <c r="G31" s="9">
        <f t="shared" si="188"/>
        <v>0</v>
      </c>
      <c r="H31" s="9">
        <f t="shared" si="188"/>
        <v>0</v>
      </c>
      <c r="I31" s="9">
        <f t="shared" si="188"/>
        <v>0</v>
      </c>
      <c r="J31" s="9">
        <f t="shared" si="188"/>
        <v>0</v>
      </c>
      <c r="K31" s="9">
        <f t="shared" ref="K31:S31" si="189">K23/K6</f>
        <v>0</v>
      </c>
      <c r="L31" s="9">
        <f t="shared" si="189"/>
        <v>0</v>
      </c>
      <c r="M31" s="9">
        <f t="shared" si="189"/>
        <v>0</v>
      </c>
      <c r="N31" s="9">
        <f t="shared" si="189"/>
        <v>0</v>
      </c>
      <c r="O31" s="9">
        <f t="shared" si="189"/>
        <v>0</v>
      </c>
      <c r="P31" s="9">
        <f t="shared" si="189"/>
        <v>5.2703421789325126E-2</v>
      </c>
      <c r="Q31" s="9">
        <f t="shared" si="189"/>
        <v>0</v>
      </c>
      <c r="R31" s="9">
        <f t="shared" si="189"/>
        <v>0</v>
      </c>
      <c r="S31" s="9">
        <f t="shared" si="189"/>
        <v>0</v>
      </c>
      <c r="T31" s="9">
        <f>T23/T6</f>
        <v>3.832378948220392E-2</v>
      </c>
      <c r="U31" s="9">
        <f t="shared" ref="U31:AD31" si="190">U23/U6</f>
        <v>0</v>
      </c>
      <c r="V31" s="9">
        <f t="shared" si="190"/>
        <v>0</v>
      </c>
      <c r="W31" s="9">
        <f t="shared" si="190"/>
        <v>0</v>
      </c>
      <c r="X31" s="9">
        <f t="shared" si="190"/>
        <v>0</v>
      </c>
      <c r="Y31" s="9">
        <f t="shared" si="190"/>
        <v>0</v>
      </c>
      <c r="Z31" s="9">
        <f t="shared" si="190"/>
        <v>0</v>
      </c>
      <c r="AA31" s="9">
        <f t="shared" si="190"/>
        <v>0</v>
      </c>
      <c r="AB31" s="9">
        <f t="shared" si="190"/>
        <v>0</v>
      </c>
      <c r="AC31" s="9">
        <f t="shared" si="190"/>
        <v>0</v>
      </c>
      <c r="AD31" s="9">
        <f t="shared" si="190"/>
        <v>0</v>
      </c>
      <c r="AK31" s="9">
        <f t="shared" ref="AK31:AO31" si="191">AK23/AK6</f>
        <v>0</v>
      </c>
      <c r="AL31" s="9">
        <f t="shared" si="191"/>
        <v>0</v>
      </c>
      <c r="AM31" s="9">
        <f t="shared" si="191"/>
        <v>0</v>
      </c>
      <c r="AN31" s="9">
        <f t="shared" si="191"/>
        <v>0</v>
      </c>
      <c r="AO31" s="9">
        <f t="shared" si="191"/>
        <v>0</v>
      </c>
    </row>
    <row r="32" spans="2:666" x14ac:dyDescent="0.25">
      <c r="C32" s="9"/>
      <c r="D32" s="9"/>
      <c r="E32" s="9"/>
      <c r="F32" s="9"/>
      <c r="G32" s="9"/>
      <c r="H32" s="9"/>
      <c r="I32" s="9"/>
      <c r="J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K32" s="9"/>
      <c r="AL32" s="9"/>
      <c r="AM32" s="9"/>
      <c r="AN32" s="9"/>
      <c r="AO32" s="9"/>
    </row>
    <row r="33" spans="2:50" x14ac:dyDescent="0.25">
      <c r="B33" s="3" t="s">
        <v>53</v>
      </c>
      <c r="C33" s="9"/>
      <c r="D33" s="9"/>
      <c r="E33" s="9"/>
      <c r="F33" s="9"/>
      <c r="G33" s="9">
        <f t="shared" ref="G33:G36" si="192">G3/C3-1</f>
        <v>0.1846003757768464</v>
      </c>
      <c r="H33" s="9">
        <f t="shared" ref="H33:H36" si="193">H3/D3-1</f>
        <v>0.15921914975642237</v>
      </c>
      <c r="I33" s="9">
        <f t="shared" ref="I33:I36" si="194">I3/E3-1</f>
        <v>0.10945879256456648</v>
      </c>
      <c r="J33" s="9">
        <f t="shared" ref="J33:J36" si="195">J3/F3-1</f>
        <v>9.3503201274009573E-2</v>
      </c>
      <c r="K33" s="9">
        <f t="shared" ref="K33:K36" si="196">K3/G3-1</f>
        <v>9.4036907122159619E-2</v>
      </c>
      <c r="L33" s="9">
        <f t="shared" ref="L33:L36" si="197">L3/H3-1</f>
        <v>0.10620994074253232</v>
      </c>
      <c r="M33" s="9">
        <f t="shared" ref="M33:M36" si="198">M3/I3-1</f>
        <v>4.5578554059664267E-2</v>
      </c>
      <c r="N33" s="9">
        <f t="shared" ref="N33:N36" si="199">N3/J3-1</f>
        <v>4.4344052784877741E-2</v>
      </c>
      <c r="O33" s="9">
        <f t="shared" ref="O33:S36" si="200">O3/K3-1</f>
        <v>-4.7953607672577281E-3</v>
      </c>
      <c r="P33" s="9">
        <f t="shared" si="200"/>
        <v>-3.2058815490994541E-2</v>
      </c>
      <c r="Q33" s="9">
        <f t="shared" si="200"/>
        <v>4.3960407271902202E-2</v>
      </c>
      <c r="R33" s="9">
        <f t="shared" si="200"/>
        <v>3.1504354260345035E-2</v>
      </c>
      <c r="S33" s="9">
        <f t="shared" si="200"/>
        <v>0.14542245629762429</v>
      </c>
      <c r="T33" s="9">
        <f>T3/P3-1</f>
        <v>0.16532075897899245</v>
      </c>
      <c r="U33" s="9">
        <f t="shared" ref="U33:AD36" si="201">U3/Q3-1</f>
        <v>0.33825966475590219</v>
      </c>
      <c r="V33" s="9">
        <f t="shared" si="201"/>
        <v>0.36736101531245691</v>
      </c>
      <c r="W33" s="9">
        <f t="shared" si="201"/>
        <v>0.24929684251718154</v>
      </c>
      <c r="X33" s="9">
        <f t="shared" si="201"/>
        <v>0.26796055341523095</v>
      </c>
      <c r="Y33" s="9">
        <f t="shared" si="201"/>
        <v>4.9939098660170433E-2</v>
      </c>
      <c r="Z33" s="9">
        <f t="shared" si="201"/>
        <v>4.8022598870056443E-2</v>
      </c>
      <c r="AA33" s="9">
        <f t="shared" si="201"/>
        <v>6.2255285826155138E-2</v>
      </c>
      <c r="AB33" s="9">
        <f t="shared" si="201"/>
        <v>6.8985285686986364E-2</v>
      </c>
      <c r="AC33" s="9">
        <f t="shared" si="201"/>
        <v>4.0000000000000036E-2</v>
      </c>
      <c r="AD33" s="9">
        <f t="shared" si="201"/>
        <v>4.0000000000000036E-2</v>
      </c>
      <c r="AK33" s="9"/>
      <c r="AL33" s="9">
        <f t="shared" ref="AL33:AN33" si="202">AL3/AK3-1</f>
        <v>0.1350906937711398</v>
      </c>
      <c r="AM33" s="9">
        <f t="shared" si="202"/>
        <v>7.2244030954221605E-2</v>
      </c>
      <c r="AN33" s="9">
        <f>AN3/AM3-1</f>
        <v>9.1842020524450785E-3</v>
      </c>
      <c r="AO33" s="9">
        <f t="shared" ref="AO33:AO36" si="203">AO3/AK3-1</f>
        <v>0.54190486738858179</v>
      </c>
      <c r="AW33" s="5" t="s">
        <v>145</v>
      </c>
      <c r="AX33" s="1" t="s">
        <v>146</v>
      </c>
    </row>
    <row r="34" spans="2:50" x14ac:dyDescent="0.25">
      <c r="B34" s="3" t="s">
        <v>54</v>
      </c>
      <c r="C34" s="9"/>
      <c r="D34" s="9"/>
      <c r="E34" s="9"/>
      <c r="F34" s="9"/>
      <c r="G34" s="9">
        <f t="shared" si="192"/>
        <v>0.20606503470953608</v>
      </c>
      <c r="H34" s="9">
        <f t="shared" si="193"/>
        <v>0.17291255752794221</v>
      </c>
      <c r="I34" s="9">
        <f t="shared" si="194"/>
        <v>0.18461079630181931</v>
      </c>
      <c r="J34" s="9">
        <f t="shared" si="195"/>
        <v>0.17361702127659573</v>
      </c>
      <c r="K34" s="9">
        <f t="shared" si="196"/>
        <v>0.21841866101181462</v>
      </c>
      <c r="L34" s="9">
        <f t="shared" si="197"/>
        <v>0.36182735426008961</v>
      </c>
      <c r="M34" s="9">
        <f t="shared" si="198"/>
        <v>0.30337361530715001</v>
      </c>
      <c r="N34" s="9">
        <f t="shared" si="199"/>
        <v>0.30384336475707041</v>
      </c>
      <c r="O34" s="9">
        <f t="shared" si="200"/>
        <v>0.11859771258080554</v>
      </c>
      <c r="P34" s="9">
        <f t="shared" si="200"/>
        <v>0.13809425807779374</v>
      </c>
      <c r="Q34" s="9">
        <f t="shared" si="200"/>
        <v>0.13714506470929111</v>
      </c>
      <c r="R34" s="9">
        <f t="shared" si="200"/>
        <v>0.24471635150166859</v>
      </c>
      <c r="S34" s="9">
        <f t="shared" si="200"/>
        <v>0.29117581684818838</v>
      </c>
      <c r="T34" s="9">
        <f t="shared" ref="T34:T36" si="204">T4/P4-1</f>
        <v>9.2585895117540673E-2</v>
      </c>
      <c r="U34" s="9">
        <f t="shared" si="201"/>
        <v>-1</v>
      </c>
      <c r="V34" s="9">
        <f t="shared" si="201"/>
        <v>-1</v>
      </c>
      <c r="W34" s="9">
        <f t="shared" si="201"/>
        <v>-1</v>
      </c>
      <c r="X34" s="9">
        <f t="shared" si="201"/>
        <v>-1</v>
      </c>
      <c r="Y34" s="9" t="e">
        <f t="shared" si="201"/>
        <v>#DIV/0!</v>
      </c>
      <c r="Z34" s="9" t="e">
        <f t="shared" si="201"/>
        <v>#DIV/0!</v>
      </c>
      <c r="AA34" s="9" t="e">
        <f t="shared" si="201"/>
        <v>#DIV/0!</v>
      </c>
      <c r="AB34" s="9" t="e">
        <f t="shared" si="201"/>
        <v>#DIV/0!</v>
      </c>
      <c r="AC34" s="9" t="e">
        <f t="shared" si="201"/>
        <v>#DIV/0!</v>
      </c>
      <c r="AD34" s="9" t="e">
        <f t="shared" si="201"/>
        <v>#DIV/0!</v>
      </c>
      <c r="AK34" s="9"/>
      <c r="AL34" s="9">
        <f t="shared" ref="AL34:AN34" si="205">AL4/AK4-1</f>
        <v>0.18337678754839226</v>
      </c>
      <c r="AM34" s="9">
        <f t="shared" si="205"/>
        <v>0.29870476699158766</v>
      </c>
      <c r="AN34" s="9">
        <f t="shared" si="205"/>
        <v>0.16337651655356766</v>
      </c>
      <c r="AO34" s="9">
        <f t="shared" si="203"/>
        <v>-1</v>
      </c>
      <c r="AW34" s="1" t="s">
        <v>147</v>
      </c>
      <c r="AX34" s="8">
        <v>-0.01</v>
      </c>
    </row>
    <row r="35" spans="2:50" x14ac:dyDescent="0.25">
      <c r="B35" s="3" t="s">
        <v>55</v>
      </c>
      <c r="C35" s="9"/>
      <c r="D35" s="9"/>
      <c r="E35" s="9"/>
      <c r="F35" s="9"/>
      <c r="G35" s="9">
        <f t="shared" si="192"/>
        <v>6.8249258160237414E-2</v>
      </c>
      <c r="H35" s="9">
        <f t="shared" si="193"/>
        <v>7.863849765258224E-2</v>
      </c>
      <c r="I35" s="9">
        <f t="shared" si="194"/>
        <v>7.277777777777783E-2</v>
      </c>
      <c r="J35" s="9">
        <f t="shared" si="195"/>
        <v>9.2807424593967625E-2</v>
      </c>
      <c r="K35" s="9">
        <f t="shared" si="196"/>
        <v>0.11555555555555563</v>
      </c>
      <c r="L35" s="9">
        <f t="shared" si="197"/>
        <v>4.9510337323177334E-2</v>
      </c>
      <c r="M35" s="9">
        <f t="shared" si="198"/>
        <v>5.851890212325217E-2</v>
      </c>
      <c r="N35" s="9">
        <f t="shared" si="199"/>
        <v>2.0169851380042569E-2</v>
      </c>
      <c r="O35" s="9">
        <f t="shared" si="200"/>
        <v>3.4860557768924272E-2</v>
      </c>
      <c r="P35" s="9">
        <f t="shared" si="200"/>
        <v>0.1804043545878693</v>
      </c>
      <c r="Q35" s="9">
        <f t="shared" si="200"/>
        <v>-1.0273972602739767E-2</v>
      </c>
      <c r="R35" s="9">
        <f t="shared" si="200"/>
        <v>5.6191467221644142E-2</v>
      </c>
      <c r="S35" s="9">
        <f t="shared" si="200"/>
        <v>-4.3310875842156316E-3</v>
      </c>
      <c r="T35" s="9">
        <f t="shared" si="204"/>
        <v>-7.4220465524813317E-2</v>
      </c>
      <c r="U35" s="9">
        <f t="shared" si="201"/>
        <v>-1</v>
      </c>
      <c r="V35" s="9">
        <f t="shared" si="201"/>
        <v>-1</v>
      </c>
      <c r="W35" s="9">
        <f t="shared" si="201"/>
        <v>-1</v>
      </c>
      <c r="X35" s="9">
        <f t="shared" si="201"/>
        <v>-1</v>
      </c>
      <c r="Y35" s="9" t="e">
        <f t="shared" si="201"/>
        <v>#DIV/0!</v>
      </c>
      <c r="Z35" s="9" t="e">
        <f t="shared" si="201"/>
        <v>#DIV/0!</v>
      </c>
      <c r="AA35" s="9" t="e">
        <f t="shared" si="201"/>
        <v>#DIV/0!</v>
      </c>
      <c r="AB35" s="9" t="e">
        <f t="shared" si="201"/>
        <v>#DIV/0!</v>
      </c>
      <c r="AC35" s="9" t="e">
        <f t="shared" si="201"/>
        <v>#DIV/0!</v>
      </c>
      <c r="AD35" s="9" t="e">
        <f t="shared" si="201"/>
        <v>#DIV/0!</v>
      </c>
      <c r="AK35" s="9"/>
      <c r="AL35" s="9">
        <f t="shared" ref="AL35:AN35" si="206">AL5/AK5-1</f>
        <v>7.8113698828294442E-2</v>
      </c>
      <c r="AM35" s="9">
        <f t="shared" si="206"/>
        <v>6.0378371125721086E-2</v>
      </c>
      <c r="AN35" s="9">
        <f t="shared" si="206"/>
        <v>6.3899784891813249E-2</v>
      </c>
      <c r="AO35" s="9">
        <f t="shared" si="203"/>
        <v>-1</v>
      </c>
      <c r="AW35" s="1" t="s">
        <v>148</v>
      </c>
      <c r="AX35" s="8">
        <v>7.0000000000000007E-2</v>
      </c>
    </row>
    <row r="36" spans="2:50" x14ac:dyDescent="0.25">
      <c r="B36" s="1" t="s">
        <v>52</v>
      </c>
      <c r="C36" s="9"/>
      <c r="D36" s="9"/>
      <c r="E36" s="9"/>
      <c r="F36" s="9"/>
      <c r="G36" s="9">
        <f t="shared" si="192"/>
        <v>0.18032276154277516</v>
      </c>
      <c r="H36" s="9">
        <f t="shared" si="193"/>
        <v>0.15634484209261101</v>
      </c>
      <c r="I36" s="9">
        <f t="shared" si="194"/>
        <v>0.1146899966242827</v>
      </c>
      <c r="J36" s="9">
        <f t="shared" si="195"/>
        <v>0.10131045588316945</v>
      </c>
      <c r="K36" s="9">
        <f t="shared" si="196"/>
        <v>0.10589663728026188</v>
      </c>
      <c r="L36" s="9">
        <f t="shared" si="197"/>
        <v>0.12720232836131173</v>
      </c>
      <c r="M36" s="9">
        <f t="shared" si="198"/>
        <v>7.205047318611979E-2</v>
      </c>
      <c r="N36" s="9">
        <f t="shared" si="199"/>
        <v>7.025991378223706E-2</v>
      </c>
      <c r="O36" s="9">
        <f t="shared" si="200"/>
        <v>8.9503078905914801E-3</v>
      </c>
      <c r="P36" s="9">
        <f t="shared" si="200"/>
        <v>-3.5502685755123276E-3</v>
      </c>
      <c r="Q36" s="9">
        <f t="shared" si="200"/>
        <v>5.2707156308851255E-2</v>
      </c>
      <c r="R36" s="9">
        <f t="shared" si="200"/>
        <v>5.9711687944598912E-2</v>
      </c>
      <c r="S36" s="9">
        <f t="shared" si="200"/>
        <v>0.15357320275353059</v>
      </c>
      <c r="T36" s="9">
        <f t="shared" si="204"/>
        <v>0.1433958771950119</v>
      </c>
      <c r="U36" s="9">
        <f t="shared" si="201"/>
        <v>0.10154520449920623</v>
      </c>
      <c r="V36" s="9">
        <f t="shared" si="201"/>
        <v>0.1016026139723043</v>
      </c>
      <c r="W36" s="9">
        <f t="shared" si="201"/>
        <v>4.7472572541781943E-2</v>
      </c>
      <c r="X36" s="9">
        <f t="shared" si="201"/>
        <v>5.8861617531009047E-2</v>
      </c>
      <c r="Y36" s="9">
        <f t="shared" si="201"/>
        <v>4.9939098660170433E-2</v>
      </c>
      <c r="Z36" s="9">
        <f t="shared" si="201"/>
        <v>4.8022598870056443E-2</v>
      </c>
      <c r="AA36" s="9">
        <f t="shared" si="201"/>
        <v>6.2255285826155138E-2</v>
      </c>
      <c r="AB36" s="9">
        <f t="shared" si="201"/>
        <v>6.8985285686986364E-2</v>
      </c>
      <c r="AC36" s="9">
        <f t="shared" si="201"/>
        <v>4.0000000000000036E-2</v>
      </c>
      <c r="AD36" s="9">
        <f t="shared" si="201"/>
        <v>4.0000000000000036E-2</v>
      </c>
      <c r="AK36" s="9"/>
      <c r="AL36" s="9">
        <f t="shared" ref="AL36:AQ36" si="207">AL6/AK6-1</f>
        <v>0.1366773036956983</v>
      </c>
      <c r="AM36" s="9">
        <f t="shared" si="207"/>
        <v>9.3466529615829463E-2</v>
      </c>
      <c r="AN36" s="9">
        <f t="shared" si="207"/>
        <v>2.9346274286318641E-2</v>
      </c>
      <c r="AO36" s="9">
        <f t="shared" si="207"/>
        <v>3.2955868587475123E-2</v>
      </c>
      <c r="AP36" s="9">
        <f t="shared" si="207"/>
        <v>0.14417221982782435</v>
      </c>
      <c r="AQ36" s="9">
        <f t="shared" si="207"/>
        <v>5.2814990099966153E-2</v>
      </c>
      <c r="AW36" s="1" t="s">
        <v>149</v>
      </c>
      <c r="AX36" s="3">
        <f>+NPV(AX35,AP19:YP19)+AO19+T40</f>
        <v>253060.55958963017</v>
      </c>
    </row>
    <row r="37" spans="2:50" s="9" customFormat="1" x14ac:dyDescent="0.25">
      <c r="B37" s="9" t="s">
        <v>144</v>
      </c>
      <c r="G37" s="9">
        <f t="shared" ref="G37:S37" si="208">G19/C19-1</f>
        <v>7.6784643071385661E-2</v>
      </c>
      <c r="H37" s="9">
        <f t="shared" si="208"/>
        <v>-8.384230982787344E-2</v>
      </c>
      <c r="I37" s="9">
        <f t="shared" si="208"/>
        <v>7.3901464713715059E-2</v>
      </c>
      <c r="J37" s="9">
        <f t="shared" si="208"/>
        <v>-0.14577777777777778</v>
      </c>
      <c r="K37" s="9">
        <f t="shared" si="208"/>
        <v>0.11643454038997225</v>
      </c>
      <c r="L37" s="9">
        <f t="shared" si="208"/>
        <v>0.12484848484848476</v>
      </c>
      <c r="M37" s="9">
        <f t="shared" si="208"/>
        <v>-0.19404835709857404</v>
      </c>
      <c r="N37" s="9">
        <f t="shared" si="208"/>
        <v>-0.13527575442247664</v>
      </c>
      <c r="O37" s="9">
        <f t="shared" si="208"/>
        <v>0.12225548902195604</v>
      </c>
      <c r="P37" s="9">
        <f t="shared" si="208"/>
        <v>0.23976293103448265</v>
      </c>
      <c r="Q37" s="9">
        <f t="shared" si="208"/>
        <v>-0.22461538461538466</v>
      </c>
      <c r="R37" s="9">
        <f t="shared" si="208"/>
        <v>-0.50300842358604092</v>
      </c>
      <c r="S37" s="9">
        <f t="shared" si="208"/>
        <v>-2.8901734104046284E-2</v>
      </c>
      <c r="T37" s="9">
        <f>T19/P19-1</f>
        <v>-0.24206866579747932</v>
      </c>
      <c r="U37" s="9">
        <f t="shared" ref="U37:AD37" si="209">U19/Q19-1</f>
        <v>47.86904761904762</v>
      </c>
      <c r="V37" s="9">
        <f t="shared" si="209"/>
        <v>119</v>
      </c>
      <c r="W37" s="9">
        <f t="shared" si="209"/>
        <v>22.388278388278387</v>
      </c>
      <c r="X37" s="9">
        <f t="shared" si="209"/>
        <v>29.005733944954127</v>
      </c>
      <c r="Y37" s="9">
        <f t="shared" si="209"/>
        <v>4.9939098660170433E-2</v>
      </c>
      <c r="Z37" s="9">
        <f t="shared" si="209"/>
        <v>4.8022598870056443E-2</v>
      </c>
      <c r="AA37" s="9">
        <f t="shared" si="209"/>
        <v>6.2255285826155138E-2</v>
      </c>
      <c r="AB37" s="9">
        <f t="shared" si="209"/>
        <v>6.8985285686986364E-2</v>
      </c>
      <c r="AC37" s="9">
        <f t="shared" si="209"/>
        <v>4.0000000000000036E-2</v>
      </c>
      <c r="AD37" s="9">
        <f t="shared" si="209"/>
        <v>4.0000000000000036E-2</v>
      </c>
      <c r="AL37" s="9">
        <f t="shared" ref="AL37:AW37" si="210">AL19/AK19-1</f>
        <v>-1.246923707957337E-2</v>
      </c>
      <c r="AM37" s="9">
        <f t="shared" si="210"/>
        <v>-4.6519355374646798E-3</v>
      </c>
      <c r="AN37" s="9">
        <f t="shared" si="210"/>
        <v>-3.3383408446002738E-3</v>
      </c>
      <c r="AO37" s="9">
        <f t="shared" si="210"/>
        <v>-4.7000000000000153E-2</v>
      </c>
      <c r="AP37" s="9">
        <f t="shared" si="210"/>
        <v>9.8000000000000087E-2</v>
      </c>
      <c r="AQ37" s="9">
        <f t="shared" si="210"/>
        <v>0.12259916164746887</v>
      </c>
      <c r="AW37" s="9" t="s">
        <v>150</v>
      </c>
      <c r="AX37" s="15">
        <f>+AX36/T20</f>
        <v>1120.7287847193541</v>
      </c>
    </row>
    <row r="38" spans="2:50" x14ac:dyDescent="0.25">
      <c r="AW38" s="1" t="s">
        <v>151</v>
      </c>
      <c r="AX38" s="2">
        <f>+Main!J6</f>
        <v>311</v>
      </c>
    </row>
    <row r="39" spans="2:50" x14ac:dyDescent="0.25">
      <c r="AW39" s="5" t="s">
        <v>152</v>
      </c>
      <c r="AX39" s="16">
        <f>+AX37/AX38-1</f>
        <v>2.6036295328596593</v>
      </c>
    </row>
    <row r="40" spans="2:50" s="3" customFormat="1" x14ac:dyDescent="0.25">
      <c r="B40" s="3" t="s">
        <v>59</v>
      </c>
      <c r="C40" s="3">
        <f t="shared" ref="C40" si="211">C41+C42+C46-C52-C53-C56</f>
        <v>0</v>
      </c>
      <c r="D40" s="3">
        <f t="shared" ref="D40" si="212">D41+D42+D46-D52-D53-D56</f>
        <v>0</v>
      </c>
      <c r="E40" s="3">
        <f t="shared" ref="E40" si="213">E41+E42+E46-E52-E53-E56</f>
        <v>0</v>
      </c>
      <c r="F40" s="3">
        <f t="shared" ref="F40" si="214">F41+F42+F46-F52-F53-F56</f>
        <v>15854</v>
      </c>
      <c r="G40" s="3">
        <f t="shared" ref="G40" si="215">G41+G42+G46-G52-G53-G56</f>
        <v>0</v>
      </c>
      <c r="H40" s="3">
        <f t="shared" ref="H40" si="216">H41+H42+H46-H52-H53-H56</f>
        <v>0</v>
      </c>
      <c r="I40" s="3">
        <f t="shared" ref="I40" si="217">I41+I42+I46-I52-I53-I56</f>
        <v>0</v>
      </c>
      <c r="J40" s="3">
        <f t="shared" ref="J40" si="218">J41+J42+J46-J52-J53-J56</f>
        <v>16615</v>
      </c>
      <c r="K40" s="3">
        <f t="shared" ref="K40:S40" si="219">K41+K42+K46-K52-K53-K56</f>
        <v>0</v>
      </c>
      <c r="L40" s="3">
        <f t="shared" si="219"/>
        <v>0</v>
      </c>
      <c r="M40" s="3">
        <f t="shared" si="219"/>
        <v>0</v>
      </c>
      <c r="N40" s="3">
        <f t="shared" si="219"/>
        <v>18232</v>
      </c>
      <c r="O40" s="3">
        <f t="shared" si="219"/>
        <v>17409</v>
      </c>
      <c r="P40" s="3">
        <f t="shared" si="219"/>
        <v>15964</v>
      </c>
      <c r="Q40" s="3">
        <f t="shared" si="219"/>
        <v>21072</v>
      </c>
      <c r="R40" s="3">
        <f t="shared" si="219"/>
        <v>14233</v>
      </c>
      <c r="S40" s="3">
        <f t="shared" si="219"/>
        <v>14876</v>
      </c>
      <c r="T40" s="3">
        <f>T41+T42+T46-T52-T53-T56</f>
        <v>16159</v>
      </c>
      <c r="U40" s="3">
        <f t="shared" ref="U40:AD40" si="220">U41+U42+U46-U52-U53-U56</f>
        <v>0</v>
      </c>
      <c r="V40" s="3">
        <f t="shared" si="220"/>
        <v>0</v>
      </c>
      <c r="W40" s="3">
        <f t="shared" si="220"/>
        <v>0</v>
      </c>
      <c r="X40" s="3">
        <f t="shared" si="220"/>
        <v>0</v>
      </c>
      <c r="Y40" s="3">
        <f t="shared" si="220"/>
        <v>0</v>
      </c>
      <c r="Z40" s="3">
        <f t="shared" si="220"/>
        <v>0</v>
      </c>
      <c r="AA40" s="3">
        <f t="shared" si="220"/>
        <v>0</v>
      </c>
      <c r="AB40" s="3">
        <f t="shared" si="220"/>
        <v>0</v>
      </c>
      <c r="AC40" s="3">
        <f t="shared" si="220"/>
        <v>0</v>
      </c>
      <c r="AD40" s="3">
        <f t="shared" si="220"/>
        <v>0</v>
      </c>
    </row>
    <row r="41" spans="2:50" s="3" customFormat="1" x14ac:dyDescent="0.25">
      <c r="B41" s="3" t="s">
        <v>3</v>
      </c>
      <c r="F41" s="3">
        <v>4880</v>
      </c>
      <c r="J41" s="3">
        <v>7387</v>
      </c>
      <c r="N41" s="3">
        <v>6526</v>
      </c>
      <c r="O41" s="3">
        <v>6226</v>
      </c>
      <c r="P41" s="3">
        <v>6497</v>
      </c>
      <c r="Q41" s="3">
        <v>7866</v>
      </c>
      <c r="R41" s="3">
        <v>8288</v>
      </c>
      <c r="S41" s="3">
        <v>7500</v>
      </c>
      <c r="T41" s="3">
        <v>8560</v>
      </c>
    </row>
    <row r="42" spans="2:50" s="3" customFormat="1" x14ac:dyDescent="0.25">
      <c r="B42" s="3" t="s">
        <v>124</v>
      </c>
      <c r="F42" s="3">
        <f>26267+1881</f>
        <v>28148</v>
      </c>
      <c r="J42" s="3">
        <f>25952+953</f>
        <v>26905</v>
      </c>
      <c r="N42" s="3">
        <v>29843</v>
      </c>
      <c r="O42" s="3">
        <v>30041</v>
      </c>
      <c r="P42" s="3">
        <v>29494</v>
      </c>
      <c r="Q42" s="3">
        <v>30067</v>
      </c>
      <c r="R42" s="3">
        <v>26393</v>
      </c>
      <c r="S42" s="3">
        <v>26152</v>
      </c>
      <c r="T42" s="3">
        <v>26232</v>
      </c>
    </row>
    <row r="43" spans="2:50" s="3" customFormat="1" x14ac:dyDescent="0.25">
      <c r="B43" s="3" t="s">
        <v>76</v>
      </c>
      <c r="F43" s="3">
        <f>5681+4010+3749</f>
        <v>13440</v>
      </c>
      <c r="J43" s="3">
        <f>7083+4298+4663</f>
        <v>16044</v>
      </c>
      <c r="N43" s="3">
        <v>17865</v>
      </c>
      <c r="O43" s="3">
        <v>18293</v>
      </c>
      <c r="P43" s="3">
        <v>19218</v>
      </c>
      <c r="Q43" s="3">
        <v>18399</v>
      </c>
      <c r="R43" s="3">
        <v>19071</v>
      </c>
      <c r="S43" s="3">
        <v>22181</v>
      </c>
      <c r="T43" s="3">
        <v>23125</v>
      </c>
    </row>
    <row r="44" spans="2:50" s="3" customFormat="1" x14ac:dyDescent="0.25">
      <c r="B44" s="3" t="s">
        <v>60</v>
      </c>
      <c r="F44" s="3">
        <v>4654</v>
      </c>
      <c r="J44" s="3">
        <v>5281</v>
      </c>
      <c r="N44" s="3">
        <v>5795</v>
      </c>
      <c r="O44" s="3">
        <v>6388</v>
      </c>
      <c r="P44" s="3">
        <v>6464</v>
      </c>
      <c r="Q44" s="3">
        <v>5949</v>
      </c>
      <c r="R44" s="3">
        <v>4700</v>
      </c>
      <c r="S44" s="3">
        <v>5288</v>
      </c>
      <c r="T44" s="3">
        <v>5407</v>
      </c>
    </row>
    <row r="45" spans="2:50" s="3" customFormat="1" x14ac:dyDescent="0.25">
      <c r="B45" s="3" t="s">
        <v>61</v>
      </c>
      <c r="P45" s="3">
        <v>601</v>
      </c>
      <c r="Q45" s="3">
        <v>565</v>
      </c>
      <c r="R45" s="3">
        <v>490</v>
      </c>
    </row>
    <row r="46" spans="2:50" s="3" customFormat="1" x14ac:dyDescent="0.25">
      <c r="B46" s="3" t="s">
        <v>125</v>
      </c>
      <c r="F46" s="3">
        <f>632+5225</f>
        <v>5857</v>
      </c>
      <c r="J46" s="3">
        <f>752+5685</f>
        <v>6437</v>
      </c>
      <c r="N46" s="3">
        <v>6983</v>
      </c>
      <c r="O46" s="3">
        <v>7593</v>
      </c>
      <c r="P46" s="3">
        <v>7659</v>
      </c>
      <c r="Q46" s="3">
        <v>10287</v>
      </c>
      <c r="R46" s="3">
        <v>10784</v>
      </c>
      <c r="S46" s="3">
        <v>11227</v>
      </c>
      <c r="T46" s="3">
        <v>11553</v>
      </c>
    </row>
    <row r="47" spans="2:50" s="3" customFormat="1" x14ac:dyDescent="0.25">
      <c r="B47" s="3" t="s">
        <v>62</v>
      </c>
      <c r="F47" s="3">
        <v>3919</v>
      </c>
      <c r="J47" s="3">
        <v>4316</v>
      </c>
      <c r="N47" s="3">
        <v>4359</v>
      </c>
      <c r="O47" s="3">
        <v>4451</v>
      </c>
      <c r="P47" s="3">
        <v>4450</v>
      </c>
      <c r="Q47" s="3">
        <v>4505</v>
      </c>
      <c r="R47" s="3">
        <v>4652</v>
      </c>
      <c r="S47" s="3">
        <v>4617</v>
      </c>
      <c r="T47" s="3">
        <v>4641</v>
      </c>
    </row>
    <row r="48" spans="2:50" s="3" customFormat="1" x14ac:dyDescent="0.25">
      <c r="B48" s="3" t="s">
        <v>126</v>
      </c>
      <c r="F48" s="3">
        <f>24228+10615</f>
        <v>34843</v>
      </c>
      <c r="J48" s="3">
        <f>24383+10315</f>
        <v>34698</v>
      </c>
      <c r="N48" s="3">
        <v>35590</v>
      </c>
      <c r="O48" s="3">
        <v>36657</v>
      </c>
      <c r="P48" s="3">
        <v>36409</v>
      </c>
      <c r="Q48" s="3">
        <v>36292</v>
      </c>
      <c r="R48" s="3">
        <v>40371</v>
      </c>
      <c r="S48" s="3">
        <v>40360</v>
      </c>
      <c r="T48" s="3">
        <v>39858</v>
      </c>
    </row>
    <row r="49" spans="2:40" s="3" customFormat="1" x14ac:dyDescent="0.25">
      <c r="B49" s="3" t="s">
        <v>63</v>
      </c>
      <c r="F49" s="3">
        <v>1719</v>
      </c>
      <c r="J49" s="3">
        <v>1704</v>
      </c>
      <c r="N49" s="3">
        <v>1967</v>
      </c>
      <c r="O49" s="3">
        <v>2245</v>
      </c>
      <c r="P49" s="3">
        <v>2196</v>
      </c>
      <c r="Q49" s="3">
        <v>2603</v>
      </c>
      <c r="R49" s="3">
        <v>2140</v>
      </c>
      <c r="S49" s="3">
        <v>2392</v>
      </c>
      <c r="T49" s="3">
        <v>2562</v>
      </c>
    </row>
    <row r="50" spans="2:40" s="6" customFormat="1" x14ac:dyDescent="0.25">
      <c r="B50" s="6" t="s">
        <v>64</v>
      </c>
      <c r="C50" s="6">
        <f t="shared" ref="C50:J50" si="221">SUM(C41:C49)</f>
        <v>0</v>
      </c>
      <c r="D50" s="6">
        <f t="shared" si="221"/>
        <v>0</v>
      </c>
      <c r="E50" s="6">
        <f t="shared" si="221"/>
        <v>0</v>
      </c>
      <c r="F50" s="6">
        <f t="shared" si="221"/>
        <v>97460</v>
      </c>
      <c r="G50" s="6">
        <f t="shared" si="221"/>
        <v>0</v>
      </c>
      <c r="H50" s="6">
        <f t="shared" si="221"/>
        <v>0</v>
      </c>
      <c r="I50" s="6">
        <f t="shared" si="221"/>
        <v>0</v>
      </c>
      <c r="J50" s="6">
        <f t="shared" si="221"/>
        <v>102772</v>
      </c>
      <c r="K50" s="6">
        <f>SUM(K41:K49)</f>
        <v>0</v>
      </c>
      <c r="L50" s="6">
        <f>SUM(L41:L49)</f>
        <v>0</v>
      </c>
      <c r="M50" s="6">
        <f>SUM(M41:M49)</f>
        <v>0</v>
      </c>
      <c r="N50" s="6">
        <f>SUM(N41:N49)</f>
        <v>108928</v>
      </c>
      <c r="O50" s="6">
        <f>SUM(O41:O49)</f>
        <v>111894</v>
      </c>
      <c r="P50" s="6">
        <f>SUM(P41:P49)</f>
        <v>112988</v>
      </c>
      <c r="Q50" s="6">
        <f>SUM(Q41:Q49)</f>
        <v>116533</v>
      </c>
      <c r="R50" s="6">
        <f>SUM(R41:R49)</f>
        <v>116889</v>
      </c>
      <c r="S50" s="6">
        <f>SUM(S41:S49)</f>
        <v>119717</v>
      </c>
      <c r="T50" s="6">
        <f>SUM(T41:T49)</f>
        <v>121938</v>
      </c>
      <c r="U50" s="6">
        <f>SUM(U41:U49)</f>
        <v>0</v>
      </c>
      <c r="V50" s="6">
        <f>SUM(V41:V49)</f>
        <v>0</v>
      </c>
      <c r="W50" s="6">
        <f>SUM(W41:W49)</f>
        <v>0</v>
      </c>
      <c r="X50" s="6">
        <f>SUM(X41:X49)</f>
        <v>0</v>
      </c>
      <c r="Y50" s="6">
        <f>SUM(Y41:Y49)</f>
        <v>0</v>
      </c>
      <c r="Z50" s="6">
        <f>SUM(Z41:Z49)</f>
        <v>0</v>
      </c>
      <c r="AA50" s="6">
        <f>SUM(AA41:AA49)</f>
        <v>0</v>
      </c>
      <c r="AB50" s="6">
        <f>SUM(AB41:AB49)</f>
        <v>0</v>
      </c>
      <c r="AC50" s="6">
        <f>SUM(AC41:AC49)</f>
        <v>0</v>
      </c>
      <c r="AD50" s="6">
        <f>SUM(AD41:AD49)</f>
        <v>0</v>
      </c>
    </row>
    <row r="51" spans="2:40" s="3" customFormat="1" x14ac:dyDescent="0.25">
      <c r="B51" s="3" t="s">
        <v>65</v>
      </c>
      <c r="F51" s="3">
        <v>13518</v>
      </c>
      <c r="J51" s="3">
        <v>15596</v>
      </c>
      <c r="N51" s="3">
        <v>16111</v>
      </c>
      <c r="O51" s="3">
        <v>16459</v>
      </c>
      <c r="P51" s="3">
        <v>15204</v>
      </c>
      <c r="Q51" s="3">
        <v>15346</v>
      </c>
      <c r="R51" s="3">
        <v>15746</v>
      </c>
      <c r="S51" s="3">
        <v>16812</v>
      </c>
      <c r="T51" s="3">
        <v>17155</v>
      </c>
    </row>
    <row r="52" spans="2:40" s="3" customFormat="1" x14ac:dyDescent="0.25">
      <c r="B52" s="3" t="s">
        <v>66</v>
      </c>
      <c r="F52" s="3">
        <v>275</v>
      </c>
      <c r="J52" s="3">
        <v>265</v>
      </c>
      <c r="N52" s="3">
        <v>225</v>
      </c>
      <c r="O52" s="3">
        <v>1575</v>
      </c>
      <c r="P52" s="3">
        <v>225</v>
      </c>
      <c r="Q52" s="3">
        <v>360</v>
      </c>
      <c r="R52" s="3">
        <v>365</v>
      </c>
      <c r="S52" s="3">
        <v>250</v>
      </c>
      <c r="T52" s="3">
        <v>360</v>
      </c>
    </row>
    <row r="53" spans="2:40" s="3" customFormat="1" x14ac:dyDescent="0.25">
      <c r="B53" s="3" t="s">
        <v>67</v>
      </c>
      <c r="F53" s="3">
        <v>1599</v>
      </c>
      <c r="J53" s="3">
        <v>1500</v>
      </c>
      <c r="N53" s="3">
        <v>1649</v>
      </c>
      <c r="O53" s="3">
        <v>2900</v>
      </c>
      <c r="P53" s="3">
        <v>2900</v>
      </c>
      <c r="Q53" s="3">
        <v>2100</v>
      </c>
      <c r="R53" s="3">
        <v>1649</v>
      </c>
      <c r="S53" s="3">
        <v>1643</v>
      </c>
      <c r="T53" s="3">
        <v>1648</v>
      </c>
    </row>
    <row r="54" spans="2:40" s="3" customFormat="1" x14ac:dyDescent="0.25">
      <c r="B54" s="3" t="s">
        <v>68</v>
      </c>
      <c r="F54" s="3">
        <f>5521+1153+4970+7849</f>
        <v>19493</v>
      </c>
      <c r="J54" s="3">
        <f>9683+6505+1112+5035</f>
        <v>22335</v>
      </c>
      <c r="N54" s="3">
        <v>23806</v>
      </c>
      <c r="O54" s="3">
        <v>23400</v>
      </c>
      <c r="P54" s="3">
        <v>23319</v>
      </c>
      <c r="Q54" s="3">
        <v>24064</v>
      </c>
      <c r="R54" s="3">
        <v>22668</v>
      </c>
      <c r="S54" s="3">
        <v>23993</v>
      </c>
      <c r="T54" s="3">
        <v>24671</v>
      </c>
    </row>
    <row r="55" spans="2:40" s="3" customFormat="1" x14ac:dyDescent="0.25">
      <c r="B55" s="3" t="s">
        <v>61</v>
      </c>
      <c r="P55" s="3">
        <v>165</v>
      </c>
      <c r="Q55" s="3">
        <v>163</v>
      </c>
      <c r="R55" s="3">
        <v>153</v>
      </c>
    </row>
    <row r="56" spans="2:40" s="3" customFormat="1" x14ac:dyDescent="0.25">
      <c r="B56" s="3" t="s">
        <v>69</v>
      </c>
      <c r="F56" s="3">
        <v>21157</v>
      </c>
      <c r="J56" s="3">
        <v>22349</v>
      </c>
      <c r="N56" s="3">
        <v>23246</v>
      </c>
      <c r="O56" s="3">
        <v>21976</v>
      </c>
      <c r="P56" s="3">
        <v>24561</v>
      </c>
      <c r="Q56" s="3">
        <v>24688</v>
      </c>
      <c r="R56" s="3">
        <v>29218</v>
      </c>
      <c r="S56" s="3">
        <v>28110</v>
      </c>
      <c r="T56" s="3">
        <v>28178</v>
      </c>
    </row>
    <row r="57" spans="2:40" s="3" customFormat="1" x14ac:dyDescent="0.25">
      <c r="B57" s="3" t="s">
        <v>70</v>
      </c>
      <c r="F57" s="3">
        <f>802+2805+1683</f>
        <v>5290</v>
      </c>
      <c r="J57" s="3">
        <f>737+2034+1562</f>
        <v>4333</v>
      </c>
      <c r="N57" s="3">
        <v>4486</v>
      </c>
      <c r="O57" s="3">
        <v>4874</v>
      </c>
      <c r="P57" s="3">
        <v>4317</v>
      </c>
      <c r="Q57" s="3">
        <v>5933</v>
      </c>
      <c r="R57" s="3">
        <v>5664</v>
      </c>
      <c r="S57" s="3">
        <v>6289</v>
      </c>
      <c r="T57" s="3">
        <v>6075</v>
      </c>
    </row>
    <row r="58" spans="2:40" s="6" customFormat="1" x14ac:dyDescent="0.25">
      <c r="B58" s="6" t="s">
        <v>71</v>
      </c>
      <c r="C58" s="6">
        <f t="shared" ref="C58:J58" si="222">SUM(C51:C57)</f>
        <v>0</v>
      </c>
      <c r="D58" s="6">
        <f t="shared" si="222"/>
        <v>0</v>
      </c>
      <c r="E58" s="6">
        <f t="shared" si="222"/>
        <v>0</v>
      </c>
      <c r="F58" s="6">
        <f t="shared" si="222"/>
        <v>61332</v>
      </c>
      <c r="G58" s="6">
        <f t="shared" si="222"/>
        <v>0</v>
      </c>
      <c r="H58" s="6">
        <f t="shared" si="222"/>
        <v>0</v>
      </c>
      <c r="I58" s="6">
        <f t="shared" si="222"/>
        <v>0</v>
      </c>
      <c r="J58" s="6">
        <f t="shared" si="222"/>
        <v>66378</v>
      </c>
      <c r="K58" s="6">
        <f>SUM(K51:K57)</f>
        <v>0</v>
      </c>
      <c r="L58" s="6">
        <f>SUM(L51:L57)</f>
        <v>0</v>
      </c>
      <c r="M58" s="6">
        <f>SUM(M51:M57)</f>
        <v>0</v>
      </c>
      <c r="N58" s="6">
        <f>SUM(N51:N57)</f>
        <v>69523</v>
      </c>
      <c r="O58" s="6">
        <f>SUM(O51:O57)</f>
        <v>71184</v>
      </c>
      <c r="P58" s="6">
        <f>SUM(P51:P57)</f>
        <v>70691</v>
      </c>
      <c r="Q58" s="6">
        <f>SUM(Q51:Q57)</f>
        <v>72654</v>
      </c>
      <c r="R58" s="6">
        <f>SUM(R51:R57)</f>
        <v>75463</v>
      </c>
      <c r="S58" s="6">
        <f>SUM(S51:S57)</f>
        <v>77097</v>
      </c>
      <c r="T58" s="6">
        <f>SUM(T51:T57)</f>
        <v>78087</v>
      </c>
      <c r="U58" s="6">
        <f>SUM(U51:U57)</f>
        <v>0</v>
      </c>
      <c r="V58" s="6">
        <f>SUM(V51:V57)</f>
        <v>0</v>
      </c>
      <c r="W58" s="6">
        <f>SUM(W51:W57)</f>
        <v>0</v>
      </c>
      <c r="X58" s="6">
        <f>SUM(X51:X57)</f>
        <v>0</v>
      </c>
      <c r="Y58" s="6">
        <f>SUM(Y51:Y57)</f>
        <v>0</v>
      </c>
      <c r="Z58" s="6">
        <f>SUM(Z51:Z57)</f>
        <v>0</v>
      </c>
      <c r="AA58" s="6">
        <f>SUM(AA51:AA57)</f>
        <v>0</v>
      </c>
      <c r="AB58" s="6">
        <f>SUM(AB51:AB57)</f>
        <v>0</v>
      </c>
      <c r="AC58" s="6">
        <f>SUM(AC51:AC57)</f>
        <v>0</v>
      </c>
      <c r="AD58" s="6">
        <f>SUM(AD51:AD57)</f>
        <v>0</v>
      </c>
    </row>
    <row r="59" spans="2:40" s="3" customFormat="1" x14ac:dyDescent="0.25">
      <c r="B59" s="3" t="s">
        <v>72</v>
      </c>
      <c r="F59" s="3">
        <v>36128</v>
      </c>
      <c r="J59" s="3">
        <v>36394</v>
      </c>
      <c r="N59" s="3">
        <v>39405</v>
      </c>
      <c r="O59" s="3">
        <v>40710</v>
      </c>
      <c r="P59" s="3">
        <v>42297</v>
      </c>
      <c r="Q59" s="3">
        <v>43879</v>
      </c>
      <c r="R59" s="3">
        <v>41426</v>
      </c>
      <c r="S59" s="3">
        <v>42620</v>
      </c>
      <c r="T59" s="3">
        <v>43851</v>
      </c>
    </row>
    <row r="60" spans="2:40" s="6" customFormat="1" x14ac:dyDescent="0.25">
      <c r="B60" s="6" t="s">
        <v>73</v>
      </c>
      <c r="C60" s="6">
        <f t="shared" ref="C60" si="223">C58+C59</f>
        <v>0</v>
      </c>
      <c r="D60" s="6">
        <f t="shared" ref="D60" si="224">D58+D59</f>
        <v>0</v>
      </c>
      <c r="E60" s="6">
        <f t="shared" ref="E60" si="225">E58+E59</f>
        <v>0</v>
      </c>
      <c r="F60" s="6">
        <f t="shared" ref="F60" si="226">F58+F59</f>
        <v>97460</v>
      </c>
      <c r="G60" s="6">
        <f t="shared" ref="G60" si="227">G58+G59</f>
        <v>0</v>
      </c>
      <c r="H60" s="6">
        <f t="shared" ref="H60" si="228">H58+H59</f>
        <v>0</v>
      </c>
      <c r="I60" s="6">
        <f t="shared" ref="I60" si="229">I58+I59</f>
        <v>0</v>
      </c>
      <c r="J60" s="6">
        <f t="shared" ref="J60" si="230">J58+J59</f>
        <v>102772</v>
      </c>
      <c r="K60" s="6">
        <f t="shared" ref="K60:S60" si="231">K58+K59</f>
        <v>0</v>
      </c>
      <c r="L60" s="6">
        <f t="shared" si="231"/>
        <v>0</v>
      </c>
      <c r="M60" s="6">
        <f t="shared" si="231"/>
        <v>0</v>
      </c>
      <c r="N60" s="6">
        <f t="shared" si="231"/>
        <v>108928</v>
      </c>
      <c r="O60" s="6">
        <f t="shared" si="231"/>
        <v>111894</v>
      </c>
      <c r="P60" s="6">
        <f t="shared" si="231"/>
        <v>112988</v>
      </c>
      <c r="Q60" s="6">
        <f t="shared" si="231"/>
        <v>116533</v>
      </c>
      <c r="R60" s="6">
        <f t="shared" si="231"/>
        <v>116889</v>
      </c>
      <c r="S60" s="6">
        <f t="shared" si="231"/>
        <v>119717</v>
      </c>
      <c r="T60" s="6">
        <f>T58+T59</f>
        <v>121938</v>
      </c>
      <c r="U60" s="6">
        <f t="shared" ref="U60:AD60" si="232">U58+U59</f>
        <v>0</v>
      </c>
      <c r="V60" s="6">
        <f t="shared" si="232"/>
        <v>0</v>
      </c>
      <c r="W60" s="6">
        <f t="shared" si="232"/>
        <v>0</v>
      </c>
      <c r="X60" s="6">
        <f t="shared" si="232"/>
        <v>0</v>
      </c>
      <c r="Y60" s="6">
        <f t="shared" si="232"/>
        <v>0</v>
      </c>
      <c r="Z60" s="6">
        <f t="shared" si="232"/>
        <v>0</v>
      </c>
      <c r="AA60" s="6">
        <f t="shared" si="232"/>
        <v>0</v>
      </c>
      <c r="AB60" s="6">
        <f t="shared" si="232"/>
        <v>0</v>
      </c>
      <c r="AC60" s="6">
        <f t="shared" si="232"/>
        <v>0</v>
      </c>
      <c r="AD60" s="6">
        <f t="shared" si="232"/>
        <v>0</v>
      </c>
    </row>
    <row r="64" spans="2:40" s="3" customFormat="1" x14ac:dyDescent="0.25">
      <c r="B64" s="3" t="s">
        <v>57</v>
      </c>
      <c r="C64" s="3">
        <f t="shared" ref="C64:J64" si="233">C19</f>
        <v>1667</v>
      </c>
      <c r="D64" s="3">
        <f t="shared" si="233"/>
        <v>1801</v>
      </c>
      <c r="E64" s="3">
        <f t="shared" si="233"/>
        <v>1502</v>
      </c>
      <c r="F64" s="3">
        <f t="shared" si="233"/>
        <v>1125</v>
      </c>
      <c r="G64" s="3">
        <f t="shared" si="233"/>
        <v>1795</v>
      </c>
      <c r="H64" s="3">
        <f t="shared" si="233"/>
        <v>1650</v>
      </c>
      <c r="I64" s="3">
        <f t="shared" si="233"/>
        <v>1613</v>
      </c>
      <c r="J64" s="3">
        <f t="shared" si="233"/>
        <v>961</v>
      </c>
      <c r="K64" s="3">
        <f t="shared" ref="K64:S64" si="234">K19</f>
        <v>2004</v>
      </c>
      <c r="L64" s="3">
        <f t="shared" si="234"/>
        <v>1856</v>
      </c>
      <c r="M64" s="3">
        <f t="shared" si="234"/>
        <v>1300</v>
      </c>
      <c r="N64" s="3">
        <f t="shared" si="234"/>
        <v>831</v>
      </c>
      <c r="O64" s="3">
        <f t="shared" si="234"/>
        <v>2249</v>
      </c>
      <c r="P64" s="3">
        <f t="shared" si="234"/>
        <v>2301</v>
      </c>
      <c r="Q64" s="3">
        <f t="shared" si="234"/>
        <v>1008</v>
      </c>
      <c r="R64" s="3">
        <f t="shared" si="234"/>
        <v>413</v>
      </c>
      <c r="S64" s="3">
        <f t="shared" si="234"/>
        <v>2184</v>
      </c>
      <c r="T64" s="3">
        <f>T19</f>
        <v>1744</v>
      </c>
      <c r="U64" s="3">
        <f t="shared" ref="U64:AD64" si="235">U19</f>
        <v>49260</v>
      </c>
      <c r="V64" s="3">
        <f t="shared" si="235"/>
        <v>49560</v>
      </c>
      <c r="W64" s="3">
        <f t="shared" si="235"/>
        <v>51080</v>
      </c>
      <c r="X64" s="3">
        <f t="shared" si="235"/>
        <v>52330</v>
      </c>
      <c r="Y64" s="3">
        <f t="shared" si="235"/>
        <v>51720</v>
      </c>
      <c r="Z64" s="3">
        <f t="shared" si="235"/>
        <v>51940</v>
      </c>
      <c r="AA64" s="3">
        <f t="shared" si="235"/>
        <v>54260</v>
      </c>
      <c r="AB64" s="3">
        <f t="shared" si="235"/>
        <v>55940</v>
      </c>
      <c r="AC64" s="3">
        <f t="shared" si="235"/>
        <v>53788.800000000003</v>
      </c>
      <c r="AD64" s="3">
        <f t="shared" si="235"/>
        <v>54017.599999999999</v>
      </c>
      <c r="AK64" s="3">
        <f t="shared" ref="AK64:AL64" si="236">AK19</f>
        <v>6095</v>
      </c>
      <c r="AL64" s="3">
        <f t="shared" si="236"/>
        <v>6019</v>
      </c>
      <c r="AM64" s="3">
        <f t="shared" ref="AM64:AN64" si="237">AM19</f>
        <v>5991</v>
      </c>
      <c r="AN64" s="3">
        <f t="shared" si="237"/>
        <v>5971</v>
      </c>
    </row>
    <row r="65" spans="2:40" s="3" customFormat="1" x14ac:dyDescent="0.25">
      <c r="B65" s="3" t="s">
        <v>58</v>
      </c>
      <c r="C65" s="3">
        <v>1667</v>
      </c>
      <c r="D65" s="3">
        <v>1801</v>
      </c>
      <c r="E65" s="3">
        <v>1502</v>
      </c>
      <c r="F65" s="3">
        <v>1125</v>
      </c>
      <c r="G65" s="3">
        <v>1795</v>
      </c>
      <c r="H65" s="3">
        <v>1650</v>
      </c>
      <c r="I65" s="3">
        <v>1613</v>
      </c>
      <c r="J65" s="3">
        <v>961</v>
      </c>
      <c r="K65" s="3">
        <v>2004</v>
      </c>
      <c r="L65" s="3">
        <v>1856</v>
      </c>
      <c r="M65" s="3">
        <v>1300</v>
      </c>
      <c r="N65" s="3">
        <v>831</v>
      </c>
      <c r="O65" s="3">
        <v>2249</v>
      </c>
      <c r="P65" s="3">
        <v>2301</v>
      </c>
      <c r="Q65" s="3">
        <v>1008</v>
      </c>
      <c r="R65" s="3">
        <v>413</v>
      </c>
      <c r="S65" s="3">
        <v>2184</v>
      </c>
      <c r="T65" s="3">
        <v>1744</v>
      </c>
      <c r="AK65" s="3">
        <v>6095</v>
      </c>
      <c r="AL65" s="3">
        <v>6019</v>
      </c>
      <c r="AM65" s="3">
        <v>5991</v>
      </c>
      <c r="AN65" s="3">
        <v>5971</v>
      </c>
    </row>
    <row r="66" spans="2:40" s="3" customFormat="1" x14ac:dyDescent="0.25">
      <c r="B66" s="3" t="s">
        <v>74</v>
      </c>
      <c r="C66" s="3">
        <v>282</v>
      </c>
      <c r="D66" s="3">
        <v>309</v>
      </c>
      <c r="E66" s="3">
        <v>351</v>
      </c>
      <c r="F66" s="3">
        <v>360</v>
      </c>
      <c r="G66" s="3">
        <v>358</v>
      </c>
      <c r="H66" s="3">
        <v>393</v>
      </c>
      <c r="I66" s="3">
        <v>451</v>
      </c>
      <c r="J66" s="3">
        <v>473</v>
      </c>
      <c r="K66" s="3">
        <v>462</v>
      </c>
      <c r="L66" s="3">
        <v>433</v>
      </c>
      <c r="M66" s="3">
        <v>426</v>
      </c>
      <c r="N66" s="3">
        <v>424</v>
      </c>
      <c r="O66" s="3">
        <v>311</v>
      </c>
      <c r="P66" s="3">
        <v>355</v>
      </c>
      <c r="Q66" s="3">
        <v>329</v>
      </c>
      <c r="R66" s="3">
        <v>398</v>
      </c>
      <c r="S66" s="3">
        <v>373</v>
      </c>
      <c r="T66" s="3">
        <v>380</v>
      </c>
      <c r="AK66" s="3">
        <v>1302</v>
      </c>
      <c r="AL66" s="3">
        <v>1675</v>
      </c>
      <c r="AM66" s="3">
        <v>1745</v>
      </c>
      <c r="AN66" s="3">
        <v>1393</v>
      </c>
    </row>
    <row r="67" spans="2:40" s="3" customFormat="1" x14ac:dyDescent="0.25">
      <c r="B67" s="3" t="s">
        <v>75</v>
      </c>
      <c r="C67" s="3">
        <v>64</v>
      </c>
      <c r="D67" s="3">
        <v>69</v>
      </c>
      <c r="E67" s="3">
        <v>63</v>
      </c>
      <c r="F67" s="3">
        <v>59</v>
      </c>
      <c r="G67" s="3">
        <v>50</v>
      </c>
      <c r="H67" s="3">
        <v>72</v>
      </c>
      <c r="I67" s="3">
        <v>69</v>
      </c>
      <c r="J67" s="3">
        <v>73</v>
      </c>
      <c r="K67" s="3">
        <v>61</v>
      </c>
      <c r="L67" s="3">
        <v>78</v>
      </c>
      <c r="M67" s="3">
        <v>78</v>
      </c>
      <c r="N67" s="3">
        <v>72</v>
      </c>
      <c r="O67" s="3">
        <v>62</v>
      </c>
      <c r="P67" s="3">
        <v>92</v>
      </c>
      <c r="Q67" s="3">
        <v>66</v>
      </c>
      <c r="R67" s="3">
        <v>-29</v>
      </c>
      <c r="S67" s="3">
        <v>81</v>
      </c>
      <c r="T67" s="3">
        <v>81</v>
      </c>
      <c r="AK67" s="3">
        <v>255</v>
      </c>
      <c r="AL67" s="3">
        <v>264</v>
      </c>
      <c r="AM67" s="3">
        <v>289</v>
      </c>
      <c r="AN67" s="3">
        <v>191</v>
      </c>
    </row>
    <row r="68" spans="2:40" s="3" customFormat="1" x14ac:dyDescent="0.25">
      <c r="B68" s="3" t="s">
        <v>91</v>
      </c>
      <c r="C68" s="3">
        <f>-1258-20-288+1455-119+358+438-1</f>
        <v>565</v>
      </c>
      <c r="D68" s="3">
        <v>-84</v>
      </c>
      <c r="E68" s="3">
        <v>533</v>
      </c>
      <c r="F68" s="3">
        <v>179</v>
      </c>
      <c r="G68" s="3">
        <f>-1348+7-353+1075+57+428+568-2</f>
        <v>432</v>
      </c>
      <c r="H68" s="3">
        <v>291</v>
      </c>
      <c r="I68" s="3">
        <v>2778</v>
      </c>
      <c r="J68" s="3">
        <v>-3248</v>
      </c>
      <c r="K68" s="3">
        <v>4054</v>
      </c>
      <c r="L68" s="3">
        <v>-443</v>
      </c>
      <c r="M68" s="3">
        <v>210</v>
      </c>
      <c r="N68" s="3">
        <v>-4355</v>
      </c>
      <c r="O68" s="3">
        <v>-988</v>
      </c>
      <c r="P68" s="3">
        <v>-1955</v>
      </c>
      <c r="Q68" s="3">
        <v>1242</v>
      </c>
      <c r="R68" s="3">
        <v>-18</v>
      </c>
      <c r="S68" s="3">
        <v>-1785</v>
      </c>
      <c r="T68" s="3">
        <v>-218</v>
      </c>
      <c r="AK68" s="3">
        <f>-2138-70+37+2597-113+719+140+21</f>
        <v>1193</v>
      </c>
      <c r="AL68" s="3">
        <f>-2510+11+120+2826-42+252-338-66</f>
        <v>253</v>
      </c>
      <c r="AM68" s="3">
        <v>-534</v>
      </c>
      <c r="AN68" s="3">
        <v>-1719</v>
      </c>
    </row>
    <row r="69" spans="2:40" s="3" customFormat="1" x14ac:dyDescent="0.25">
      <c r="B69" s="3" t="s">
        <v>92</v>
      </c>
      <c r="C69" s="3">
        <f>4-108+31</f>
        <v>-73</v>
      </c>
      <c r="D69" s="3">
        <v>-412</v>
      </c>
      <c r="E69" s="3">
        <v>55</v>
      </c>
      <c r="F69" s="3">
        <v>-51</v>
      </c>
      <c r="G69" s="3">
        <f>151-153-92</f>
        <v>-94</v>
      </c>
      <c r="H69" s="3">
        <v>46</v>
      </c>
      <c r="I69" s="3">
        <v>13</v>
      </c>
      <c r="J69" s="3">
        <v>223</v>
      </c>
      <c r="K69" s="3">
        <v>-112</v>
      </c>
      <c r="L69" s="3">
        <v>26</v>
      </c>
      <c r="M69" s="3">
        <v>599</v>
      </c>
      <c r="N69" s="3">
        <v>57</v>
      </c>
      <c r="O69" s="3">
        <v>324</v>
      </c>
      <c r="P69" s="3">
        <v>-326</v>
      </c>
      <c r="Q69" s="3">
        <v>32</v>
      </c>
      <c r="R69" s="3">
        <v>-58</v>
      </c>
      <c r="S69" s="3">
        <v>164</v>
      </c>
      <c r="T69" s="3">
        <v>67</v>
      </c>
      <c r="AK69" s="3">
        <f>-318-562+326+73</f>
        <v>-481</v>
      </c>
      <c r="AL69" s="3">
        <f>550-293-76+7</f>
        <v>188</v>
      </c>
      <c r="AM69" s="3">
        <v>570</v>
      </c>
      <c r="AN69" s="3">
        <v>-28</v>
      </c>
    </row>
    <row r="70" spans="2:40" s="6" customFormat="1" x14ac:dyDescent="0.25">
      <c r="B70" s="6" t="s">
        <v>77</v>
      </c>
      <c r="C70" s="6">
        <f>SUM(C65:C69)</f>
        <v>2505</v>
      </c>
      <c r="D70" s="6">
        <f>SUM(D65:D69)</f>
        <v>1683</v>
      </c>
      <c r="E70" s="6">
        <f>SUM(E65:E69)</f>
        <v>2504</v>
      </c>
      <c r="F70" s="6">
        <f>SUM(F65:F69)</f>
        <v>1672</v>
      </c>
      <c r="G70" s="6">
        <f>SUM(G65:G69)</f>
        <v>2541</v>
      </c>
      <c r="H70" s="6">
        <f>SUM(H65:H69)</f>
        <v>2452</v>
      </c>
      <c r="I70" s="6">
        <f>SUM(I65:I69)</f>
        <v>4924</v>
      </c>
      <c r="J70" s="6">
        <f>SUM(J65:J69)</f>
        <v>-1518</v>
      </c>
      <c r="K70" s="6">
        <f>SUM(K65:K69)</f>
        <v>6469</v>
      </c>
      <c r="L70" s="6">
        <f>SUM(L65:L69)</f>
        <v>1950</v>
      </c>
      <c r="M70" s="6">
        <f>SUM(M65:M69)</f>
        <v>2613</v>
      </c>
      <c r="N70" s="6">
        <f>SUM(N65:N69)</f>
        <v>-2971</v>
      </c>
      <c r="O70" s="6">
        <f>SUM(O65:O69)</f>
        <v>1958</v>
      </c>
      <c r="P70" s="6">
        <f>SUM(P65:P69)</f>
        <v>467</v>
      </c>
      <c r="Q70" s="6">
        <f>SUM(Q65:Q69)</f>
        <v>2677</v>
      </c>
      <c r="R70" s="6">
        <f>SUM(R65:R69)</f>
        <v>706</v>
      </c>
      <c r="S70" s="6">
        <f>SUM(S65:S69)</f>
        <v>1017</v>
      </c>
      <c r="T70" s="6">
        <f>SUM(T65:T69)</f>
        <v>2054</v>
      </c>
      <c r="U70" s="6">
        <f>SUM(U65:U69)</f>
        <v>0</v>
      </c>
      <c r="V70" s="6">
        <f>SUM(V65:V69)</f>
        <v>0</v>
      </c>
      <c r="W70" s="6">
        <f>SUM(W65:W69)</f>
        <v>0</v>
      </c>
      <c r="X70" s="6">
        <f>SUM(X65:X69)</f>
        <v>0</v>
      </c>
      <c r="Y70" s="6">
        <f>SUM(Y65:Y69)</f>
        <v>0</v>
      </c>
      <c r="Z70" s="6">
        <f>SUM(Z65:Z69)</f>
        <v>0</v>
      </c>
      <c r="AA70" s="6">
        <f>SUM(AA65:AA69)</f>
        <v>0</v>
      </c>
      <c r="AB70" s="6">
        <f>SUM(AB65:AB69)</f>
        <v>0</v>
      </c>
      <c r="AC70" s="6">
        <f>SUM(AC65:AC69)</f>
        <v>0</v>
      </c>
      <c r="AD70" s="6">
        <f>SUM(AD65:AD69)</f>
        <v>0</v>
      </c>
      <c r="AE70" s="3"/>
      <c r="AF70" s="3"/>
      <c r="AI70" s="3"/>
      <c r="AJ70" s="3"/>
      <c r="AK70" s="6">
        <f>SUM(AK65:AK69)</f>
        <v>8364</v>
      </c>
      <c r="AL70" s="6">
        <f>SUM(AL65:AL69)</f>
        <v>8399</v>
      </c>
      <c r="AM70" s="6">
        <f>SUM(AM65:AM69)</f>
        <v>8061</v>
      </c>
      <c r="AN70" s="6">
        <f>SUM(AN65:AN69)</f>
        <v>5808</v>
      </c>
    </row>
    <row r="71" spans="2:40" s="3" customFormat="1" x14ac:dyDescent="0.25">
      <c r="B71" s="3" t="s">
        <v>78</v>
      </c>
      <c r="C71" s="3">
        <f>-6978+4650+998-731</f>
        <v>-2061</v>
      </c>
      <c r="D71" s="3">
        <v>-569</v>
      </c>
      <c r="E71" s="3">
        <v>-1803</v>
      </c>
      <c r="F71" s="3">
        <v>-579</v>
      </c>
      <c r="G71" s="3">
        <f>-5050+3047+1209-441</f>
        <v>-1235</v>
      </c>
      <c r="H71" s="3">
        <v>-531</v>
      </c>
      <c r="I71" s="3">
        <v>-1515</v>
      </c>
      <c r="J71" s="3">
        <v>642</v>
      </c>
      <c r="K71" s="3">
        <v>-1421</v>
      </c>
      <c r="L71" s="3">
        <v>-232</v>
      </c>
      <c r="M71" s="3">
        <v>-323</v>
      </c>
      <c r="N71" s="3">
        <v>-724</v>
      </c>
      <c r="O71" s="3">
        <v>-670</v>
      </c>
      <c r="P71" s="3">
        <v>-745</v>
      </c>
      <c r="Q71" s="3">
        <v>-199</v>
      </c>
      <c r="R71" s="3">
        <v>2200</v>
      </c>
      <c r="S71" s="3">
        <v>610</v>
      </c>
      <c r="T71" s="3">
        <v>-281</v>
      </c>
      <c r="AK71" s="3">
        <f>-18669+10269+4344-956</f>
        <v>-5012</v>
      </c>
      <c r="AL71" s="3">
        <f>-24946+11988+10620-301</f>
        <v>-2639</v>
      </c>
      <c r="AM71" s="3">
        <v>-2700</v>
      </c>
      <c r="AN71" s="3">
        <v>586</v>
      </c>
    </row>
    <row r="72" spans="2:40" s="3" customFormat="1" x14ac:dyDescent="0.25">
      <c r="B72" s="3" t="s">
        <v>79</v>
      </c>
      <c r="C72" s="3">
        <v>-27</v>
      </c>
      <c r="D72" s="3">
        <v>-3415</v>
      </c>
      <c r="E72" s="3">
        <v>0</v>
      </c>
      <c r="F72" s="3">
        <v>-34</v>
      </c>
      <c r="G72" s="3">
        <v>-61</v>
      </c>
      <c r="H72" s="3">
        <v>-548</v>
      </c>
      <c r="I72" s="3">
        <v>-14</v>
      </c>
      <c r="J72" s="3">
        <v>-26</v>
      </c>
      <c r="K72" s="3">
        <v>-1638</v>
      </c>
      <c r="L72" s="3">
        <v>-13</v>
      </c>
      <c r="M72" s="3">
        <v>81</v>
      </c>
      <c r="N72" s="3">
        <v>18</v>
      </c>
      <c r="O72" s="3">
        <v>-1120</v>
      </c>
      <c r="P72" s="3">
        <v>395</v>
      </c>
      <c r="Q72" s="3">
        <v>0</v>
      </c>
      <c r="R72" s="3">
        <v>-3721</v>
      </c>
      <c r="S72" s="3">
        <v>4</v>
      </c>
      <c r="T72" s="3">
        <v>50</v>
      </c>
      <c r="AK72" s="3">
        <v>-3476</v>
      </c>
      <c r="AL72" s="3">
        <v>-649</v>
      </c>
      <c r="AM72" s="3">
        <v>-1552</v>
      </c>
      <c r="AN72" s="3">
        <v>-4446</v>
      </c>
    </row>
    <row r="73" spans="2:40" s="3" customFormat="1" x14ac:dyDescent="0.25">
      <c r="B73" s="3" t="s">
        <v>80</v>
      </c>
      <c r="C73" s="3">
        <v>-204</v>
      </c>
      <c r="D73" s="3">
        <v>-285</v>
      </c>
      <c r="E73" s="3">
        <v>-258</v>
      </c>
      <c r="F73" s="3">
        <v>-340</v>
      </c>
      <c r="G73" s="3">
        <v>-254</v>
      </c>
      <c r="H73" s="3">
        <v>-295</v>
      </c>
      <c r="I73" s="3">
        <v>-305</v>
      </c>
      <c r="J73" s="3">
        <v>-298</v>
      </c>
      <c r="K73" s="3">
        <v>-301</v>
      </c>
      <c r="L73" s="3">
        <v>-350</v>
      </c>
      <c r="M73" s="3">
        <v>-319</v>
      </c>
      <c r="N73" s="3">
        <v>-326</v>
      </c>
      <c r="O73" s="3">
        <v>-279</v>
      </c>
      <c r="P73" s="3">
        <v>-323</v>
      </c>
      <c r="Q73" s="3">
        <v>-332</v>
      </c>
      <c r="R73" s="3">
        <v>-322</v>
      </c>
      <c r="S73" s="3">
        <v>-196</v>
      </c>
      <c r="T73" s="3">
        <v>-267</v>
      </c>
      <c r="AK73" s="3">
        <v>-1087</v>
      </c>
      <c r="AL73" s="3">
        <v>-1152</v>
      </c>
      <c r="AM73" s="3">
        <v>-1296</v>
      </c>
      <c r="AN73" s="3">
        <v>-1256</v>
      </c>
    </row>
    <row r="74" spans="2:40" s="3" customFormat="1" x14ac:dyDescent="0.25">
      <c r="B74" s="3" t="s">
        <v>81</v>
      </c>
      <c r="C74" s="3">
        <v>-15</v>
      </c>
      <c r="D74" s="3">
        <v>-656</v>
      </c>
      <c r="E74" s="3">
        <v>621</v>
      </c>
      <c r="F74" s="3">
        <v>-13</v>
      </c>
      <c r="G74" s="3">
        <v>-28</v>
      </c>
      <c r="H74" s="3">
        <v>-650</v>
      </c>
      <c r="I74" s="3">
        <v>587</v>
      </c>
      <c r="J74" s="3">
        <v>-29</v>
      </c>
      <c r="K74" s="3">
        <v>176</v>
      </c>
      <c r="L74" s="3">
        <v>-77</v>
      </c>
      <c r="M74" s="3">
        <v>-126</v>
      </c>
      <c r="N74" s="3">
        <v>3</v>
      </c>
      <c r="O74" s="3">
        <v>-241</v>
      </c>
      <c r="P74" s="3">
        <v>-145</v>
      </c>
      <c r="Q74" s="3">
        <v>130</v>
      </c>
      <c r="R74" s="3">
        <v>205</v>
      </c>
      <c r="S74" s="3">
        <v>-315</v>
      </c>
      <c r="T74" s="3">
        <v>-189</v>
      </c>
      <c r="AK74" s="3">
        <v>-63</v>
      </c>
      <c r="AL74" s="3">
        <v>-120</v>
      </c>
      <c r="AM74" s="3">
        <v>-24</v>
      </c>
      <c r="AN74" s="3">
        <v>-51</v>
      </c>
    </row>
    <row r="75" spans="2:40" s="6" customFormat="1" x14ac:dyDescent="0.25">
      <c r="B75" s="6" t="s">
        <v>82</v>
      </c>
      <c r="C75" s="6">
        <f t="shared" ref="C75" si="238">SUM(C71:C74)</f>
        <v>-2307</v>
      </c>
      <c r="D75" s="6">
        <f t="shared" ref="D75" si="239">SUM(D71:D74)</f>
        <v>-4925</v>
      </c>
      <c r="E75" s="6">
        <f t="shared" ref="E75" si="240">SUM(E71:E74)</f>
        <v>-1440</v>
      </c>
      <c r="F75" s="6">
        <f t="shared" ref="F75" si="241">SUM(F71:F74)</f>
        <v>-966</v>
      </c>
      <c r="G75" s="6">
        <f t="shared" ref="G75" si="242">SUM(G71:G74)</f>
        <v>-1578</v>
      </c>
      <c r="H75" s="6">
        <f t="shared" ref="H75" si="243">SUM(H71:H74)</f>
        <v>-2024</v>
      </c>
      <c r="I75" s="6">
        <f t="shared" ref="I75" si="244">SUM(I71:I74)</f>
        <v>-1247</v>
      </c>
      <c r="J75" s="6">
        <f t="shared" ref="J75" si="245">SUM(J71:J74)</f>
        <v>289</v>
      </c>
      <c r="K75" s="6">
        <f t="shared" ref="K75:AD75" si="246">SUM(K71:K74)</f>
        <v>-3184</v>
      </c>
      <c r="L75" s="6">
        <f t="shared" si="246"/>
        <v>-672</v>
      </c>
      <c r="M75" s="6">
        <f t="shared" si="246"/>
        <v>-687</v>
      </c>
      <c r="N75" s="6">
        <f t="shared" si="246"/>
        <v>-1029</v>
      </c>
      <c r="O75" s="6">
        <f t="shared" si="246"/>
        <v>-2310</v>
      </c>
      <c r="P75" s="6">
        <f t="shared" si="246"/>
        <v>-818</v>
      </c>
      <c r="Q75" s="6">
        <f t="shared" si="246"/>
        <v>-401</v>
      </c>
      <c r="R75" s="6">
        <f t="shared" si="246"/>
        <v>-1638</v>
      </c>
      <c r="S75" s="6">
        <f t="shared" si="246"/>
        <v>103</v>
      </c>
      <c r="T75" s="6">
        <f t="shared" si="246"/>
        <v>-687</v>
      </c>
      <c r="U75" s="6">
        <f t="shared" si="246"/>
        <v>0</v>
      </c>
      <c r="V75" s="6">
        <f t="shared" si="246"/>
        <v>0</v>
      </c>
      <c r="W75" s="6">
        <f t="shared" si="246"/>
        <v>0</v>
      </c>
      <c r="X75" s="6">
        <f t="shared" si="246"/>
        <v>0</v>
      </c>
      <c r="Y75" s="6">
        <f t="shared" si="246"/>
        <v>0</v>
      </c>
      <c r="Z75" s="6">
        <f t="shared" si="246"/>
        <v>0</v>
      </c>
      <c r="AA75" s="6">
        <f t="shared" si="246"/>
        <v>0</v>
      </c>
      <c r="AB75" s="6">
        <f t="shared" si="246"/>
        <v>0</v>
      </c>
      <c r="AC75" s="6">
        <f t="shared" si="246"/>
        <v>0</v>
      </c>
      <c r="AD75" s="6">
        <f t="shared" si="246"/>
        <v>0</v>
      </c>
      <c r="AE75" s="3"/>
      <c r="AF75" s="3"/>
      <c r="AI75" s="3"/>
      <c r="AJ75" s="3"/>
      <c r="AK75" s="6">
        <f t="shared" ref="AK75" si="247">SUM(AK71:AK74)</f>
        <v>-9638</v>
      </c>
      <c r="AL75" s="6">
        <f t="shared" ref="AL75" si="248">SUM(AL71:AL74)</f>
        <v>-4560</v>
      </c>
      <c r="AM75" s="6">
        <f t="shared" ref="AM75" si="249">SUM(AM71:AM74)</f>
        <v>-5572</v>
      </c>
      <c r="AN75" s="6">
        <f t="shared" ref="AN75" si="250">SUM(AN71:AN74)</f>
        <v>-5167</v>
      </c>
    </row>
    <row r="76" spans="2:40" s="3" customFormat="1" x14ac:dyDescent="0.25">
      <c r="B76" s="3" t="s">
        <v>4</v>
      </c>
      <c r="C76" s="3">
        <f>225-14+441</f>
        <v>652</v>
      </c>
      <c r="D76" s="3">
        <v>3339</v>
      </c>
      <c r="E76" s="3">
        <v>-112</v>
      </c>
      <c r="F76" s="3">
        <v>-580</v>
      </c>
      <c r="G76" s="3">
        <f>-250+3462+731</f>
        <v>3943</v>
      </c>
      <c r="H76" s="3">
        <v>-1999</v>
      </c>
      <c r="I76" s="3">
        <v>-409</v>
      </c>
      <c r="J76" s="3">
        <v>562</v>
      </c>
      <c r="K76" s="3">
        <v>991</v>
      </c>
      <c r="L76" s="3">
        <v>-325</v>
      </c>
      <c r="M76" s="3">
        <v>-265</v>
      </c>
      <c r="N76" s="3">
        <v>225</v>
      </c>
      <c r="O76" s="3">
        <v>1350</v>
      </c>
      <c r="P76" s="3">
        <v>1230</v>
      </c>
      <c r="Q76" s="3">
        <v>-665</v>
      </c>
      <c r="R76" s="3">
        <v>4285</v>
      </c>
      <c r="S76" s="3">
        <v>-1365</v>
      </c>
      <c r="T76" s="3">
        <v>110</v>
      </c>
      <c r="AK76" s="3">
        <f>50+275+2394+956-376</f>
        <v>3299</v>
      </c>
      <c r="AL76" s="3">
        <f>-300-10+1172+302+933</f>
        <v>2097</v>
      </c>
      <c r="AM76" s="3">
        <v>626</v>
      </c>
      <c r="AN76" s="3">
        <v>6200</v>
      </c>
    </row>
    <row r="77" spans="2:40" s="3" customFormat="1" x14ac:dyDescent="0.25">
      <c r="B77" s="3" t="s">
        <v>83</v>
      </c>
      <c r="C77" s="3">
        <v>-545</v>
      </c>
      <c r="D77" s="3">
        <v>-382</v>
      </c>
      <c r="E77" s="3">
        <v>-451</v>
      </c>
      <c r="F77" s="3">
        <v>-522</v>
      </c>
      <c r="G77" s="3">
        <v>-447</v>
      </c>
      <c r="H77" s="3">
        <v>-722</v>
      </c>
      <c r="I77" s="3">
        <v>-579</v>
      </c>
      <c r="J77" s="3">
        <v>-568</v>
      </c>
      <c r="K77" s="3">
        <v>-622</v>
      </c>
      <c r="L77" s="3">
        <v>-646</v>
      </c>
      <c r="M77" s="3">
        <v>-480</v>
      </c>
      <c r="N77" s="3">
        <v>-928</v>
      </c>
      <c r="O77" s="3">
        <v>-566</v>
      </c>
      <c r="P77" s="3">
        <v>-463</v>
      </c>
      <c r="Q77" s="3">
        <v>-60</v>
      </c>
      <c r="R77" s="3">
        <v>-1811</v>
      </c>
      <c r="S77" s="3">
        <v>-880</v>
      </c>
      <c r="T77" s="3">
        <v>-378</v>
      </c>
      <c r="AK77" s="3">
        <v>-1900</v>
      </c>
      <c r="AL77" s="3">
        <v>-2316</v>
      </c>
      <c r="AM77" s="3">
        <v>-2676</v>
      </c>
      <c r="AN77" s="3">
        <v>-2900</v>
      </c>
    </row>
    <row r="78" spans="2:40" s="3" customFormat="1" x14ac:dyDescent="0.25">
      <c r="B78" s="3" t="s">
        <v>93</v>
      </c>
      <c r="C78" s="3">
        <v>-309</v>
      </c>
      <c r="D78" s="3">
        <v>-246</v>
      </c>
      <c r="E78" s="3">
        <v>-276</v>
      </c>
      <c r="F78" s="3">
        <v>-273</v>
      </c>
      <c r="G78" s="3">
        <v>-277</v>
      </c>
      <c r="H78" s="3">
        <v>-341</v>
      </c>
      <c r="I78" s="3">
        <v>-306</v>
      </c>
      <c r="J78" s="3">
        <v>-305</v>
      </c>
      <c r="K78" s="3">
        <v>-351</v>
      </c>
      <c r="L78" s="3">
        <v>-350</v>
      </c>
      <c r="M78" s="3">
        <v>-348</v>
      </c>
      <c r="N78" s="3">
        <v>-346</v>
      </c>
      <c r="O78" s="3">
        <v>-379</v>
      </c>
      <c r="P78" s="3">
        <v>-378</v>
      </c>
      <c r="Q78" s="3">
        <v>-378</v>
      </c>
      <c r="R78" s="3">
        <v>-373</v>
      </c>
      <c r="S78" s="3">
        <v>-386</v>
      </c>
      <c r="T78" s="3">
        <v>-385</v>
      </c>
      <c r="AK78" s="3">
        <v>-1104</v>
      </c>
      <c r="AL78" s="3">
        <v>-1229</v>
      </c>
      <c r="AM78" s="3">
        <v>-1395</v>
      </c>
      <c r="AN78" s="3">
        <v>-1508</v>
      </c>
    </row>
    <row r="79" spans="2:40" s="3" customFormat="1" x14ac:dyDescent="0.25">
      <c r="B79" s="3" t="s">
        <v>81</v>
      </c>
      <c r="C79" s="3">
        <f>76-86+534</f>
        <v>524</v>
      </c>
      <c r="D79" s="3">
        <v>-465</v>
      </c>
      <c r="E79" s="3">
        <v>9</v>
      </c>
      <c r="F79" s="3">
        <v>60</v>
      </c>
      <c r="G79" s="3">
        <f>89-91+171</f>
        <v>169</v>
      </c>
      <c r="H79" s="3">
        <v>-131</v>
      </c>
      <c r="I79" s="3">
        <v>39</v>
      </c>
      <c r="J79" s="3">
        <v>53</v>
      </c>
      <c r="K79" s="3">
        <v>-549</v>
      </c>
      <c r="L79" s="3">
        <v>-109</v>
      </c>
      <c r="M79" s="3">
        <v>99</v>
      </c>
      <c r="N79" s="3">
        <v>655</v>
      </c>
      <c r="O79" s="3">
        <v>-373</v>
      </c>
      <c r="P79" s="3">
        <v>279</v>
      </c>
      <c r="Q79" s="3">
        <v>188</v>
      </c>
      <c r="R79" s="3">
        <v>-693</v>
      </c>
      <c r="S79" s="3">
        <v>722</v>
      </c>
      <c r="T79" s="3">
        <v>345</v>
      </c>
      <c r="AK79" s="3">
        <f>203-102+27</f>
        <v>128</v>
      </c>
      <c r="AL79" s="3">
        <f>182-93+41</f>
        <v>130</v>
      </c>
      <c r="AM79" s="3">
        <v>96</v>
      </c>
      <c r="AN79" s="3">
        <v>-599</v>
      </c>
    </row>
    <row r="80" spans="2:40" s="6" customFormat="1" x14ac:dyDescent="0.25">
      <c r="B80" s="6" t="s">
        <v>84</v>
      </c>
      <c r="C80" s="6">
        <f t="shared" ref="C80" si="251">SUM(C76:C79)</f>
        <v>322</v>
      </c>
      <c r="D80" s="6">
        <f t="shared" ref="D80" si="252">SUM(D76:D79)</f>
        <v>2246</v>
      </c>
      <c r="E80" s="6">
        <f t="shared" ref="E80" si="253">SUM(E76:E79)</f>
        <v>-830</v>
      </c>
      <c r="F80" s="6">
        <f t="shared" ref="F80" si="254">SUM(F76:F79)</f>
        <v>-1315</v>
      </c>
      <c r="G80" s="6">
        <f t="shared" ref="G80" si="255">SUM(G76:G79)</f>
        <v>3388</v>
      </c>
      <c r="H80" s="6">
        <f t="shared" ref="H80" si="256">SUM(H76:H79)</f>
        <v>-3193</v>
      </c>
      <c r="I80" s="6">
        <f t="shared" ref="I80" si="257">SUM(I76:I79)</f>
        <v>-1255</v>
      </c>
      <c r="J80" s="6">
        <f t="shared" ref="J80" si="258">SUM(J76:J79)</f>
        <v>-258</v>
      </c>
      <c r="K80" s="6">
        <f t="shared" ref="K80:AD80" si="259">SUM(K76:K79)</f>
        <v>-531</v>
      </c>
      <c r="L80" s="6">
        <f t="shared" si="259"/>
        <v>-1430</v>
      </c>
      <c r="M80" s="6">
        <f t="shared" si="259"/>
        <v>-994</v>
      </c>
      <c r="N80" s="6">
        <f t="shared" si="259"/>
        <v>-394</v>
      </c>
      <c r="O80" s="6">
        <f t="shared" si="259"/>
        <v>32</v>
      </c>
      <c r="P80" s="6">
        <f t="shared" si="259"/>
        <v>668</v>
      </c>
      <c r="Q80" s="6">
        <f t="shared" si="259"/>
        <v>-915</v>
      </c>
      <c r="R80" s="6">
        <f t="shared" si="259"/>
        <v>1408</v>
      </c>
      <c r="S80" s="6">
        <f t="shared" si="259"/>
        <v>-1909</v>
      </c>
      <c r="T80" s="6">
        <f t="shared" si="259"/>
        <v>-308</v>
      </c>
      <c r="U80" s="6">
        <f t="shared" si="259"/>
        <v>0</v>
      </c>
      <c r="V80" s="6">
        <f t="shared" si="259"/>
        <v>0</v>
      </c>
      <c r="W80" s="6">
        <f t="shared" si="259"/>
        <v>0</v>
      </c>
      <c r="X80" s="6">
        <f t="shared" si="259"/>
        <v>0</v>
      </c>
      <c r="Y80" s="6">
        <f t="shared" si="259"/>
        <v>0</v>
      </c>
      <c r="Z80" s="6">
        <f t="shared" si="259"/>
        <v>0</v>
      </c>
      <c r="AA80" s="6">
        <f t="shared" si="259"/>
        <v>0</v>
      </c>
      <c r="AB80" s="6">
        <f t="shared" si="259"/>
        <v>0</v>
      </c>
      <c r="AC80" s="6">
        <f t="shared" si="259"/>
        <v>0</v>
      </c>
      <c r="AD80" s="6">
        <f t="shared" si="259"/>
        <v>0</v>
      </c>
      <c r="AE80" s="3"/>
      <c r="AF80" s="3"/>
      <c r="AI80" s="3"/>
      <c r="AJ80" s="3"/>
      <c r="AK80" s="6">
        <f t="shared" ref="AK80" si="260">SUM(AK76:AK79)</f>
        <v>423</v>
      </c>
      <c r="AL80" s="6">
        <f t="shared" ref="AL80" si="261">SUM(AL76:AL79)</f>
        <v>-1318</v>
      </c>
      <c r="AM80" s="6">
        <f t="shared" ref="AM80" si="262">SUM(AM76:AM79)</f>
        <v>-3349</v>
      </c>
      <c r="AN80" s="6">
        <f t="shared" ref="AN80" si="263">SUM(AN76:AN79)</f>
        <v>1193</v>
      </c>
    </row>
    <row r="81" spans="2:40" s="3" customFormat="1" x14ac:dyDescent="0.25">
      <c r="B81" s="3" t="s">
        <v>85</v>
      </c>
      <c r="C81" s="3">
        <v>-1</v>
      </c>
      <c r="D81" s="3">
        <v>-6</v>
      </c>
      <c r="E81" s="3">
        <v>-2</v>
      </c>
      <c r="F81" s="3">
        <v>-1</v>
      </c>
      <c r="G81" s="3">
        <v>-4</v>
      </c>
      <c r="H81" s="3">
        <v>-6</v>
      </c>
      <c r="I81" s="3">
        <v>-6</v>
      </c>
      <c r="J81" s="3">
        <v>2</v>
      </c>
      <c r="K81" s="3">
        <v>1</v>
      </c>
      <c r="L81" s="3">
        <v>1</v>
      </c>
      <c r="M81" s="3">
        <v>-4</v>
      </c>
      <c r="N81" s="3">
        <v>1</v>
      </c>
      <c r="O81" s="3">
        <v>0</v>
      </c>
      <c r="P81" s="3">
        <v>-5</v>
      </c>
      <c r="Q81" s="3">
        <v>7</v>
      </c>
      <c r="R81" s="3">
        <v>-74</v>
      </c>
      <c r="S81" s="3">
        <v>1</v>
      </c>
      <c r="T81" s="3">
        <v>1</v>
      </c>
      <c r="AK81" s="3">
        <v>-10</v>
      </c>
      <c r="AL81" s="3">
        <v>-14</v>
      </c>
      <c r="AM81" s="3">
        <v>-1</v>
      </c>
      <c r="AN81" s="3">
        <v>-72</v>
      </c>
    </row>
    <row r="82" spans="2:40" s="6" customFormat="1" x14ac:dyDescent="0.25">
      <c r="B82" s="6" t="s">
        <v>86</v>
      </c>
      <c r="C82" s="6">
        <f t="shared" ref="C82" si="264">C70+C75+C80+C81</f>
        <v>519</v>
      </c>
      <c r="D82" s="6">
        <f t="shared" ref="D82" si="265">D70+D75+D80+D81</f>
        <v>-1002</v>
      </c>
      <c r="E82" s="6">
        <f t="shared" ref="E82" si="266">E70+E75+E80+E81</f>
        <v>232</v>
      </c>
      <c r="F82" s="6">
        <f t="shared" ref="F82" si="267">F70+F75+F80+F81</f>
        <v>-610</v>
      </c>
      <c r="G82" s="6">
        <f t="shared" ref="G82" si="268">G70+G75+G80+G81</f>
        <v>4347</v>
      </c>
      <c r="H82" s="6">
        <f t="shared" ref="H82" si="269">H70+H75+H80+H81</f>
        <v>-2771</v>
      </c>
      <c r="I82" s="6">
        <f t="shared" ref="I82" si="270">I70+I75+I80+I81</f>
        <v>2416</v>
      </c>
      <c r="J82" s="6">
        <f t="shared" ref="J82" si="271">J70+J75+J80+J81</f>
        <v>-1485</v>
      </c>
      <c r="K82" s="6">
        <f t="shared" ref="K82:AD82" si="272">K70+K75+K80+K81</f>
        <v>2755</v>
      </c>
      <c r="L82" s="6">
        <f t="shared" si="272"/>
        <v>-151</v>
      </c>
      <c r="M82" s="6">
        <f t="shared" si="272"/>
        <v>928</v>
      </c>
      <c r="N82" s="6">
        <f t="shared" si="272"/>
        <v>-4393</v>
      </c>
      <c r="O82" s="6">
        <f t="shared" si="272"/>
        <v>-320</v>
      </c>
      <c r="P82" s="6">
        <f t="shared" si="272"/>
        <v>312</v>
      </c>
      <c r="Q82" s="6">
        <f t="shared" si="272"/>
        <v>1368</v>
      </c>
      <c r="R82" s="6">
        <f t="shared" si="272"/>
        <v>402</v>
      </c>
      <c r="S82" s="6">
        <f t="shared" si="272"/>
        <v>-788</v>
      </c>
      <c r="T82" s="6">
        <f t="shared" si="272"/>
        <v>1060</v>
      </c>
      <c r="U82" s="6">
        <f t="shared" si="272"/>
        <v>0</v>
      </c>
      <c r="V82" s="6">
        <f t="shared" si="272"/>
        <v>0</v>
      </c>
      <c r="W82" s="6">
        <f t="shared" si="272"/>
        <v>0</v>
      </c>
      <c r="X82" s="6">
        <f t="shared" si="272"/>
        <v>0</v>
      </c>
      <c r="Y82" s="6">
        <f t="shared" si="272"/>
        <v>0</v>
      </c>
      <c r="Z82" s="6">
        <f t="shared" si="272"/>
        <v>0</v>
      </c>
      <c r="AA82" s="6">
        <f t="shared" si="272"/>
        <v>0</v>
      </c>
      <c r="AB82" s="6">
        <f t="shared" si="272"/>
        <v>0</v>
      </c>
      <c r="AC82" s="6">
        <f t="shared" si="272"/>
        <v>0</v>
      </c>
      <c r="AD82" s="6">
        <f t="shared" si="272"/>
        <v>0</v>
      </c>
      <c r="AE82" s="3"/>
      <c r="AF82" s="3"/>
      <c r="AI82" s="3"/>
      <c r="AJ82" s="3"/>
      <c r="AK82" s="6">
        <f t="shared" ref="AK82" si="273">AK70+AK75+AK80+AK81</f>
        <v>-861</v>
      </c>
      <c r="AL82" s="6">
        <f t="shared" ref="AL82" si="274">AL70+AL75+AL80+AL81</f>
        <v>2507</v>
      </c>
      <c r="AM82" s="6">
        <f t="shared" ref="AM82" si="275">AM70+AM75+AM80+AM81</f>
        <v>-861</v>
      </c>
      <c r="AN82" s="6">
        <f t="shared" ref="AN82" si="276">AN70+AN75+AN80+AN81</f>
        <v>1762</v>
      </c>
    </row>
    <row r="83" spans="2:40" s="3" customFormat="1" x14ac:dyDescent="0.25">
      <c r="B83" s="3" t="s">
        <v>94</v>
      </c>
      <c r="C83" s="3">
        <v>5741</v>
      </c>
      <c r="D83" s="3">
        <f t="shared" ref="C83:J83" si="277">+C84</f>
        <v>6260</v>
      </c>
      <c r="E83" s="3">
        <f t="shared" si="277"/>
        <v>5258</v>
      </c>
      <c r="F83" s="3">
        <f t="shared" si="277"/>
        <v>5490</v>
      </c>
      <c r="G83" s="3">
        <f t="shared" si="277"/>
        <v>4880</v>
      </c>
      <c r="H83" s="3">
        <f t="shared" si="277"/>
        <v>9227</v>
      </c>
      <c r="I83" s="3">
        <f t="shared" si="277"/>
        <v>6456</v>
      </c>
      <c r="J83" s="3">
        <f t="shared" si="277"/>
        <v>8872</v>
      </c>
      <c r="K83" s="3">
        <f>+J84</f>
        <v>7387</v>
      </c>
      <c r="L83" s="3">
        <f>+K84</f>
        <v>10142</v>
      </c>
      <c r="M83" s="3">
        <f t="shared" ref="M83:AD83" si="278">+L84</f>
        <v>9991</v>
      </c>
      <c r="N83" s="3">
        <f t="shared" si="278"/>
        <v>10919</v>
      </c>
      <c r="O83" s="3">
        <f t="shared" si="278"/>
        <v>6526</v>
      </c>
      <c r="P83" s="3">
        <f t="shared" si="278"/>
        <v>6206</v>
      </c>
      <c r="Q83" s="3">
        <f t="shared" si="278"/>
        <v>6518</v>
      </c>
      <c r="R83" s="3">
        <f t="shared" si="278"/>
        <v>7886</v>
      </c>
      <c r="S83" s="3">
        <f t="shared" si="278"/>
        <v>8288</v>
      </c>
      <c r="T83" s="3">
        <f t="shared" si="278"/>
        <v>7500</v>
      </c>
      <c r="U83" s="3">
        <f t="shared" si="278"/>
        <v>8560</v>
      </c>
      <c r="V83" s="3">
        <f t="shared" si="278"/>
        <v>8560</v>
      </c>
      <c r="W83" s="3">
        <f t="shared" si="278"/>
        <v>8560</v>
      </c>
      <c r="X83" s="3">
        <f t="shared" si="278"/>
        <v>8560</v>
      </c>
      <c r="Y83" s="3">
        <f t="shared" si="278"/>
        <v>8560</v>
      </c>
      <c r="Z83" s="3">
        <f t="shared" si="278"/>
        <v>8560</v>
      </c>
      <c r="AA83" s="3">
        <f t="shared" si="278"/>
        <v>8560</v>
      </c>
      <c r="AB83" s="3">
        <f t="shared" si="278"/>
        <v>8560</v>
      </c>
      <c r="AC83" s="3">
        <f t="shared" si="278"/>
        <v>8560</v>
      </c>
      <c r="AD83" s="3">
        <f t="shared" si="278"/>
        <v>8560</v>
      </c>
      <c r="AK83" s="3">
        <v>5741</v>
      </c>
      <c r="AL83" s="3">
        <f t="shared" ref="AK83:AL83" si="279">+AK84</f>
        <v>4880</v>
      </c>
      <c r="AM83" s="3">
        <v>7387</v>
      </c>
      <c r="AN83" s="3">
        <f t="shared" ref="AM83:AN83" si="280">+AM84</f>
        <v>6526</v>
      </c>
    </row>
    <row r="84" spans="2:40" s="3" customFormat="1" x14ac:dyDescent="0.25">
      <c r="B84" s="3" t="s">
        <v>95</v>
      </c>
      <c r="C84" s="3">
        <f t="shared" ref="C84" si="281">+C82+C83</f>
        <v>6260</v>
      </c>
      <c r="D84" s="3">
        <f t="shared" ref="D84" si="282">+D82+D83</f>
        <v>5258</v>
      </c>
      <c r="E84" s="3">
        <f t="shared" ref="E84" si="283">+E82+E83</f>
        <v>5490</v>
      </c>
      <c r="F84" s="3">
        <f t="shared" ref="F84" si="284">+F82+F83</f>
        <v>4880</v>
      </c>
      <c r="G84" s="3">
        <f t="shared" ref="G84" si="285">+G82+G83</f>
        <v>9227</v>
      </c>
      <c r="H84" s="3">
        <f t="shared" ref="H84" si="286">+H82+H83</f>
        <v>6456</v>
      </c>
      <c r="I84" s="3">
        <f t="shared" ref="I84" si="287">+I82+I83</f>
        <v>8872</v>
      </c>
      <c r="J84" s="3">
        <f t="shared" ref="J84" si="288">+J82+J83</f>
        <v>7387</v>
      </c>
      <c r="K84" s="3">
        <f>+K82+K83</f>
        <v>10142</v>
      </c>
      <c r="L84" s="3">
        <f>+L82+L83</f>
        <v>9991</v>
      </c>
      <c r="M84" s="3">
        <f t="shared" ref="M84:AD84" si="289">+M82+M83</f>
        <v>10919</v>
      </c>
      <c r="N84" s="3">
        <f t="shared" si="289"/>
        <v>6526</v>
      </c>
      <c r="O84" s="3">
        <f t="shared" si="289"/>
        <v>6206</v>
      </c>
      <c r="P84" s="3">
        <f t="shared" si="289"/>
        <v>6518</v>
      </c>
      <c r="Q84" s="3">
        <f t="shared" si="289"/>
        <v>7886</v>
      </c>
      <c r="R84" s="3">
        <f t="shared" si="289"/>
        <v>8288</v>
      </c>
      <c r="S84" s="3">
        <f t="shared" si="289"/>
        <v>7500</v>
      </c>
      <c r="T84" s="3">
        <f t="shared" si="289"/>
        <v>8560</v>
      </c>
      <c r="U84" s="3">
        <f t="shared" si="289"/>
        <v>8560</v>
      </c>
      <c r="V84" s="3">
        <f t="shared" si="289"/>
        <v>8560</v>
      </c>
      <c r="W84" s="3">
        <f t="shared" si="289"/>
        <v>8560</v>
      </c>
      <c r="X84" s="3">
        <f t="shared" si="289"/>
        <v>8560</v>
      </c>
      <c r="Y84" s="3">
        <f t="shared" si="289"/>
        <v>8560</v>
      </c>
      <c r="Z84" s="3">
        <f t="shared" si="289"/>
        <v>8560</v>
      </c>
      <c r="AA84" s="3">
        <f t="shared" si="289"/>
        <v>8560</v>
      </c>
      <c r="AB84" s="3">
        <f t="shared" si="289"/>
        <v>8560</v>
      </c>
      <c r="AC84" s="3">
        <f t="shared" si="289"/>
        <v>8560</v>
      </c>
      <c r="AD84" s="3">
        <f t="shared" si="289"/>
        <v>8560</v>
      </c>
      <c r="AK84" s="3">
        <f t="shared" ref="AK84" si="290">+AK82+AK83</f>
        <v>4880</v>
      </c>
      <c r="AL84" s="3">
        <f t="shared" ref="AL84" si="291">+AL82+AL83</f>
        <v>7387</v>
      </c>
      <c r="AM84" s="3">
        <f t="shared" ref="AM84" si="292">+AM82+AM83</f>
        <v>6526</v>
      </c>
      <c r="AN84" s="3">
        <f t="shared" ref="AN84" si="293">+AN82+AN83</f>
        <v>8288</v>
      </c>
    </row>
    <row r="85" spans="2:40" s="3" customFormat="1" x14ac:dyDescent="0.25"/>
    <row r="86" spans="2:40" s="3" customFormat="1" x14ac:dyDescent="0.25">
      <c r="B86" s="3" t="s">
        <v>87</v>
      </c>
      <c r="C86" s="3">
        <f t="shared" ref="C86:J86" si="294">C70+C73</f>
        <v>2301</v>
      </c>
      <c r="D86" s="3">
        <f t="shared" si="294"/>
        <v>1398</v>
      </c>
      <c r="E86" s="3">
        <f t="shared" si="294"/>
        <v>2246</v>
      </c>
      <c r="F86" s="3">
        <f t="shared" si="294"/>
        <v>1332</v>
      </c>
      <c r="G86" s="3">
        <f t="shared" si="294"/>
        <v>2287</v>
      </c>
      <c r="H86" s="3">
        <f t="shared" si="294"/>
        <v>2157</v>
      </c>
      <c r="I86" s="3">
        <f t="shared" si="294"/>
        <v>4619</v>
      </c>
      <c r="J86" s="3">
        <f t="shared" si="294"/>
        <v>-1816</v>
      </c>
      <c r="K86" s="3">
        <f t="shared" ref="K86:N86" si="295">K70+K73</f>
        <v>6168</v>
      </c>
      <c r="L86" s="3">
        <f t="shared" si="295"/>
        <v>1600</v>
      </c>
      <c r="M86" s="3">
        <f t="shared" si="295"/>
        <v>2294</v>
      </c>
      <c r="N86" s="3">
        <f t="shared" si="295"/>
        <v>-3297</v>
      </c>
      <c r="O86" s="3">
        <f t="shared" ref="O86:S86" si="296">O70+O73</f>
        <v>1679</v>
      </c>
      <c r="P86" s="3">
        <f t="shared" si="296"/>
        <v>144</v>
      </c>
      <c r="Q86" s="3">
        <f t="shared" si="296"/>
        <v>2345</v>
      </c>
      <c r="R86" s="3">
        <f t="shared" si="296"/>
        <v>384</v>
      </c>
      <c r="S86" s="3">
        <f t="shared" si="296"/>
        <v>821</v>
      </c>
      <c r="T86" s="3">
        <f>T70+T73</f>
        <v>1787</v>
      </c>
      <c r="U86" s="3">
        <f t="shared" ref="U86:AD86" si="297">U70+U73</f>
        <v>0</v>
      </c>
      <c r="V86" s="3">
        <f t="shared" si="297"/>
        <v>0</v>
      </c>
      <c r="W86" s="3">
        <f t="shared" si="297"/>
        <v>0</v>
      </c>
      <c r="X86" s="3">
        <f t="shared" si="297"/>
        <v>0</v>
      </c>
      <c r="Y86" s="3">
        <f t="shared" si="297"/>
        <v>0</v>
      </c>
      <c r="Z86" s="3">
        <f t="shared" si="297"/>
        <v>0</v>
      </c>
      <c r="AA86" s="3">
        <f t="shared" si="297"/>
        <v>0</v>
      </c>
      <c r="AB86" s="3">
        <f t="shared" si="297"/>
        <v>0</v>
      </c>
      <c r="AC86" s="3">
        <f t="shared" si="297"/>
        <v>0</v>
      </c>
      <c r="AD86" s="3">
        <f t="shared" si="297"/>
        <v>0</v>
      </c>
      <c r="AK86" s="3">
        <f t="shared" ref="AK86:AM86" si="298">AK70+AK73</f>
        <v>7277</v>
      </c>
      <c r="AL86" s="3">
        <f t="shared" si="298"/>
        <v>7247</v>
      </c>
      <c r="AM86" s="3">
        <f t="shared" ref="AM86:AN86" si="299">AM70+AM73</f>
        <v>6765</v>
      </c>
      <c r="AN86" s="3">
        <f t="shared" si="299"/>
        <v>4552</v>
      </c>
    </row>
    <row r="87" spans="2:40" s="9" customFormat="1" x14ac:dyDescent="0.25">
      <c r="B87" s="9" t="s">
        <v>88</v>
      </c>
      <c r="C87" s="9">
        <f>-C73/C65</f>
        <v>0.122375524895021</v>
      </c>
      <c r="D87" s="9">
        <f>-D73/D65</f>
        <v>0.15824541921154914</v>
      </c>
      <c r="E87" s="9">
        <f>-E73/E65</f>
        <v>0.17177097203728361</v>
      </c>
      <c r="F87" s="9">
        <f>-F73/F65</f>
        <v>0.30222222222222223</v>
      </c>
      <c r="G87" s="9">
        <f>-G73/G65</f>
        <v>0.14150417827298051</v>
      </c>
      <c r="H87" s="9">
        <f>-H73/H65</f>
        <v>0.1787878787878788</v>
      </c>
      <c r="I87" s="9">
        <f>-I73/I65</f>
        <v>0.18908865468071917</v>
      </c>
      <c r="J87" s="9">
        <f>-J73/J65</f>
        <v>0.31009365244536941</v>
      </c>
      <c r="K87" s="9">
        <f>-K73/K65</f>
        <v>0.15019960079840319</v>
      </c>
      <c r="L87" s="9">
        <f>-L73/L65</f>
        <v>0.18857758620689655</v>
      </c>
      <c r="M87" s="9">
        <f>-M73/M65</f>
        <v>0.2453846153846154</v>
      </c>
      <c r="N87" s="9">
        <f>-N73/N65</f>
        <v>0.39229843561973526</v>
      </c>
      <c r="O87" s="9">
        <f>-O73/O65</f>
        <v>0.12405513561582926</v>
      </c>
      <c r="P87" s="9">
        <f>-P73/P65</f>
        <v>0.14037375054324208</v>
      </c>
      <c r="Q87" s="9">
        <f>-Q73/Q65</f>
        <v>0.32936507936507936</v>
      </c>
      <c r="R87" s="9">
        <f>-R73/R65</f>
        <v>0.77966101694915257</v>
      </c>
      <c r="S87" s="9">
        <f>-S73/S65</f>
        <v>8.9743589743589744E-2</v>
      </c>
      <c r="T87" s="9">
        <f>-T73/T65</f>
        <v>0.15309633027522937</v>
      </c>
      <c r="U87" s="9" t="e">
        <f>-U73/U65</f>
        <v>#DIV/0!</v>
      </c>
      <c r="V87" s="9" t="e">
        <f>-V73/V65</f>
        <v>#DIV/0!</v>
      </c>
      <c r="W87" s="9" t="e">
        <f>-W73/W65</f>
        <v>#DIV/0!</v>
      </c>
      <c r="X87" s="9" t="e">
        <f>-X73/X65</f>
        <v>#DIV/0!</v>
      </c>
      <c r="Y87" s="9" t="e">
        <f>-Y73/Y65</f>
        <v>#DIV/0!</v>
      </c>
      <c r="Z87" s="9" t="e">
        <f>-Z73/Z65</f>
        <v>#DIV/0!</v>
      </c>
      <c r="AA87" s="9" t="e">
        <f>-AA73/AA65</f>
        <v>#DIV/0!</v>
      </c>
      <c r="AB87" s="9" t="e">
        <f>-AB73/AB65</f>
        <v>#DIV/0!</v>
      </c>
      <c r="AC87" s="9" t="e">
        <f>-AC73/AC65</f>
        <v>#DIV/0!</v>
      </c>
      <c r="AD87" s="9" t="e">
        <f>-AD73/AD65</f>
        <v>#DIV/0!</v>
      </c>
      <c r="AK87" s="9">
        <f>-AK73/AK65</f>
        <v>0.17834290401968828</v>
      </c>
      <c r="AL87" s="9">
        <f>-AL73/AL65</f>
        <v>0.19139391925569033</v>
      </c>
      <c r="AM87" s="9">
        <f>-AM73/AM65</f>
        <v>0.21632448673009513</v>
      </c>
      <c r="AN87" s="9">
        <f>-AN73/AN65</f>
        <v>0.2103500251214202</v>
      </c>
    </row>
    <row r="88" spans="2:40" s="9" customFormat="1" x14ac:dyDescent="0.25">
      <c r="B88" s="9" t="s">
        <v>89</v>
      </c>
      <c r="C88" s="9">
        <f>C86/C6</f>
        <v>7.1686709452302322E-2</v>
      </c>
      <c r="D88" s="9">
        <f>D86/D6</f>
        <v>4.2008473812314075E-2</v>
      </c>
      <c r="E88" s="9">
        <f>E86/E6</f>
        <v>6.3182176212445151E-2</v>
      </c>
      <c r="F88" s="9">
        <f>F86/F6</f>
        <v>3.6981509245377311E-2</v>
      </c>
      <c r="G88" s="9">
        <f>G86/G6</f>
        <v>6.0365306445652744E-2</v>
      </c>
      <c r="H88" s="9">
        <f>H86/H6</f>
        <v>5.6052180240112263E-2</v>
      </c>
      <c r="I88" s="9">
        <f>I86/I6</f>
        <v>0.11656782334384858</v>
      </c>
      <c r="J88" s="9">
        <f>J86/J6</f>
        <v>-4.5781127889681597E-2</v>
      </c>
      <c r="K88" s="9">
        <f>K86/K6</f>
        <v>0.14721466418444795</v>
      </c>
      <c r="L88" s="9">
        <f>L86/L6</f>
        <v>3.6885907278050578E-2</v>
      </c>
      <c r="M88" s="9">
        <f>M86/M6</f>
        <v>5.4001883239171378E-2</v>
      </c>
      <c r="N88" s="9">
        <f>N86/N6</f>
        <v>-7.766052668770905E-2</v>
      </c>
      <c r="O88" s="9">
        <f>O86/O6</f>
        <v>3.9718023324580701E-2</v>
      </c>
      <c r="P88" s="9">
        <f>P86/P6</f>
        <v>3.3315595863313515E-3</v>
      </c>
      <c r="Q88" s="9">
        <f>Q86/Q6</f>
        <v>5.2438560790715356E-2</v>
      </c>
      <c r="R88" s="9">
        <f>R86/R6</f>
        <v>8.5354197692769345E-3</v>
      </c>
      <c r="S88" s="9">
        <f>S86/S6</f>
        <v>1.6835845380908439E-2</v>
      </c>
      <c r="T88" s="9">
        <f>T86/T6</f>
        <v>3.6158717953906232E-2</v>
      </c>
      <c r="U88" s="9">
        <f>U86/U6</f>
        <v>0</v>
      </c>
      <c r="V88" s="9">
        <f>V86/V6</f>
        <v>0</v>
      </c>
      <c r="W88" s="9">
        <f>W86/W6</f>
        <v>0</v>
      </c>
      <c r="X88" s="9">
        <f>X86/X6</f>
        <v>0</v>
      </c>
      <c r="Y88" s="9">
        <f>Y86/Y6</f>
        <v>0</v>
      </c>
      <c r="Z88" s="9">
        <f>Z86/Z6</f>
        <v>0</v>
      </c>
      <c r="AA88" s="9">
        <f>AA86/AA6</f>
        <v>0</v>
      </c>
      <c r="AB88" s="9">
        <f>AB86/AB6</f>
        <v>0</v>
      </c>
      <c r="AC88" s="9">
        <f>AC86/AC6</f>
        <v>0</v>
      </c>
      <c r="AD88" s="9">
        <f>AD86/AD6</f>
        <v>0</v>
      </c>
      <c r="AK88" s="9">
        <f>AK86/AK6</f>
        <v>5.3138897205406627E-2</v>
      </c>
      <c r="AL88" s="9">
        <f>AL86/AL6</f>
        <v>4.6556597712964151E-2</v>
      </c>
      <c r="AM88" s="9">
        <f>AM86/AM6</f>
        <v>3.9745254363752799E-2</v>
      </c>
      <c r="AN88" s="9">
        <f>AN86/AN6</f>
        <v>2.5981141983059747E-2</v>
      </c>
    </row>
    <row r="89" spans="2:40" s="9" customFormat="1" x14ac:dyDescent="0.25">
      <c r="B89" s="9" t="s">
        <v>90</v>
      </c>
      <c r="G89" s="9">
        <f t="shared" ref="G89" si="300">G86/C86-1</f>
        <v>-6.084311169056944E-3</v>
      </c>
      <c r="H89" s="9">
        <f t="shared" ref="H89" si="301">H86/D86-1</f>
        <v>0.5429184549356223</v>
      </c>
      <c r="I89" s="9">
        <f t="shared" ref="I89" si="302">I86/E86-1</f>
        <v>1.0565449688334816</v>
      </c>
      <c r="J89" s="9">
        <f t="shared" ref="J89" si="303">J86/F86-1</f>
        <v>-2.3633633633633631</v>
      </c>
      <c r="K89" s="9">
        <f t="shared" ref="K89" si="304">K86/G86-1</f>
        <v>1.6969829470922604</v>
      </c>
      <c r="L89" s="9">
        <f t="shared" ref="L89" si="305">L86/H86-1</f>
        <v>-0.25822902178952245</v>
      </c>
      <c r="M89" s="9">
        <f t="shared" ref="M89" si="306">M86/I86-1</f>
        <v>-0.50335570469798663</v>
      </c>
      <c r="N89" s="9">
        <f t="shared" ref="N89" si="307">N86/J86-1</f>
        <v>0.81552863436123357</v>
      </c>
      <c r="O89" s="9">
        <f t="shared" ref="O89:S89" si="308">O86/K86-1</f>
        <v>-0.72778858625162135</v>
      </c>
      <c r="P89" s="9">
        <f t="shared" si="308"/>
        <v>-0.91</v>
      </c>
      <c r="Q89" s="9">
        <f t="shared" si="308"/>
        <v>2.2231909328683575E-2</v>
      </c>
      <c r="R89" s="9">
        <f t="shared" si="308"/>
        <v>-1.1164695177434032</v>
      </c>
      <c r="S89" s="9">
        <f t="shared" si="308"/>
        <v>-0.51101846337105417</v>
      </c>
      <c r="T89" s="9">
        <f>T86/P86-1</f>
        <v>11.409722222222221</v>
      </c>
      <c r="U89" s="9">
        <f t="shared" ref="U89:AD89" si="309">U86/Q86-1</f>
        <v>-1</v>
      </c>
      <c r="V89" s="9">
        <f t="shared" si="309"/>
        <v>-1</v>
      </c>
      <c r="W89" s="9">
        <f t="shared" si="309"/>
        <v>-1</v>
      </c>
      <c r="X89" s="9">
        <f t="shared" si="309"/>
        <v>-1</v>
      </c>
      <c r="Y89" s="9" t="e">
        <f t="shared" si="309"/>
        <v>#DIV/0!</v>
      </c>
      <c r="Z89" s="9" t="e">
        <f t="shared" si="309"/>
        <v>#DIV/0!</v>
      </c>
      <c r="AA89" s="9" t="e">
        <f t="shared" si="309"/>
        <v>#DIV/0!</v>
      </c>
      <c r="AB89" s="9" t="e">
        <f t="shared" si="309"/>
        <v>#DIV/0!</v>
      </c>
      <c r="AC89" s="9" t="e">
        <f t="shared" si="309"/>
        <v>#DIV/0!</v>
      </c>
      <c r="AD89" s="9" t="e">
        <f t="shared" si="309"/>
        <v>#DIV/0!</v>
      </c>
      <c r="AL89" s="9">
        <f t="shared" ref="AL89:AN89" si="310">AL86/AK86-1</f>
        <v>-4.1225779854335842E-3</v>
      </c>
      <c r="AM89" s="9">
        <f t="shared" si="310"/>
        <v>-6.6510280115909981E-2</v>
      </c>
      <c r="AN89" s="9">
        <f>AN86/AM86-1</f>
        <v>-0.32712490761271251</v>
      </c>
    </row>
    <row r="93" spans="2:40" x14ac:dyDescent="0.25">
      <c r="B93" s="5" t="s">
        <v>97</v>
      </c>
    </row>
    <row r="94" spans="2:40" s="3" customFormat="1" x14ac:dyDescent="0.25">
      <c r="B94" s="3" t="s">
        <v>96</v>
      </c>
      <c r="G94" s="3">
        <v>34027</v>
      </c>
      <c r="H94" s="3">
        <v>34396</v>
      </c>
      <c r="I94" s="3">
        <v>35065</v>
      </c>
      <c r="J94" s="3">
        <v>34996</v>
      </c>
      <c r="K94" s="3">
        <v>37280</v>
      </c>
      <c r="L94" s="3">
        <v>38000</v>
      </c>
      <c r="M94" s="3">
        <v>36744</v>
      </c>
      <c r="N94" s="3">
        <v>36547</v>
      </c>
      <c r="O94" s="3">
        <v>37258</v>
      </c>
      <c r="P94" s="3">
        <v>37159</v>
      </c>
      <c r="Q94" s="3">
        <v>38278</v>
      </c>
      <c r="R94" s="3">
        <v>37580</v>
      </c>
      <c r="S94" s="3">
        <v>41431</v>
      </c>
      <c r="T94" s="3">
        <v>41582</v>
      </c>
    </row>
    <row r="95" spans="2:40" s="3" customFormat="1" x14ac:dyDescent="0.25">
      <c r="B95" s="3" t="s">
        <v>98</v>
      </c>
      <c r="G95" s="3">
        <v>9631</v>
      </c>
      <c r="H95" s="3">
        <v>10054</v>
      </c>
      <c r="I95" s="3">
        <v>10403</v>
      </c>
      <c r="J95" s="3">
        <v>10715</v>
      </c>
      <c r="K95" s="3">
        <v>11484</v>
      </c>
      <c r="L95" s="3">
        <v>8466</v>
      </c>
      <c r="M95" s="3">
        <v>8518</v>
      </c>
      <c r="N95" s="3">
        <v>8827</v>
      </c>
      <c r="O95" s="3">
        <v>8067</v>
      </c>
      <c r="P95" s="3">
        <v>8774</v>
      </c>
      <c r="Q95" s="3">
        <v>9143</v>
      </c>
      <c r="R95" s="3">
        <v>9977</v>
      </c>
      <c r="S95" s="3">
        <v>10116</v>
      </c>
      <c r="T95" s="3">
        <v>10643</v>
      </c>
    </row>
    <row r="96" spans="2:40" s="3" customFormat="1" x14ac:dyDescent="0.25">
      <c r="B96" s="3" t="s">
        <v>99</v>
      </c>
      <c r="L96" s="3">
        <v>3604</v>
      </c>
      <c r="M96" s="3">
        <v>3509</v>
      </c>
      <c r="N96" s="3">
        <v>3574</v>
      </c>
      <c r="O96" s="3">
        <v>4009</v>
      </c>
      <c r="P96" s="3">
        <v>4545</v>
      </c>
      <c r="Q96" s="3">
        <v>4638</v>
      </c>
      <c r="R96" s="3">
        <v>4769</v>
      </c>
      <c r="S96" s="3">
        <v>6536</v>
      </c>
      <c r="T96" s="3">
        <v>7441</v>
      </c>
    </row>
    <row r="97" spans="2:30" s="3" customFormat="1" x14ac:dyDescent="0.25">
      <c r="B97" s="3" t="s">
        <v>100</v>
      </c>
      <c r="G97" s="3">
        <v>273</v>
      </c>
      <c r="H97" s="3">
        <v>315</v>
      </c>
      <c r="I97" s="3">
        <v>211</v>
      </c>
      <c r="J97" s="3">
        <v>218</v>
      </c>
      <c r="K97" s="3">
        <v>91</v>
      </c>
      <c r="L97" s="3">
        <v>112</v>
      </c>
      <c r="M97" s="3">
        <v>95</v>
      </c>
      <c r="N97" s="3">
        <v>181</v>
      </c>
      <c r="O97" s="3">
        <v>127</v>
      </c>
      <c r="P97" s="3">
        <v>122</v>
      </c>
      <c r="Q97" s="3">
        <v>74</v>
      </c>
      <c r="R97" s="3">
        <v>-14</v>
      </c>
      <c r="S97" s="3">
        <v>165</v>
      </c>
      <c r="T97" s="3">
        <v>232</v>
      </c>
    </row>
    <row r="98" spans="2:30" s="3" customFormat="1" x14ac:dyDescent="0.25">
      <c r="B98" s="3" t="s">
        <v>101</v>
      </c>
      <c r="G98" s="3">
        <v>-6045</v>
      </c>
      <c r="H98" s="3">
        <v>-6283</v>
      </c>
      <c r="I98" s="3">
        <v>-6054</v>
      </c>
      <c r="J98" s="3">
        <v>-6262</v>
      </c>
      <c r="K98" s="3">
        <v>-6957</v>
      </c>
      <c r="L98" s="3">
        <v>-6805</v>
      </c>
      <c r="M98" s="3">
        <v>-6386</v>
      </c>
      <c r="N98" s="3">
        <v>-6675</v>
      </c>
      <c r="O98" s="3">
        <v>-7188</v>
      </c>
      <c r="P98" s="3">
        <v>-7377</v>
      </c>
      <c r="Q98" s="3">
        <v>-7414</v>
      </c>
      <c r="R98" s="3">
        <v>-7323</v>
      </c>
      <c r="S98" s="3">
        <v>-9483</v>
      </c>
      <c r="T98" s="3">
        <v>-10477</v>
      </c>
    </row>
    <row r="99" spans="2:30" s="6" customFormat="1" x14ac:dyDescent="0.25">
      <c r="B99" s="6" t="s">
        <v>102</v>
      </c>
      <c r="C99" s="6">
        <f t="shared" ref="C99" si="311">SUM(C94:C98)</f>
        <v>0</v>
      </c>
      <c r="D99" s="6">
        <f t="shared" ref="D99" si="312">SUM(D94:D98)</f>
        <v>0</v>
      </c>
      <c r="E99" s="6">
        <f t="shared" ref="E99" si="313">SUM(E94:E98)</f>
        <v>0</v>
      </c>
      <c r="F99" s="6">
        <f t="shared" ref="F99" si="314">SUM(F94:F98)</f>
        <v>0</v>
      </c>
      <c r="G99" s="6">
        <f t="shared" ref="G99" si="315">SUM(G94:G98)</f>
        <v>37886</v>
      </c>
      <c r="H99" s="6">
        <f t="shared" ref="H99" si="316">SUM(H94:H98)</f>
        <v>38482</v>
      </c>
      <c r="I99" s="6">
        <f t="shared" ref="I99" si="317">SUM(I94:I98)</f>
        <v>39625</v>
      </c>
      <c r="J99" s="6">
        <f t="shared" ref="J99" si="318">SUM(J94:J98)</f>
        <v>39667</v>
      </c>
      <c r="K99" s="6">
        <f t="shared" ref="K99:U99" si="319">SUM(K94:K98)</f>
        <v>41898</v>
      </c>
      <c r="L99" s="6">
        <f t="shared" si="319"/>
        <v>43377</v>
      </c>
      <c r="M99" s="6">
        <f t="shared" si="319"/>
        <v>42480</v>
      </c>
      <c r="N99" s="6">
        <f t="shared" si="319"/>
        <v>42454</v>
      </c>
      <c r="O99" s="6">
        <f t="shared" si="319"/>
        <v>42273</v>
      </c>
      <c r="P99" s="6">
        <f t="shared" si="319"/>
        <v>43223</v>
      </c>
      <c r="Q99" s="6">
        <f t="shared" si="319"/>
        <v>44719</v>
      </c>
      <c r="R99" s="6">
        <f t="shared" si="319"/>
        <v>44989</v>
      </c>
      <c r="S99" s="6">
        <f t="shared" si="319"/>
        <v>48765</v>
      </c>
      <c r="T99" s="6">
        <f t="shared" si="319"/>
        <v>49421</v>
      </c>
      <c r="U99" s="6">
        <f t="shared" si="319"/>
        <v>0</v>
      </c>
      <c r="V99" s="6">
        <f>SUM(V94:V98)</f>
        <v>0</v>
      </c>
      <c r="W99" s="6">
        <f t="shared" ref="W99:AD99" si="320">SUM(W94:W98)</f>
        <v>0</v>
      </c>
      <c r="X99" s="6">
        <f t="shared" si="320"/>
        <v>0</v>
      </c>
      <c r="Y99" s="6">
        <f t="shared" si="320"/>
        <v>0</v>
      </c>
      <c r="Z99" s="6">
        <f t="shared" si="320"/>
        <v>0</v>
      </c>
      <c r="AA99" s="6">
        <f t="shared" si="320"/>
        <v>0</v>
      </c>
      <c r="AB99" s="6">
        <f t="shared" si="320"/>
        <v>0</v>
      </c>
      <c r="AC99" s="6">
        <f t="shared" si="320"/>
        <v>0</v>
      </c>
      <c r="AD99" s="6">
        <f t="shared" si="320"/>
        <v>0</v>
      </c>
    </row>
    <row r="100" spans="2:30" s="3" customFormat="1" x14ac:dyDescent="0.25"/>
    <row r="101" spans="2:30" s="6" customFormat="1" x14ac:dyDescent="0.25">
      <c r="B101" s="6" t="s">
        <v>103</v>
      </c>
    </row>
    <row r="102" spans="2:30" s="3" customFormat="1" x14ac:dyDescent="0.25">
      <c r="B102" s="3" t="s">
        <v>96</v>
      </c>
      <c r="G102" s="3">
        <v>1871</v>
      </c>
      <c r="H102" s="3">
        <v>1802</v>
      </c>
      <c r="I102" s="3">
        <v>1653</v>
      </c>
      <c r="J102" s="3">
        <v>904</v>
      </c>
      <c r="K102" s="3">
        <v>2149</v>
      </c>
      <c r="L102" s="3">
        <v>2138</v>
      </c>
      <c r="M102" s="3">
        <v>1834</v>
      </c>
      <c r="N102" s="3">
        <v>767</v>
      </c>
      <c r="O102" s="3">
        <v>2287</v>
      </c>
      <c r="P102" s="3">
        <v>2145</v>
      </c>
      <c r="Q102" s="3">
        <v>1604</v>
      </c>
      <c r="R102" s="3">
        <v>207</v>
      </c>
      <c r="S102" s="3">
        <v>2217</v>
      </c>
      <c r="T102" s="3">
        <v>1560</v>
      </c>
    </row>
    <row r="103" spans="2:30" s="3" customFormat="1" x14ac:dyDescent="0.25">
      <c r="B103" s="3" t="s">
        <v>98</v>
      </c>
      <c r="G103" s="3">
        <v>598</v>
      </c>
      <c r="H103" s="3">
        <v>592</v>
      </c>
      <c r="I103" s="3">
        <v>641</v>
      </c>
      <c r="J103" s="3">
        <v>492</v>
      </c>
      <c r="K103" s="3">
        <v>-741</v>
      </c>
      <c r="L103" s="3">
        <v>496</v>
      </c>
      <c r="M103" s="3">
        <v>477</v>
      </c>
      <c r="N103" s="3">
        <v>490</v>
      </c>
      <c r="O103" s="3">
        <v>523</v>
      </c>
      <c r="P103" s="3">
        <v>497</v>
      </c>
      <c r="Q103" s="3">
        <v>619</v>
      </c>
      <c r="R103" s="3">
        <v>533</v>
      </c>
      <c r="S103" s="3">
        <v>602</v>
      </c>
      <c r="T103" s="3">
        <v>536</v>
      </c>
    </row>
    <row r="104" spans="2:30" s="3" customFormat="1" x14ac:dyDescent="0.25">
      <c r="B104" s="3" t="s">
        <v>99</v>
      </c>
      <c r="L104" s="3">
        <v>157</v>
      </c>
      <c r="M104" s="3">
        <v>192</v>
      </c>
      <c r="N104" s="3">
        <v>102</v>
      </c>
      <c r="O104" s="3">
        <v>290</v>
      </c>
      <c r="P104" s="3">
        <v>208</v>
      </c>
      <c r="Q104" s="3">
        <v>184</v>
      </c>
      <c r="R104" s="3">
        <v>35</v>
      </c>
      <c r="S104" s="3">
        <v>491</v>
      </c>
      <c r="T104" s="3">
        <v>400</v>
      </c>
    </row>
    <row r="105" spans="2:30" s="3" customFormat="1" x14ac:dyDescent="0.25">
      <c r="B105" s="3" t="s">
        <v>100</v>
      </c>
      <c r="G105" s="3">
        <v>-22</v>
      </c>
      <c r="H105" s="3">
        <v>-27</v>
      </c>
      <c r="I105" s="3">
        <v>-24</v>
      </c>
      <c r="J105" s="3">
        <v>-28</v>
      </c>
      <c r="K105" s="3">
        <v>-59</v>
      </c>
      <c r="L105" s="3">
        <v>-163</v>
      </c>
      <c r="M105" s="3">
        <v>-747</v>
      </c>
      <c r="N105" s="3">
        <v>-75</v>
      </c>
      <c r="O105" s="3">
        <v>-84</v>
      </c>
      <c r="P105" s="3">
        <v>-85</v>
      </c>
      <c r="Q105" s="3">
        <v>-999</v>
      </c>
      <c r="R105" s="3">
        <v>-102</v>
      </c>
      <c r="S105" s="3">
        <v>-140</v>
      </c>
      <c r="T105" s="3">
        <v>-71</v>
      </c>
    </row>
    <row r="106" spans="2:30" s="6" customFormat="1" x14ac:dyDescent="0.25">
      <c r="B106" s="6" t="s">
        <v>102</v>
      </c>
      <c r="C106" s="6">
        <f t="shared" ref="C106" si="321">SUM(C102:C105)</f>
        <v>0</v>
      </c>
      <c r="D106" s="6">
        <f t="shared" ref="D106" si="322">SUM(D102:D105)</f>
        <v>0</v>
      </c>
      <c r="E106" s="6">
        <f t="shared" ref="E106" si="323">SUM(E102:E105)</f>
        <v>0</v>
      </c>
      <c r="F106" s="6">
        <f t="shared" ref="F106" si="324">SUM(F102:F105)</f>
        <v>0</v>
      </c>
      <c r="G106" s="6">
        <f t="shared" ref="G106" si="325">SUM(G102:G105)</f>
        <v>2447</v>
      </c>
      <c r="H106" s="6">
        <f t="shared" ref="H106" si="326">SUM(H102:H105)</f>
        <v>2367</v>
      </c>
      <c r="I106" s="6">
        <f t="shared" ref="I106" si="327">SUM(I102:I105)</f>
        <v>2270</v>
      </c>
      <c r="J106" s="6">
        <f t="shared" ref="J106" si="328">SUM(J102:J105)</f>
        <v>1368</v>
      </c>
      <c r="K106" s="6">
        <f t="shared" ref="K106:S106" si="329">SUM(K102:K105)</f>
        <v>1349</v>
      </c>
      <c r="L106" s="6">
        <f t="shared" si="329"/>
        <v>2628</v>
      </c>
      <c r="M106" s="6">
        <f t="shared" si="329"/>
        <v>1756</v>
      </c>
      <c r="N106" s="6">
        <f>SUM(N102:N105)</f>
        <v>1284</v>
      </c>
      <c r="O106" s="6">
        <f t="shared" si="329"/>
        <v>3016</v>
      </c>
      <c r="P106" s="6">
        <f t="shared" si="329"/>
        <v>2765</v>
      </c>
      <c r="Q106" s="6">
        <f t="shared" si="329"/>
        <v>1408</v>
      </c>
      <c r="R106" s="6">
        <f t="shared" si="329"/>
        <v>673</v>
      </c>
      <c r="S106" s="6">
        <f t="shared" si="329"/>
        <v>3170</v>
      </c>
      <c r="T106" s="6">
        <f>SUM(T102:T105)</f>
        <v>2425</v>
      </c>
      <c r="U106" s="6">
        <f t="shared" ref="U106:AD106" si="330">SUM(U102:U105)</f>
        <v>0</v>
      </c>
      <c r="V106" s="6">
        <f t="shared" si="330"/>
        <v>0</v>
      </c>
      <c r="W106" s="6">
        <f t="shared" si="330"/>
        <v>0</v>
      </c>
      <c r="X106" s="6">
        <f t="shared" si="330"/>
        <v>0</v>
      </c>
      <c r="Y106" s="6">
        <f t="shared" si="330"/>
        <v>0</v>
      </c>
      <c r="Z106" s="6">
        <f t="shared" si="330"/>
        <v>0</v>
      </c>
      <c r="AA106" s="6">
        <f t="shared" si="330"/>
        <v>0</v>
      </c>
      <c r="AB106" s="6">
        <f t="shared" si="330"/>
        <v>0</v>
      </c>
      <c r="AC106" s="6">
        <f t="shared" si="330"/>
        <v>0</v>
      </c>
      <c r="AD106" s="6">
        <f t="shared" si="330"/>
        <v>0</v>
      </c>
    </row>
    <row r="108" spans="2:30" s="5" customFormat="1" x14ac:dyDescent="0.25">
      <c r="B108" s="5" t="s">
        <v>104</v>
      </c>
    </row>
    <row r="109" spans="2:30" s="9" customFormat="1" x14ac:dyDescent="0.25">
      <c r="B109" s="9" t="s">
        <v>96</v>
      </c>
      <c r="C109" s="9" t="e">
        <f t="shared" ref="C109:J109" si="331">C102/C94</f>
        <v>#DIV/0!</v>
      </c>
      <c r="D109" s="9" t="e">
        <f t="shared" si="331"/>
        <v>#DIV/0!</v>
      </c>
      <c r="E109" s="9" t="e">
        <f t="shared" si="331"/>
        <v>#DIV/0!</v>
      </c>
      <c r="F109" s="9" t="e">
        <f t="shared" si="331"/>
        <v>#DIV/0!</v>
      </c>
      <c r="G109" s="9">
        <f t="shared" si="331"/>
        <v>5.4985746612983805E-2</v>
      </c>
      <c r="H109" s="9">
        <f t="shared" si="331"/>
        <v>5.2389812768926618E-2</v>
      </c>
      <c r="I109" s="9">
        <f t="shared" si="331"/>
        <v>4.7141023812918868E-2</v>
      </c>
      <c r="J109" s="9">
        <f t="shared" si="331"/>
        <v>2.583152360269745E-2</v>
      </c>
      <c r="K109" s="9">
        <f t="shared" ref="K109:S109" si="332">K102/K94</f>
        <v>5.7644849785407723E-2</v>
      </c>
      <c r="L109" s="9">
        <f t="shared" si="332"/>
        <v>5.6263157894736841E-2</v>
      </c>
      <c r="M109" s="9">
        <f t="shared" si="332"/>
        <v>4.9912910951447856E-2</v>
      </c>
      <c r="N109" s="9">
        <f t="shared" si="332"/>
        <v>2.0986674692861248E-2</v>
      </c>
      <c r="O109" s="9">
        <f t="shared" si="332"/>
        <v>6.138279027322991E-2</v>
      </c>
      <c r="P109" s="9">
        <f t="shared" si="332"/>
        <v>5.7724911865227803E-2</v>
      </c>
      <c r="Q109" s="9">
        <f t="shared" si="332"/>
        <v>4.1903965724437012E-2</v>
      </c>
      <c r="R109" s="9">
        <f t="shared" si="332"/>
        <v>5.5082490686535392E-3</v>
      </c>
      <c r="S109" s="9">
        <f t="shared" si="332"/>
        <v>5.3510656271873715E-2</v>
      </c>
      <c r="T109" s="9">
        <f>T102/T94</f>
        <v>3.751623298542639E-2</v>
      </c>
      <c r="U109" s="9" t="e">
        <f t="shared" ref="U109:AD109" si="333">U102/U94</f>
        <v>#DIV/0!</v>
      </c>
      <c r="V109" s="9" t="e">
        <f t="shared" si="333"/>
        <v>#DIV/0!</v>
      </c>
      <c r="W109" s="9" t="e">
        <f t="shared" si="333"/>
        <v>#DIV/0!</v>
      </c>
      <c r="X109" s="9" t="e">
        <f t="shared" si="333"/>
        <v>#DIV/0!</v>
      </c>
      <c r="Y109" s="9" t="e">
        <f t="shared" si="333"/>
        <v>#DIV/0!</v>
      </c>
      <c r="Z109" s="9" t="e">
        <f t="shared" si="333"/>
        <v>#DIV/0!</v>
      </c>
      <c r="AA109" s="9" t="e">
        <f t="shared" si="333"/>
        <v>#DIV/0!</v>
      </c>
      <c r="AB109" s="9" t="e">
        <f t="shared" si="333"/>
        <v>#DIV/0!</v>
      </c>
      <c r="AC109" s="9" t="e">
        <f t="shared" si="333"/>
        <v>#DIV/0!</v>
      </c>
      <c r="AD109" s="9" t="e">
        <f t="shared" si="333"/>
        <v>#DIV/0!</v>
      </c>
    </row>
    <row r="110" spans="2:30" s="9" customFormat="1" x14ac:dyDescent="0.25">
      <c r="B110" s="9" t="s">
        <v>98</v>
      </c>
      <c r="C110" s="9" t="e">
        <f t="shared" ref="C110:J110" si="334">C103/C95</f>
        <v>#DIV/0!</v>
      </c>
      <c r="D110" s="9" t="e">
        <f t="shared" si="334"/>
        <v>#DIV/0!</v>
      </c>
      <c r="E110" s="9" t="e">
        <f t="shared" si="334"/>
        <v>#DIV/0!</v>
      </c>
      <c r="F110" s="9" t="e">
        <f t="shared" si="334"/>
        <v>#DIV/0!</v>
      </c>
      <c r="G110" s="9">
        <f t="shared" si="334"/>
        <v>6.2091163949745613E-2</v>
      </c>
      <c r="H110" s="9">
        <f t="shared" si="334"/>
        <v>5.8882037000198922E-2</v>
      </c>
      <c r="I110" s="9">
        <f t="shared" si="334"/>
        <v>6.1616841295780066E-2</v>
      </c>
      <c r="J110" s="9">
        <f t="shared" si="334"/>
        <v>4.5916938870741948E-2</v>
      </c>
      <c r="K110" s="9">
        <f t="shared" ref="K110:AD110" si="335">K103/K95</f>
        <v>-6.4524555903866243E-2</v>
      </c>
      <c r="L110" s="9">
        <f t="shared" si="335"/>
        <v>5.8587290337821875E-2</v>
      </c>
      <c r="M110" s="9">
        <f t="shared" si="335"/>
        <v>5.5999060812397278E-2</v>
      </c>
      <c r="N110" s="9">
        <f t="shared" si="335"/>
        <v>5.551149881046788E-2</v>
      </c>
      <c r="O110" s="9">
        <f t="shared" si="335"/>
        <v>6.4832031734225859E-2</v>
      </c>
      <c r="P110" s="9">
        <f t="shared" si="335"/>
        <v>5.6644631866879416E-2</v>
      </c>
      <c r="Q110" s="9">
        <f t="shared" si="335"/>
        <v>6.7702067155200704E-2</v>
      </c>
      <c r="R110" s="9">
        <f t="shared" si="335"/>
        <v>5.3422872606996089E-2</v>
      </c>
      <c r="S110" s="9">
        <f t="shared" si="335"/>
        <v>5.9509687623566628E-2</v>
      </c>
      <c r="T110" s="9">
        <f t="shared" si="335"/>
        <v>5.0361740110870995E-2</v>
      </c>
      <c r="U110" s="9" t="e">
        <f t="shared" si="335"/>
        <v>#DIV/0!</v>
      </c>
      <c r="V110" s="9" t="e">
        <f t="shared" si="335"/>
        <v>#DIV/0!</v>
      </c>
      <c r="W110" s="9" t="e">
        <f t="shared" si="335"/>
        <v>#DIV/0!</v>
      </c>
      <c r="X110" s="9" t="e">
        <f t="shared" si="335"/>
        <v>#DIV/0!</v>
      </c>
      <c r="Y110" s="9" t="e">
        <f t="shared" si="335"/>
        <v>#DIV/0!</v>
      </c>
      <c r="Z110" s="9" t="e">
        <f t="shared" si="335"/>
        <v>#DIV/0!</v>
      </c>
      <c r="AA110" s="9" t="e">
        <f t="shared" si="335"/>
        <v>#DIV/0!</v>
      </c>
      <c r="AB110" s="9" t="e">
        <f t="shared" si="335"/>
        <v>#DIV/0!</v>
      </c>
      <c r="AC110" s="9" t="e">
        <f t="shared" si="335"/>
        <v>#DIV/0!</v>
      </c>
      <c r="AD110" s="9" t="e">
        <f t="shared" si="335"/>
        <v>#DIV/0!</v>
      </c>
    </row>
    <row r="111" spans="2:30" s="9" customFormat="1" x14ac:dyDescent="0.25">
      <c r="B111" s="9" t="s">
        <v>99</v>
      </c>
      <c r="L111" s="9">
        <f t="shared" ref="L111:AD111" si="336">L104/L96</f>
        <v>4.3562708102108771E-2</v>
      </c>
      <c r="M111" s="9">
        <f t="shared" si="336"/>
        <v>5.4716443431176973E-2</v>
      </c>
      <c r="N111" s="9">
        <f t="shared" si="336"/>
        <v>2.8539451594851706E-2</v>
      </c>
      <c r="O111" s="9">
        <f t="shared" si="336"/>
        <v>7.2337241207283617E-2</v>
      </c>
      <c r="P111" s="9">
        <f t="shared" si="336"/>
        <v>4.5764576457645763E-2</v>
      </c>
      <c r="Q111" s="9">
        <f t="shared" si="336"/>
        <v>3.9672272531263472E-2</v>
      </c>
      <c r="R111" s="9">
        <f t="shared" si="336"/>
        <v>7.3390647934577476E-3</v>
      </c>
      <c r="S111" s="9">
        <f t="shared" si="336"/>
        <v>7.5122399020807834E-2</v>
      </c>
      <c r="T111" s="9">
        <f t="shared" si="336"/>
        <v>5.3756215562424409E-2</v>
      </c>
      <c r="U111" s="9" t="e">
        <f t="shared" si="336"/>
        <v>#DIV/0!</v>
      </c>
      <c r="V111" s="9" t="e">
        <f t="shared" si="336"/>
        <v>#DIV/0!</v>
      </c>
      <c r="W111" s="9" t="e">
        <f t="shared" si="336"/>
        <v>#DIV/0!</v>
      </c>
      <c r="X111" s="9" t="e">
        <f t="shared" si="336"/>
        <v>#DIV/0!</v>
      </c>
      <c r="Y111" s="9" t="e">
        <f t="shared" si="336"/>
        <v>#DIV/0!</v>
      </c>
      <c r="Z111" s="9" t="e">
        <f t="shared" si="336"/>
        <v>#DIV/0!</v>
      </c>
      <c r="AA111" s="9" t="e">
        <f t="shared" si="336"/>
        <v>#DIV/0!</v>
      </c>
      <c r="AB111" s="9" t="e">
        <f t="shared" si="336"/>
        <v>#DIV/0!</v>
      </c>
      <c r="AC111" s="9" t="e">
        <f t="shared" si="336"/>
        <v>#DIV/0!</v>
      </c>
      <c r="AD111" s="9" t="e">
        <f t="shared" si="336"/>
        <v>#DIV/0!</v>
      </c>
    </row>
    <row r="112" spans="2:30" s="9" customFormat="1" x14ac:dyDescent="0.25">
      <c r="B112" s="10" t="s">
        <v>102</v>
      </c>
      <c r="C112" s="9" t="e">
        <f t="shared" ref="C112:J112" si="337">C106/C99</f>
        <v>#DIV/0!</v>
      </c>
      <c r="D112" s="9" t="e">
        <f t="shared" si="337"/>
        <v>#DIV/0!</v>
      </c>
      <c r="E112" s="9" t="e">
        <f t="shared" si="337"/>
        <v>#DIV/0!</v>
      </c>
      <c r="F112" s="9" t="e">
        <f t="shared" si="337"/>
        <v>#DIV/0!</v>
      </c>
      <c r="G112" s="9">
        <f t="shared" si="337"/>
        <v>6.4588502349152727E-2</v>
      </c>
      <c r="H112" s="9">
        <f t="shared" si="337"/>
        <v>6.1509277064601631E-2</v>
      </c>
      <c r="I112" s="9">
        <f t="shared" si="337"/>
        <v>5.7287066246056784E-2</v>
      </c>
      <c r="J112" s="9">
        <f t="shared" si="337"/>
        <v>3.4487105150376889E-2</v>
      </c>
      <c r="K112" s="9">
        <f t="shared" ref="K112:S112" si="338">K106/K99</f>
        <v>3.2197240918420925E-2</v>
      </c>
      <c r="L112" s="9">
        <f t="shared" si="338"/>
        <v>6.0585102704198077E-2</v>
      </c>
      <c r="M112" s="9">
        <f t="shared" si="338"/>
        <v>4.1337099811676083E-2</v>
      </c>
      <c r="N112" s="9">
        <f t="shared" si="338"/>
        <v>3.024449992933528E-2</v>
      </c>
      <c r="O112" s="9">
        <f t="shared" si="338"/>
        <v>7.1345776263809058E-2</v>
      </c>
      <c r="P112" s="9">
        <f t="shared" si="338"/>
        <v>6.3970571223654071E-2</v>
      </c>
      <c r="Q112" s="9">
        <f t="shared" si="338"/>
        <v>3.1485498334041462E-2</v>
      </c>
      <c r="R112" s="9">
        <f t="shared" si="338"/>
        <v>1.4959212251883795E-2</v>
      </c>
      <c r="S112" s="9">
        <f t="shared" si="338"/>
        <v>6.5005639290474732E-2</v>
      </c>
      <c r="T112" s="9">
        <f>T106/T99</f>
        <v>4.906820987029805E-2</v>
      </c>
      <c r="U112" s="9" t="e">
        <f t="shared" ref="U112:AD112" si="339">U106/U99</f>
        <v>#DIV/0!</v>
      </c>
      <c r="V112" s="9" t="e">
        <f t="shared" si="339"/>
        <v>#DIV/0!</v>
      </c>
      <c r="W112" s="9" t="e">
        <f t="shared" si="339"/>
        <v>#DIV/0!</v>
      </c>
      <c r="X112" s="9" t="e">
        <f t="shared" si="339"/>
        <v>#DIV/0!</v>
      </c>
      <c r="Y112" s="9" t="e">
        <f t="shared" si="339"/>
        <v>#DIV/0!</v>
      </c>
      <c r="Z112" s="9" t="e">
        <f t="shared" si="339"/>
        <v>#DIV/0!</v>
      </c>
      <c r="AA112" s="9" t="e">
        <f t="shared" si="339"/>
        <v>#DIV/0!</v>
      </c>
      <c r="AB112" s="9" t="e">
        <f t="shared" si="339"/>
        <v>#DIV/0!</v>
      </c>
      <c r="AC112" s="9" t="e">
        <f t="shared" si="339"/>
        <v>#DIV/0!</v>
      </c>
      <c r="AD112" s="9" t="e">
        <f t="shared" si="339"/>
        <v>#DIV/0!</v>
      </c>
    </row>
    <row r="114" spans="2:30" s="5" customFormat="1" x14ac:dyDescent="0.25">
      <c r="B114" s="5" t="s">
        <v>105</v>
      </c>
    </row>
    <row r="115" spans="2:30" s="9" customFormat="1" x14ac:dyDescent="0.25">
      <c r="B115" s="9" t="s">
        <v>96</v>
      </c>
      <c r="G115" s="9" t="e">
        <f t="shared" ref="G115:G116" si="340">G94/C94-1</f>
        <v>#DIV/0!</v>
      </c>
      <c r="H115" s="9" t="e">
        <f t="shared" ref="H115:H116" si="341">H94/D94-1</f>
        <v>#DIV/0!</v>
      </c>
      <c r="I115" s="9" t="e">
        <f t="shared" ref="I115:I116" si="342">I94/E94-1</f>
        <v>#DIV/0!</v>
      </c>
      <c r="J115" s="9" t="e">
        <f t="shared" ref="J115:J116" si="343">J94/F94-1</f>
        <v>#DIV/0!</v>
      </c>
      <c r="K115" s="9">
        <f t="shared" ref="K115:K116" si="344">K94/G94-1</f>
        <v>9.5600552502424607E-2</v>
      </c>
      <c r="L115" s="9">
        <f t="shared" ref="L115:L116" si="345">L94/H94-1</f>
        <v>0.10477962553785325</v>
      </c>
      <c r="M115" s="9">
        <f t="shared" ref="M115:M116" si="346">M94/I94-1</f>
        <v>4.7882503921289121E-2</v>
      </c>
      <c r="N115" s="9">
        <f t="shared" ref="N115:N116" si="347">N94/J94-1</f>
        <v>4.4319350782946687E-2</v>
      </c>
      <c r="O115" s="9">
        <f t="shared" ref="O115:S115" si="348">O94/K94-1</f>
        <v>-5.9012875536479381E-4</v>
      </c>
      <c r="P115" s="9">
        <f t="shared" si="348"/>
        <v>-2.2131578947368391E-2</v>
      </c>
      <c r="Q115" s="9">
        <f t="shared" si="348"/>
        <v>4.174831264968426E-2</v>
      </c>
      <c r="R115" s="9">
        <f t="shared" si="348"/>
        <v>2.8264973869264187E-2</v>
      </c>
      <c r="S115" s="9">
        <f t="shared" si="348"/>
        <v>0.11200279134682489</v>
      </c>
      <c r="T115" s="9">
        <f>T94/P94-1</f>
        <v>0.11902903737990789</v>
      </c>
      <c r="U115" s="9">
        <f t="shared" ref="U115:AD115" si="349">U94/Q94-1</f>
        <v>-1</v>
      </c>
      <c r="V115" s="9">
        <f t="shared" si="349"/>
        <v>-1</v>
      </c>
      <c r="W115" s="9">
        <f t="shared" si="349"/>
        <v>-1</v>
      </c>
      <c r="X115" s="9">
        <f t="shared" si="349"/>
        <v>-1</v>
      </c>
      <c r="Y115" s="9" t="e">
        <f t="shared" si="349"/>
        <v>#DIV/0!</v>
      </c>
      <c r="Z115" s="9" t="e">
        <f t="shared" si="349"/>
        <v>#DIV/0!</v>
      </c>
      <c r="AA115" s="9" t="e">
        <f t="shared" si="349"/>
        <v>#DIV/0!</v>
      </c>
      <c r="AB115" s="9" t="e">
        <f t="shared" si="349"/>
        <v>#DIV/0!</v>
      </c>
      <c r="AC115" s="9" t="e">
        <f t="shared" si="349"/>
        <v>#DIV/0!</v>
      </c>
      <c r="AD115" s="9" t="e">
        <f t="shared" si="349"/>
        <v>#DIV/0!</v>
      </c>
    </row>
    <row r="116" spans="2:30" s="9" customFormat="1" x14ac:dyDescent="0.25">
      <c r="B116" s="9" t="s">
        <v>98</v>
      </c>
      <c r="G116" s="9" t="e">
        <f t="shared" si="340"/>
        <v>#DIV/0!</v>
      </c>
      <c r="H116" s="9" t="e">
        <f t="shared" si="341"/>
        <v>#DIV/0!</v>
      </c>
      <c r="I116" s="9" t="e">
        <f t="shared" si="342"/>
        <v>#DIV/0!</v>
      </c>
      <c r="J116" s="9" t="e">
        <f t="shared" si="343"/>
        <v>#DIV/0!</v>
      </c>
      <c r="K116" s="9">
        <f t="shared" si="344"/>
        <v>0.19239954314193741</v>
      </c>
      <c r="L116" s="9">
        <f t="shared" si="345"/>
        <v>-0.1579470857370201</v>
      </c>
      <c r="M116" s="9">
        <f t="shared" si="346"/>
        <v>-0.18119773142362783</v>
      </c>
      <c r="N116" s="9">
        <f t="shared" si="347"/>
        <v>-0.17620158656089591</v>
      </c>
      <c r="O116" s="9">
        <f>O95/K95-1</f>
        <v>-0.29754440961337514</v>
      </c>
      <c r="P116" s="9">
        <f>P95/L95-1</f>
        <v>3.6380817387195785E-2</v>
      </c>
      <c r="Q116" s="9">
        <f>Q95/M95-1</f>
        <v>7.337403146278465E-2</v>
      </c>
      <c r="R116" s="9">
        <f>R95/N95-1</f>
        <v>0.13028208904497562</v>
      </c>
      <c r="S116" s="9">
        <f>S95/O95-1</f>
        <v>0.25399776868724433</v>
      </c>
      <c r="T116" s="9">
        <f>T95/P95-1</f>
        <v>0.21301572828812398</v>
      </c>
      <c r="U116" s="9">
        <f>U95/Q95-1</f>
        <v>-1</v>
      </c>
      <c r="V116" s="9">
        <f>V95/R95-1</f>
        <v>-1</v>
      </c>
      <c r="W116" s="9">
        <f>W95/S95-1</f>
        <v>-1</v>
      </c>
      <c r="X116" s="9">
        <f>X95/T95-1</f>
        <v>-1</v>
      </c>
      <c r="Y116" s="9" t="e">
        <f>Y95/U95-1</f>
        <v>#DIV/0!</v>
      </c>
      <c r="Z116" s="9" t="e">
        <f>Z95/V95-1</f>
        <v>#DIV/0!</v>
      </c>
      <c r="AA116" s="9" t="e">
        <f>AA95/W95-1</f>
        <v>#DIV/0!</v>
      </c>
      <c r="AB116" s="9" t="e">
        <f>AB95/X95-1</f>
        <v>#DIV/0!</v>
      </c>
      <c r="AC116" s="9" t="e">
        <f>AC95/Y95-1</f>
        <v>#DIV/0!</v>
      </c>
      <c r="AD116" s="9" t="e">
        <f>AD95/Z95-1</f>
        <v>#DIV/0!</v>
      </c>
    </row>
    <row r="117" spans="2:30" s="9" customFormat="1" x14ac:dyDescent="0.25">
      <c r="B117" s="9" t="s">
        <v>99</v>
      </c>
      <c r="P117" s="9">
        <f>P96/L96-1</f>
        <v>0.26109877913429513</v>
      </c>
      <c r="Q117" s="9">
        <f>Q96/M96-1</f>
        <v>0.32174408663436882</v>
      </c>
      <c r="R117" s="9">
        <f>R96/N96-1</f>
        <v>0.33435926133184113</v>
      </c>
      <c r="S117" s="9">
        <f>S96/O96-1</f>
        <v>0.63033175355450233</v>
      </c>
      <c r="T117" s="9">
        <f>T96/P96-1</f>
        <v>0.63718371837183718</v>
      </c>
      <c r="U117" s="9">
        <f>U96/Q96-1</f>
        <v>-1</v>
      </c>
      <c r="V117" s="9">
        <f>V96/R96-1</f>
        <v>-1</v>
      </c>
      <c r="W117" s="9">
        <f>W96/S96-1</f>
        <v>-1</v>
      </c>
      <c r="X117" s="9">
        <f>X96/T96-1</f>
        <v>-1</v>
      </c>
      <c r="Y117" s="9" t="e">
        <f>Y96/U96-1</f>
        <v>#DIV/0!</v>
      </c>
      <c r="Z117" s="9" t="e">
        <f>Z96/V96-1</f>
        <v>#DIV/0!</v>
      </c>
      <c r="AA117" s="9" t="e">
        <f>AA96/W96-1</f>
        <v>#DIV/0!</v>
      </c>
      <c r="AB117" s="9" t="e">
        <f>AB96/X96-1</f>
        <v>#DIV/0!</v>
      </c>
      <c r="AC117" s="9" t="e">
        <f>AC96/Y96-1</f>
        <v>#DIV/0!</v>
      </c>
      <c r="AD117" s="9" t="e">
        <f>AD96/Z96-1</f>
        <v>#DIV/0!</v>
      </c>
    </row>
    <row r="118" spans="2:30" s="9" customFormat="1" x14ac:dyDescent="0.25">
      <c r="B118" s="9" t="s">
        <v>100</v>
      </c>
      <c r="G118" s="9" t="e">
        <f t="shared" ref="G118:N118" si="350">G97/C97-1</f>
        <v>#DIV/0!</v>
      </c>
      <c r="H118" s="9" t="e">
        <f t="shared" si="350"/>
        <v>#DIV/0!</v>
      </c>
      <c r="I118" s="9" t="e">
        <f t="shared" si="350"/>
        <v>#DIV/0!</v>
      </c>
      <c r="J118" s="9" t="e">
        <f t="shared" si="350"/>
        <v>#DIV/0!</v>
      </c>
      <c r="K118" s="9">
        <f t="shared" si="350"/>
        <v>-0.66666666666666674</v>
      </c>
      <c r="L118" s="9">
        <f t="shared" si="350"/>
        <v>-0.64444444444444438</v>
      </c>
      <c r="M118" s="9">
        <f t="shared" si="350"/>
        <v>-0.54976303317535546</v>
      </c>
      <c r="N118" s="9">
        <f t="shared" si="350"/>
        <v>-0.16972477064220182</v>
      </c>
      <c r="O118" s="9">
        <f>O97/K97-1</f>
        <v>0.39560439560439553</v>
      </c>
      <c r="P118" s="9">
        <f>P97/L97-1</f>
        <v>8.9285714285714191E-2</v>
      </c>
      <c r="Q118" s="9">
        <f>Q97/M97-1</f>
        <v>-0.22105263157894739</v>
      </c>
      <c r="R118" s="9">
        <f>R97/N97-1</f>
        <v>-1.0773480662983426</v>
      </c>
      <c r="S118" s="9">
        <f>S97/O97-1</f>
        <v>0.29921259842519676</v>
      </c>
      <c r="T118" s="9">
        <f>T97/P97-1</f>
        <v>0.90163934426229497</v>
      </c>
      <c r="U118" s="9">
        <f>U97/Q97-1</f>
        <v>-1</v>
      </c>
      <c r="V118" s="9">
        <f>V97/R97-1</f>
        <v>-1</v>
      </c>
      <c r="W118" s="9">
        <f>W97/S97-1</f>
        <v>-1</v>
      </c>
      <c r="X118" s="9">
        <f>X97/T97-1</f>
        <v>-1</v>
      </c>
      <c r="Y118" s="9" t="e">
        <f>Y97/U97-1</f>
        <v>#DIV/0!</v>
      </c>
      <c r="Z118" s="9" t="e">
        <f>Z97/V97-1</f>
        <v>#DIV/0!</v>
      </c>
      <c r="AA118" s="9" t="e">
        <f>AA97/W97-1</f>
        <v>#DIV/0!</v>
      </c>
      <c r="AB118" s="9" t="e">
        <f>AB97/X97-1</f>
        <v>#DIV/0!</v>
      </c>
      <c r="AC118" s="9" t="e">
        <f>AC97/Y97-1</f>
        <v>#DIV/0!</v>
      </c>
      <c r="AD118" s="9" t="e">
        <f>AD97/Z97-1</f>
        <v>#DIV/0!</v>
      </c>
    </row>
    <row r="119" spans="2:30" s="9" customFormat="1" x14ac:dyDescent="0.25">
      <c r="B119" s="9" t="s">
        <v>101</v>
      </c>
      <c r="G119" s="9" t="e">
        <f t="shared" ref="G119:N119" si="351">G98/C98-1</f>
        <v>#DIV/0!</v>
      </c>
      <c r="H119" s="9" t="e">
        <f t="shared" si="351"/>
        <v>#DIV/0!</v>
      </c>
      <c r="I119" s="9" t="e">
        <f t="shared" si="351"/>
        <v>#DIV/0!</v>
      </c>
      <c r="J119" s="9" t="e">
        <f t="shared" si="351"/>
        <v>#DIV/0!</v>
      </c>
      <c r="K119" s="9">
        <f t="shared" si="351"/>
        <v>0.15086848635235728</v>
      </c>
      <c r="L119" s="9">
        <f t="shared" si="351"/>
        <v>8.3081330574566348E-2</v>
      </c>
      <c r="M119" s="9">
        <f t="shared" si="351"/>
        <v>5.4839775355137066E-2</v>
      </c>
      <c r="N119" s="9">
        <f t="shared" si="351"/>
        <v>6.595336953050146E-2</v>
      </c>
      <c r="O119" s="9">
        <f>O98/K98-1</f>
        <v>3.3203967227253051E-2</v>
      </c>
      <c r="P119" s="9">
        <f>P98/L98-1</f>
        <v>8.40558412931669E-2</v>
      </c>
      <c r="Q119" s="9">
        <f>Q98/M98-1</f>
        <v>0.16097713748825559</v>
      </c>
      <c r="R119" s="9">
        <f>R98/N98-1</f>
        <v>9.7078651685393202E-2</v>
      </c>
      <c r="S119" s="9">
        <f>S98/O98-1</f>
        <v>0.31928213689482465</v>
      </c>
      <c r="T119" s="9">
        <f>T98/P98-1</f>
        <v>0.42022502372238035</v>
      </c>
      <c r="U119" s="9">
        <f>U98/Q98-1</f>
        <v>-1</v>
      </c>
      <c r="V119" s="9">
        <f>V98/R98-1</f>
        <v>-1</v>
      </c>
      <c r="W119" s="9">
        <f>W98/S98-1</f>
        <v>-1</v>
      </c>
      <c r="X119" s="9">
        <f>X98/T98-1</f>
        <v>-1</v>
      </c>
      <c r="Y119" s="9" t="e">
        <f>Y98/U98-1</f>
        <v>#DIV/0!</v>
      </c>
      <c r="Z119" s="9" t="e">
        <f>Z98/V98-1</f>
        <v>#DIV/0!</v>
      </c>
      <c r="AA119" s="9" t="e">
        <f>AA98/W98-1</f>
        <v>#DIV/0!</v>
      </c>
      <c r="AB119" s="9" t="e">
        <f>AB98/X98-1</f>
        <v>#DIV/0!</v>
      </c>
      <c r="AC119" s="9" t="e">
        <f>AC98/Y98-1</f>
        <v>#DIV/0!</v>
      </c>
      <c r="AD119" s="9" t="e">
        <f>AD98/Z98-1</f>
        <v>#DIV/0!</v>
      </c>
    </row>
    <row r="123" spans="2:30" x14ac:dyDescent="0.25">
      <c r="B123" s="5" t="s">
        <v>106</v>
      </c>
    </row>
    <row r="124" spans="2:30" s="3" customFormat="1" x14ac:dyDescent="0.25">
      <c r="B124" s="3" t="s">
        <v>107</v>
      </c>
      <c r="C124" s="3">
        <v>731</v>
      </c>
      <c r="D124" s="3">
        <v>738</v>
      </c>
      <c r="E124" s="3">
        <v>769</v>
      </c>
      <c r="F124" s="3">
        <v>759</v>
      </c>
      <c r="G124" s="3">
        <v>818</v>
      </c>
      <c r="H124" s="3">
        <v>803</v>
      </c>
      <c r="I124" s="3">
        <v>800</v>
      </c>
      <c r="J124" s="3">
        <v>789</v>
      </c>
      <c r="K124" s="3">
        <v>942</v>
      </c>
      <c r="L124" s="3">
        <v>949</v>
      </c>
      <c r="M124" s="3">
        <v>999</v>
      </c>
      <c r="N124" s="3">
        <v>1025</v>
      </c>
      <c r="O124" s="3">
        <v>1246</v>
      </c>
      <c r="P124" s="3">
        <v>1281</v>
      </c>
      <c r="Q124" s="3">
        <v>1299</v>
      </c>
      <c r="R124" s="3">
        <v>1287</v>
      </c>
      <c r="S124" s="3">
        <v>1423</v>
      </c>
      <c r="T124" s="3">
        <v>1348</v>
      </c>
    </row>
    <row r="125" spans="2:30" s="3" customFormat="1" x14ac:dyDescent="0.25">
      <c r="B125" s="3" t="s">
        <v>108</v>
      </c>
      <c r="C125" s="3">
        <v>3837</v>
      </c>
      <c r="D125" s="3">
        <v>3851</v>
      </c>
      <c r="E125" s="3">
        <v>3946</v>
      </c>
      <c r="F125" s="3">
        <v>4006</v>
      </c>
      <c r="G125" s="3">
        <v>4028</v>
      </c>
      <c r="H125" s="3">
        <v>4020</v>
      </c>
      <c r="I125" s="3">
        <v>3988</v>
      </c>
      <c r="J125" s="3">
        <v>3988</v>
      </c>
      <c r="K125" s="3">
        <v>3798</v>
      </c>
      <c r="L125" s="3">
        <v>3765</v>
      </c>
      <c r="M125" s="3">
        <v>3754</v>
      </c>
      <c r="N125" s="3">
        <v>3756</v>
      </c>
      <c r="O125" s="3">
        <v>3648</v>
      </c>
      <c r="P125" s="3">
        <v>3648</v>
      </c>
      <c r="Q125" s="3">
        <v>3672</v>
      </c>
      <c r="R125" s="3">
        <v>3713</v>
      </c>
      <c r="S125" s="3">
        <v>3638</v>
      </c>
      <c r="T125" s="3">
        <v>3615</v>
      </c>
    </row>
    <row r="126" spans="2:30" s="6" customFormat="1" x14ac:dyDescent="0.25">
      <c r="B126" s="11" t="s">
        <v>109</v>
      </c>
      <c r="C126" s="6">
        <f t="shared" ref="C126" si="352">SUM(C124:C125)</f>
        <v>4568</v>
      </c>
      <c r="D126" s="6">
        <f t="shared" ref="D126" si="353">SUM(D124:D125)</f>
        <v>4589</v>
      </c>
      <c r="E126" s="6">
        <f t="shared" ref="E126" si="354">SUM(E124:E125)</f>
        <v>4715</v>
      </c>
      <c r="F126" s="6">
        <f t="shared" ref="F126" si="355">SUM(F124:F125)</f>
        <v>4765</v>
      </c>
      <c r="G126" s="6">
        <f t="shared" ref="G126" si="356">SUM(G124:G125)</f>
        <v>4846</v>
      </c>
      <c r="H126" s="6">
        <f t="shared" ref="H126" si="357">SUM(H124:H125)</f>
        <v>4823</v>
      </c>
      <c r="I126" s="6">
        <f t="shared" ref="I126" si="358">SUM(I124:I125)</f>
        <v>4788</v>
      </c>
      <c r="J126" s="6">
        <f t="shared" ref="J126" si="359">SUM(J124:J125)</f>
        <v>4777</v>
      </c>
      <c r="K126" s="6">
        <f t="shared" ref="K126:S126" si="360">SUM(K124:K125)</f>
        <v>4740</v>
      </c>
      <c r="L126" s="6">
        <f t="shared" si="360"/>
        <v>4714</v>
      </c>
      <c r="M126" s="6">
        <f t="shared" si="360"/>
        <v>4753</v>
      </c>
      <c r="N126" s="6">
        <f t="shared" si="360"/>
        <v>4781</v>
      </c>
      <c r="O126" s="6">
        <f t="shared" si="360"/>
        <v>4894</v>
      </c>
      <c r="P126" s="6">
        <f t="shared" si="360"/>
        <v>4929</v>
      </c>
      <c r="Q126" s="6">
        <f t="shared" si="360"/>
        <v>4971</v>
      </c>
      <c r="R126" s="6">
        <f t="shared" si="360"/>
        <v>5000</v>
      </c>
      <c r="S126" s="6">
        <f t="shared" si="360"/>
        <v>5061</v>
      </c>
      <c r="T126" s="6">
        <f>SUM(T124:T125)</f>
        <v>4963</v>
      </c>
      <c r="U126" s="6">
        <f t="shared" ref="U126:AD126" si="361">SUM(U124:U125)</f>
        <v>0</v>
      </c>
      <c r="V126" s="6">
        <f t="shared" si="361"/>
        <v>0</v>
      </c>
      <c r="W126" s="6">
        <f t="shared" si="361"/>
        <v>0</v>
      </c>
      <c r="X126" s="6">
        <f t="shared" si="361"/>
        <v>0</v>
      </c>
      <c r="Y126" s="6">
        <f t="shared" si="361"/>
        <v>0</v>
      </c>
      <c r="Z126" s="6">
        <f t="shared" si="361"/>
        <v>0</v>
      </c>
      <c r="AA126" s="6">
        <f t="shared" si="361"/>
        <v>0</v>
      </c>
      <c r="AB126" s="6">
        <f t="shared" si="361"/>
        <v>0</v>
      </c>
      <c r="AC126" s="6">
        <f t="shared" si="361"/>
        <v>0</v>
      </c>
      <c r="AD126" s="6">
        <f t="shared" si="361"/>
        <v>0</v>
      </c>
    </row>
    <row r="127" spans="2:30" s="3" customFormat="1" x14ac:dyDescent="0.25">
      <c r="B127" s="3" t="s">
        <v>110</v>
      </c>
      <c r="C127" s="3">
        <v>6166</v>
      </c>
      <c r="D127" s="3">
        <v>6235</v>
      </c>
      <c r="E127" s="3">
        <v>6166</v>
      </c>
      <c r="F127" s="3">
        <v>6178</v>
      </c>
      <c r="G127" s="3">
        <v>6370</v>
      </c>
      <c r="H127" s="3">
        <v>6445</v>
      </c>
      <c r="I127" s="3">
        <v>6453</v>
      </c>
      <c r="J127" s="3">
        <v>6462</v>
      </c>
      <c r="K127" s="3">
        <v>6607</v>
      </c>
      <c r="L127" s="3">
        <v>6720</v>
      </c>
      <c r="M127" s="3">
        <v>6737</v>
      </c>
      <c r="N127" s="3">
        <v>6706</v>
      </c>
      <c r="O127" s="3">
        <v>6635</v>
      </c>
      <c r="P127" s="3">
        <v>6692</v>
      </c>
      <c r="Q127" s="3">
        <v>6677</v>
      </c>
      <c r="R127" s="3">
        <v>6630</v>
      </c>
      <c r="S127" s="3">
        <v>6608</v>
      </c>
      <c r="T127" s="3">
        <v>6570</v>
      </c>
    </row>
    <row r="128" spans="2:30" s="3" customFormat="1" x14ac:dyDescent="0.25">
      <c r="B128" s="3" t="s">
        <v>111</v>
      </c>
      <c r="C128" s="3">
        <v>19515</v>
      </c>
      <c r="D128" s="3">
        <v>19372</v>
      </c>
      <c r="E128" s="3">
        <v>19370</v>
      </c>
      <c r="F128" s="3">
        <v>19395</v>
      </c>
      <c r="G128" s="3">
        <v>20148</v>
      </c>
      <c r="H128" s="3">
        <v>20086</v>
      </c>
      <c r="I128" s="3">
        <v>20184</v>
      </c>
      <c r="J128" s="3">
        <v>20174</v>
      </c>
      <c r="K128" s="3">
        <v>20278</v>
      </c>
      <c r="L128" s="3">
        <v>20160</v>
      </c>
      <c r="M128" s="3">
        <v>20166</v>
      </c>
      <c r="N128" s="3">
        <v>20227</v>
      </c>
      <c r="O128" s="3">
        <v>20622</v>
      </c>
      <c r="P128" s="3">
        <v>20542</v>
      </c>
      <c r="Q128" s="3">
        <v>20589</v>
      </c>
      <c r="R128" s="3">
        <v>20569</v>
      </c>
      <c r="S128" s="3">
        <v>20522</v>
      </c>
      <c r="T128" s="3">
        <v>20584</v>
      </c>
    </row>
    <row r="129" spans="2:30" s="6" customFormat="1" x14ac:dyDescent="0.25">
      <c r="B129" s="11" t="s">
        <v>112</v>
      </c>
      <c r="C129" s="6">
        <f t="shared" ref="C129" si="362">SUM(C127:C128)</f>
        <v>25681</v>
      </c>
      <c r="D129" s="6">
        <f t="shared" ref="D129" si="363">SUM(D127:D128)</f>
        <v>25607</v>
      </c>
      <c r="E129" s="6">
        <f t="shared" ref="E129" si="364">SUM(E127:E128)</f>
        <v>25536</v>
      </c>
      <c r="F129" s="6">
        <f t="shared" ref="F129" si="365">SUM(F127:F128)</f>
        <v>25573</v>
      </c>
      <c r="G129" s="6">
        <f t="shared" ref="G129" si="366">SUM(G127:G128)</f>
        <v>26518</v>
      </c>
      <c r="H129" s="6">
        <f t="shared" ref="H129" si="367">SUM(H127:H128)</f>
        <v>26531</v>
      </c>
      <c r="I129" s="6">
        <f t="shared" ref="I129" si="368">SUM(I127:I128)</f>
        <v>26637</v>
      </c>
      <c r="J129" s="6">
        <f t="shared" ref="J129" si="369">SUM(J127:J128)</f>
        <v>26636</v>
      </c>
      <c r="K129" s="6">
        <f t="shared" ref="K129:S129" si="370">SUM(K127:K128)</f>
        <v>26885</v>
      </c>
      <c r="L129" s="6">
        <f t="shared" si="370"/>
        <v>26880</v>
      </c>
      <c r="M129" s="6">
        <f t="shared" si="370"/>
        <v>26903</v>
      </c>
      <c r="N129" s="6">
        <f t="shared" si="370"/>
        <v>26933</v>
      </c>
      <c r="O129" s="6">
        <f t="shared" si="370"/>
        <v>27257</v>
      </c>
      <c r="P129" s="6">
        <f t="shared" si="370"/>
        <v>27234</v>
      </c>
      <c r="Q129" s="6">
        <f t="shared" si="370"/>
        <v>27266</v>
      </c>
      <c r="R129" s="6">
        <f t="shared" si="370"/>
        <v>27199</v>
      </c>
      <c r="S129" s="6">
        <f t="shared" si="370"/>
        <v>27130</v>
      </c>
      <c r="T129" s="6">
        <f>SUM(T127:T128)</f>
        <v>27154</v>
      </c>
      <c r="U129" s="6">
        <f t="shared" ref="U129:AD129" si="371">SUM(U127:U128)</f>
        <v>0</v>
      </c>
      <c r="V129" s="6">
        <f t="shared" si="371"/>
        <v>0</v>
      </c>
      <c r="W129" s="6">
        <f t="shared" si="371"/>
        <v>0</v>
      </c>
      <c r="X129" s="6">
        <f t="shared" si="371"/>
        <v>0</v>
      </c>
      <c r="Y129" s="6">
        <f t="shared" si="371"/>
        <v>0</v>
      </c>
      <c r="Z129" s="6">
        <f t="shared" si="371"/>
        <v>0</v>
      </c>
      <c r="AA129" s="6">
        <f t="shared" si="371"/>
        <v>0</v>
      </c>
      <c r="AB129" s="6">
        <f t="shared" si="371"/>
        <v>0</v>
      </c>
      <c r="AC129" s="6">
        <f t="shared" si="371"/>
        <v>0</v>
      </c>
      <c r="AD129" s="6">
        <f t="shared" si="371"/>
        <v>0</v>
      </c>
    </row>
    <row r="130" spans="2:30" s="3" customFormat="1" x14ac:dyDescent="0.25">
      <c r="B130" s="3" t="s">
        <v>113</v>
      </c>
      <c r="C130" s="3">
        <v>1538</v>
      </c>
      <c r="D130" s="3">
        <v>1824</v>
      </c>
      <c r="E130" s="3">
        <v>1853</v>
      </c>
      <c r="F130" s="3">
        <v>1859</v>
      </c>
      <c r="G130" s="3">
        <v>1921</v>
      </c>
      <c r="H130" s="3">
        <v>1946</v>
      </c>
      <c r="I130" s="3">
        <v>1969</v>
      </c>
      <c r="J130" s="3">
        <v>1977</v>
      </c>
      <c r="K130" s="3">
        <v>2053</v>
      </c>
      <c r="L130" s="3">
        <v>2059</v>
      </c>
      <c r="M130" s="3">
        <v>2064</v>
      </c>
      <c r="N130" s="3">
        <v>2047</v>
      </c>
      <c r="O130" s="3">
        <v>2017</v>
      </c>
      <c r="P130" s="3">
        <v>2031</v>
      </c>
      <c r="Q130" s="3">
        <v>2047</v>
      </c>
      <c r="R130" s="3">
        <v>2066</v>
      </c>
      <c r="S130" s="3">
        <v>2255</v>
      </c>
      <c r="T130" s="3">
        <v>2255</v>
      </c>
    </row>
    <row r="131" spans="2:30" s="3" customFormat="1" x14ac:dyDescent="0.25">
      <c r="B131" s="3" t="s">
        <v>116</v>
      </c>
      <c r="C131" s="3">
        <v>930</v>
      </c>
      <c r="D131" s="3">
        <v>936</v>
      </c>
      <c r="E131" s="3">
        <v>947</v>
      </c>
      <c r="F131" s="3">
        <v>952</v>
      </c>
      <c r="G131" s="3">
        <v>939</v>
      </c>
      <c r="H131" s="3">
        <v>942</v>
      </c>
      <c r="I131" s="3">
        <v>945</v>
      </c>
      <c r="J131" s="3">
        <v>947</v>
      </c>
      <c r="K131" s="3">
        <v>925</v>
      </c>
      <c r="L131" s="3">
        <v>926</v>
      </c>
      <c r="M131" s="3">
        <v>928</v>
      </c>
      <c r="N131" s="3">
        <v>923</v>
      </c>
      <c r="O131" s="3">
        <v>896</v>
      </c>
      <c r="P131" s="3">
        <v>894</v>
      </c>
      <c r="Q131" s="3">
        <v>894</v>
      </c>
      <c r="R131" s="3">
        <v>891</v>
      </c>
      <c r="S131" s="3">
        <v>876</v>
      </c>
      <c r="T131" s="3">
        <v>874</v>
      </c>
    </row>
    <row r="132" spans="2:30" s="6" customFormat="1" x14ac:dyDescent="0.25">
      <c r="B132" s="11" t="s">
        <v>114</v>
      </c>
      <c r="C132" s="6">
        <f t="shared" ref="C132" si="372">SUM(C130:C131)</f>
        <v>2468</v>
      </c>
      <c r="D132" s="6">
        <f t="shared" ref="D132" si="373">SUM(D130:D131)</f>
        <v>2760</v>
      </c>
      <c r="E132" s="6">
        <f t="shared" ref="E132" si="374">SUM(E130:E131)</f>
        <v>2800</v>
      </c>
      <c r="F132" s="6">
        <f t="shared" ref="F132" si="375">SUM(F130:F131)</f>
        <v>2811</v>
      </c>
      <c r="G132" s="6">
        <f t="shared" ref="G132" si="376">SUM(G130:G131)</f>
        <v>2860</v>
      </c>
      <c r="H132" s="6">
        <f t="shared" ref="H132" si="377">SUM(H130:H131)</f>
        <v>2888</v>
      </c>
      <c r="I132" s="6">
        <f t="shared" ref="I132" si="378">SUM(I130:I131)</f>
        <v>2914</v>
      </c>
      <c r="J132" s="6">
        <f t="shared" ref="J132" si="379">SUM(J130:J131)</f>
        <v>2924</v>
      </c>
      <c r="K132" s="6">
        <f t="shared" ref="K132:S132" si="380">SUM(K130:K131)</f>
        <v>2978</v>
      </c>
      <c r="L132" s="6">
        <f t="shared" si="380"/>
        <v>2985</v>
      </c>
      <c r="M132" s="6">
        <f t="shared" si="380"/>
        <v>2992</v>
      </c>
      <c r="N132" s="6">
        <f t="shared" si="380"/>
        <v>2970</v>
      </c>
      <c r="O132" s="6">
        <f t="shared" si="380"/>
        <v>2913</v>
      </c>
      <c r="P132" s="6">
        <f t="shared" si="380"/>
        <v>2925</v>
      </c>
      <c r="Q132" s="6">
        <f t="shared" si="380"/>
        <v>2941</v>
      </c>
      <c r="R132" s="6">
        <f t="shared" si="380"/>
        <v>2957</v>
      </c>
      <c r="S132" s="6">
        <f t="shared" si="380"/>
        <v>3131</v>
      </c>
      <c r="T132" s="6">
        <f>SUM(T130:T131)</f>
        <v>3129</v>
      </c>
      <c r="U132" s="6">
        <f t="shared" ref="U132:AD132" si="381">SUM(U130:U131)</f>
        <v>0</v>
      </c>
      <c r="V132" s="6">
        <f t="shared" si="381"/>
        <v>0</v>
      </c>
      <c r="W132" s="6">
        <f t="shared" si="381"/>
        <v>0</v>
      </c>
      <c r="X132" s="6">
        <f t="shared" si="381"/>
        <v>0</v>
      </c>
      <c r="Y132" s="6">
        <f t="shared" si="381"/>
        <v>0</v>
      </c>
      <c r="Z132" s="6">
        <f t="shared" si="381"/>
        <v>0</v>
      </c>
      <c r="AA132" s="6">
        <f t="shared" si="381"/>
        <v>0</v>
      </c>
      <c r="AB132" s="6">
        <f t="shared" si="381"/>
        <v>0</v>
      </c>
      <c r="AC132" s="6">
        <f t="shared" si="381"/>
        <v>0</v>
      </c>
      <c r="AD132" s="6">
        <f t="shared" si="381"/>
        <v>0</v>
      </c>
    </row>
    <row r="133" spans="2:30" s="3" customFormat="1" x14ac:dyDescent="0.25">
      <c r="B133" s="3" t="s">
        <v>115</v>
      </c>
      <c r="C133" s="3">
        <v>9172</v>
      </c>
      <c r="D133" s="3">
        <v>9754</v>
      </c>
      <c r="E133" s="3">
        <v>10391</v>
      </c>
      <c r="F133" s="3">
        <v>10600</v>
      </c>
      <c r="G133" s="3">
        <v>10919</v>
      </c>
      <c r="H133" s="3">
        <v>11181</v>
      </c>
      <c r="I133" s="3">
        <v>11319</v>
      </c>
      <c r="J133" s="3">
        <v>11571</v>
      </c>
      <c r="K133" s="3">
        <v>11889</v>
      </c>
      <c r="L133" s="3">
        <v>11759</v>
      </c>
      <c r="M133" s="3">
        <v>11018</v>
      </c>
      <c r="N133" s="3">
        <v>10503</v>
      </c>
      <c r="O133" s="3">
        <v>9327</v>
      </c>
      <c r="P133" s="3">
        <v>9028</v>
      </c>
      <c r="Q133" s="3">
        <v>8926</v>
      </c>
      <c r="R133" s="3">
        <v>8917</v>
      </c>
      <c r="S133" s="3">
        <v>8862</v>
      </c>
      <c r="T133" s="3">
        <v>8733</v>
      </c>
    </row>
    <row r="134" spans="2:30" s="3" customFormat="1" x14ac:dyDescent="0.25">
      <c r="B134" s="3" t="s">
        <v>117</v>
      </c>
      <c r="C134" s="3">
        <v>1632</v>
      </c>
      <c r="D134" s="3">
        <v>1631</v>
      </c>
      <c r="E134" s="3">
        <v>1629</v>
      </c>
      <c r="F134" s="3">
        <v>1625</v>
      </c>
      <c r="G134" s="3">
        <v>1632</v>
      </c>
      <c r="H134" s="3">
        <v>1628</v>
      </c>
      <c r="I134" s="3">
        <v>1625</v>
      </c>
      <c r="J134" s="3">
        <v>1623</v>
      </c>
      <c r="K134" s="3">
        <v>1632</v>
      </c>
      <c r="L134" s="3">
        <v>1634</v>
      </c>
      <c r="M134" s="3">
        <v>1640</v>
      </c>
      <c r="N134" s="3">
        <v>1642</v>
      </c>
      <c r="O134" s="3">
        <v>1658</v>
      </c>
      <c r="P134" s="3">
        <v>1660</v>
      </c>
      <c r="Q134" s="3">
        <v>1656</v>
      </c>
      <c r="R134" s="3">
        <v>1661</v>
      </c>
      <c r="S134" s="3">
        <v>1649</v>
      </c>
      <c r="T134" s="3">
        <v>1642</v>
      </c>
    </row>
    <row r="135" spans="2:30" s="6" customFormat="1" x14ac:dyDescent="0.25">
      <c r="B135" s="6" t="s">
        <v>118</v>
      </c>
      <c r="C135" s="6">
        <f t="shared" ref="C135" si="382">C126+C129+C132+C133+C134</f>
        <v>43521</v>
      </c>
      <c r="D135" s="6">
        <f t="shared" ref="D135" si="383">D126+D129+D132+D133+D134</f>
        <v>44341</v>
      </c>
      <c r="E135" s="6">
        <f t="shared" ref="E135" si="384">E126+E129+E132+E133+E134</f>
        <v>45071</v>
      </c>
      <c r="F135" s="6">
        <f t="shared" ref="F135" si="385">F126+F129+F132+F133+F134</f>
        <v>45374</v>
      </c>
      <c r="G135" s="6">
        <f t="shared" ref="G135" si="386">G126+G129+G132+G133+G134</f>
        <v>46775</v>
      </c>
      <c r="H135" s="6">
        <f t="shared" ref="H135" si="387">H126+H129+H132+H133+H134</f>
        <v>47051</v>
      </c>
      <c r="I135" s="6">
        <f t="shared" ref="I135" si="388">I126+I129+I132+I133+I134</f>
        <v>47283</v>
      </c>
      <c r="J135" s="6">
        <f t="shared" ref="J135" si="389">J126+J129+J132+J133+J134</f>
        <v>47531</v>
      </c>
      <c r="K135" s="6">
        <f t="shared" ref="K135:S135" si="390">K126+K129+K132+K133+K134</f>
        <v>48124</v>
      </c>
      <c r="L135" s="6">
        <f t="shared" si="390"/>
        <v>47972</v>
      </c>
      <c r="M135" s="6">
        <f t="shared" si="390"/>
        <v>47306</v>
      </c>
      <c r="N135" s="6">
        <f t="shared" si="390"/>
        <v>46829</v>
      </c>
      <c r="O135" s="6">
        <f t="shared" si="390"/>
        <v>46049</v>
      </c>
      <c r="P135" s="6">
        <f t="shared" si="390"/>
        <v>45776</v>
      </c>
      <c r="Q135" s="6">
        <f t="shared" si="390"/>
        <v>45760</v>
      </c>
      <c r="R135" s="6">
        <f t="shared" si="390"/>
        <v>45734</v>
      </c>
      <c r="S135" s="6">
        <f t="shared" si="390"/>
        <v>45833</v>
      </c>
      <c r="T135" s="6">
        <f>T126+T129+T132+T133+T134</f>
        <v>45621</v>
      </c>
      <c r="U135" s="6">
        <f t="shared" ref="U135:AD135" si="391">U126+U129+U132+U133+U134</f>
        <v>0</v>
      </c>
      <c r="V135" s="6">
        <f t="shared" si="391"/>
        <v>0</v>
      </c>
      <c r="W135" s="6">
        <f t="shared" si="391"/>
        <v>0</v>
      </c>
      <c r="X135" s="6">
        <f t="shared" si="391"/>
        <v>0</v>
      </c>
      <c r="Y135" s="6">
        <f t="shared" si="391"/>
        <v>0</v>
      </c>
      <c r="Z135" s="6">
        <f t="shared" si="391"/>
        <v>0</v>
      </c>
      <c r="AA135" s="6">
        <f t="shared" si="391"/>
        <v>0</v>
      </c>
      <c r="AB135" s="6">
        <f t="shared" si="391"/>
        <v>0</v>
      </c>
      <c r="AC135" s="6">
        <f t="shared" si="391"/>
        <v>0</v>
      </c>
      <c r="AD135" s="6">
        <f t="shared" si="391"/>
        <v>0</v>
      </c>
    </row>
    <row r="136" spans="2:30" s="6" customFormat="1" x14ac:dyDescent="0.25"/>
    <row r="137" spans="2:30" s="6" customFormat="1" x14ac:dyDescent="0.25"/>
    <row r="138" spans="2:30" s="6" customFormat="1" x14ac:dyDescent="0.25">
      <c r="B138" s="6" t="s">
        <v>105</v>
      </c>
    </row>
    <row r="139" spans="2:30" s="10" customFormat="1" x14ac:dyDescent="0.25">
      <c r="B139" s="9" t="s">
        <v>107</v>
      </c>
      <c r="G139" s="10">
        <f t="shared" ref="G139:G150" si="392">G124/C124-1</f>
        <v>0.11901504787961703</v>
      </c>
      <c r="H139" s="10">
        <f t="shared" ref="H139:H150" si="393">H124/D124-1</f>
        <v>8.8075880758807568E-2</v>
      </c>
      <c r="I139" s="10">
        <f t="shared" ref="I139:I150" si="394">I124/E124-1</f>
        <v>4.0312093628088519E-2</v>
      </c>
      <c r="J139" s="10">
        <f t="shared" ref="J139:J150" si="395">J124/F124-1</f>
        <v>3.9525691699604737E-2</v>
      </c>
      <c r="K139" s="10">
        <f t="shared" ref="K139:K150" si="396">K124/G124-1</f>
        <v>0.15158924205378965</v>
      </c>
      <c r="L139" s="10">
        <f t="shared" ref="L139:L150" si="397">L124/H124-1</f>
        <v>0.18181818181818188</v>
      </c>
      <c r="M139" s="10">
        <f t="shared" ref="M139:M150" si="398">M124/I124-1</f>
        <v>0.24875000000000003</v>
      </c>
      <c r="N139" s="10">
        <f t="shared" ref="N139:N150" si="399">N124/J124-1</f>
        <v>0.29911280101394166</v>
      </c>
      <c r="O139" s="10">
        <f t="shared" ref="O139:S150" si="400">O124/K124-1</f>
        <v>0.32271762208067933</v>
      </c>
      <c r="P139" s="10">
        <f t="shared" si="400"/>
        <v>0.34984193888303472</v>
      </c>
      <c r="Q139" s="10">
        <f t="shared" si="400"/>
        <v>0.30030030030030019</v>
      </c>
      <c r="R139" s="10">
        <f t="shared" si="400"/>
        <v>0.25560975609756098</v>
      </c>
      <c r="S139" s="10">
        <f t="shared" si="400"/>
        <v>0.14205457463884441</v>
      </c>
      <c r="T139" s="10">
        <f>T124/P124-1</f>
        <v>5.2302888368462197E-2</v>
      </c>
      <c r="U139" s="10">
        <f t="shared" ref="U139:AD150" si="401">U124/Q124-1</f>
        <v>-1</v>
      </c>
      <c r="V139" s="10">
        <f t="shared" si="401"/>
        <v>-1</v>
      </c>
      <c r="W139" s="10">
        <f t="shared" si="401"/>
        <v>-1</v>
      </c>
      <c r="X139" s="10">
        <f t="shared" si="401"/>
        <v>-1</v>
      </c>
      <c r="Y139" s="10" t="e">
        <f t="shared" si="401"/>
        <v>#DIV/0!</v>
      </c>
      <c r="Z139" s="10" t="e">
        <f t="shared" si="401"/>
        <v>#DIV/0!</v>
      </c>
      <c r="AA139" s="10" t="e">
        <f t="shared" si="401"/>
        <v>#DIV/0!</v>
      </c>
      <c r="AB139" s="10" t="e">
        <f t="shared" si="401"/>
        <v>#DIV/0!</v>
      </c>
      <c r="AC139" s="10" t="e">
        <f t="shared" si="401"/>
        <v>#DIV/0!</v>
      </c>
      <c r="AD139" s="10" t="e">
        <f t="shared" si="401"/>
        <v>#DIV/0!</v>
      </c>
    </row>
    <row r="140" spans="2:30" s="10" customFormat="1" x14ac:dyDescent="0.25">
      <c r="B140" s="9" t="s">
        <v>108</v>
      </c>
      <c r="G140" s="10">
        <f t="shared" si="392"/>
        <v>4.9778472765181103E-2</v>
      </c>
      <c r="H140" s="10">
        <f t="shared" si="393"/>
        <v>4.3884705271358015E-2</v>
      </c>
      <c r="I140" s="10">
        <f t="shared" si="394"/>
        <v>1.0643689812468216E-2</v>
      </c>
      <c r="J140" s="10">
        <f t="shared" si="395"/>
        <v>-4.4932601098351954E-3</v>
      </c>
      <c r="K140" s="10">
        <f t="shared" si="396"/>
        <v>-5.7100297914597808E-2</v>
      </c>
      <c r="L140" s="10">
        <f t="shared" si="397"/>
        <v>-6.3432835820895539E-2</v>
      </c>
      <c r="M140" s="10">
        <f t="shared" si="398"/>
        <v>-5.8676028084252763E-2</v>
      </c>
      <c r="N140" s="10">
        <f t="shared" si="399"/>
        <v>-5.8174523570712178E-2</v>
      </c>
      <c r="O140" s="10">
        <f t="shared" si="400"/>
        <v>-3.9494470774091628E-2</v>
      </c>
      <c r="P140" s="10">
        <f t="shared" si="400"/>
        <v>-3.1075697211155329E-2</v>
      </c>
      <c r="Q140" s="10">
        <f t="shared" si="400"/>
        <v>-2.1843367075119913E-2</v>
      </c>
      <c r="R140" s="10">
        <f t="shared" si="400"/>
        <v>-1.1448349307774275E-2</v>
      </c>
      <c r="S140" s="10">
        <f t="shared" si="400"/>
        <v>-2.7412280701754055E-3</v>
      </c>
      <c r="T140" s="10">
        <f t="shared" ref="T140:T150" si="402">T125/P125-1</f>
        <v>-9.0460526315789824E-3</v>
      </c>
      <c r="U140" s="10">
        <f t="shared" si="401"/>
        <v>-1</v>
      </c>
      <c r="V140" s="10">
        <f t="shared" si="401"/>
        <v>-1</v>
      </c>
      <c r="W140" s="10">
        <f t="shared" si="401"/>
        <v>-1</v>
      </c>
      <c r="X140" s="10">
        <f t="shared" si="401"/>
        <v>-1</v>
      </c>
      <c r="Y140" s="10" t="e">
        <f t="shared" si="401"/>
        <v>#DIV/0!</v>
      </c>
      <c r="Z140" s="10" t="e">
        <f t="shared" si="401"/>
        <v>#DIV/0!</v>
      </c>
      <c r="AA140" s="10" t="e">
        <f t="shared" si="401"/>
        <v>#DIV/0!</v>
      </c>
      <c r="AB140" s="10" t="e">
        <f t="shared" si="401"/>
        <v>#DIV/0!</v>
      </c>
      <c r="AC140" s="10" t="e">
        <f t="shared" si="401"/>
        <v>#DIV/0!</v>
      </c>
      <c r="AD140" s="10" t="e">
        <f t="shared" si="401"/>
        <v>#DIV/0!</v>
      </c>
    </row>
    <row r="141" spans="2:30" s="10" customFormat="1" x14ac:dyDescent="0.25">
      <c r="B141" s="14" t="s">
        <v>109</v>
      </c>
      <c r="G141" s="10">
        <f t="shared" si="392"/>
        <v>6.0858143607705806E-2</v>
      </c>
      <c r="H141" s="10">
        <f t="shared" si="393"/>
        <v>5.0991501416430607E-2</v>
      </c>
      <c r="I141" s="10">
        <f t="shared" si="394"/>
        <v>1.5482502651113395E-2</v>
      </c>
      <c r="J141" s="10">
        <f t="shared" si="395"/>
        <v>2.5183630640084331E-3</v>
      </c>
      <c r="K141" s="10">
        <f t="shared" si="396"/>
        <v>-2.1873710276516745E-2</v>
      </c>
      <c r="L141" s="10">
        <f t="shared" si="397"/>
        <v>-2.2600041467966014E-2</v>
      </c>
      <c r="M141" s="10">
        <f t="shared" si="398"/>
        <v>-7.309941520467822E-3</v>
      </c>
      <c r="N141" s="10">
        <f t="shared" si="399"/>
        <v>8.3734561440240718E-4</v>
      </c>
      <c r="O141" s="10">
        <f t="shared" si="400"/>
        <v>3.2489451476793274E-2</v>
      </c>
      <c r="P141" s="10">
        <f t="shared" si="400"/>
        <v>4.5608824777259249E-2</v>
      </c>
      <c r="Q141" s="10">
        <f t="shared" si="400"/>
        <v>4.5865768988007538E-2</v>
      </c>
      <c r="R141" s="10">
        <f t="shared" si="400"/>
        <v>4.580631667015278E-2</v>
      </c>
      <c r="S141" s="10">
        <f t="shared" si="400"/>
        <v>3.412341642827954E-2</v>
      </c>
      <c r="T141" s="10">
        <f t="shared" si="402"/>
        <v>6.8979509028199715E-3</v>
      </c>
      <c r="U141" s="10">
        <f t="shared" si="401"/>
        <v>-1</v>
      </c>
      <c r="V141" s="10">
        <f t="shared" si="401"/>
        <v>-1</v>
      </c>
      <c r="W141" s="10">
        <f t="shared" si="401"/>
        <v>-1</v>
      </c>
      <c r="X141" s="10">
        <f t="shared" si="401"/>
        <v>-1</v>
      </c>
      <c r="Y141" s="10" t="e">
        <f t="shared" si="401"/>
        <v>#DIV/0!</v>
      </c>
      <c r="Z141" s="10" t="e">
        <f t="shared" si="401"/>
        <v>#DIV/0!</v>
      </c>
      <c r="AA141" s="10" t="e">
        <f t="shared" si="401"/>
        <v>#DIV/0!</v>
      </c>
      <c r="AB141" s="10" t="e">
        <f t="shared" si="401"/>
        <v>#DIV/0!</v>
      </c>
      <c r="AC141" s="10" t="e">
        <f t="shared" si="401"/>
        <v>#DIV/0!</v>
      </c>
      <c r="AD141" s="10" t="e">
        <f t="shared" si="401"/>
        <v>#DIV/0!</v>
      </c>
    </row>
    <row r="142" spans="2:30" s="10" customFormat="1" x14ac:dyDescent="0.25">
      <c r="B142" s="9" t="s">
        <v>110</v>
      </c>
      <c r="G142" s="10">
        <f t="shared" si="392"/>
        <v>3.3084657800843242E-2</v>
      </c>
      <c r="H142" s="10">
        <f t="shared" si="393"/>
        <v>3.3680834001603932E-2</v>
      </c>
      <c r="I142" s="10">
        <f t="shared" si="394"/>
        <v>4.6545572494323784E-2</v>
      </c>
      <c r="J142" s="10">
        <f t="shared" si="395"/>
        <v>4.5969569439948232E-2</v>
      </c>
      <c r="K142" s="10">
        <f t="shared" si="396"/>
        <v>3.7205651491365677E-2</v>
      </c>
      <c r="L142" s="10">
        <f t="shared" si="397"/>
        <v>4.2668735453840201E-2</v>
      </c>
      <c r="M142" s="10">
        <f t="shared" si="398"/>
        <v>4.4010537734387123E-2</v>
      </c>
      <c r="N142" s="10">
        <f t="shared" si="399"/>
        <v>3.7759207675642115E-2</v>
      </c>
      <c r="O142" s="10">
        <f t="shared" si="400"/>
        <v>4.2379294687453495E-3</v>
      </c>
      <c r="P142" s="10">
        <f t="shared" si="400"/>
        <v>-4.1666666666666519E-3</v>
      </c>
      <c r="Q142" s="10">
        <f t="shared" si="400"/>
        <v>-8.9060412646578824E-3</v>
      </c>
      <c r="R142" s="10">
        <f t="shared" si="400"/>
        <v>-1.1333134506412157E-2</v>
      </c>
      <c r="S142" s="10">
        <f t="shared" si="400"/>
        <v>-4.0693293142426423E-3</v>
      </c>
      <c r="T142" s="10">
        <f t="shared" si="402"/>
        <v>-1.8230723251643766E-2</v>
      </c>
      <c r="U142" s="10">
        <f t="shared" si="401"/>
        <v>-1</v>
      </c>
      <c r="V142" s="10">
        <f t="shared" si="401"/>
        <v>-1</v>
      </c>
      <c r="W142" s="10">
        <f t="shared" si="401"/>
        <v>-1</v>
      </c>
      <c r="X142" s="10">
        <f t="shared" si="401"/>
        <v>-1</v>
      </c>
      <c r="Y142" s="10" t="e">
        <f t="shared" si="401"/>
        <v>#DIV/0!</v>
      </c>
      <c r="Z142" s="10" t="e">
        <f t="shared" si="401"/>
        <v>#DIV/0!</v>
      </c>
      <c r="AA142" s="10" t="e">
        <f t="shared" si="401"/>
        <v>#DIV/0!</v>
      </c>
      <c r="AB142" s="10" t="e">
        <f t="shared" si="401"/>
        <v>#DIV/0!</v>
      </c>
      <c r="AC142" s="10" t="e">
        <f t="shared" si="401"/>
        <v>#DIV/0!</v>
      </c>
      <c r="AD142" s="10" t="e">
        <f t="shared" si="401"/>
        <v>#DIV/0!</v>
      </c>
    </row>
    <row r="143" spans="2:30" s="10" customFormat="1" x14ac:dyDescent="0.25">
      <c r="B143" s="9" t="s">
        <v>111</v>
      </c>
      <c r="G143" s="10">
        <f t="shared" si="392"/>
        <v>3.2436587240584069E-2</v>
      </c>
      <c r="H143" s="10">
        <f t="shared" si="393"/>
        <v>3.6857319843072389E-2</v>
      </c>
      <c r="I143" s="10">
        <f t="shared" si="394"/>
        <v>4.2023748064016431E-2</v>
      </c>
      <c r="J143" s="10">
        <f t="shared" si="395"/>
        <v>4.0164990977055837E-2</v>
      </c>
      <c r="K143" s="10">
        <f t="shared" si="396"/>
        <v>6.452253325392121E-3</v>
      </c>
      <c r="L143" s="10">
        <f t="shared" si="397"/>
        <v>3.6841581200837137E-3</v>
      </c>
      <c r="M143" s="10">
        <f t="shared" si="398"/>
        <v>-8.9179548156959054E-4</v>
      </c>
      <c r="N143" s="10">
        <f t="shared" si="399"/>
        <v>2.627143848517921E-3</v>
      </c>
      <c r="O143" s="10">
        <f t="shared" si="400"/>
        <v>1.6964197652628465E-2</v>
      </c>
      <c r="P143" s="10">
        <f t="shared" si="400"/>
        <v>1.8948412698412742E-2</v>
      </c>
      <c r="Q143" s="10">
        <f t="shared" si="400"/>
        <v>2.0975900029753136E-2</v>
      </c>
      <c r="R143" s="10">
        <f t="shared" si="400"/>
        <v>1.6908093142828928E-2</v>
      </c>
      <c r="S143" s="10">
        <f t="shared" si="400"/>
        <v>-4.8491901852391051E-3</v>
      </c>
      <c r="T143" s="10">
        <f t="shared" si="402"/>
        <v>2.0445915684939031E-3</v>
      </c>
      <c r="U143" s="10">
        <f t="shared" si="401"/>
        <v>-1</v>
      </c>
      <c r="V143" s="10">
        <f t="shared" si="401"/>
        <v>-1</v>
      </c>
      <c r="W143" s="10">
        <f t="shared" si="401"/>
        <v>-1</v>
      </c>
      <c r="X143" s="10">
        <f t="shared" si="401"/>
        <v>-1</v>
      </c>
      <c r="Y143" s="10" t="e">
        <f t="shared" si="401"/>
        <v>#DIV/0!</v>
      </c>
      <c r="Z143" s="10" t="e">
        <f t="shared" si="401"/>
        <v>#DIV/0!</v>
      </c>
      <c r="AA143" s="10" t="e">
        <f t="shared" si="401"/>
        <v>#DIV/0!</v>
      </c>
      <c r="AB143" s="10" t="e">
        <f t="shared" si="401"/>
        <v>#DIV/0!</v>
      </c>
      <c r="AC143" s="10" t="e">
        <f t="shared" si="401"/>
        <v>#DIV/0!</v>
      </c>
      <c r="AD143" s="10" t="e">
        <f t="shared" si="401"/>
        <v>#DIV/0!</v>
      </c>
    </row>
    <row r="144" spans="2:30" s="10" customFormat="1" x14ac:dyDescent="0.25">
      <c r="B144" s="14" t="s">
        <v>112</v>
      </c>
      <c r="G144" s="10">
        <f t="shared" si="392"/>
        <v>3.2592188777695652E-2</v>
      </c>
      <c r="H144" s="10">
        <f t="shared" si="393"/>
        <v>3.6083883313156484E-2</v>
      </c>
      <c r="I144" s="10">
        <f t="shared" si="394"/>
        <v>4.3115601503759482E-2</v>
      </c>
      <c r="J144" s="10">
        <f t="shared" si="395"/>
        <v>4.1567277988503459E-2</v>
      </c>
      <c r="K144" s="10">
        <f t="shared" si="396"/>
        <v>1.3839656082660801E-2</v>
      </c>
      <c r="L144" s="10">
        <f t="shared" si="397"/>
        <v>1.3154423127661907E-2</v>
      </c>
      <c r="M144" s="10">
        <f t="shared" si="398"/>
        <v>9.9861095468709582E-3</v>
      </c>
      <c r="N144" s="10">
        <f t="shared" si="399"/>
        <v>1.115032287130191E-2</v>
      </c>
      <c r="O144" s="10">
        <f t="shared" si="400"/>
        <v>1.383671192114555E-2</v>
      </c>
      <c r="P144" s="10">
        <f t="shared" si="400"/>
        <v>1.3169642857142838E-2</v>
      </c>
      <c r="Q144" s="10">
        <f t="shared" si="400"/>
        <v>1.3492919005315462E-2</v>
      </c>
      <c r="R144" s="10">
        <f t="shared" si="400"/>
        <v>9.876359855938821E-3</v>
      </c>
      <c r="S144" s="10">
        <f t="shared" si="400"/>
        <v>-4.6593535605532477E-3</v>
      </c>
      <c r="T144" s="10">
        <f t="shared" si="402"/>
        <v>-2.93750458985087E-3</v>
      </c>
      <c r="U144" s="10">
        <f t="shared" si="401"/>
        <v>-1</v>
      </c>
      <c r="V144" s="10">
        <f t="shared" si="401"/>
        <v>-1</v>
      </c>
      <c r="W144" s="10">
        <f t="shared" si="401"/>
        <v>-1</v>
      </c>
      <c r="X144" s="10">
        <f t="shared" si="401"/>
        <v>-1</v>
      </c>
      <c r="Y144" s="10" t="e">
        <f t="shared" si="401"/>
        <v>#DIV/0!</v>
      </c>
      <c r="Z144" s="10" t="e">
        <f t="shared" si="401"/>
        <v>#DIV/0!</v>
      </c>
      <c r="AA144" s="10" t="e">
        <f t="shared" si="401"/>
        <v>#DIV/0!</v>
      </c>
      <c r="AB144" s="10" t="e">
        <f t="shared" si="401"/>
        <v>#DIV/0!</v>
      </c>
      <c r="AC144" s="10" t="e">
        <f t="shared" si="401"/>
        <v>#DIV/0!</v>
      </c>
      <c r="AD144" s="10" t="e">
        <f t="shared" si="401"/>
        <v>#DIV/0!</v>
      </c>
    </row>
    <row r="145" spans="2:30" s="10" customFormat="1" x14ac:dyDescent="0.25">
      <c r="B145" s="9" t="s">
        <v>113</v>
      </c>
      <c r="G145" s="10">
        <f t="shared" si="392"/>
        <v>0.2490247074122236</v>
      </c>
      <c r="H145" s="10">
        <f t="shared" si="393"/>
        <v>6.6885964912280604E-2</v>
      </c>
      <c r="I145" s="10">
        <f t="shared" si="394"/>
        <v>6.2601187263896296E-2</v>
      </c>
      <c r="J145" s="10">
        <f t="shared" si="395"/>
        <v>6.3474986551909529E-2</v>
      </c>
      <c r="K145" s="10">
        <f t="shared" si="396"/>
        <v>6.8714211348256171E-2</v>
      </c>
      <c r="L145" s="10">
        <f t="shared" si="397"/>
        <v>5.8067831449126306E-2</v>
      </c>
      <c r="M145" s="10">
        <f t="shared" si="398"/>
        <v>4.8247841543930914E-2</v>
      </c>
      <c r="N145" s="10">
        <f t="shared" si="399"/>
        <v>3.5407182599898945E-2</v>
      </c>
      <c r="O145" s="10">
        <f t="shared" si="400"/>
        <v>-1.7535314174378924E-2</v>
      </c>
      <c r="P145" s="10">
        <f t="shared" si="400"/>
        <v>-1.3598834385624037E-2</v>
      </c>
      <c r="Q145" s="10">
        <f t="shared" si="400"/>
        <v>-8.2364341085271464E-3</v>
      </c>
      <c r="R145" s="10">
        <f t="shared" si="400"/>
        <v>9.2818759159745134E-3</v>
      </c>
      <c r="S145" s="10">
        <f t="shared" si="400"/>
        <v>0.11799702528507683</v>
      </c>
      <c r="T145" s="10">
        <f t="shared" si="402"/>
        <v>0.11029049729197449</v>
      </c>
      <c r="U145" s="10">
        <f t="shared" si="401"/>
        <v>-1</v>
      </c>
      <c r="V145" s="10">
        <f t="shared" si="401"/>
        <v>-1</v>
      </c>
      <c r="W145" s="10">
        <f t="shared" si="401"/>
        <v>-1</v>
      </c>
      <c r="X145" s="10">
        <f t="shared" si="401"/>
        <v>-1</v>
      </c>
      <c r="Y145" s="10" t="e">
        <f t="shared" si="401"/>
        <v>#DIV/0!</v>
      </c>
      <c r="Z145" s="10" t="e">
        <f t="shared" si="401"/>
        <v>#DIV/0!</v>
      </c>
      <c r="AA145" s="10" t="e">
        <f t="shared" si="401"/>
        <v>#DIV/0!</v>
      </c>
      <c r="AB145" s="10" t="e">
        <f t="shared" si="401"/>
        <v>#DIV/0!</v>
      </c>
      <c r="AC145" s="10" t="e">
        <f t="shared" si="401"/>
        <v>#DIV/0!</v>
      </c>
      <c r="AD145" s="10" t="e">
        <f t="shared" si="401"/>
        <v>#DIV/0!</v>
      </c>
    </row>
    <row r="146" spans="2:30" s="10" customFormat="1" x14ac:dyDescent="0.25">
      <c r="B146" s="9" t="s">
        <v>116</v>
      </c>
      <c r="G146" s="10">
        <f t="shared" si="392"/>
        <v>9.6774193548387899E-3</v>
      </c>
      <c r="H146" s="10">
        <f t="shared" si="393"/>
        <v>6.4102564102563875E-3</v>
      </c>
      <c r="I146" s="10">
        <f t="shared" si="394"/>
        <v>-2.1119324181626542E-3</v>
      </c>
      <c r="J146" s="10">
        <f t="shared" si="395"/>
        <v>-5.2521008403361158E-3</v>
      </c>
      <c r="K146" s="10">
        <f t="shared" si="396"/>
        <v>-1.4909478168264156E-2</v>
      </c>
      <c r="L146" s="10">
        <f t="shared" si="397"/>
        <v>-1.6985138004246281E-2</v>
      </c>
      <c r="M146" s="10">
        <f t="shared" si="398"/>
        <v>-1.7989417989418E-2</v>
      </c>
      <c r="N146" s="10">
        <f t="shared" si="399"/>
        <v>-2.5343189017951406E-2</v>
      </c>
      <c r="O146" s="10">
        <f t="shared" si="400"/>
        <v>-3.1351351351351364E-2</v>
      </c>
      <c r="P146" s="10">
        <f t="shared" si="400"/>
        <v>-3.4557235421166288E-2</v>
      </c>
      <c r="Q146" s="10">
        <f t="shared" si="400"/>
        <v>-3.6637931034482762E-2</v>
      </c>
      <c r="R146" s="10">
        <f t="shared" si="400"/>
        <v>-3.4669555796316365E-2</v>
      </c>
      <c r="S146" s="10">
        <f t="shared" si="400"/>
        <v>-2.2321428571428603E-2</v>
      </c>
      <c r="T146" s="10">
        <f t="shared" si="402"/>
        <v>-2.2371364653243853E-2</v>
      </c>
      <c r="U146" s="10">
        <f t="shared" si="401"/>
        <v>-1</v>
      </c>
      <c r="V146" s="10">
        <f t="shared" si="401"/>
        <v>-1</v>
      </c>
      <c r="W146" s="10">
        <f t="shared" si="401"/>
        <v>-1</v>
      </c>
      <c r="X146" s="10">
        <f t="shared" si="401"/>
        <v>-1</v>
      </c>
      <c r="Y146" s="10" t="e">
        <f t="shared" si="401"/>
        <v>#DIV/0!</v>
      </c>
      <c r="Z146" s="10" t="e">
        <f t="shared" si="401"/>
        <v>#DIV/0!</v>
      </c>
      <c r="AA146" s="10" t="e">
        <f t="shared" si="401"/>
        <v>#DIV/0!</v>
      </c>
      <c r="AB146" s="10" t="e">
        <f t="shared" si="401"/>
        <v>#DIV/0!</v>
      </c>
      <c r="AC146" s="10" t="e">
        <f t="shared" si="401"/>
        <v>#DIV/0!</v>
      </c>
      <c r="AD146" s="10" t="e">
        <f t="shared" si="401"/>
        <v>#DIV/0!</v>
      </c>
    </row>
    <row r="147" spans="2:30" s="10" customFormat="1" x14ac:dyDescent="0.25">
      <c r="B147" s="14" t="s">
        <v>114</v>
      </c>
      <c r="G147" s="10">
        <f t="shared" si="392"/>
        <v>0.1588330632090762</v>
      </c>
      <c r="H147" s="10">
        <f t="shared" si="393"/>
        <v>4.6376811594202927E-2</v>
      </c>
      <c r="I147" s="10">
        <f t="shared" si="394"/>
        <v>4.0714285714285703E-2</v>
      </c>
      <c r="J147" s="10">
        <f t="shared" si="395"/>
        <v>4.0199217360370021E-2</v>
      </c>
      <c r="K147" s="10">
        <f t="shared" si="396"/>
        <v>4.1258741258741294E-2</v>
      </c>
      <c r="L147" s="10">
        <f t="shared" si="397"/>
        <v>3.3587257617728516E-2</v>
      </c>
      <c r="M147" s="10">
        <f t="shared" si="398"/>
        <v>2.6767330130404998E-2</v>
      </c>
      <c r="N147" s="10">
        <f t="shared" si="399"/>
        <v>1.5731874145006763E-2</v>
      </c>
      <c r="O147" s="10">
        <f t="shared" si="400"/>
        <v>-2.1826729348556118E-2</v>
      </c>
      <c r="P147" s="10">
        <f t="shared" si="400"/>
        <v>-2.010050251256279E-2</v>
      </c>
      <c r="Q147" s="10">
        <f t="shared" si="400"/>
        <v>-1.7045454545454586E-2</v>
      </c>
      <c r="R147" s="10">
        <f t="shared" si="400"/>
        <v>-4.3771043771043683E-3</v>
      </c>
      <c r="S147" s="10">
        <f t="shared" si="400"/>
        <v>7.4836937864744213E-2</v>
      </c>
      <c r="T147" s="10">
        <f t="shared" si="402"/>
        <v>6.9743589743589851E-2</v>
      </c>
      <c r="U147" s="10">
        <f t="shared" si="401"/>
        <v>-1</v>
      </c>
      <c r="V147" s="10">
        <f t="shared" si="401"/>
        <v>-1</v>
      </c>
      <c r="W147" s="10">
        <f t="shared" si="401"/>
        <v>-1</v>
      </c>
      <c r="X147" s="10">
        <f t="shared" si="401"/>
        <v>-1</v>
      </c>
      <c r="Y147" s="10" t="e">
        <f t="shared" si="401"/>
        <v>#DIV/0!</v>
      </c>
      <c r="Z147" s="10" t="e">
        <f t="shared" si="401"/>
        <v>#DIV/0!</v>
      </c>
      <c r="AA147" s="10" t="e">
        <f t="shared" si="401"/>
        <v>#DIV/0!</v>
      </c>
      <c r="AB147" s="10" t="e">
        <f t="shared" si="401"/>
        <v>#DIV/0!</v>
      </c>
      <c r="AC147" s="10" t="e">
        <f t="shared" si="401"/>
        <v>#DIV/0!</v>
      </c>
      <c r="AD147" s="10" t="e">
        <f t="shared" si="401"/>
        <v>#DIV/0!</v>
      </c>
    </row>
    <row r="148" spans="2:30" s="10" customFormat="1" x14ac:dyDescent="0.25">
      <c r="B148" s="9" t="s">
        <v>115</v>
      </c>
      <c r="G148" s="10">
        <f t="shared" si="392"/>
        <v>0.19047099869167039</v>
      </c>
      <c r="H148" s="10">
        <f t="shared" si="393"/>
        <v>0.14629895427516915</v>
      </c>
      <c r="I148" s="10">
        <f t="shared" si="394"/>
        <v>8.930805504763728E-2</v>
      </c>
      <c r="J148" s="10">
        <f t="shared" si="395"/>
        <v>9.1603773584905568E-2</v>
      </c>
      <c r="K148" s="10">
        <f t="shared" si="396"/>
        <v>8.8835973990292194E-2</v>
      </c>
      <c r="L148" s="10">
        <f t="shared" si="397"/>
        <v>5.1694839459797803E-2</v>
      </c>
      <c r="M148" s="10">
        <f t="shared" si="398"/>
        <v>-2.6592455163883755E-2</v>
      </c>
      <c r="N148" s="10">
        <f t="shared" si="399"/>
        <v>-9.2299714804252031E-2</v>
      </c>
      <c r="O148" s="10">
        <f t="shared" si="400"/>
        <v>-0.21549331314660614</v>
      </c>
      <c r="P148" s="10">
        <f t="shared" si="400"/>
        <v>-0.23224764010545118</v>
      </c>
      <c r="Q148" s="10">
        <f t="shared" si="400"/>
        <v>-0.18987111998547834</v>
      </c>
      <c r="R148" s="10">
        <f t="shared" si="400"/>
        <v>-0.15100447491192992</v>
      </c>
      <c r="S148" s="10">
        <f t="shared" si="400"/>
        <v>-4.985525892569953E-2</v>
      </c>
      <c r="T148" s="10">
        <f t="shared" si="402"/>
        <v>-3.2676118741692517E-2</v>
      </c>
      <c r="U148" s="10">
        <f t="shared" si="401"/>
        <v>-1</v>
      </c>
      <c r="V148" s="10">
        <f t="shared" si="401"/>
        <v>-1</v>
      </c>
      <c r="W148" s="10">
        <f t="shared" si="401"/>
        <v>-1</v>
      </c>
      <c r="X148" s="10">
        <f t="shared" si="401"/>
        <v>-1</v>
      </c>
      <c r="Y148" s="10" t="e">
        <f t="shared" si="401"/>
        <v>#DIV/0!</v>
      </c>
      <c r="Z148" s="10" t="e">
        <f t="shared" si="401"/>
        <v>#DIV/0!</v>
      </c>
      <c r="AA148" s="10" t="e">
        <f t="shared" si="401"/>
        <v>#DIV/0!</v>
      </c>
      <c r="AB148" s="10" t="e">
        <f t="shared" si="401"/>
        <v>#DIV/0!</v>
      </c>
      <c r="AC148" s="10" t="e">
        <f t="shared" si="401"/>
        <v>#DIV/0!</v>
      </c>
      <c r="AD148" s="10" t="e">
        <f t="shared" si="401"/>
        <v>#DIV/0!</v>
      </c>
    </row>
    <row r="149" spans="2:30" s="10" customFormat="1" x14ac:dyDescent="0.25">
      <c r="B149" s="9" t="s">
        <v>117</v>
      </c>
      <c r="G149" s="10">
        <f t="shared" si="392"/>
        <v>0</v>
      </c>
      <c r="H149" s="10">
        <f t="shared" si="393"/>
        <v>-1.8393623543838666E-3</v>
      </c>
      <c r="I149" s="10">
        <f t="shared" si="394"/>
        <v>-2.4554941682013443E-3</v>
      </c>
      <c r="J149" s="10">
        <f t="shared" si="395"/>
        <v>-1.2307692307692575E-3</v>
      </c>
      <c r="K149" s="10">
        <f t="shared" si="396"/>
        <v>0</v>
      </c>
      <c r="L149" s="10">
        <f t="shared" si="397"/>
        <v>3.6855036855036882E-3</v>
      </c>
      <c r="M149" s="10">
        <f t="shared" si="398"/>
        <v>9.2307692307691536E-3</v>
      </c>
      <c r="N149" s="10">
        <f t="shared" si="399"/>
        <v>1.1706715958102354E-2</v>
      </c>
      <c r="O149" s="10">
        <f t="shared" si="400"/>
        <v>1.5931372549019551E-2</v>
      </c>
      <c r="P149" s="10">
        <f t="shared" si="400"/>
        <v>1.591187270501826E-2</v>
      </c>
      <c r="Q149" s="10">
        <f t="shared" si="400"/>
        <v>9.7560975609756184E-3</v>
      </c>
      <c r="R149" s="10">
        <f t="shared" si="400"/>
        <v>1.1571254567600553E-2</v>
      </c>
      <c r="S149" s="10">
        <f t="shared" si="400"/>
        <v>-5.4282267792521433E-3</v>
      </c>
      <c r="T149" s="10">
        <f t="shared" si="402"/>
        <v>-1.0843373493975905E-2</v>
      </c>
      <c r="U149" s="10">
        <f t="shared" si="401"/>
        <v>-1</v>
      </c>
      <c r="V149" s="10">
        <f t="shared" si="401"/>
        <v>-1</v>
      </c>
      <c r="W149" s="10">
        <f t="shared" si="401"/>
        <v>-1</v>
      </c>
      <c r="X149" s="10">
        <f t="shared" si="401"/>
        <v>-1</v>
      </c>
      <c r="Y149" s="10" t="e">
        <f t="shared" si="401"/>
        <v>#DIV/0!</v>
      </c>
      <c r="Z149" s="10" t="e">
        <f t="shared" si="401"/>
        <v>#DIV/0!</v>
      </c>
      <c r="AA149" s="10" t="e">
        <f t="shared" si="401"/>
        <v>#DIV/0!</v>
      </c>
      <c r="AB149" s="10" t="e">
        <f t="shared" si="401"/>
        <v>#DIV/0!</v>
      </c>
      <c r="AC149" s="10" t="e">
        <f t="shared" si="401"/>
        <v>#DIV/0!</v>
      </c>
      <c r="AD149" s="10" t="e">
        <f t="shared" si="401"/>
        <v>#DIV/0!</v>
      </c>
    </row>
    <row r="150" spans="2:30" s="10" customFormat="1" x14ac:dyDescent="0.25">
      <c r="B150" s="10" t="s">
        <v>118</v>
      </c>
      <c r="G150" s="10">
        <f t="shared" si="392"/>
        <v>7.4768502561981531E-2</v>
      </c>
      <c r="H150" s="10">
        <f t="shared" si="393"/>
        <v>6.11172504003068E-2</v>
      </c>
      <c r="I150" s="10">
        <f t="shared" si="394"/>
        <v>4.9078121186572288E-2</v>
      </c>
      <c r="J150" s="10">
        <f t="shared" si="395"/>
        <v>4.7538237757305923E-2</v>
      </c>
      <c r="K150" s="10">
        <f t="shared" si="396"/>
        <v>2.8840192410475751E-2</v>
      </c>
      <c r="L150" s="10">
        <f t="shared" si="397"/>
        <v>1.9574504261333336E-2</v>
      </c>
      <c r="M150" s="10">
        <f t="shared" si="398"/>
        <v>4.8643275595883217E-4</v>
      </c>
      <c r="N150" s="10">
        <f t="shared" si="399"/>
        <v>-1.4769308451326513E-2</v>
      </c>
      <c r="O150" s="10">
        <f t="shared" si="400"/>
        <v>-4.3117779070733886E-2</v>
      </c>
      <c r="P150" s="10">
        <f t="shared" si="400"/>
        <v>-4.5776703076794822E-2</v>
      </c>
      <c r="Q150" s="10">
        <f t="shared" si="400"/>
        <v>-3.2680843867585518E-2</v>
      </c>
      <c r="R150" s="10">
        <f t="shared" si="400"/>
        <v>-2.3382946464797438E-2</v>
      </c>
      <c r="S150" s="10">
        <f t="shared" si="400"/>
        <v>-4.6906556059849169E-3</v>
      </c>
      <c r="T150" s="10">
        <f t="shared" si="402"/>
        <v>-3.3860538273331464E-3</v>
      </c>
      <c r="U150" s="10">
        <f t="shared" si="401"/>
        <v>-1</v>
      </c>
      <c r="V150" s="10">
        <f t="shared" si="401"/>
        <v>-1</v>
      </c>
      <c r="W150" s="10">
        <f t="shared" si="401"/>
        <v>-1</v>
      </c>
      <c r="X150" s="10">
        <f t="shared" si="401"/>
        <v>-1</v>
      </c>
      <c r="Y150" s="10" t="e">
        <f t="shared" si="401"/>
        <v>#DIV/0!</v>
      </c>
      <c r="Z150" s="10" t="e">
        <f t="shared" si="401"/>
        <v>#DIV/0!</v>
      </c>
      <c r="AA150" s="10" t="e">
        <f t="shared" si="401"/>
        <v>#DIV/0!</v>
      </c>
      <c r="AB150" s="10" t="e">
        <f t="shared" si="401"/>
        <v>#DIV/0!</v>
      </c>
      <c r="AC150" s="10" t="e">
        <f t="shared" si="401"/>
        <v>#DIV/0!</v>
      </c>
      <c r="AD150" s="10" t="e">
        <f t="shared" si="401"/>
        <v>#DIV/0!</v>
      </c>
    </row>
    <row r="151" spans="2:30" s="10" customFormat="1" x14ac:dyDescent="0.25"/>
    <row r="152" spans="2:30" s="10" customFormat="1" x14ac:dyDescent="0.25">
      <c r="B152" s="10" t="s">
        <v>122</v>
      </c>
    </row>
    <row r="153" spans="2:30" s="10" customFormat="1" x14ac:dyDescent="0.25">
      <c r="B153" s="9" t="s">
        <v>107</v>
      </c>
      <c r="D153" s="10">
        <f t="shared" ref="D153:K153" si="403">D124/C124-1</f>
        <v>9.5759233926129284E-3</v>
      </c>
      <c r="E153" s="10">
        <f t="shared" si="403"/>
        <v>4.2005420054200604E-2</v>
      </c>
      <c r="F153" s="10">
        <f t="shared" si="403"/>
        <v>-1.3003901170351106E-2</v>
      </c>
      <c r="G153" s="10">
        <f t="shared" si="403"/>
        <v>7.7733860342555916E-2</v>
      </c>
      <c r="H153" s="10">
        <f t="shared" si="403"/>
        <v>-1.8337408312958381E-2</v>
      </c>
      <c r="I153" s="10">
        <f t="shared" si="403"/>
        <v>-3.7359900373599153E-3</v>
      </c>
      <c r="J153" s="10">
        <f t="shared" si="403"/>
        <v>-1.375000000000004E-2</v>
      </c>
      <c r="K153" s="10">
        <f t="shared" si="403"/>
        <v>0.19391634980988592</v>
      </c>
      <c r="L153" s="10">
        <f t="shared" ref="L153:S164" si="404">L124/K124-1</f>
        <v>7.4309978768578588E-3</v>
      </c>
      <c r="M153" s="10">
        <f t="shared" si="404"/>
        <v>5.2687038988408874E-2</v>
      </c>
      <c r="N153" s="10">
        <f t="shared" si="404"/>
        <v>2.6026026026026106E-2</v>
      </c>
      <c r="O153" s="10">
        <f t="shared" si="404"/>
        <v>0.21560975609756095</v>
      </c>
      <c r="P153" s="10">
        <f t="shared" si="404"/>
        <v>2.8089887640449396E-2</v>
      </c>
      <c r="Q153" s="10">
        <f t="shared" si="404"/>
        <v>1.4051522248243575E-2</v>
      </c>
      <c r="R153" s="10">
        <f t="shared" si="404"/>
        <v>-9.2378752886835835E-3</v>
      </c>
      <c r="S153" s="10">
        <f t="shared" si="404"/>
        <v>0.10567210567210572</v>
      </c>
      <c r="T153" s="10">
        <f>T124/S124-1</f>
        <v>-5.2705551651440641E-2</v>
      </c>
      <c r="U153" s="10">
        <f t="shared" ref="U153:AD153" si="405">U124/T124-1</f>
        <v>-1</v>
      </c>
      <c r="V153" s="10" t="e">
        <f t="shared" si="405"/>
        <v>#DIV/0!</v>
      </c>
      <c r="W153" s="10" t="e">
        <f t="shared" si="405"/>
        <v>#DIV/0!</v>
      </c>
      <c r="X153" s="10" t="e">
        <f t="shared" si="405"/>
        <v>#DIV/0!</v>
      </c>
      <c r="Y153" s="10" t="e">
        <f t="shared" si="405"/>
        <v>#DIV/0!</v>
      </c>
      <c r="Z153" s="10" t="e">
        <f t="shared" si="405"/>
        <v>#DIV/0!</v>
      </c>
      <c r="AA153" s="10" t="e">
        <f t="shared" si="405"/>
        <v>#DIV/0!</v>
      </c>
      <c r="AB153" s="10" t="e">
        <f t="shared" si="405"/>
        <v>#DIV/0!</v>
      </c>
      <c r="AC153" s="10" t="e">
        <f t="shared" si="405"/>
        <v>#DIV/0!</v>
      </c>
      <c r="AD153" s="10" t="e">
        <f t="shared" si="405"/>
        <v>#DIV/0!</v>
      </c>
    </row>
    <row r="154" spans="2:30" s="10" customFormat="1" x14ac:dyDescent="0.25">
      <c r="B154" s="9" t="s">
        <v>108</v>
      </c>
      <c r="D154" s="10">
        <f t="shared" ref="D154:K154" si="406">D125/C125-1</f>
        <v>3.6486838676048627E-3</v>
      </c>
      <c r="E154" s="10">
        <f t="shared" si="406"/>
        <v>2.4668917164372806E-2</v>
      </c>
      <c r="F154" s="10">
        <f t="shared" si="406"/>
        <v>1.5205271160668943E-2</v>
      </c>
      <c r="G154" s="10">
        <f t="shared" si="406"/>
        <v>5.4917623564652018E-3</v>
      </c>
      <c r="H154" s="10">
        <f t="shared" si="406"/>
        <v>-1.9860973187686426E-3</v>
      </c>
      <c r="I154" s="10">
        <f t="shared" si="406"/>
        <v>-7.9601990049751326E-3</v>
      </c>
      <c r="J154" s="10">
        <f t="shared" si="406"/>
        <v>0</v>
      </c>
      <c r="K154" s="10">
        <f t="shared" si="406"/>
        <v>-4.7642928786359118E-2</v>
      </c>
      <c r="L154" s="10">
        <f t="shared" si="404"/>
        <v>-8.6887835703001182E-3</v>
      </c>
      <c r="M154" s="10">
        <f t="shared" si="404"/>
        <v>-2.9216467463479834E-3</v>
      </c>
      <c r="N154" s="10">
        <f t="shared" si="404"/>
        <v>5.3276505061261581E-4</v>
      </c>
      <c r="O154" s="10">
        <f t="shared" si="404"/>
        <v>-2.8753993610223683E-2</v>
      </c>
      <c r="P154" s="10">
        <f t="shared" si="404"/>
        <v>0</v>
      </c>
      <c r="Q154" s="10">
        <f t="shared" si="404"/>
        <v>6.5789473684210176E-3</v>
      </c>
      <c r="R154" s="10">
        <f t="shared" si="404"/>
        <v>1.1165577342048039E-2</v>
      </c>
      <c r="S154" s="10">
        <f t="shared" si="404"/>
        <v>-2.0199299757608369E-2</v>
      </c>
      <c r="T154" s="10">
        <f t="shared" ref="T154:AD164" si="407">T125/S125-1</f>
        <v>-6.3221550302363649E-3</v>
      </c>
      <c r="U154" s="10">
        <f t="shared" si="407"/>
        <v>-1</v>
      </c>
      <c r="V154" s="10" t="e">
        <f t="shared" si="407"/>
        <v>#DIV/0!</v>
      </c>
      <c r="W154" s="10" t="e">
        <f t="shared" si="407"/>
        <v>#DIV/0!</v>
      </c>
      <c r="X154" s="10" t="e">
        <f t="shared" si="407"/>
        <v>#DIV/0!</v>
      </c>
      <c r="Y154" s="10" t="e">
        <f t="shared" si="407"/>
        <v>#DIV/0!</v>
      </c>
      <c r="Z154" s="10" t="e">
        <f t="shared" si="407"/>
        <v>#DIV/0!</v>
      </c>
      <c r="AA154" s="10" t="e">
        <f t="shared" si="407"/>
        <v>#DIV/0!</v>
      </c>
      <c r="AB154" s="10" t="e">
        <f t="shared" si="407"/>
        <v>#DIV/0!</v>
      </c>
      <c r="AC154" s="10" t="e">
        <f t="shared" si="407"/>
        <v>#DIV/0!</v>
      </c>
      <c r="AD154" s="10" t="e">
        <f t="shared" si="407"/>
        <v>#DIV/0!</v>
      </c>
    </row>
    <row r="155" spans="2:30" s="10" customFormat="1" x14ac:dyDescent="0.25">
      <c r="B155" s="14" t="s">
        <v>109</v>
      </c>
      <c r="D155" s="10">
        <f t="shared" ref="D155:K155" si="408">D126/C126-1</f>
        <v>4.5971978984238326E-3</v>
      </c>
      <c r="E155" s="10">
        <f t="shared" si="408"/>
        <v>2.7456962301154908E-2</v>
      </c>
      <c r="F155" s="10">
        <f t="shared" si="408"/>
        <v>1.0604453870625585E-2</v>
      </c>
      <c r="G155" s="10">
        <f t="shared" si="408"/>
        <v>1.6998950682056702E-2</v>
      </c>
      <c r="H155" s="10">
        <f t="shared" si="408"/>
        <v>-4.746182418489453E-3</v>
      </c>
      <c r="I155" s="10">
        <f t="shared" si="408"/>
        <v>-7.2568940493469292E-3</v>
      </c>
      <c r="J155" s="10">
        <f t="shared" si="408"/>
        <v>-2.2974101921470202E-3</v>
      </c>
      <c r="K155" s="10">
        <f t="shared" si="408"/>
        <v>-7.7454469332216558E-3</v>
      </c>
      <c r="L155" s="10">
        <f t="shared" si="404"/>
        <v>-5.4852320675105037E-3</v>
      </c>
      <c r="M155" s="10">
        <f t="shared" si="404"/>
        <v>8.2732286805260458E-3</v>
      </c>
      <c r="N155" s="10">
        <f t="shared" si="404"/>
        <v>5.8910162002945299E-3</v>
      </c>
      <c r="O155" s="10">
        <f t="shared" si="404"/>
        <v>2.3635222756745344E-2</v>
      </c>
      <c r="P155" s="10">
        <f t="shared" si="404"/>
        <v>7.1516142214957945E-3</v>
      </c>
      <c r="Q155" s="10">
        <f t="shared" si="404"/>
        <v>8.5209981740719254E-3</v>
      </c>
      <c r="R155" s="10">
        <f t="shared" si="404"/>
        <v>5.8338362502514673E-3</v>
      </c>
      <c r="S155" s="10">
        <f t="shared" si="404"/>
        <v>1.2199999999999989E-2</v>
      </c>
      <c r="T155" s="10">
        <f t="shared" si="407"/>
        <v>-1.9363762102351356E-2</v>
      </c>
      <c r="U155" s="10">
        <f t="shared" si="407"/>
        <v>-1</v>
      </c>
      <c r="V155" s="10" t="e">
        <f t="shared" si="407"/>
        <v>#DIV/0!</v>
      </c>
      <c r="W155" s="10" t="e">
        <f t="shared" si="407"/>
        <v>#DIV/0!</v>
      </c>
      <c r="X155" s="10" t="e">
        <f t="shared" si="407"/>
        <v>#DIV/0!</v>
      </c>
      <c r="Y155" s="10" t="e">
        <f t="shared" si="407"/>
        <v>#DIV/0!</v>
      </c>
      <c r="Z155" s="10" t="e">
        <f t="shared" si="407"/>
        <v>#DIV/0!</v>
      </c>
      <c r="AA155" s="10" t="e">
        <f t="shared" si="407"/>
        <v>#DIV/0!</v>
      </c>
      <c r="AB155" s="10" t="e">
        <f t="shared" si="407"/>
        <v>#DIV/0!</v>
      </c>
      <c r="AC155" s="10" t="e">
        <f t="shared" si="407"/>
        <v>#DIV/0!</v>
      </c>
      <c r="AD155" s="10" t="e">
        <f t="shared" si="407"/>
        <v>#DIV/0!</v>
      </c>
    </row>
    <row r="156" spans="2:30" s="10" customFormat="1" x14ac:dyDescent="0.25">
      <c r="B156" s="9" t="s">
        <v>110</v>
      </c>
      <c r="D156" s="10">
        <f t="shared" ref="D156:K156" si="409">D127/C127-1</f>
        <v>1.1190398962049874E-2</v>
      </c>
      <c r="E156" s="10">
        <f t="shared" si="409"/>
        <v>-1.1066559743384108E-2</v>
      </c>
      <c r="F156" s="10">
        <f t="shared" si="409"/>
        <v>1.9461563412259686E-3</v>
      </c>
      <c r="G156" s="10">
        <f t="shared" si="409"/>
        <v>3.1078018776303118E-2</v>
      </c>
      <c r="H156" s="10">
        <f t="shared" si="409"/>
        <v>1.1773940345368938E-2</v>
      </c>
      <c r="I156" s="10">
        <f t="shared" si="409"/>
        <v>1.2412723041117513E-3</v>
      </c>
      <c r="J156" s="10">
        <f t="shared" si="409"/>
        <v>1.3947001394700731E-3</v>
      </c>
      <c r="K156" s="10">
        <f t="shared" si="409"/>
        <v>2.2438873413803684E-2</v>
      </c>
      <c r="L156" s="10">
        <f t="shared" si="404"/>
        <v>1.710307249886478E-2</v>
      </c>
      <c r="M156" s="10">
        <f t="shared" si="404"/>
        <v>2.5297619047619513E-3</v>
      </c>
      <c r="N156" s="10">
        <f t="shared" si="404"/>
        <v>-4.6014546534065559E-3</v>
      </c>
      <c r="O156" s="10">
        <f t="shared" si="404"/>
        <v>-1.0587533552042894E-2</v>
      </c>
      <c r="P156" s="10">
        <f t="shared" si="404"/>
        <v>8.5908063300679238E-3</v>
      </c>
      <c r="Q156" s="10">
        <f t="shared" si="404"/>
        <v>-2.2414823670053874E-3</v>
      </c>
      <c r="R156" s="10">
        <f t="shared" si="404"/>
        <v>-7.0390894114122915E-3</v>
      </c>
      <c r="S156" s="10">
        <f t="shared" si="404"/>
        <v>-3.3182503770738947E-3</v>
      </c>
      <c r="T156" s="10">
        <f t="shared" si="407"/>
        <v>-5.7506053268765456E-3</v>
      </c>
      <c r="U156" s="10">
        <f t="shared" si="407"/>
        <v>-1</v>
      </c>
      <c r="V156" s="10" t="e">
        <f t="shared" si="407"/>
        <v>#DIV/0!</v>
      </c>
      <c r="W156" s="10" t="e">
        <f t="shared" si="407"/>
        <v>#DIV/0!</v>
      </c>
      <c r="X156" s="10" t="e">
        <f t="shared" si="407"/>
        <v>#DIV/0!</v>
      </c>
      <c r="Y156" s="10" t="e">
        <f t="shared" si="407"/>
        <v>#DIV/0!</v>
      </c>
      <c r="Z156" s="10" t="e">
        <f t="shared" si="407"/>
        <v>#DIV/0!</v>
      </c>
      <c r="AA156" s="10" t="e">
        <f t="shared" si="407"/>
        <v>#DIV/0!</v>
      </c>
      <c r="AB156" s="10" t="e">
        <f t="shared" si="407"/>
        <v>#DIV/0!</v>
      </c>
      <c r="AC156" s="10" t="e">
        <f t="shared" si="407"/>
        <v>#DIV/0!</v>
      </c>
      <c r="AD156" s="10" t="e">
        <f t="shared" si="407"/>
        <v>#DIV/0!</v>
      </c>
    </row>
    <row r="157" spans="2:30" s="10" customFormat="1" x14ac:dyDescent="0.25">
      <c r="B157" s="9" t="s">
        <v>111</v>
      </c>
      <c r="D157" s="10">
        <f t="shared" ref="D157:K157" si="410">D128/C128-1</f>
        <v>-7.3276966436074398E-3</v>
      </c>
      <c r="E157" s="10">
        <f t="shared" si="410"/>
        <v>-1.0324179227749752E-4</v>
      </c>
      <c r="F157" s="10">
        <f t="shared" si="410"/>
        <v>1.2906556530718483E-3</v>
      </c>
      <c r="G157" s="10">
        <f t="shared" si="410"/>
        <v>3.8824439288476453E-2</v>
      </c>
      <c r="H157" s="10">
        <f t="shared" si="410"/>
        <v>-3.0772285090331364E-3</v>
      </c>
      <c r="I157" s="10">
        <f t="shared" si="410"/>
        <v>4.879020213083729E-3</v>
      </c>
      <c r="J157" s="10">
        <f t="shared" si="410"/>
        <v>-4.9544193420536509E-4</v>
      </c>
      <c r="K157" s="10">
        <f t="shared" si="410"/>
        <v>5.1551501933180255E-3</v>
      </c>
      <c r="L157" s="10">
        <f t="shared" si="404"/>
        <v>-5.8191143110760679E-3</v>
      </c>
      <c r="M157" s="10">
        <f t="shared" si="404"/>
        <v>2.9761904761915758E-4</v>
      </c>
      <c r="N157" s="10">
        <f t="shared" si="404"/>
        <v>3.0248933849053028E-3</v>
      </c>
      <c r="O157" s="10">
        <f t="shared" si="404"/>
        <v>1.952835319127888E-2</v>
      </c>
      <c r="P157" s="10">
        <f t="shared" si="404"/>
        <v>-3.8793521481912396E-3</v>
      </c>
      <c r="Q157" s="10">
        <f t="shared" si="404"/>
        <v>2.287995326647918E-3</v>
      </c>
      <c r="R157" s="10">
        <f t="shared" si="404"/>
        <v>-9.7139249113609161E-4</v>
      </c>
      <c r="S157" s="10">
        <f t="shared" si="404"/>
        <v>-2.2849919782196304E-3</v>
      </c>
      <c r="T157" s="10">
        <f t="shared" si="407"/>
        <v>3.0211480362538623E-3</v>
      </c>
      <c r="U157" s="10">
        <f t="shared" si="407"/>
        <v>-1</v>
      </c>
      <c r="V157" s="10" t="e">
        <f t="shared" si="407"/>
        <v>#DIV/0!</v>
      </c>
      <c r="W157" s="10" t="e">
        <f t="shared" si="407"/>
        <v>#DIV/0!</v>
      </c>
      <c r="X157" s="10" t="e">
        <f t="shared" si="407"/>
        <v>#DIV/0!</v>
      </c>
      <c r="Y157" s="10" t="e">
        <f t="shared" si="407"/>
        <v>#DIV/0!</v>
      </c>
      <c r="Z157" s="10" t="e">
        <f t="shared" si="407"/>
        <v>#DIV/0!</v>
      </c>
      <c r="AA157" s="10" t="e">
        <f t="shared" si="407"/>
        <v>#DIV/0!</v>
      </c>
      <c r="AB157" s="10" t="e">
        <f t="shared" si="407"/>
        <v>#DIV/0!</v>
      </c>
      <c r="AC157" s="10" t="e">
        <f t="shared" si="407"/>
        <v>#DIV/0!</v>
      </c>
      <c r="AD157" s="10" t="e">
        <f t="shared" si="407"/>
        <v>#DIV/0!</v>
      </c>
    </row>
    <row r="158" spans="2:30" s="10" customFormat="1" x14ac:dyDescent="0.25">
      <c r="B158" s="14" t="s">
        <v>112</v>
      </c>
      <c r="D158" s="10">
        <f t="shared" ref="D158:K158" si="411">D129/C129-1</f>
        <v>-2.8815077294498392E-3</v>
      </c>
      <c r="E158" s="10">
        <f t="shared" si="411"/>
        <v>-2.7726793454914134E-3</v>
      </c>
      <c r="F158" s="10">
        <f t="shared" si="411"/>
        <v>1.4489348370927413E-3</v>
      </c>
      <c r="G158" s="10">
        <f t="shared" si="411"/>
        <v>3.6953036405584117E-2</v>
      </c>
      <c r="H158" s="10">
        <f t="shared" si="411"/>
        <v>4.9023304924955546E-4</v>
      </c>
      <c r="I158" s="10">
        <f t="shared" si="411"/>
        <v>3.9953262221552599E-3</v>
      </c>
      <c r="J158" s="10">
        <f t="shared" si="411"/>
        <v>-3.7541765213755518E-5</v>
      </c>
      <c r="K158" s="10">
        <f t="shared" si="411"/>
        <v>9.348250488061316E-3</v>
      </c>
      <c r="L158" s="10">
        <f t="shared" si="404"/>
        <v>-1.8597731076808177E-4</v>
      </c>
      <c r="M158" s="10">
        <f t="shared" si="404"/>
        <v>8.5565476190474499E-4</v>
      </c>
      <c r="N158" s="10">
        <f t="shared" si="404"/>
        <v>1.1151172731664882E-3</v>
      </c>
      <c r="O158" s="10">
        <f t="shared" si="404"/>
        <v>1.2029851854602258E-2</v>
      </c>
      <c r="P158" s="10">
        <f t="shared" si="404"/>
        <v>-8.4381993616322593E-4</v>
      </c>
      <c r="Q158" s="10">
        <f t="shared" si="404"/>
        <v>1.1750018359404368E-3</v>
      </c>
      <c r="R158" s="10">
        <f t="shared" si="404"/>
        <v>-2.4572727939558003E-3</v>
      </c>
      <c r="S158" s="10">
        <f t="shared" si="404"/>
        <v>-2.5368579727196305E-3</v>
      </c>
      <c r="T158" s="10">
        <f t="shared" si="407"/>
        <v>8.846295613711419E-4</v>
      </c>
      <c r="U158" s="10">
        <f t="shared" si="407"/>
        <v>-1</v>
      </c>
      <c r="V158" s="10" t="e">
        <f t="shared" si="407"/>
        <v>#DIV/0!</v>
      </c>
      <c r="W158" s="10" t="e">
        <f t="shared" si="407"/>
        <v>#DIV/0!</v>
      </c>
      <c r="X158" s="10" t="e">
        <f t="shared" si="407"/>
        <v>#DIV/0!</v>
      </c>
      <c r="Y158" s="10" t="e">
        <f t="shared" si="407"/>
        <v>#DIV/0!</v>
      </c>
      <c r="Z158" s="10" t="e">
        <f t="shared" si="407"/>
        <v>#DIV/0!</v>
      </c>
      <c r="AA158" s="10" t="e">
        <f t="shared" si="407"/>
        <v>#DIV/0!</v>
      </c>
      <c r="AB158" s="10" t="e">
        <f t="shared" si="407"/>
        <v>#DIV/0!</v>
      </c>
      <c r="AC158" s="10" t="e">
        <f t="shared" si="407"/>
        <v>#DIV/0!</v>
      </c>
      <c r="AD158" s="10" t="e">
        <f t="shared" si="407"/>
        <v>#DIV/0!</v>
      </c>
    </row>
    <row r="159" spans="2:30" s="10" customFormat="1" x14ac:dyDescent="0.25">
      <c r="B159" s="9" t="s">
        <v>113</v>
      </c>
      <c r="D159" s="10">
        <f t="shared" ref="D159:K159" si="412">D130/C130-1</f>
        <v>0.18595578673602087</v>
      </c>
      <c r="E159" s="10">
        <f t="shared" si="412"/>
        <v>1.5899122807017552E-2</v>
      </c>
      <c r="F159" s="10">
        <f t="shared" si="412"/>
        <v>3.2379924446843678E-3</v>
      </c>
      <c r="G159" s="10">
        <f t="shared" si="412"/>
        <v>3.3351264120494939E-2</v>
      </c>
      <c r="H159" s="10">
        <f t="shared" si="412"/>
        <v>1.3014055179593864E-2</v>
      </c>
      <c r="I159" s="10">
        <f t="shared" si="412"/>
        <v>1.1819116135662888E-2</v>
      </c>
      <c r="J159" s="10">
        <f t="shared" si="412"/>
        <v>4.0629761300152722E-3</v>
      </c>
      <c r="K159" s="10">
        <f t="shared" si="412"/>
        <v>3.8442083965604557E-2</v>
      </c>
      <c r="L159" s="10">
        <f t="shared" si="404"/>
        <v>2.9225523623965799E-3</v>
      </c>
      <c r="M159" s="10">
        <f t="shared" si="404"/>
        <v>2.4283632831472168E-3</v>
      </c>
      <c r="N159" s="10">
        <f t="shared" si="404"/>
        <v>-8.2364341085271464E-3</v>
      </c>
      <c r="O159" s="10">
        <f t="shared" si="404"/>
        <v>-1.4655593551538892E-2</v>
      </c>
      <c r="P159" s="10">
        <f t="shared" si="404"/>
        <v>6.9410014873574344E-3</v>
      </c>
      <c r="Q159" s="10">
        <f t="shared" si="404"/>
        <v>7.8778926637124158E-3</v>
      </c>
      <c r="R159" s="10">
        <f t="shared" si="404"/>
        <v>9.2818759159745134E-3</v>
      </c>
      <c r="S159" s="10">
        <f t="shared" si="404"/>
        <v>9.1481122942884907E-2</v>
      </c>
      <c r="T159" s="10">
        <f t="shared" si="407"/>
        <v>0</v>
      </c>
      <c r="U159" s="10">
        <f t="shared" si="407"/>
        <v>-1</v>
      </c>
      <c r="V159" s="10" t="e">
        <f t="shared" si="407"/>
        <v>#DIV/0!</v>
      </c>
      <c r="W159" s="10" t="e">
        <f t="shared" si="407"/>
        <v>#DIV/0!</v>
      </c>
      <c r="X159" s="10" t="e">
        <f t="shared" si="407"/>
        <v>#DIV/0!</v>
      </c>
      <c r="Y159" s="10" t="e">
        <f t="shared" si="407"/>
        <v>#DIV/0!</v>
      </c>
      <c r="Z159" s="10" t="e">
        <f t="shared" si="407"/>
        <v>#DIV/0!</v>
      </c>
      <c r="AA159" s="10" t="e">
        <f t="shared" si="407"/>
        <v>#DIV/0!</v>
      </c>
      <c r="AB159" s="10" t="e">
        <f t="shared" si="407"/>
        <v>#DIV/0!</v>
      </c>
      <c r="AC159" s="10" t="e">
        <f t="shared" si="407"/>
        <v>#DIV/0!</v>
      </c>
      <c r="AD159" s="10" t="e">
        <f t="shared" si="407"/>
        <v>#DIV/0!</v>
      </c>
    </row>
    <row r="160" spans="2:30" s="10" customFormat="1" x14ac:dyDescent="0.25">
      <c r="B160" s="9" t="s">
        <v>116</v>
      </c>
      <c r="D160" s="10">
        <f t="shared" ref="D160:K160" si="413">D131/C131-1</f>
        <v>6.4516129032257119E-3</v>
      </c>
      <c r="E160" s="10">
        <f t="shared" si="413"/>
        <v>1.175213675213671E-2</v>
      </c>
      <c r="F160" s="10">
        <f t="shared" si="413"/>
        <v>5.2798310454065245E-3</v>
      </c>
      <c r="G160" s="10">
        <f t="shared" si="413"/>
        <v>-1.3655462184873901E-2</v>
      </c>
      <c r="H160" s="10">
        <f t="shared" si="413"/>
        <v>3.1948881789136685E-3</v>
      </c>
      <c r="I160" s="10">
        <f t="shared" si="413"/>
        <v>3.1847133757962887E-3</v>
      </c>
      <c r="J160" s="10">
        <f t="shared" si="413"/>
        <v>2.1164021164021829E-3</v>
      </c>
      <c r="K160" s="10">
        <f t="shared" si="413"/>
        <v>-2.3231256599788752E-2</v>
      </c>
      <c r="L160" s="10">
        <f t="shared" si="404"/>
        <v>1.08108108108107E-3</v>
      </c>
      <c r="M160" s="10">
        <f t="shared" si="404"/>
        <v>2.1598272138227959E-3</v>
      </c>
      <c r="N160" s="10">
        <f t="shared" si="404"/>
        <v>-5.3879310344827624E-3</v>
      </c>
      <c r="O160" s="10">
        <f t="shared" si="404"/>
        <v>-2.9252437703141898E-2</v>
      </c>
      <c r="P160" s="10">
        <f t="shared" si="404"/>
        <v>-2.2321428571429047E-3</v>
      </c>
      <c r="Q160" s="10">
        <f t="shared" si="404"/>
        <v>0</v>
      </c>
      <c r="R160" s="10">
        <f t="shared" si="404"/>
        <v>-3.3557046979866278E-3</v>
      </c>
      <c r="S160" s="10">
        <f t="shared" si="404"/>
        <v>-1.6835016835016869E-2</v>
      </c>
      <c r="T160" s="10">
        <f t="shared" si="407"/>
        <v>-2.2831050228310223E-3</v>
      </c>
      <c r="U160" s="10">
        <f t="shared" si="407"/>
        <v>-1</v>
      </c>
      <c r="V160" s="10" t="e">
        <f t="shared" si="407"/>
        <v>#DIV/0!</v>
      </c>
      <c r="W160" s="10" t="e">
        <f t="shared" si="407"/>
        <v>#DIV/0!</v>
      </c>
      <c r="X160" s="10" t="e">
        <f t="shared" si="407"/>
        <v>#DIV/0!</v>
      </c>
      <c r="Y160" s="10" t="e">
        <f t="shared" si="407"/>
        <v>#DIV/0!</v>
      </c>
      <c r="Z160" s="10" t="e">
        <f t="shared" si="407"/>
        <v>#DIV/0!</v>
      </c>
      <c r="AA160" s="10" t="e">
        <f t="shared" si="407"/>
        <v>#DIV/0!</v>
      </c>
      <c r="AB160" s="10" t="e">
        <f t="shared" si="407"/>
        <v>#DIV/0!</v>
      </c>
      <c r="AC160" s="10" t="e">
        <f t="shared" si="407"/>
        <v>#DIV/0!</v>
      </c>
      <c r="AD160" s="10" t="e">
        <f t="shared" si="407"/>
        <v>#DIV/0!</v>
      </c>
    </row>
    <row r="161" spans="2:30" s="10" customFormat="1" x14ac:dyDescent="0.25">
      <c r="B161" s="14" t="s">
        <v>114</v>
      </c>
      <c r="D161" s="10">
        <f t="shared" ref="D161:K161" si="414">D132/C132-1</f>
        <v>0.11831442463533226</v>
      </c>
      <c r="E161" s="10">
        <f t="shared" si="414"/>
        <v>1.449275362318847E-2</v>
      </c>
      <c r="F161" s="10">
        <f t="shared" si="414"/>
        <v>3.9285714285715034E-3</v>
      </c>
      <c r="G161" s="10">
        <f t="shared" si="414"/>
        <v>1.7431519032372833E-2</v>
      </c>
      <c r="H161" s="10">
        <f t="shared" si="414"/>
        <v>9.7902097902098362E-3</v>
      </c>
      <c r="I161" s="10">
        <f t="shared" si="414"/>
        <v>9.0027700831025737E-3</v>
      </c>
      <c r="J161" s="10">
        <f t="shared" si="414"/>
        <v>3.4317089910775866E-3</v>
      </c>
      <c r="K161" s="10">
        <f t="shared" si="414"/>
        <v>1.8467852257181949E-2</v>
      </c>
      <c r="L161" s="10">
        <f t="shared" si="404"/>
        <v>2.350570852921452E-3</v>
      </c>
      <c r="M161" s="10">
        <f t="shared" si="404"/>
        <v>2.3450586264657236E-3</v>
      </c>
      <c r="N161" s="10">
        <f t="shared" si="404"/>
        <v>-7.3529411764705621E-3</v>
      </c>
      <c r="O161" s="10">
        <f t="shared" si="404"/>
        <v>-1.9191919191919204E-2</v>
      </c>
      <c r="P161" s="10">
        <f t="shared" si="404"/>
        <v>4.1194644696189719E-3</v>
      </c>
      <c r="Q161" s="10">
        <f t="shared" si="404"/>
        <v>5.4700854700855395E-3</v>
      </c>
      <c r="R161" s="10">
        <f t="shared" si="404"/>
        <v>5.4403264195852508E-3</v>
      </c>
      <c r="S161" s="10">
        <f t="shared" si="404"/>
        <v>5.8843422387554911E-2</v>
      </c>
      <c r="T161" s="10">
        <f t="shared" si="407"/>
        <v>-6.3877355477481856E-4</v>
      </c>
      <c r="U161" s="10">
        <f t="shared" si="407"/>
        <v>-1</v>
      </c>
      <c r="V161" s="10" t="e">
        <f t="shared" si="407"/>
        <v>#DIV/0!</v>
      </c>
      <c r="W161" s="10" t="e">
        <f t="shared" si="407"/>
        <v>#DIV/0!</v>
      </c>
      <c r="X161" s="10" t="e">
        <f t="shared" si="407"/>
        <v>#DIV/0!</v>
      </c>
      <c r="Y161" s="10" t="e">
        <f t="shared" si="407"/>
        <v>#DIV/0!</v>
      </c>
      <c r="Z161" s="10" t="e">
        <f t="shared" si="407"/>
        <v>#DIV/0!</v>
      </c>
      <c r="AA161" s="10" t="e">
        <f t="shared" si="407"/>
        <v>#DIV/0!</v>
      </c>
      <c r="AB161" s="10" t="e">
        <f t="shared" si="407"/>
        <v>#DIV/0!</v>
      </c>
      <c r="AC161" s="10" t="e">
        <f t="shared" si="407"/>
        <v>#DIV/0!</v>
      </c>
      <c r="AD161" s="10" t="e">
        <f t="shared" si="407"/>
        <v>#DIV/0!</v>
      </c>
    </row>
    <row r="162" spans="2:30" s="10" customFormat="1" x14ac:dyDescent="0.25">
      <c r="B162" s="9" t="s">
        <v>115</v>
      </c>
      <c r="D162" s="10">
        <f t="shared" ref="D162:K162" si="415">D133/C133-1</f>
        <v>6.3453990405582195E-2</v>
      </c>
      <c r="E162" s="10">
        <f t="shared" si="415"/>
        <v>6.5306540906294952E-2</v>
      </c>
      <c r="F162" s="10">
        <f t="shared" si="415"/>
        <v>2.0113559811375303E-2</v>
      </c>
      <c r="G162" s="10">
        <f t="shared" si="415"/>
        <v>3.0094339622641408E-2</v>
      </c>
      <c r="H162" s="10">
        <f t="shared" si="415"/>
        <v>2.3994871325212941E-2</v>
      </c>
      <c r="I162" s="10">
        <f t="shared" si="415"/>
        <v>1.2342366514622949E-2</v>
      </c>
      <c r="J162" s="10">
        <f t="shared" si="415"/>
        <v>2.226345083487935E-2</v>
      </c>
      <c r="K162" s="10">
        <f t="shared" si="415"/>
        <v>2.7482499351827894E-2</v>
      </c>
      <c r="L162" s="10">
        <f t="shared" si="404"/>
        <v>-1.0934477247876218E-2</v>
      </c>
      <c r="M162" s="10">
        <f t="shared" si="404"/>
        <v>-6.3015562547835691E-2</v>
      </c>
      <c r="N162" s="10">
        <f t="shared" si="404"/>
        <v>-4.6741695407514938E-2</v>
      </c>
      <c r="O162" s="10">
        <f t="shared" si="404"/>
        <v>-0.11196800914024563</v>
      </c>
      <c r="P162" s="10">
        <f t="shared" si="404"/>
        <v>-3.2057467567277786E-2</v>
      </c>
      <c r="Q162" s="10">
        <f t="shared" si="404"/>
        <v>-1.1298183429330977E-2</v>
      </c>
      <c r="R162" s="10">
        <f t="shared" si="404"/>
        <v>-1.0082903876316163E-3</v>
      </c>
      <c r="S162" s="10">
        <f t="shared" si="404"/>
        <v>-6.1679937198609869E-3</v>
      </c>
      <c r="T162" s="10">
        <f t="shared" si="407"/>
        <v>-1.4556533513879533E-2</v>
      </c>
      <c r="U162" s="10">
        <f t="shared" si="407"/>
        <v>-1</v>
      </c>
      <c r="V162" s="10" t="e">
        <f t="shared" si="407"/>
        <v>#DIV/0!</v>
      </c>
      <c r="W162" s="10" t="e">
        <f t="shared" si="407"/>
        <v>#DIV/0!</v>
      </c>
      <c r="X162" s="10" t="e">
        <f t="shared" si="407"/>
        <v>#DIV/0!</v>
      </c>
      <c r="Y162" s="10" t="e">
        <f t="shared" si="407"/>
        <v>#DIV/0!</v>
      </c>
      <c r="Z162" s="10" t="e">
        <f t="shared" si="407"/>
        <v>#DIV/0!</v>
      </c>
      <c r="AA162" s="10" t="e">
        <f t="shared" si="407"/>
        <v>#DIV/0!</v>
      </c>
      <c r="AB162" s="10" t="e">
        <f t="shared" si="407"/>
        <v>#DIV/0!</v>
      </c>
      <c r="AC162" s="10" t="e">
        <f t="shared" si="407"/>
        <v>#DIV/0!</v>
      </c>
      <c r="AD162" s="10" t="e">
        <f t="shared" si="407"/>
        <v>#DIV/0!</v>
      </c>
    </row>
    <row r="163" spans="2:30" s="10" customFormat="1" x14ac:dyDescent="0.25">
      <c r="B163" s="9" t="s">
        <v>117</v>
      </c>
      <c r="D163" s="10">
        <f t="shared" ref="D163:K163" si="416">D134/C134-1</f>
        <v>-6.1274509803921351E-4</v>
      </c>
      <c r="E163" s="10">
        <f t="shared" si="416"/>
        <v>-1.2262415695891704E-3</v>
      </c>
      <c r="F163" s="10">
        <f t="shared" si="416"/>
        <v>-2.4554941682013443E-3</v>
      </c>
      <c r="G163" s="10">
        <f t="shared" si="416"/>
        <v>4.3076923076923457E-3</v>
      </c>
      <c r="H163" s="10">
        <f t="shared" si="416"/>
        <v>-2.450980392156854E-3</v>
      </c>
      <c r="I163" s="10">
        <f t="shared" si="416"/>
        <v>-1.8427518427518441E-3</v>
      </c>
      <c r="J163" s="10">
        <f t="shared" si="416"/>
        <v>-1.2307692307692575E-3</v>
      </c>
      <c r="K163" s="10">
        <f t="shared" si="416"/>
        <v>5.5452865064695711E-3</v>
      </c>
      <c r="L163" s="10">
        <f t="shared" si="404"/>
        <v>1.225490196078427E-3</v>
      </c>
      <c r="M163" s="10">
        <f t="shared" si="404"/>
        <v>3.6719706242349659E-3</v>
      </c>
      <c r="N163" s="10">
        <f t="shared" si="404"/>
        <v>1.2195121951219523E-3</v>
      </c>
      <c r="O163" s="10">
        <f t="shared" si="404"/>
        <v>9.74421437271622E-3</v>
      </c>
      <c r="P163" s="10">
        <f t="shared" si="404"/>
        <v>1.2062726176116367E-3</v>
      </c>
      <c r="Q163" s="10">
        <f t="shared" si="404"/>
        <v>-2.4096385542168308E-3</v>
      </c>
      <c r="R163" s="10">
        <f t="shared" si="404"/>
        <v>3.0193236714974869E-3</v>
      </c>
      <c r="S163" s="10">
        <f t="shared" si="404"/>
        <v>-7.224563515954241E-3</v>
      </c>
      <c r="T163" s="10">
        <f t="shared" si="407"/>
        <v>-4.2449969678592936E-3</v>
      </c>
      <c r="U163" s="10">
        <f t="shared" si="407"/>
        <v>-1</v>
      </c>
      <c r="V163" s="10" t="e">
        <f t="shared" si="407"/>
        <v>#DIV/0!</v>
      </c>
      <c r="W163" s="10" t="e">
        <f t="shared" si="407"/>
        <v>#DIV/0!</v>
      </c>
      <c r="X163" s="10" t="e">
        <f t="shared" si="407"/>
        <v>#DIV/0!</v>
      </c>
      <c r="Y163" s="10" t="e">
        <f t="shared" si="407"/>
        <v>#DIV/0!</v>
      </c>
      <c r="Z163" s="10" t="e">
        <f t="shared" si="407"/>
        <v>#DIV/0!</v>
      </c>
      <c r="AA163" s="10" t="e">
        <f t="shared" si="407"/>
        <v>#DIV/0!</v>
      </c>
      <c r="AB163" s="10" t="e">
        <f t="shared" si="407"/>
        <v>#DIV/0!</v>
      </c>
      <c r="AC163" s="10" t="e">
        <f t="shared" si="407"/>
        <v>#DIV/0!</v>
      </c>
      <c r="AD163" s="10" t="e">
        <f t="shared" si="407"/>
        <v>#DIV/0!</v>
      </c>
    </row>
    <row r="164" spans="2:30" s="10" customFormat="1" x14ac:dyDescent="0.25">
      <c r="B164" s="10" t="s">
        <v>118</v>
      </c>
      <c r="D164" s="10">
        <f t="shared" ref="D164:K164" si="417">D135/C135-1</f>
        <v>1.8841478826313818E-2</v>
      </c>
      <c r="E164" s="10">
        <f t="shared" si="417"/>
        <v>1.6463318373514335E-2</v>
      </c>
      <c r="F164" s="10">
        <f t="shared" si="417"/>
        <v>6.7227263650684321E-3</v>
      </c>
      <c r="G164" s="10">
        <f t="shared" si="417"/>
        <v>3.0876713536386546E-2</v>
      </c>
      <c r="H164" s="10">
        <f t="shared" si="417"/>
        <v>5.9005879208979817E-3</v>
      </c>
      <c r="I164" s="10">
        <f t="shared" si="417"/>
        <v>4.9308197487831773E-3</v>
      </c>
      <c r="J164" s="10">
        <f t="shared" si="417"/>
        <v>5.2450140642514853E-3</v>
      </c>
      <c r="K164" s="10">
        <f t="shared" si="417"/>
        <v>1.2476068250194539E-2</v>
      </c>
      <c r="L164" s="10">
        <f t="shared" si="404"/>
        <v>-3.1585071897597405E-3</v>
      </c>
      <c r="M164" s="10">
        <f t="shared" si="404"/>
        <v>-1.3883098474109845E-2</v>
      </c>
      <c r="N164" s="10">
        <f t="shared" si="404"/>
        <v>-1.0083287532236973E-2</v>
      </c>
      <c r="O164" s="10">
        <f t="shared" si="404"/>
        <v>-1.6656345426979025E-2</v>
      </c>
      <c r="P164" s="10">
        <f t="shared" si="404"/>
        <v>-5.9284675020087052E-3</v>
      </c>
      <c r="Q164" s="10">
        <f t="shared" si="404"/>
        <v>-3.4952813701505381E-4</v>
      </c>
      <c r="R164" s="10">
        <f t="shared" si="404"/>
        <v>-5.6818181818185653E-4</v>
      </c>
      <c r="S164" s="10">
        <f t="shared" si="404"/>
        <v>2.1646914768005399E-3</v>
      </c>
      <c r="T164" s="10">
        <f t="shared" si="407"/>
        <v>-4.6254881853686758E-3</v>
      </c>
      <c r="U164" s="10">
        <f t="shared" si="407"/>
        <v>-1</v>
      </c>
      <c r="V164" s="10" t="e">
        <f t="shared" si="407"/>
        <v>#DIV/0!</v>
      </c>
      <c r="W164" s="10" t="e">
        <f t="shared" si="407"/>
        <v>#DIV/0!</v>
      </c>
      <c r="X164" s="10" t="e">
        <f t="shared" si="407"/>
        <v>#DIV/0!</v>
      </c>
      <c r="Y164" s="10" t="e">
        <f t="shared" si="407"/>
        <v>#DIV/0!</v>
      </c>
      <c r="Z164" s="10" t="e">
        <f t="shared" si="407"/>
        <v>#DIV/0!</v>
      </c>
      <c r="AA164" s="10" t="e">
        <f t="shared" si="407"/>
        <v>#DIV/0!</v>
      </c>
      <c r="AB164" s="10" t="e">
        <f t="shared" si="407"/>
        <v>#DIV/0!</v>
      </c>
      <c r="AC164" s="10" t="e">
        <f t="shared" si="407"/>
        <v>#DIV/0!</v>
      </c>
      <c r="AD164" s="10" t="e">
        <f t="shared" si="407"/>
        <v>#DIV/0!</v>
      </c>
    </row>
    <row r="165" spans="2:30" s="10" customFormat="1" x14ac:dyDescent="0.25"/>
    <row r="166" spans="2:30" s="10" customFormat="1" x14ac:dyDescent="0.25">
      <c r="B166" s="10" t="s">
        <v>123</v>
      </c>
    </row>
    <row r="167" spans="2:30" s="10" customFormat="1" x14ac:dyDescent="0.25">
      <c r="B167" s="9" t="s">
        <v>107</v>
      </c>
      <c r="C167" s="10">
        <f t="shared" ref="C167:J167" si="418">C124/C$135</f>
        <v>1.679648905126261E-2</v>
      </c>
      <c r="D167" s="10">
        <f t="shared" si="418"/>
        <v>1.6643738300895335E-2</v>
      </c>
      <c r="E167" s="10">
        <f t="shared" si="418"/>
        <v>1.7061968893523551E-2</v>
      </c>
      <c r="F167" s="10">
        <f t="shared" si="418"/>
        <v>1.6727641380526292E-2</v>
      </c>
      <c r="G167" s="10">
        <f t="shared" si="418"/>
        <v>1.748797434526991E-2</v>
      </c>
      <c r="H167" s="10">
        <f t="shared" si="418"/>
        <v>1.7066587320141973E-2</v>
      </c>
      <c r="I167" s="10">
        <f t="shared" si="418"/>
        <v>1.6919400207262653E-2</v>
      </c>
      <c r="J167" s="10">
        <f t="shared" si="418"/>
        <v>1.6599692832046455E-2</v>
      </c>
      <c r="K167" s="10">
        <f>K124/K$135</f>
        <v>1.9574432715484997E-2</v>
      </c>
      <c r="L167" s="10">
        <f>L124/L$135</f>
        <v>1.9782373050946385E-2</v>
      </c>
      <c r="M167" s="10">
        <f>M124/M$135</f>
        <v>2.1117828605250921E-2</v>
      </c>
      <c r="N167" s="10">
        <f>N124/N$135</f>
        <v>2.1888146234171135E-2</v>
      </c>
      <c r="O167" s="10">
        <f>O124/O$135</f>
        <v>2.7058133727116768E-2</v>
      </c>
      <c r="P167" s="10">
        <f>P124/P$135</f>
        <v>2.7984096469765816E-2</v>
      </c>
      <c r="Q167" s="10">
        <f>Q124/Q$135</f>
        <v>2.8387237762237762E-2</v>
      </c>
      <c r="R167" s="10">
        <f>R124/R$135</f>
        <v>2.8140989198408187E-2</v>
      </c>
      <c r="S167" s="10">
        <f>S124/S$135</f>
        <v>3.1047498527262015E-2</v>
      </c>
      <c r="T167" s="10">
        <f>T124/T$135</f>
        <v>2.9547795971153635E-2</v>
      </c>
      <c r="U167" s="10" t="e">
        <f t="shared" ref="U167:AD167" si="419">U124/U$135</f>
        <v>#DIV/0!</v>
      </c>
      <c r="V167" s="10" t="e">
        <f t="shared" si="419"/>
        <v>#DIV/0!</v>
      </c>
      <c r="W167" s="10" t="e">
        <f t="shared" si="419"/>
        <v>#DIV/0!</v>
      </c>
      <c r="X167" s="10" t="e">
        <f t="shared" si="419"/>
        <v>#DIV/0!</v>
      </c>
      <c r="Y167" s="10" t="e">
        <f t="shared" si="419"/>
        <v>#DIV/0!</v>
      </c>
      <c r="Z167" s="10" t="e">
        <f t="shared" si="419"/>
        <v>#DIV/0!</v>
      </c>
      <c r="AA167" s="10" t="e">
        <f t="shared" si="419"/>
        <v>#DIV/0!</v>
      </c>
      <c r="AB167" s="10" t="e">
        <f t="shared" si="419"/>
        <v>#DIV/0!</v>
      </c>
      <c r="AC167" s="10" t="e">
        <f t="shared" si="419"/>
        <v>#DIV/0!</v>
      </c>
      <c r="AD167" s="10" t="e">
        <f t="shared" si="419"/>
        <v>#DIV/0!</v>
      </c>
    </row>
    <row r="168" spans="2:30" s="10" customFormat="1" x14ac:dyDescent="0.25">
      <c r="B168" s="9" t="s">
        <v>108</v>
      </c>
      <c r="C168" s="10">
        <f t="shared" ref="C168:J168" si="420">C125/C$135</f>
        <v>8.8164334459226584E-2</v>
      </c>
      <c r="D168" s="10">
        <f t="shared" si="420"/>
        <v>8.6849642543018871E-2</v>
      </c>
      <c r="E168" s="10">
        <f t="shared" si="420"/>
        <v>8.7550753255973904E-2</v>
      </c>
      <c r="F168" s="10">
        <f t="shared" si="420"/>
        <v>8.8288447128311368E-2</v>
      </c>
      <c r="G168" s="10">
        <f t="shared" si="420"/>
        <v>8.6114377338321751E-2</v>
      </c>
      <c r="H168" s="10">
        <f t="shared" si="420"/>
        <v>8.5439204267709512E-2</v>
      </c>
      <c r="I168" s="10">
        <f t="shared" si="420"/>
        <v>8.4343210033204316E-2</v>
      </c>
      <c r="J168" s="10">
        <f t="shared" si="420"/>
        <v>8.3903136900128336E-2</v>
      </c>
      <c r="K168" s="10">
        <f>K125/K$135</f>
        <v>7.892112043886626E-2</v>
      </c>
      <c r="L168" s="10">
        <f>L125/L$135</f>
        <v>7.8483281914450101E-2</v>
      </c>
      <c r="M168" s="10">
        <f>M125/M$135</f>
        <v>7.9355684268380328E-2</v>
      </c>
      <c r="N168" s="10">
        <f>N125/N$135</f>
        <v>8.0206709517606611E-2</v>
      </c>
      <c r="O168" s="10">
        <f>O125/O$135</f>
        <v>7.921996134552324E-2</v>
      </c>
      <c r="P168" s="10">
        <f>P125/P$135</f>
        <v>7.9692415239426773E-2</v>
      </c>
      <c r="Q168" s="10">
        <f>Q125/Q$135</f>
        <v>8.0244755244755245E-2</v>
      </c>
      <c r="R168" s="10">
        <f>R125/R$135</f>
        <v>8.1186863165259984E-2</v>
      </c>
      <c r="S168" s="10">
        <f>S125/S$135</f>
        <v>7.9375122728165298E-2</v>
      </c>
      <c r="T168" s="10">
        <f>T125/T$135</f>
        <v>7.9239823765371212E-2</v>
      </c>
      <c r="U168" s="10" t="e">
        <f>U125/U$135</f>
        <v>#DIV/0!</v>
      </c>
      <c r="V168" s="10" t="e">
        <f>V125/V$135</f>
        <v>#DIV/0!</v>
      </c>
      <c r="W168" s="10" t="e">
        <f>W125/W$135</f>
        <v>#DIV/0!</v>
      </c>
      <c r="X168" s="10" t="e">
        <f>X125/X$135</f>
        <v>#DIV/0!</v>
      </c>
      <c r="Y168" s="10" t="e">
        <f>Y125/Y$135</f>
        <v>#DIV/0!</v>
      </c>
      <c r="Z168" s="10" t="e">
        <f>Z125/Z$135</f>
        <v>#DIV/0!</v>
      </c>
      <c r="AA168" s="10" t="e">
        <f>AA125/AA$135</f>
        <v>#DIV/0!</v>
      </c>
      <c r="AB168" s="10" t="e">
        <f>AB125/AB$135</f>
        <v>#DIV/0!</v>
      </c>
      <c r="AC168" s="10" t="e">
        <f>AC125/AC$135</f>
        <v>#DIV/0!</v>
      </c>
      <c r="AD168" s="10" t="e">
        <f>AD125/AD$135</f>
        <v>#DIV/0!</v>
      </c>
    </row>
    <row r="169" spans="2:30" s="10" customFormat="1" x14ac:dyDescent="0.25">
      <c r="B169" s="14" t="s">
        <v>109</v>
      </c>
      <c r="C169" s="10">
        <f t="shared" ref="C169:J169" si="421">C126/C$135</f>
        <v>0.10496082351048919</v>
      </c>
      <c r="D169" s="10">
        <f t="shared" si="421"/>
        <v>0.10349338084391421</v>
      </c>
      <c r="E169" s="10">
        <f t="shared" si="421"/>
        <v>0.10461272214949746</v>
      </c>
      <c r="F169" s="10">
        <f t="shared" si="421"/>
        <v>0.10501608850883766</v>
      </c>
      <c r="G169" s="10">
        <f t="shared" si="421"/>
        <v>0.10360235168359166</v>
      </c>
      <c r="H169" s="10">
        <f t="shared" si="421"/>
        <v>0.10250579158785147</v>
      </c>
      <c r="I169" s="10">
        <f t="shared" si="421"/>
        <v>0.10126261024046697</v>
      </c>
      <c r="J169" s="10">
        <f t="shared" si="421"/>
        <v>0.10050282973217479</v>
      </c>
      <c r="K169" s="10">
        <f>K126/K$135</f>
        <v>9.8495553154351254E-2</v>
      </c>
      <c r="L169" s="10">
        <f>L126/L$135</f>
        <v>9.8265654965396479E-2</v>
      </c>
      <c r="M169" s="10">
        <f>M126/M$135</f>
        <v>0.10047351287363125</v>
      </c>
      <c r="N169" s="10">
        <f>N126/N$135</f>
        <v>0.10209485575177775</v>
      </c>
      <c r="O169" s="10">
        <f>O126/O$135</f>
        <v>0.10627809507264001</v>
      </c>
      <c r="P169" s="10">
        <f>P126/P$135</f>
        <v>0.1076765117091926</v>
      </c>
      <c r="Q169" s="10">
        <f>Q126/Q$135</f>
        <v>0.10863199300699301</v>
      </c>
      <c r="R169" s="10">
        <f>R126/R$135</f>
        <v>0.10932785236366817</v>
      </c>
      <c r="S169" s="10">
        <f>S126/S$135</f>
        <v>0.11042262125542732</v>
      </c>
      <c r="T169" s="10">
        <f>T126/T$135</f>
        <v>0.10878761973652484</v>
      </c>
      <c r="U169" s="10" t="e">
        <f>U126/U$135</f>
        <v>#DIV/0!</v>
      </c>
      <c r="V169" s="10" t="e">
        <f>V126/V$135</f>
        <v>#DIV/0!</v>
      </c>
      <c r="W169" s="10" t="e">
        <f>W126/W$135</f>
        <v>#DIV/0!</v>
      </c>
      <c r="X169" s="10" t="e">
        <f>X126/X$135</f>
        <v>#DIV/0!</v>
      </c>
      <c r="Y169" s="10" t="e">
        <f>Y126/Y$135</f>
        <v>#DIV/0!</v>
      </c>
      <c r="Z169" s="10" t="e">
        <f>Z126/Z$135</f>
        <v>#DIV/0!</v>
      </c>
      <c r="AA169" s="10" t="e">
        <f>AA126/AA$135</f>
        <v>#DIV/0!</v>
      </c>
      <c r="AB169" s="10" t="e">
        <f>AB126/AB$135</f>
        <v>#DIV/0!</v>
      </c>
      <c r="AC169" s="10" t="e">
        <f>AC126/AC$135</f>
        <v>#DIV/0!</v>
      </c>
      <c r="AD169" s="10" t="e">
        <f>AD126/AD$135</f>
        <v>#DIV/0!</v>
      </c>
    </row>
    <row r="170" spans="2:30" s="10" customFormat="1" x14ac:dyDescent="0.25">
      <c r="B170" s="9" t="s">
        <v>110</v>
      </c>
      <c r="C170" s="10">
        <f t="shared" ref="C170:J170" si="422">C127/C$135</f>
        <v>0.14167872980859814</v>
      </c>
      <c r="D170" s="10">
        <f t="shared" si="422"/>
        <v>0.1406147809025507</v>
      </c>
      <c r="E170" s="10">
        <f t="shared" si="422"/>
        <v>0.13680637216835659</v>
      </c>
      <c r="F170" s="10">
        <f t="shared" si="422"/>
        <v>0.13615727068365144</v>
      </c>
      <c r="G170" s="10">
        <f t="shared" si="422"/>
        <v>0.13618385889898449</v>
      </c>
      <c r="H170" s="10">
        <f t="shared" si="422"/>
        <v>0.13697902276253426</v>
      </c>
      <c r="I170" s="10">
        <f t="shared" si="422"/>
        <v>0.13647611192183237</v>
      </c>
      <c r="J170" s="10">
        <f t="shared" si="422"/>
        <v>0.13595337779554395</v>
      </c>
      <c r="K170" s="10">
        <f>K127/K$135</f>
        <v>0.13729116449172971</v>
      </c>
      <c r="L170" s="10">
        <f>L127/L$135</f>
        <v>0.14008171433336114</v>
      </c>
      <c r="M170" s="10">
        <f>M127/M$135</f>
        <v>0.14241322453811356</v>
      </c>
      <c r="N170" s="10">
        <f>N127/N$135</f>
        <v>0.14320186209400157</v>
      </c>
      <c r="O170" s="10">
        <f>O127/O$135</f>
        <v>0.14408564789680559</v>
      </c>
      <c r="P170" s="10">
        <f>P127/P$135</f>
        <v>0.14619014330653618</v>
      </c>
      <c r="Q170" s="10">
        <f>Q127/Q$135</f>
        <v>0.14591346153846155</v>
      </c>
      <c r="R170" s="10">
        <f>R127/R$135</f>
        <v>0.14496873223422399</v>
      </c>
      <c r="S170" s="10">
        <f>S127/S$135</f>
        <v>0.14417559400432003</v>
      </c>
      <c r="T170" s="10">
        <f>T127/T$135</f>
        <v>0.14401262576445059</v>
      </c>
      <c r="U170" s="10" t="e">
        <f>U127/U$135</f>
        <v>#DIV/0!</v>
      </c>
      <c r="V170" s="10" t="e">
        <f>V127/V$135</f>
        <v>#DIV/0!</v>
      </c>
      <c r="W170" s="10" t="e">
        <f>W127/W$135</f>
        <v>#DIV/0!</v>
      </c>
      <c r="X170" s="10" t="e">
        <f>X127/X$135</f>
        <v>#DIV/0!</v>
      </c>
      <c r="Y170" s="10" t="e">
        <f>Y127/Y$135</f>
        <v>#DIV/0!</v>
      </c>
      <c r="Z170" s="10" t="e">
        <f>Z127/Z$135</f>
        <v>#DIV/0!</v>
      </c>
      <c r="AA170" s="10" t="e">
        <f>AA127/AA$135</f>
        <v>#DIV/0!</v>
      </c>
      <c r="AB170" s="10" t="e">
        <f>AB127/AB$135</f>
        <v>#DIV/0!</v>
      </c>
      <c r="AC170" s="10" t="e">
        <f>AC127/AC$135</f>
        <v>#DIV/0!</v>
      </c>
      <c r="AD170" s="10" t="e">
        <f>AD127/AD$135</f>
        <v>#DIV/0!</v>
      </c>
    </row>
    <row r="171" spans="2:30" s="10" customFormat="1" x14ac:dyDescent="0.25">
      <c r="B171" s="9" t="s">
        <v>111</v>
      </c>
      <c r="C171" s="10">
        <f t="shared" ref="C171:J171" si="423">C128/C$135</f>
        <v>0.44840421865306401</v>
      </c>
      <c r="D171" s="10">
        <f t="shared" si="423"/>
        <v>0.43688685415304118</v>
      </c>
      <c r="E171" s="10">
        <f t="shared" si="423"/>
        <v>0.42976636861840206</v>
      </c>
      <c r="F171" s="10">
        <f t="shared" si="423"/>
        <v>0.42744743685811259</v>
      </c>
      <c r="G171" s="10">
        <f t="shared" si="423"/>
        <v>0.43074291822554783</v>
      </c>
      <c r="H171" s="10">
        <f t="shared" si="423"/>
        <v>0.42689847187094854</v>
      </c>
      <c r="I171" s="10">
        <f t="shared" si="423"/>
        <v>0.42687646722923672</v>
      </c>
      <c r="J171" s="10">
        <f t="shared" si="423"/>
        <v>0.42443878731775053</v>
      </c>
      <c r="K171" s="10">
        <f>K128/K$135</f>
        <v>0.42136979469703267</v>
      </c>
      <c r="L171" s="10">
        <f>L128/L$135</f>
        <v>0.42024514300008337</v>
      </c>
      <c r="M171" s="10">
        <f>M128/M$135</f>
        <v>0.4262884200735636</v>
      </c>
      <c r="N171" s="10">
        <f>N128/N$135</f>
        <v>0.43193320378398004</v>
      </c>
      <c r="O171" s="10">
        <f>O128/O$135</f>
        <v>0.44782731438250561</v>
      </c>
      <c r="P171" s="10">
        <f>P128/P$135</f>
        <v>0.44875043691017125</v>
      </c>
      <c r="Q171" s="10">
        <f>Q128/Q$135</f>
        <v>0.44993444055944054</v>
      </c>
      <c r="R171" s="10">
        <f>R128/R$135</f>
        <v>0.44975291905365811</v>
      </c>
      <c r="S171" s="10">
        <f>S128/S$135</f>
        <v>0.44775598367988129</v>
      </c>
      <c r="T171" s="10">
        <f>T128/T$135</f>
        <v>0.45119572126871399</v>
      </c>
      <c r="U171" s="10" t="e">
        <f>U128/U$135</f>
        <v>#DIV/0!</v>
      </c>
      <c r="V171" s="10" t="e">
        <f>V128/V$135</f>
        <v>#DIV/0!</v>
      </c>
      <c r="W171" s="10" t="e">
        <f>W128/W$135</f>
        <v>#DIV/0!</v>
      </c>
      <c r="X171" s="10" t="e">
        <f>X128/X$135</f>
        <v>#DIV/0!</v>
      </c>
      <c r="Y171" s="10" t="e">
        <f>Y128/Y$135</f>
        <v>#DIV/0!</v>
      </c>
      <c r="Z171" s="10" t="e">
        <f>Z128/Z$135</f>
        <v>#DIV/0!</v>
      </c>
      <c r="AA171" s="10" t="e">
        <f>AA128/AA$135</f>
        <v>#DIV/0!</v>
      </c>
      <c r="AB171" s="10" t="e">
        <f>AB128/AB$135</f>
        <v>#DIV/0!</v>
      </c>
      <c r="AC171" s="10" t="e">
        <f>AC128/AC$135</f>
        <v>#DIV/0!</v>
      </c>
      <c r="AD171" s="10" t="e">
        <f>AD128/AD$135</f>
        <v>#DIV/0!</v>
      </c>
    </row>
    <row r="172" spans="2:30" s="10" customFormat="1" x14ac:dyDescent="0.25">
      <c r="B172" s="14" t="s">
        <v>112</v>
      </c>
      <c r="C172" s="10">
        <f t="shared" ref="C172:J172" si="424">C129/C$135</f>
        <v>0.5900829484616622</v>
      </c>
      <c r="D172" s="10">
        <f t="shared" si="424"/>
        <v>0.57750163505559193</v>
      </c>
      <c r="E172" s="10">
        <f t="shared" si="424"/>
        <v>0.56657274078675868</v>
      </c>
      <c r="F172" s="10">
        <f t="shared" si="424"/>
        <v>0.56360470754176406</v>
      </c>
      <c r="G172" s="10">
        <f t="shared" si="424"/>
        <v>0.56692677712453232</v>
      </c>
      <c r="H172" s="10">
        <f t="shared" si="424"/>
        <v>0.5638774946334828</v>
      </c>
      <c r="I172" s="10">
        <f t="shared" si="424"/>
        <v>0.56335257915106907</v>
      </c>
      <c r="J172" s="10">
        <f t="shared" si="424"/>
        <v>0.56039216511329448</v>
      </c>
      <c r="K172" s="10">
        <f>K129/K$135</f>
        <v>0.55866095918876235</v>
      </c>
      <c r="L172" s="10">
        <f>L129/L$135</f>
        <v>0.56032685733344456</v>
      </c>
      <c r="M172" s="10">
        <f>M129/M$135</f>
        <v>0.56870164461167716</v>
      </c>
      <c r="N172" s="10">
        <f>N129/N$135</f>
        <v>0.57513506587798158</v>
      </c>
      <c r="O172" s="10">
        <f>O129/O$135</f>
        <v>0.59191296227931112</v>
      </c>
      <c r="P172" s="10">
        <f>P129/P$135</f>
        <v>0.59494058021670748</v>
      </c>
      <c r="Q172" s="10">
        <f>Q129/Q$135</f>
        <v>0.59584790209790206</v>
      </c>
      <c r="R172" s="10">
        <f>R129/R$135</f>
        <v>0.59472165128788212</v>
      </c>
      <c r="S172" s="10">
        <f>S129/S$135</f>
        <v>0.59193157768420135</v>
      </c>
      <c r="T172" s="10">
        <f>T129/T$135</f>
        <v>0.5952083470331645</v>
      </c>
      <c r="U172" s="10" t="e">
        <f>U129/U$135</f>
        <v>#DIV/0!</v>
      </c>
      <c r="V172" s="10" t="e">
        <f>V129/V$135</f>
        <v>#DIV/0!</v>
      </c>
      <c r="W172" s="10" t="e">
        <f>W129/W$135</f>
        <v>#DIV/0!</v>
      </c>
      <c r="X172" s="10" t="e">
        <f>X129/X$135</f>
        <v>#DIV/0!</v>
      </c>
      <c r="Y172" s="10" t="e">
        <f>Y129/Y$135</f>
        <v>#DIV/0!</v>
      </c>
      <c r="Z172" s="10" t="e">
        <f>Z129/Z$135</f>
        <v>#DIV/0!</v>
      </c>
      <c r="AA172" s="10" t="e">
        <f>AA129/AA$135</f>
        <v>#DIV/0!</v>
      </c>
      <c r="AB172" s="10" t="e">
        <f>AB129/AB$135</f>
        <v>#DIV/0!</v>
      </c>
      <c r="AC172" s="10" t="e">
        <f>AC129/AC$135</f>
        <v>#DIV/0!</v>
      </c>
      <c r="AD172" s="10" t="e">
        <f>AD129/AD$135</f>
        <v>#DIV/0!</v>
      </c>
    </row>
    <row r="173" spans="2:30" s="10" customFormat="1" x14ac:dyDescent="0.25">
      <c r="B173" s="9" t="s">
        <v>113</v>
      </c>
      <c r="C173" s="10">
        <f t="shared" ref="C173:J173" si="425">C130/C$135</f>
        <v>3.5339261505939662E-2</v>
      </c>
      <c r="D173" s="10">
        <f t="shared" si="425"/>
        <v>4.1135743442863262E-2</v>
      </c>
      <c r="E173" s="10">
        <f t="shared" si="425"/>
        <v>4.1112910740831135E-2</v>
      </c>
      <c r="F173" s="10">
        <f t="shared" si="425"/>
        <v>4.0970599903028163E-2</v>
      </c>
      <c r="G173" s="10">
        <f t="shared" si="425"/>
        <v>4.1068947087119188E-2</v>
      </c>
      <c r="H173" s="10">
        <f t="shared" si="425"/>
        <v>4.1359375996259377E-2</v>
      </c>
      <c r="I173" s="10">
        <f t="shared" si="425"/>
        <v>4.1642873760125203E-2</v>
      </c>
      <c r="J173" s="10">
        <f t="shared" si="425"/>
        <v>4.1593907134291307E-2</v>
      </c>
      <c r="K173" s="10">
        <f>K130/K$135</f>
        <v>4.2660626714321338E-2</v>
      </c>
      <c r="L173" s="10">
        <f>L130/L$135</f>
        <v>4.2920870507796215E-2</v>
      </c>
      <c r="M173" s="10">
        <f>M130/M$135</f>
        <v>4.3630829070308207E-2</v>
      </c>
      <c r="N173" s="10">
        <f>N130/N$135</f>
        <v>4.3712229601315426E-2</v>
      </c>
      <c r="O173" s="10">
        <f>O130/O$135</f>
        <v>4.3801168320701862E-2</v>
      </c>
      <c r="P173" s="10">
        <f>P130/P$135</f>
        <v>4.4368227892345333E-2</v>
      </c>
      <c r="Q173" s="10">
        <f>Q130/Q$135</f>
        <v>4.4733391608391605E-2</v>
      </c>
      <c r="R173" s="10">
        <f>R130/R$135</f>
        <v>4.5174268596667684E-2</v>
      </c>
      <c r="S173" s="10">
        <f>S130/S$135</f>
        <v>4.9200357820784149E-2</v>
      </c>
      <c r="T173" s="10">
        <f>T130/T$135</f>
        <v>4.942899103483045E-2</v>
      </c>
      <c r="U173" s="10" t="e">
        <f>U130/U$135</f>
        <v>#DIV/0!</v>
      </c>
      <c r="V173" s="10" t="e">
        <f>V130/V$135</f>
        <v>#DIV/0!</v>
      </c>
      <c r="W173" s="10" t="e">
        <f>W130/W$135</f>
        <v>#DIV/0!</v>
      </c>
      <c r="X173" s="10" t="e">
        <f>X130/X$135</f>
        <v>#DIV/0!</v>
      </c>
      <c r="Y173" s="10" t="e">
        <f>Y130/Y$135</f>
        <v>#DIV/0!</v>
      </c>
      <c r="Z173" s="10" t="e">
        <f>Z130/Z$135</f>
        <v>#DIV/0!</v>
      </c>
      <c r="AA173" s="10" t="e">
        <f>AA130/AA$135</f>
        <v>#DIV/0!</v>
      </c>
      <c r="AB173" s="10" t="e">
        <f>AB130/AB$135</f>
        <v>#DIV/0!</v>
      </c>
      <c r="AC173" s="10" t="e">
        <f>AC130/AC$135</f>
        <v>#DIV/0!</v>
      </c>
      <c r="AD173" s="10" t="e">
        <f>AD130/AD$135</f>
        <v>#DIV/0!</v>
      </c>
    </row>
    <row r="174" spans="2:30" s="10" customFormat="1" x14ac:dyDescent="0.25">
      <c r="B174" s="9" t="s">
        <v>116</v>
      </c>
      <c r="C174" s="10">
        <f t="shared" ref="C174:J174" si="426">C131/C$135</f>
        <v>2.1368994278624112E-2</v>
      </c>
      <c r="D174" s="10">
        <f t="shared" si="426"/>
        <v>2.1109131503574571E-2</v>
      </c>
      <c r="E174" s="10">
        <f t="shared" si="426"/>
        <v>2.1011293292804687E-2</v>
      </c>
      <c r="F174" s="10">
        <f t="shared" si="426"/>
        <v>2.0981178648565257E-2</v>
      </c>
      <c r="G174" s="10">
        <f t="shared" si="426"/>
        <v>2.0074826296098344E-2</v>
      </c>
      <c r="H174" s="10">
        <f t="shared" si="426"/>
        <v>2.002082846273193E-2</v>
      </c>
      <c r="I174" s="10">
        <f t="shared" si="426"/>
        <v>1.9986041494829007E-2</v>
      </c>
      <c r="J174" s="10">
        <f t="shared" si="426"/>
        <v>1.9923839178641309E-2</v>
      </c>
      <c r="K174" s="10">
        <f>K131/K$135</f>
        <v>1.9221178621893441E-2</v>
      </c>
      <c r="L174" s="10">
        <f>L131/L$135</f>
        <v>1.9302926707245892E-2</v>
      </c>
      <c r="M174" s="10">
        <f>M131/M$135</f>
        <v>1.9616961907580433E-2</v>
      </c>
      <c r="N174" s="10">
        <f>N131/N$135</f>
        <v>1.9710008755258492E-2</v>
      </c>
      <c r="O174" s="10">
        <f>O131/O$135</f>
        <v>1.9457534365567113E-2</v>
      </c>
      <c r="P174" s="10">
        <f>P131/P$135</f>
        <v>1.9529884655714785E-2</v>
      </c>
      <c r="Q174" s="10">
        <f>Q131/Q$135</f>
        <v>1.9536713286713286E-2</v>
      </c>
      <c r="R174" s="10">
        <f>R131/R$135</f>
        <v>1.9482223291205667E-2</v>
      </c>
      <c r="S174" s="10">
        <f>S131/S$135</f>
        <v>1.9112866275391095E-2</v>
      </c>
      <c r="T174" s="10">
        <f>T131/T$135</f>
        <v>1.9157843975362222E-2</v>
      </c>
      <c r="U174" s="10" t="e">
        <f>U131/U$135</f>
        <v>#DIV/0!</v>
      </c>
      <c r="V174" s="10" t="e">
        <f>V131/V$135</f>
        <v>#DIV/0!</v>
      </c>
      <c r="W174" s="10" t="e">
        <f>W131/W$135</f>
        <v>#DIV/0!</v>
      </c>
      <c r="X174" s="10" t="e">
        <f>X131/X$135</f>
        <v>#DIV/0!</v>
      </c>
      <c r="Y174" s="10" t="e">
        <f>Y131/Y$135</f>
        <v>#DIV/0!</v>
      </c>
      <c r="Z174" s="10" t="e">
        <f>Z131/Z$135</f>
        <v>#DIV/0!</v>
      </c>
      <c r="AA174" s="10" t="e">
        <f>AA131/AA$135</f>
        <v>#DIV/0!</v>
      </c>
      <c r="AB174" s="10" t="e">
        <f>AB131/AB$135</f>
        <v>#DIV/0!</v>
      </c>
      <c r="AC174" s="10" t="e">
        <f>AC131/AC$135</f>
        <v>#DIV/0!</v>
      </c>
      <c r="AD174" s="10" t="e">
        <f>AD131/AD$135</f>
        <v>#DIV/0!</v>
      </c>
    </row>
    <row r="175" spans="2:30" s="10" customFormat="1" x14ac:dyDescent="0.25">
      <c r="B175" s="14" t="s">
        <v>114</v>
      </c>
      <c r="C175" s="10">
        <f t="shared" ref="C175:J175" si="427">C132/C$135</f>
        <v>5.6708255784563774E-2</v>
      </c>
      <c r="D175" s="10">
        <f t="shared" si="427"/>
        <v>6.2244874946437836E-2</v>
      </c>
      <c r="E175" s="10">
        <f t="shared" si="427"/>
        <v>6.2124204033635819E-2</v>
      </c>
      <c r="F175" s="10">
        <f t="shared" si="427"/>
        <v>6.1951778551593423E-2</v>
      </c>
      <c r="G175" s="10">
        <f t="shared" si="427"/>
        <v>6.1143773383217533E-2</v>
      </c>
      <c r="H175" s="10">
        <f t="shared" si="427"/>
        <v>6.1380204458991304E-2</v>
      </c>
      <c r="I175" s="10">
        <f t="shared" si="427"/>
        <v>6.162891525495421E-2</v>
      </c>
      <c r="J175" s="10">
        <f t="shared" si="427"/>
        <v>6.1517746312932615E-2</v>
      </c>
      <c r="K175" s="10">
        <f>K132/K$135</f>
        <v>6.1881805336214776E-2</v>
      </c>
      <c r="L175" s="10">
        <f>L132/L$135</f>
        <v>6.2223797215042106E-2</v>
      </c>
      <c r="M175" s="10">
        <f>M132/M$135</f>
        <v>6.3247790977888643E-2</v>
      </c>
      <c r="N175" s="10">
        <f>N132/N$135</f>
        <v>6.3422238356573915E-2</v>
      </c>
      <c r="O175" s="10">
        <f>O132/O$135</f>
        <v>6.3258702686268972E-2</v>
      </c>
      <c r="P175" s="10">
        <f>P132/P$135</f>
        <v>6.3898112548060118E-2</v>
      </c>
      <c r="Q175" s="10">
        <f>Q132/Q$135</f>
        <v>6.4270104895104901E-2</v>
      </c>
      <c r="R175" s="10">
        <f>R132/R$135</f>
        <v>6.4656491887873355E-2</v>
      </c>
      <c r="S175" s="10">
        <f>S132/S$135</f>
        <v>6.831322409617524E-2</v>
      </c>
      <c r="T175" s="10">
        <f>T132/T$135</f>
        <v>6.8586835010192679E-2</v>
      </c>
      <c r="U175" s="10" t="e">
        <f>U132/U$135</f>
        <v>#DIV/0!</v>
      </c>
      <c r="V175" s="10" t="e">
        <f>V132/V$135</f>
        <v>#DIV/0!</v>
      </c>
      <c r="W175" s="10" t="e">
        <f>W132/W$135</f>
        <v>#DIV/0!</v>
      </c>
      <c r="X175" s="10" t="e">
        <f>X132/X$135</f>
        <v>#DIV/0!</v>
      </c>
      <c r="Y175" s="10" t="e">
        <f>Y132/Y$135</f>
        <v>#DIV/0!</v>
      </c>
      <c r="Z175" s="10" t="e">
        <f>Z132/Z$135</f>
        <v>#DIV/0!</v>
      </c>
      <c r="AA175" s="10" t="e">
        <f>AA132/AA$135</f>
        <v>#DIV/0!</v>
      </c>
      <c r="AB175" s="10" t="e">
        <f>AB132/AB$135</f>
        <v>#DIV/0!</v>
      </c>
      <c r="AC175" s="10" t="e">
        <f>AC132/AC$135</f>
        <v>#DIV/0!</v>
      </c>
      <c r="AD175" s="10" t="e">
        <f>AD132/AD$135</f>
        <v>#DIV/0!</v>
      </c>
    </row>
    <row r="176" spans="2:30" s="10" customFormat="1" x14ac:dyDescent="0.25">
      <c r="B176" s="9" t="s">
        <v>115</v>
      </c>
      <c r="C176" s="10">
        <f t="shared" ref="C176:J176" si="428">C133/C$135</f>
        <v>0.21074883389627996</v>
      </c>
      <c r="D176" s="10">
        <f t="shared" si="428"/>
        <v>0.21997699645925892</v>
      </c>
      <c r="E176" s="10">
        <f t="shared" si="428"/>
        <v>0.23054735861196779</v>
      </c>
      <c r="F176" s="10">
        <f t="shared" si="428"/>
        <v>0.23361396394410897</v>
      </c>
      <c r="G176" s="10">
        <f t="shared" si="428"/>
        <v>0.23343666488508819</v>
      </c>
      <c r="H176" s="10">
        <f t="shared" si="428"/>
        <v>0.23763575694459205</v>
      </c>
      <c r="I176" s="10">
        <f t="shared" si="428"/>
        <v>0.23938836368250746</v>
      </c>
      <c r="J176" s="10">
        <f t="shared" si="428"/>
        <v>0.24344112263575352</v>
      </c>
      <c r="K176" s="10">
        <f>K133/K$135</f>
        <v>0.2470492893358823</v>
      </c>
      <c r="L176" s="10">
        <f>L133/L$135</f>
        <v>0.24512215459017761</v>
      </c>
      <c r="M176" s="10">
        <f>M133/M$135</f>
        <v>0.23290914471737201</v>
      </c>
      <c r="N176" s="10">
        <f>N133/N$135</f>
        <v>0.22428409746097502</v>
      </c>
      <c r="O176" s="10">
        <f>O133/O$135</f>
        <v>0.20254511498621033</v>
      </c>
      <c r="P176" s="10">
        <f>P133/P$135</f>
        <v>0.19722125131073051</v>
      </c>
      <c r="Q176" s="10">
        <f>Q133/Q$135</f>
        <v>0.19506118881118881</v>
      </c>
      <c r="R176" s="10">
        <f>R133/R$135</f>
        <v>0.19497529190536581</v>
      </c>
      <c r="S176" s="10">
        <f>S133/S$135</f>
        <v>0.19335413348460717</v>
      </c>
      <c r="T176" s="10">
        <f>T133/T$135</f>
        <v>0.19142500164397974</v>
      </c>
      <c r="U176" s="10" t="e">
        <f>U133/U$135</f>
        <v>#DIV/0!</v>
      </c>
      <c r="V176" s="10" t="e">
        <f>V133/V$135</f>
        <v>#DIV/0!</v>
      </c>
      <c r="W176" s="10" t="e">
        <f>W133/W$135</f>
        <v>#DIV/0!</v>
      </c>
      <c r="X176" s="10" t="e">
        <f>X133/X$135</f>
        <v>#DIV/0!</v>
      </c>
      <c r="Y176" s="10" t="e">
        <f>Y133/Y$135</f>
        <v>#DIV/0!</v>
      </c>
      <c r="Z176" s="10" t="e">
        <f>Z133/Z$135</f>
        <v>#DIV/0!</v>
      </c>
      <c r="AA176" s="10" t="e">
        <f>AA133/AA$135</f>
        <v>#DIV/0!</v>
      </c>
      <c r="AB176" s="10" t="e">
        <f>AB133/AB$135</f>
        <v>#DIV/0!</v>
      </c>
      <c r="AC176" s="10" t="e">
        <f>AC133/AC$135</f>
        <v>#DIV/0!</v>
      </c>
      <c r="AD176" s="10" t="e">
        <f>AD133/AD$135</f>
        <v>#DIV/0!</v>
      </c>
    </row>
    <row r="177" spans="2:30" s="10" customFormat="1" x14ac:dyDescent="0.25">
      <c r="B177" s="9" t="s">
        <v>117</v>
      </c>
      <c r="C177" s="10">
        <f t="shared" ref="C177:J177" si="429">C134/C$135</f>
        <v>3.7499138347004891E-2</v>
      </c>
      <c r="D177" s="10">
        <f t="shared" si="429"/>
        <v>3.6783112694797143E-2</v>
      </c>
      <c r="E177" s="10">
        <f t="shared" si="429"/>
        <v>3.6142974418140267E-2</v>
      </c>
      <c r="F177" s="10">
        <f t="shared" si="429"/>
        <v>3.5813461453695947E-2</v>
      </c>
      <c r="G177" s="10">
        <f t="shared" si="429"/>
        <v>3.4890432923570282E-2</v>
      </c>
      <c r="H177" s="10">
        <f t="shared" si="429"/>
        <v>3.460075237508236E-2</v>
      </c>
      <c r="I177" s="10">
        <f t="shared" si="429"/>
        <v>3.436753167100226E-2</v>
      </c>
      <c r="J177" s="10">
        <f t="shared" si="429"/>
        <v>3.4146136205844606E-2</v>
      </c>
      <c r="K177" s="10">
        <f>K134/K$135</f>
        <v>3.3912392984789291E-2</v>
      </c>
      <c r="L177" s="10">
        <f>L134/L$135</f>
        <v>3.4061535895939299E-2</v>
      </c>
      <c r="M177" s="10">
        <f>M134/M$135</f>
        <v>3.4667906819430938E-2</v>
      </c>
      <c r="N177" s="10">
        <f>N134/N$135</f>
        <v>3.5063742552691707E-2</v>
      </c>
      <c r="O177" s="10">
        <f>O134/O$135</f>
        <v>3.60051249755695E-2</v>
      </c>
      <c r="P177" s="10">
        <f>P134/P$135</f>
        <v>3.6263544215309335E-2</v>
      </c>
      <c r="Q177" s="10">
        <f>Q134/Q$135</f>
        <v>3.618881118881119E-2</v>
      </c>
      <c r="R177" s="10">
        <f>R134/R$135</f>
        <v>3.6318712555210568E-2</v>
      </c>
      <c r="S177" s="10">
        <f>S134/S$135</f>
        <v>3.5978443479588944E-2</v>
      </c>
      <c r="T177" s="10">
        <f>T134/T$135</f>
        <v>3.5992196576138183E-2</v>
      </c>
      <c r="U177" s="10" t="e">
        <f>U134/U$135</f>
        <v>#DIV/0!</v>
      </c>
      <c r="V177" s="10" t="e">
        <f>V134/V$135</f>
        <v>#DIV/0!</v>
      </c>
      <c r="W177" s="10" t="e">
        <f>W134/W$135</f>
        <v>#DIV/0!</v>
      </c>
      <c r="X177" s="10" t="e">
        <f>X134/X$135</f>
        <v>#DIV/0!</v>
      </c>
      <c r="Y177" s="10" t="e">
        <f>Y134/Y$135</f>
        <v>#DIV/0!</v>
      </c>
      <c r="Z177" s="10" t="e">
        <f>Z134/Z$135</f>
        <v>#DIV/0!</v>
      </c>
      <c r="AA177" s="10" t="e">
        <f>AA134/AA$135</f>
        <v>#DIV/0!</v>
      </c>
      <c r="AB177" s="10" t="e">
        <f>AB134/AB$135</f>
        <v>#DIV/0!</v>
      </c>
      <c r="AC177" s="10" t="e">
        <f>AC134/AC$135</f>
        <v>#DIV/0!</v>
      </c>
      <c r="AD177" s="10" t="e">
        <f>AD134/AD$135</f>
        <v>#DIV/0!</v>
      </c>
    </row>
    <row r="178" spans="2:30" s="10" customFormat="1" x14ac:dyDescent="0.25"/>
    <row r="179" spans="2:30" s="6" customFormat="1" x14ac:dyDescent="0.25"/>
    <row r="180" spans="2:30" s="13" customFormat="1" x14ac:dyDescent="0.25">
      <c r="B180" s="12" t="s">
        <v>119</v>
      </c>
    </row>
    <row r="181" spans="2:30" s="13" customFormat="1" x14ac:dyDescent="0.25">
      <c r="B181" s="13" t="s">
        <v>120</v>
      </c>
      <c r="G181" s="13">
        <v>73</v>
      </c>
      <c r="H181" s="13">
        <v>76.400000000000006</v>
      </c>
      <c r="I181" s="13">
        <v>76.900000000000006</v>
      </c>
      <c r="J181" s="13">
        <v>82</v>
      </c>
      <c r="K181" s="13">
        <v>75.7</v>
      </c>
      <c r="L181" s="13">
        <v>77.400000000000006</v>
      </c>
      <c r="M181" s="13">
        <v>77.3</v>
      </c>
      <c r="N181" s="13">
        <v>78</v>
      </c>
      <c r="O181" s="13">
        <v>77</v>
      </c>
      <c r="P181" s="13">
        <v>78.2</v>
      </c>
      <c r="Q181" s="13">
        <v>80.2</v>
      </c>
      <c r="R181" s="13">
        <v>82.9</v>
      </c>
      <c r="S181" s="13">
        <v>83.9</v>
      </c>
      <c r="T181" s="13">
        <v>83.3</v>
      </c>
    </row>
    <row r="182" spans="2:30" s="13" customFormat="1" x14ac:dyDescent="0.25">
      <c r="B182" s="13" t="s">
        <v>121</v>
      </c>
      <c r="G182" s="13">
        <v>104</v>
      </c>
      <c r="H182" s="13">
        <v>104.7</v>
      </c>
      <c r="I182" s="13">
        <v>105.3</v>
      </c>
      <c r="J182" s="13">
        <v>105</v>
      </c>
      <c r="K182" s="13">
        <v>104</v>
      </c>
      <c r="L182" s="13">
        <v>103.6</v>
      </c>
      <c r="M182" s="13">
        <v>104.8</v>
      </c>
      <c r="N182" s="13">
        <v>103.3</v>
      </c>
      <c r="O182" s="13">
        <v>102.9</v>
      </c>
      <c r="P182" s="13">
        <v>102.3</v>
      </c>
      <c r="Q182" s="13">
        <v>101.3</v>
      </c>
      <c r="R182" s="13">
        <v>101.1</v>
      </c>
      <c r="S182" s="13">
        <v>99.5</v>
      </c>
      <c r="T182" s="13">
        <v>97.3</v>
      </c>
    </row>
    <row r="184" spans="2:30" x14ac:dyDescent="0.25">
      <c r="B184" s="5" t="s">
        <v>105</v>
      </c>
    </row>
    <row r="185" spans="2:30" s="9" customFormat="1" x14ac:dyDescent="0.25">
      <c r="B185" s="9" t="s">
        <v>120</v>
      </c>
      <c r="G185" s="9" t="e">
        <f t="shared" ref="G185:G186" si="430">G181/C181-1</f>
        <v>#DIV/0!</v>
      </c>
      <c r="H185" s="9" t="e">
        <f t="shared" ref="H185:H186" si="431">H181/D181-1</f>
        <v>#DIV/0!</v>
      </c>
      <c r="I185" s="9" t="e">
        <f t="shared" ref="I185:I186" si="432">I181/E181-1</f>
        <v>#DIV/0!</v>
      </c>
      <c r="J185" s="9" t="e">
        <f t="shared" ref="J185:J186" si="433">J181/F181-1</f>
        <v>#DIV/0!</v>
      </c>
      <c r="K185" s="9">
        <f t="shared" ref="K185:K186" si="434">K181/G181-1</f>
        <v>3.6986301369863028E-2</v>
      </c>
      <c r="L185" s="9">
        <f t="shared" ref="L185:L186" si="435">L181/H181-1</f>
        <v>1.308900523560208E-2</v>
      </c>
      <c r="M185" s="9">
        <f t="shared" ref="M185:M186" si="436">M181/I181-1</f>
        <v>5.2015604681403538E-3</v>
      </c>
      <c r="N185" s="9">
        <f t="shared" ref="N185:N186" si="437">N181/J181-1</f>
        <v>-4.8780487804878092E-2</v>
      </c>
      <c r="O185" s="9">
        <f t="shared" ref="O185:S185" si="438">O181/K181-1</f>
        <v>1.7173051519154603E-2</v>
      </c>
      <c r="P185" s="9">
        <f t="shared" si="438"/>
        <v>1.0335917312661369E-2</v>
      </c>
      <c r="Q185" s="9">
        <f t="shared" si="438"/>
        <v>3.7516170763260082E-2</v>
      </c>
      <c r="R185" s="9">
        <f t="shared" si="438"/>
        <v>6.2820512820512819E-2</v>
      </c>
      <c r="S185" s="9">
        <f t="shared" si="438"/>
        <v>8.9610389610389696E-2</v>
      </c>
      <c r="T185" s="9">
        <f>T181/P181-1</f>
        <v>6.5217391304347672E-2</v>
      </c>
      <c r="U185" s="9">
        <f t="shared" ref="U185:AD185" si="439">U181/Q181-1</f>
        <v>-1</v>
      </c>
      <c r="V185" s="9">
        <f t="shared" si="439"/>
        <v>-1</v>
      </c>
      <c r="W185" s="9">
        <f t="shared" si="439"/>
        <v>-1</v>
      </c>
      <c r="X185" s="9">
        <f t="shared" si="439"/>
        <v>-1</v>
      </c>
      <c r="Y185" s="9" t="e">
        <f t="shared" si="439"/>
        <v>#DIV/0!</v>
      </c>
      <c r="Z185" s="9" t="e">
        <f t="shared" si="439"/>
        <v>#DIV/0!</v>
      </c>
      <c r="AA185" s="9" t="e">
        <f t="shared" si="439"/>
        <v>#DIV/0!</v>
      </c>
      <c r="AB185" s="9" t="e">
        <f t="shared" si="439"/>
        <v>#DIV/0!</v>
      </c>
      <c r="AC185" s="9" t="e">
        <f t="shared" si="439"/>
        <v>#DIV/0!</v>
      </c>
      <c r="AD185" s="9" t="e">
        <f t="shared" si="439"/>
        <v>#DIV/0!</v>
      </c>
    </row>
    <row r="186" spans="2:30" s="9" customFormat="1" x14ac:dyDescent="0.25">
      <c r="B186" s="9" t="s">
        <v>121</v>
      </c>
      <c r="G186" s="9" t="e">
        <f t="shared" si="430"/>
        <v>#DIV/0!</v>
      </c>
      <c r="H186" s="9" t="e">
        <f t="shared" si="431"/>
        <v>#DIV/0!</v>
      </c>
      <c r="I186" s="9" t="e">
        <f t="shared" si="432"/>
        <v>#DIV/0!</v>
      </c>
      <c r="J186" s="9" t="e">
        <f t="shared" si="433"/>
        <v>#DIV/0!</v>
      </c>
      <c r="K186" s="9">
        <f t="shared" si="434"/>
        <v>0</v>
      </c>
      <c r="L186" s="9">
        <f t="shared" si="435"/>
        <v>-1.0506208213944657E-2</v>
      </c>
      <c r="M186" s="9">
        <f t="shared" si="436"/>
        <v>-4.7483380816714105E-3</v>
      </c>
      <c r="N186" s="9">
        <f t="shared" si="437"/>
        <v>-1.61904761904762E-2</v>
      </c>
      <c r="O186" s="9">
        <f t="shared" ref="O186:AD186" si="440">O182/K182-1</f>
        <v>-1.0576923076923039E-2</v>
      </c>
      <c r="P186" s="9">
        <f t="shared" si="440"/>
        <v>-1.2548262548262468E-2</v>
      </c>
      <c r="Q186" s="9">
        <f t="shared" si="440"/>
        <v>-3.3396946564885455E-2</v>
      </c>
      <c r="R186" s="9">
        <f t="shared" si="440"/>
        <v>-2.1297192642788065E-2</v>
      </c>
      <c r="S186" s="9">
        <f t="shared" si="440"/>
        <v>-3.3041788143828965E-2</v>
      </c>
      <c r="T186" s="9">
        <f t="shared" si="440"/>
        <v>-4.8875855327468187E-2</v>
      </c>
      <c r="U186" s="9">
        <f t="shared" si="440"/>
        <v>-1</v>
      </c>
      <c r="V186" s="9">
        <f t="shared" si="440"/>
        <v>-1</v>
      </c>
      <c r="W186" s="9">
        <f t="shared" si="440"/>
        <v>-1</v>
      </c>
      <c r="X186" s="9">
        <f t="shared" si="440"/>
        <v>-1</v>
      </c>
      <c r="Y186" s="9" t="e">
        <f t="shared" si="440"/>
        <v>#DIV/0!</v>
      </c>
      <c r="Z186" s="9" t="e">
        <f t="shared" si="440"/>
        <v>#DIV/0!</v>
      </c>
      <c r="AA186" s="9" t="e">
        <f t="shared" si="440"/>
        <v>#DIV/0!</v>
      </c>
      <c r="AB186" s="9" t="e">
        <f t="shared" si="440"/>
        <v>#DIV/0!</v>
      </c>
      <c r="AC186" s="9" t="e">
        <f t="shared" si="440"/>
        <v>#DIV/0!</v>
      </c>
      <c r="AD186" s="9" t="e">
        <f t="shared" si="440"/>
        <v>#DIV/0!</v>
      </c>
    </row>
    <row r="189" spans="2:30" x14ac:dyDescent="0.25">
      <c r="B189" s="5" t="s">
        <v>127</v>
      </c>
      <c r="C189" s="5"/>
      <c r="D189" s="5"/>
      <c r="E189" s="5"/>
      <c r="F189" s="5"/>
      <c r="G189" s="5"/>
      <c r="H189" s="5"/>
      <c r="I189" s="5"/>
      <c r="J189" s="5"/>
    </row>
    <row r="190" spans="2:30" s="3" customFormat="1" x14ac:dyDescent="0.25">
      <c r="B190" s="3" t="s">
        <v>135</v>
      </c>
      <c r="C190" s="3">
        <v>4766</v>
      </c>
      <c r="D190" s="3">
        <v>4732</v>
      </c>
      <c r="E190" s="3">
        <v>4695</v>
      </c>
      <c r="F190" s="3">
        <v>4782</v>
      </c>
      <c r="G190" s="3">
        <v>4679</v>
      </c>
      <c r="H190" s="3">
        <v>4779</v>
      </c>
      <c r="I190" s="3">
        <v>4796</v>
      </c>
      <c r="J190" s="3">
        <v>4834</v>
      </c>
      <c r="K190" s="3">
        <v>4771</v>
      </c>
      <c r="N190" s="3">
        <v>4629</v>
      </c>
      <c r="O190" s="3">
        <v>4469</v>
      </c>
    </row>
    <row r="191" spans="2:30" s="3" customFormat="1" x14ac:dyDescent="0.25">
      <c r="B191" s="3" t="s">
        <v>128</v>
      </c>
      <c r="C191" s="3">
        <v>6599</v>
      </c>
      <c r="D191" s="3">
        <v>6606</v>
      </c>
      <c r="E191" s="3">
        <v>6637</v>
      </c>
      <c r="F191" s="3">
        <v>6674</v>
      </c>
      <c r="G191" s="3">
        <v>6649</v>
      </c>
      <c r="H191" s="3">
        <v>6620</v>
      </c>
      <c r="I191" s="3">
        <v>6655</v>
      </c>
      <c r="J191" s="3">
        <v>6692</v>
      </c>
      <c r="K191" s="3">
        <v>6743</v>
      </c>
      <c r="L191" s="3">
        <v>6728</v>
      </c>
      <c r="M191" s="3">
        <v>6775</v>
      </c>
      <c r="N191" s="3">
        <v>6820</v>
      </c>
      <c r="O191" s="3">
        <v>6970</v>
      </c>
      <c r="P191" s="3">
        <v>7008</v>
      </c>
      <c r="Q191" s="3">
        <v>7021</v>
      </c>
      <c r="R191" s="3">
        <v>7282</v>
      </c>
    </row>
    <row r="192" spans="2:30" s="3" customFormat="1" x14ac:dyDescent="0.25">
      <c r="B192" s="3" t="s">
        <v>129</v>
      </c>
      <c r="C192" s="3">
        <v>1488</v>
      </c>
      <c r="D192" s="3">
        <v>1497</v>
      </c>
      <c r="E192" s="3">
        <v>1486</v>
      </c>
      <c r="F192" s="3">
        <v>1491</v>
      </c>
      <c r="G192" s="3">
        <v>1588</v>
      </c>
      <c r="H192" s="3">
        <v>1589</v>
      </c>
      <c r="I192" s="3">
        <v>1577</v>
      </c>
      <c r="J192" s="3">
        <v>1586</v>
      </c>
      <c r="K192" s="3">
        <v>1697</v>
      </c>
      <c r="L192" s="3">
        <v>1694</v>
      </c>
      <c r="M192" s="3">
        <v>1708</v>
      </c>
      <c r="N192" s="3">
        <v>1729</v>
      </c>
      <c r="O192" s="3">
        <v>1841</v>
      </c>
      <c r="P192" s="3">
        <v>1851</v>
      </c>
      <c r="Q192" s="3">
        <v>1878</v>
      </c>
      <c r="R192" s="3">
        <v>1887</v>
      </c>
    </row>
    <row r="193" spans="2:18" s="3" customFormat="1" x14ac:dyDescent="0.25">
      <c r="B193" s="3" t="s">
        <v>130</v>
      </c>
      <c r="C193" s="3">
        <v>7798</v>
      </c>
      <c r="D193" s="3">
        <v>7819</v>
      </c>
      <c r="E193" s="3">
        <v>7974</v>
      </c>
      <c r="F193" s="3">
        <v>8031</v>
      </c>
      <c r="G193" s="3">
        <v>9211</v>
      </c>
      <c r="H193" s="3">
        <v>9385</v>
      </c>
      <c r="I193" s="3">
        <v>9628</v>
      </c>
      <c r="J193" s="3">
        <v>9813</v>
      </c>
      <c r="K193" s="3">
        <v>9904</v>
      </c>
      <c r="L193" s="3">
        <v>9850</v>
      </c>
      <c r="M193" s="3">
        <v>9861</v>
      </c>
      <c r="N193" s="3">
        <v>9944</v>
      </c>
      <c r="O193" s="3">
        <v>10251</v>
      </c>
      <c r="P193" s="3">
        <v>10275</v>
      </c>
      <c r="Q193" s="3">
        <v>10382</v>
      </c>
      <c r="R193" s="3">
        <v>10419</v>
      </c>
    </row>
    <row r="194" spans="2:18" s="3" customFormat="1" x14ac:dyDescent="0.25">
      <c r="B194" s="3" t="s">
        <v>131</v>
      </c>
      <c r="C194" s="3">
        <v>450</v>
      </c>
      <c r="D194" s="3">
        <v>433</v>
      </c>
      <c r="E194" s="3">
        <v>438</v>
      </c>
      <c r="F194" s="3">
        <v>438</v>
      </c>
      <c r="G194" s="3">
        <v>279</v>
      </c>
      <c r="H194" s="3">
        <v>276</v>
      </c>
      <c r="I194" s="3">
        <v>274</v>
      </c>
      <c r="J194" s="3">
        <v>271</v>
      </c>
      <c r="K194" s="3">
        <v>264</v>
      </c>
      <c r="L194" s="3">
        <v>263</v>
      </c>
      <c r="M194" s="3">
        <v>261</v>
      </c>
      <c r="N194" s="3">
        <v>260</v>
      </c>
      <c r="O194" s="3">
        <v>262</v>
      </c>
      <c r="P194" s="3">
        <v>260</v>
      </c>
      <c r="Q194" s="3">
        <v>258</v>
      </c>
      <c r="R194" s="3">
        <v>256</v>
      </c>
    </row>
    <row r="197" spans="2:18" s="5" customFormat="1" x14ac:dyDescent="0.25">
      <c r="B197" s="5" t="s">
        <v>105</v>
      </c>
    </row>
    <row r="198" spans="2:18" s="5" customFormat="1" x14ac:dyDescent="0.25">
      <c r="G198" s="9">
        <f t="shared" ref="G198:G202" si="441">G190/C190-1</f>
        <v>-1.8254301300881237E-2</v>
      </c>
      <c r="H198" s="9">
        <f t="shared" ref="H198:H202" si="442">H190/D190-1</f>
        <v>9.9323753169906492E-3</v>
      </c>
      <c r="I198" s="9">
        <f t="shared" ref="I198:I202" si="443">I190/E190-1</f>
        <v>2.1512247071352464E-2</v>
      </c>
      <c r="J198" s="9">
        <f t="shared" ref="J198:J202" si="444">J190/F190-1</f>
        <v>1.0874111250522844E-2</v>
      </c>
      <c r="K198" s="9">
        <f t="shared" ref="K198:K202" si="445">K190/G190-1</f>
        <v>1.9662321008762529E-2</v>
      </c>
      <c r="L198" s="9"/>
      <c r="M198" s="9"/>
      <c r="N198" s="9">
        <f t="shared" ref="N198:N202" si="446">N190/J190-1</f>
        <v>-4.2407943731899045E-2</v>
      </c>
      <c r="O198" s="9">
        <f t="shared" ref="O198:Q199" si="447">O190/K190-1</f>
        <v>-6.3299098721442015E-2</v>
      </c>
    </row>
    <row r="199" spans="2:18" s="9" customFormat="1" x14ac:dyDescent="0.25">
      <c r="B199" s="9" t="s">
        <v>128</v>
      </c>
      <c r="G199" s="9">
        <f t="shared" si="441"/>
        <v>7.5769055917562778E-3</v>
      </c>
      <c r="H199" s="9">
        <f t="shared" si="442"/>
        <v>2.1192854980320863E-3</v>
      </c>
      <c r="I199" s="9">
        <f t="shared" si="443"/>
        <v>2.712068705740478E-3</v>
      </c>
      <c r="J199" s="9">
        <f t="shared" si="444"/>
        <v>2.6970332634101979E-3</v>
      </c>
      <c r="K199" s="9">
        <f t="shared" si="445"/>
        <v>1.4137464280342904E-2</v>
      </c>
      <c r="L199" s="9">
        <f t="shared" ref="L198:L202" si="448">L191/H191-1</f>
        <v>1.6314199395770501E-2</v>
      </c>
      <c r="M199" s="9">
        <f t="shared" ref="M198:M202" si="449">M191/I191-1</f>
        <v>1.8031555221637907E-2</v>
      </c>
      <c r="N199" s="9">
        <f t="shared" si="446"/>
        <v>1.9127316198445987E-2</v>
      </c>
      <c r="O199" s="9">
        <f t="shared" si="447"/>
        <v>3.3664541005487214E-2</v>
      </c>
      <c r="P199" s="9">
        <f t="shared" si="447"/>
        <v>4.1617122473246226E-2</v>
      </c>
      <c r="Q199" s="9">
        <f t="shared" si="447"/>
        <v>3.6309963099631082E-2</v>
      </c>
      <c r="R199" s="9">
        <f>R191/N191-1</f>
        <v>6.7741935483870863E-2</v>
      </c>
    </row>
    <row r="200" spans="2:18" s="9" customFormat="1" x14ac:dyDescent="0.25">
      <c r="B200" s="9" t="s">
        <v>129</v>
      </c>
      <c r="G200" s="9">
        <f t="shared" si="441"/>
        <v>6.7204301075268758E-2</v>
      </c>
      <c r="H200" s="9">
        <f t="shared" si="442"/>
        <v>6.1456245824983213E-2</v>
      </c>
      <c r="I200" s="9">
        <f t="shared" si="443"/>
        <v>6.1238223418573323E-2</v>
      </c>
      <c r="J200" s="9">
        <f t="shared" si="444"/>
        <v>6.3715627095908722E-2</v>
      </c>
      <c r="K200" s="9">
        <f t="shared" si="445"/>
        <v>6.8639798488665082E-2</v>
      </c>
      <c r="L200" s="9">
        <f t="shared" si="448"/>
        <v>6.6079295154185091E-2</v>
      </c>
      <c r="M200" s="9">
        <f t="shared" si="449"/>
        <v>8.3069118579581547E-2</v>
      </c>
      <c r="N200" s="9">
        <f t="shared" si="446"/>
        <v>9.0163934426229497E-2</v>
      </c>
      <c r="O200" s="9">
        <f t="shared" ref="O200:R200" si="450">O192/K192-1</f>
        <v>8.4855627578078963E-2</v>
      </c>
      <c r="P200" s="9">
        <f t="shared" si="450"/>
        <v>9.2680047225501827E-2</v>
      </c>
      <c r="Q200" s="9">
        <f t="shared" si="450"/>
        <v>9.9531615925058547E-2</v>
      </c>
      <c r="R200" s="9">
        <f t="shared" si="450"/>
        <v>9.1382301908617736E-2</v>
      </c>
    </row>
    <row r="201" spans="2:18" s="9" customFormat="1" x14ac:dyDescent="0.25">
      <c r="B201" s="9" t="s">
        <v>130</v>
      </c>
      <c r="G201" s="9">
        <f t="shared" si="441"/>
        <v>0.18120030777122342</v>
      </c>
      <c r="H201" s="9">
        <f t="shared" si="442"/>
        <v>0.20028136590356826</v>
      </c>
      <c r="I201" s="9">
        <f t="shared" si="443"/>
        <v>0.20742412841735636</v>
      </c>
      <c r="J201" s="9">
        <f t="shared" si="444"/>
        <v>0.22189017556966761</v>
      </c>
      <c r="K201" s="9">
        <f t="shared" si="445"/>
        <v>7.5236130713277616E-2</v>
      </c>
      <c r="L201" s="9">
        <f t="shared" si="448"/>
        <v>4.9547149706979265E-2</v>
      </c>
      <c r="M201" s="9">
        <f t="shared" si="449"/>
        <v>2.4200249272953833E-2</v>
      </c>
      <c r="N201" s="9">
        <f t="shared" si="446"/>
        <v>1.3349638234994465E-2</v>
      </c>
      <c r="O201" s="9">
        <f t="shared" ref="O201:R201" si="451">O193/K193-1</f>
        <v>3.5036348949919249E-2</v>
      </c>
      <c r="P201" s="9">
        <f t="shared" si="451"/>
        <v>4.3147208121827374E-2</v>
      </c>
      <c r="Q201" s="9">
        <f t="shared" si="451"/>
        <v>5.2834398134063543E-2</v>
      </c>
      <c r="R201" s="9">
        <f t="shared" si="451"/>
        <v>4.7767497988737029E-2</v>
      </c>
    </row>
    <row r="202" spans="2:18" s="9" customFormat="1" x14ac:dyDescent="0.25">
      <c r="B202" s="9" t="s">
        <v>131</v>
      </c>
      <c r="G202" s="9">
        <f t="shared" si="441"/>
        <v>-0.38</v>
      </c>
      <c r="H202" s="9">
        <f t="shared" si="442"/>
        <v>-0.3625866050808314</v>
      </c>
      <c r="I202" s="9">
        <f t="shared" si="443"/>
        <v>-0.37442922374429222</v>
      </c>
      <c r="J202" s="9">
        <f t="shared" si="444"/>
        <v>-0.38127853881278539</v>
      </c>
      <c r="K202" s="9">
        <f t="shared" si="445"/>
        <v>-5.3763440860215006E-2</v>
      </c>
      <c r="L202" s="9">
        <f t="shared" si="448"/>
        <v>-4.7101449275362306E-2</v>
      </c>
      <c r="M202" s="9">
        <f t="shared" si="449"/>
        <v>-4.7445255474452552E-2</v>
      </c>
      <c r="N202" s="9">
        <f t="shared" si="446"/>
        <v>-4.0590405904059046E-2</v>
      </c>
      <c r="O202" s="9">
        <f t="shared" ref="O202:R202" si="452">O194/K194-1</f>
        <v>-7.575757575757569E-3</v>
      </c>
      <c r="P202" s="9">
        <f t="shared" si="452"/>
        <v>-1.1406844106463865E-2</v>
      </c>
      <c r="Q202" s="9">
        <f t="shared" si="452"/>
        <v>-1.1494252873563204E-2</v>
      </c>
      <c r="R202" s="9">
        <f t="shared" si="452"/>
        <v>-1.538461538461533E-2</v>
      </c>
    </row>
  </sheetData>
  <phoneticPr fontId="4" type="noConversion"/>
  <hyperlinks>
    <hyperlink ref="A1" location="Main!A1" display="Main" xr:uid="{A6BD8073-3210-483B-8CD4-9FFABA8B6E5A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2025-08-15T18:10:46Z</dcterms:modified>
</cp:coreProperties>
</file>