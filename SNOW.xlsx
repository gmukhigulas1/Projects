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56B40D36-0BCC-41B6-BF51-4BEDA6A19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7" i="1" l="1"/>
  <c r="T26" i="1"/>
  <c r="AE114" i="2"/>
  <c r="AE113" i="2"/>
  <c r="AE111" i="2"/>
  <c r="AE110" i="2"/>
  <c r="Q110" i="2"/>
  <c r="Q114" i="2" s="1"/>
  <c r="Q26" i="1"/>
  <c r="Q20" i="1"/>
  <c r="J6" i="1"/>
  <c r="P87" i="2"/>
  <c r="P91" i="2" s="1"/>
  <c r="P76" i="2"/>
  <c r="J9" i="1"/>
  <c r="J8" i="1"/>
  <c r="P61" i="2"/>
  <c r="P60" i="2"/>
  <c r="Q17" i="1"/>
  <c r="Q14" i="1"/>
  <c r="AP28" i="2"/>
  <c r="AZ103" i="2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BK103" i="2" s="1"/>
  <c r="BL103" i="2" s="1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BW103" i="2" s="1"/>
  <c r="BX103" i="2" s="1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CI103" i="2" s="1"/>
  <c r="CJ103" i="2" s="1"/>
  <c r="CK103" i="2" s="1"/>
  <c r="CL103" i="2" s="1"/>
  <c r="CM103" i="2" s="1"/>
  <c r="CN103" i="2" s="1"/>
  <c r="CO103" i="2" s="1"/>
  <c r="CP103" i="2" s="1"/>
  <c r="CQ103" i="2" s="1"/>
  <c r="CR103" i="2" s="1"/>
  <c r="CS103" i="2" s="1"/>
  <c r="CT103" i="2" s="1"/>
  <c r="CU103" i="2" s="1"/>
  <c r="CV103" i="2" s="1"/>
  <c r="CW103" i="2" s="1"/>
  <c r="CX103" i="2" s="1"/>
  <c r="CY103" i="2" s="1"/>
  <c r="CZ103" i="2" s="1"/>
  <c r="DA103" i="2" s="1"/>
  <c r="DB103" i="2" s="1"/>
  <c r="DC103" i="2" s="1"/>
  <c r="DD103" i="2" s="1"/>
  <c r="DE103" i="2" s="1"/>
  <c r="DF103" i="2" s="1"/>
  <c r="DG103" i="2" s="1"/>
  <c r="DH103" i="2" s="1"/>
  <c r="DI103" i="2" s="1"/>
  <c r="DJ103" i="2" s="1"/>
  <c r="DK103" i="2" s="1"/>
  <c r="DL103" i="2" s="1"/>
  <c r="DM103" i="2" s="1"/>
  <c r="DN103" i="2" s="1"/>
  <c r="DO103" i="2" s="1"/>
  <c r="DP103" i="2" s="1"/>
  <c r="DQ103" i="2" s="1"/>
  <c r="DR103" i="2" s="1"/>
  <c r="DS103" i="2" s="1"/>
  <c r="DT103" i="2" s="1"/>
  <c r="DU103" i="2" s="1"/>
  <c r="DV103" i="2" s="1"/>
  <c r="DW103" i="2" s="1"/>
  <c r="DX103" i="2" s="1"/>
  <c r="DY103" i="2" s="1"/>
  <c r="DZ103" i="2" s="1"/>
  <c r="EA103" i="2" s="1"/>
  <c r="EB103" i="2" s="1"/>
  <c r="EC103" i="2" s="1"/>
  <c r="ED103" i="2" s="1"/>
  <c r="EE103" i="2" s="1"/>
  <c r="EF103" i="2" s="1"/>
  <c r="EG103" i="2" s="1"/>
  <c r="EH103" i="2" s="1"/>
  <c r="EI103" i="2" s="1"/>
  <c r="EJ103" i="2" s="1"/>
  <c r="EK103" i="2" s="1"/>
  <c r="EL103" i="2" s="1"/>
  <c r="EM103" i="2" s="1"/>
  <c r="EN103" i="2" s="1"/>
  <c r="EO103" i="2" s="1"/>
  <c r="EP103" i="2" s="1"/>
  <c r="EQ103" i="2" s="1"/>
  <c r="ER103" i="2" s="1"/>
  <c r="ES103" i="2" s="1"/>
  <c r="ET103" i="2" s="1"/>
  <c r="EU103" i="2" s="1"/>
  <c r="EV103" i="2" s="1"/>
  <c r="EW103" i="2" s="1"/>
  <c r="EX103" i="2" s="1"/>
  <c r="EY103" i="2" s="1"/>
  <c r="EZ103" i="2" s="1"/>
  <c r="FA103" i="2" s="1"/>
  <c r="FB103" i="2" s="1"/>
  <c r="FC103" i="2" s="1"/>
  <c r="FD103" i="2" s="1"/>
  <c r="FE103" i="2" s="1"/>
  <c r="FF103" i="2" s="1"/>
  <c r="FG103" i="2" s="1"/>
  <c r="FH103" i="2" s="1"/>
  <c r="FI103" i="2" s="1"/>
  <c r="FJ103" i="2" s="1"/>
  <c r="FK103" i="2" s="1"/>
  <c r="FL103" i="2" s="1"/>
  <c r="FM103" i="2" s="1"/>
  <c r="FN103" i="2" s="1"/>
  <c r="FO103" i="2" s="1"/>
  <c r="FP103" i="2" s="1"/>
  <c r="FQ103" i="2" s="1"/>
  <c r="FR103" i="2" s="1"/>
  <c r="FS103" i="2" s="1"/>
  <c r="FT103" i="2" s="1"/>
  <c r="FU103" i="2" s="1"/>
  <c r="FV103" i="2" s="1"/>
  <c r="FW103" i="2" s="1"/>
  <c r="FX103" i="2" s="1"/>
  <c r="FY103" i="2" s="1"/>
  <c r="FZ103" i="2" s="1"/>
  <c r="GA103" i="2" s="1"/>
  <c r="GB103" i="2" s="1"/>
  <c r="GC103" i="2" s="1"/>
  <c r="GD103" i="2" s="1"/>
  <c r="GE103" i="2" s="1"/>
  <c r="GF103" i="2" s="1"/>
  <c r="GG103" i="2" s="1"/>
  <c r="GH103" i="2" s="1"/>
  <c r="GI103" i="2" s="1"/>
  <c r="GJ103" i="2" s="1"/>
  <c r="GK103" i="2" s="1"/>
  <c r="GL103" i="2" s="1"/>
  <c r="GM103" i="2" s="1"/>
  <c r="GN103" i="2" s="1"/>
  <c r="GO103" i="2" s="1"/>
  <c r="GP103" i="2" s="1"/>
  <c r="GQ103" i="2" s="1"/>
  <c r="GR103" i="2" s="1"/>
  <c r="GS103" i="2" s="1"/>
  <c r="GT103" i="2" s="1"/>
  <c r="GU103" i="2" s="1"/>
  <c r="GV103" i="2" s="1"/>
  <c r="GW103" i="2" s="1"/>
  <c r="GX103" i="2" s="1"/>
  <c r="GY103" i="2" s="1"/>
  <c r="GZ103" i="2" s="1"/>
  <c r="HA103" i="2" s="1"/>
  <c r="HB103" i="2" s="1"/>
  <c r="HC103" i="2" s="1"/>
  <c r="HD103" i="2" s="1"/>
  <c r="HE103" i="2" s="1"/>
  <c r="HF103" i="2" s="1"/>
  <c r="HG103" i="2" s="1"/>
  <c r="HH103" i="2" s="1"/>
  <c r="HI103" i="2" s="1"/>
  <c r="HJ103" i="2" s="1"/>
  <c r="HK103" i="2" s="1"/>
  <c r="HL103" i="2" s="1"/>
  <c r="HM103" i="2" s="1"/>
  <c r="HN103" i="2" s="1"/>
  <c r="HO103" i="2" s="1"/>
  <c r="HP103" i="2" s="1"/>
  <c r="HQ103" i="2" s="1"/>
  <c r="HR103" i="2" s="1"/>
  <c r="HS103" i="2" s="1"/>
  <c r="HT103" i="2" s="1"/>
  <c r="HU103" i="2" s="1"/>
  <c r="HV103" i="2" s="1"/>
  <c r="HW103" i="2" s="1"/>
  <c r="HX103" i="2" s="1"/>
  <c r="HY103" i="2" s="1"/>
  <c r="HZ103" i="2" s="1"/>
  <c r="IA103" i="2" s="1"/>
  <c r="IB103" i="2" s="1"/>
  <c r="IC103" i="2" s="1"/>
  <c r="ID103" i="2" s="1"/>
  <c r="IE103" i="2" s="1"/>
  <c r="IF103" i="2" s="1"/>
  <c r="IG103" i="2" s="1"/>
  <c r="IH103" i="2" s="1"/>
  <c r="II103" i="2" s="1"/>
  <c r="IJ103" i="2" s="1"/>
  <c r="IK103" i="2" s="1"/>
  <c r="IL103" i="2" s="1"/>
  <c r="IM103" i="2" s="1"/>
  <c r="IN103" i="2" s="1"/>
  <c r="IO103" i="2" s="1"/>
  <c r="IP103" i="2" s="1"/>
  <c r="IQ103" i="2" s="1"/>
  <c r="IR103" i="2" s="1"/>
  <c r="IS103" i="2" s="1"/>
  <c r="IT103" i="2" s="1"/>
  <c r="IU103" i="2" s="1"/>
  <c r="IV103" i="2" s="1"/>
  <c r="IW103" i="2" s="1"/>
  <c r="IX103" i="2" s="1"/>
  <c r="IY103" i="2" s="1"/>
  <c r="IZ103" i="2" s="1"/>
  <c r="JA103" i="2" s="1"/>
  <c r="JB103" i="2" s="1"/>
  <c r="JC103" i="2" s="1"/>
  <c r="JD103" i="2" s="1"/>
  <c r="JE103" i="2" s="1"/>
  <c r="JF103" i="2" s="1"/>
  <c r="JG103" i="2" s="1"/>
  <c r="JH103" i="2" s="1"/>
  <c r="JI103" i="2" s="1"/>
  <c r="JJ103" i="2" s="1"/>
  <c r="JK103" i="2" s="1"/>
  <c r="JL103" i="2" s="1"/>
  <c r="JM103" i="2" s="1"/>
  <c r="JN103" i="2" s="1"/>
  <c r="JO103" i="2" s="1"/>
  <c r="JP103" i="2" s="1"/>
  <c r="JQ103" i="2" s="1"/>
  <c r="JR103" i="2" s="1"/>
  <c r="JS103" i="2" s="1"/>
  <c r="JT103" i="2" s="1"/>
  <c r="JU103" i="2" s="1"/>
  <c r="JV103" i="2" s="1"/>
  <c r="JW103" i="2" s="1"/>
  <c r="JX103" i="2" s="1"/>
  <c r="JY103" i="2" s="1"/>
  <c r="JZ103" i="2" s="1"/>
  <c r="KA103" i="2" s="1"/>
  <c r="KB103" i="2" s="1"/>
  <c r="KC103" i="2" s="1"/>
  <c r="KD103" i="2" s="1"/>
  <c r="KE103" i="2" s="1"/>
  <c r="KF103" i="2" s="1"/>
  <c r="KG103" i="2" s="1"/>
  <c r="KH103" i="2" s="1"/>
  <c r="KI103" i="2" s="1"/>
  <c r="KJ103" i="2" s="1"/>
  <c r="KK103" i="2" s="1"/>
  <c r="KL103" i="2" s="1"/>
  <c r="KM103" i="2" s="1"/>
  <c r="KN103" i="2" s="1"/>
  <c r="KO103" i="2" s="1"/>
  <c r="KP103" i="2" s="1"/>
  <c r="KQ103" i="2" s="1"/>
  <c r="KR103" i="2" s="1"/>
  <c r="KS103" i="2" s="1"/>
  <c r="KT103" i="2" s="1"/>
  <c r="KU103" i="2" s="1"/>
  <c r="KV103" i="2" s="1"/>
  <c r="KW103" i="2" s="1"/>
  <c r="KX103" i="2" s="1"/>
  <c r="KY103" i="2" s="1"/>
  <c r="KZ103" i="2" s="1"/>
  <c r="LA103" i="2" s="1"/>
  <c r="LB103" i="2" s="1"/>
  <c r="LC103" i="2" s="1"/>
  <c r="LD103" i="2" s="1"/>
  <c r="LE103" i="2" s="1"/>
  <c r="LF103" i="2" s="1"/>
  <c r="LG103" i="2" s="1"/>
  <c r="LH103" i="2" s="1"/>
  <c r="LI103" i="2" s="1"/>
  <c r="LJ103" i="2" s="1"/>
  <c r="LK103" i="2" s="1"/>
  <c r="LL103" i="2" s="1"/>
  <c r="LM103" i="2" s="1"/>
  <c r="LN103" i="2" s="1"/>
  <c r="LO103" i="2" s="1"/>
  <c r="LP103" i="2" s="1"/>
  <c r="LQ103" i="2" s="1"/>
  <c r="LR103" i="2" s="1"/>
  <c r="LS103" i="2" s="1"/>
  <c r="LT103" i="2" s="1"/>
  <c r="LU103" i="2" s="1"/>
  <c r="LV103" i="2" s="1"/>
  <c r="LW103" i="2" s="1"/>
  <c r="LX103" i="2" s="1"/>
  <c r="LY103" i="2" s="1"/>
  <c r="LZ103" i="2" s="1"/>
  <c r="MA103" i="2" s="1"/>
  <c r="MB103" i="2" s="1"/>
  <c r="MC103" i="2" s="1"/>
  <c r="MD103" i="2" s="1"/>
  <c r="ME103" i="2" s="1"/>
  <c r="MF103" i="2" s="1"/>
  <c r="MG103" i="2" s="1"/>
  <c r="MH103" i="2" s="1"/>
  <c r="MI103" i="2" s="1"/>
  <c r="MJ103" i="2" s="1"/>
  <c r="MK103" i="2" s="1"/>
  <c r="ML103" i="2" s="1"/>
  <c r="MM103" i="2" s="1"/>
  <c r="MN103" i="2" s="1"/>
  <c r="MO103" i="2" s="1"/>
  <c r="MP103" i="2" s="1"/>
  <c r="MQ103" i="2" s="1"/>
  <c r="MR103" i="2" s="1"/>
  <c r="MS103" i="2" s="1"/>
  <c r="MT103" i="2" s="1"/>
  <c r="MU103" i="2" s="1"/>
  <c r="MV103" i="2" s="1"/>
  <c r="MW103" i="2" s="1"/>
  <c r="MX103" i="2" s="1"/>
  <c r="MY103" i="2" s="1"/>
  <c r="MZ103" i="2" s="1"/>
  <c r="NA103" i="2" s="1"/>
  <c r="NB103" i="2" s="1"/>
  <c r="NC103" i="2" s="1"/>
  <c r="ND103" i="2" s="1"/>
  <c r="NE103" i="2" s="1"/>
  <c r="NF103" i="2" s="1"/>
  <c r="NG103" i="2" s="1"/>
  <c r="NH103" i="2" s="1"/>
  <c r="NI103" i="2" s="1"/>
  <c r="NJ103" i="2" s="1"/>
  <c r="NK103" i="2" s="1"/>
  <c r="NL103" i="2" s="1"/>
  <c r="NM103" i="2" s="1"/>
  <c r="NN103" i="2" s="1"/>
  <c r="NO103" i="2" s="1"/>
  <c r="NP103" i="2" s="1"/>
  <c r="NQ103" i="2" s="1"/>
  <c r="NR103" i="2" s="1"/>
  <c r="NS103" i="2" s="1"/>
  <c r="NT103" i="2" s="1"/>
  <c r="NU103" i="2" s="1"/>
  <c r="NV103" i="2" s="1"/>
  <c r="NW103" i="2" s="1"/>
  <c r="NX103" i="2" s="1"/>
  <c r="NY103" i="2" s="1"/>
  <c r="NZ103" i="2" s="1"/>
  <c r="OA103" i="2" s="1"/>
  <c r="OB103" i="2" s="1"/>
  <c r="OC103" i="2" s="1"/>
  <c r="OD103" i="2" s="1"/>
  <c r="OE103" i="2" s="1"/>
  <c r="OF103" i="2" s="1"/>
  <c r="OG103" i="2" s="1"/>
  <c r="OH103" i="2" s="1"/>
  <c r="OI103" i="2" s="1"/>
  <c r="OJ103" i="2" s="1"/>
  <c r="OK103" i="2" s="1"/>
  <c r="OL103" i="2" s="1"/>
  <c r="OM103" i="2" s="1"/>
  <c r="ON103" i="2" s="1"/>
  <c r="OO103" i="2" s="1"/>
  <c r="OP103" i="2" s="1"/>
  <c r="OQ103" i="2" s="1"/>
  <c r="OR103" i="2" s="1"/>
  <c r="OS103" i="2" s="1"/>
  <c r="OT103" i="2" s="1"/>
  <c r="OU103" i="2" s="1"/>
  <c r="OV103" i="2" s="1"/>
  <c r="OW103" i="2" s="1"/>
  <c r="OX103" i="2" s="1"/>
  <c r="OY103" i="2" s="1"/>
  <c r="OZ103" i="2" s="1"/>
  <c r="PA103" i="2" s="1"/>
  <c r="PB103" i="2" s="1"/>
  <c r="PC103" i="2" s="1"/>
  <c r="PD103" i="2" s="1"/>
  <c r="PE103" i="2" s="1"/>
  <c r="PF103" i="2" s="1"/>
  <c r="PG103" i="2" s="1"/>
  <c r="PH103" i="2" s="1"/>
  <c r="PI103" i="2" s="1"/>
  <c r="PJ103" i="2" s="1"/>
  <c r="PK103" i="2" s="1"/>
  <c r="PL103" i="2" s="1"/>
  <c r="PM103" i="2" s="1"/>
  <c r="PN103" i="2" s="1"/>
  <c r="PO103" i="2" s="1"/>
  <c r="PP103" i="2" s="1"/>
  <c r="PQ103" i="2" s="1"/>
  <c r="PR103" i="2" s="1"/>
  <c r="PS103" i="2" s="1"/>
  <c r="PT103" i="2" s="1"/>
  <c r="PU103" i="2" s="1"/>
  <c r="PV103" i="2" s="1"/>
  <c r="PW103" i="2" s="1"/>
  <c r="PX103" i="2" s="1"/>
  <c r="PY103" i="2" s="1"/>
  <c r="PZ103" i="2" s="1"/>
  <c r="QA103" i="2" s="1"/>
  <c r="QB103" i="2" s="1"/>
  <c r="QC103" i="2" s="1"/>
  <c r="QD103" i="2" s="1"/>
  <c r="QE103" i="2" s="1"/>
  <c r="QF103" i="2" s="1"/>
  <c r="QG103" i="2" s="1"/>
  <c r="QH103" i="2" s="1"/>
  <c r="QI103" i="2" s="1"/>
  <c r="QJ103" i="2" s="1"/>
  <c r="QK103" i="2" s="1"/>
  <c r="QL103" i="2" s="1"/>
  <c r="QM103" i="2" s="1"/>
  <c r="QN103" i="2" s="1"/>
  <c r="QO103" i="2" s="1"/>
  <c r="QP103" i="2" s="1"/>
  <c r="QQ103" i="2" s="1"/>
  <c r="QR103" i="2" s="1"/>
  <c r="QS103" i="2" s="1"/>
  <c r="QT103" i="2" s="1"/>
  <c r="QU103" i="2" s="1"/>
  <c r="QV103" i="2" s="1"/>
  <c r="QW103" i="2" s="1"/>
  <c r="QX103" i="2" s="1"/>
  <c r="QY103" i="2" s="1"/>
  <c r="QZ103" i="2" s="1"/>
  <c r="RA103" i="2" s="1"/>
  <c r="RB103" i="2" s="1"/>
  <c r="RC103" i="2" s="1"/>
  <c r="RD103" i="2" s="1"/>
  <c r="RE103" i="2" s="1"/>
  <c r="RF103" i="2" s="1"/>
  <c r="RG103" i="2" s="1"/>
  <c r="RH103" i="2" s="1"/>
  <c r="RI103" i="2" s="1"/>
  <c r="RJ103" i="2" s="1"/>
  <c r="RK103" i="2" s="1"/>
  <c r="RL103" i="2" s="1"/>
  <c r="RM103" i="2" s="1"/>
  <c r="RN103" i="2" s="1"/>
  <c r="RO103" i="2" s="1"/>
  <c r="RP103" i="2" s="1"/>
  <c r="RQ103" i="2" s="1"/>
  <c r="RR103" i="2" s="1"/>
  <c r="RS103" i="2" s="1"/>
  <c r="RT103" i="2" s="1"/>
  <c r="RU103" i="2" s="1"/>
  <c r="RV103" i="2" s="1"/>
  <c r="RW103" i="2" s="1"/>
  <c r="RX103" i="2" s="1"/>
  <c r="RY103" i="2" s="1"/>
  <c r="RZ103" i="2" s="1"/>
  <c r="SA103" i="2" s="1"/>
  <c r="SB103" i="2" s="1"/>
  <c r="SC103" i="2" s="1"/>
  <c r="SD103" i="2" s="1"/>
  <c r="SE103" i="2" s="1"/>
  <c r="SF103" i="2" s="1"/>
  <c r="SG103" i="2" s="1"/>
  <c r="SH103" i="2" s="1"/>
  <c r="SI103" i="2" s="1"/>
  <c r="SJ103" i="2" s="1"/>
  <c r="SK103" i="2" s="1"/>
  <c r="SL103" i="2" s="1"/>
  <c r="SM103" i="2" s="1"/>
  <c r="SN103" i="2" s="1"/>
  <c r="SO103" i="2" s="1"/>
  <c r="SP103" i="2" s="1"/>
  <c r="SQ103" i="2" s="1"/>
  <c r="SR103" i="2" s="1"/>
  <c r="SS103" i="2" s="1"/>
  <c r="ST103" i="2" s="1"/>
  <c r="SU103" i="2" s="1"/>
  <c r="SV103" i="2" s="1"/>
  <c r="SW103" i="2" s="1"/>
  <c r="SX103" i="2" s="1"/>
  <c r="SY103" i="2" s="1"/>
  <c r="SZ103" i="2" s="1"/>
  <c r="TA103" i="2" s="1"/>
  <c r="TB103" i="2" s="1"/>
  <c r="TC103" i="2" s="1"/>
  <c r="TD103" i="2" s="1"/>
  <c r="TE103" i="2" s="1"/>
  <c r="TF103" i="2" s="1"/>
  <c r="TG103" i="2" s="1"/>
  <c r="TH103" i="2" s="1"/>
  <c r="TI103" i="2" s="1"/>
  <c r="TJ103" i="2" s="1"/>
  <c r="TK103" i="2" s="1"/>
  <c r="TL103" i="2" s="1"/>
  <c r="TM103" i="2" s="1"/>
  <c r="TN103" i="2" s="1"/>
  <c r="TO103" i="2" s="1"/>
  <c r="TP103" i="2" s="1"/>
  <c r="TQ103" i="2" s="1"/>
  <c r="TR103" i="2" s="1"/>
  <c r="TS103" i="2" s="1"/>
  <c r="TT103" i="2" s="1"/>
  <c r="TU103" i="2" s="1"/>
  <c r="TV103" i="2" s="1"/>
  <c r="TW103" i="2" s="1"/>
  <c r="TX103" i="2" s="1"/>
  <c r="TY103" i="2" s="1"/>
  <c r="TZ103" i="2" s="1"/>
  <c r="UA103" i="2" s="1"/>
  <c r="UB103" i="2" s="1"/>
  <c r="UC103" i="2" s="1"/>
  <c r="UD103" i="2" s="1"/>
  <c r="UE103" i="2" s="1"/>
  <c r="UF103" i="2" s="1"/>
  <c r="UG103" i="2" s="1"/>
  <c r="UH103" i="2" s="1"/>
  <c r="UI103" i="2" s="1"/>
  <c r="UJ103" i="2" s="1"/>
  <c r="UK103" i="2" s="1"/>
  <c r="UL103" i="2" s="1"/>
  <c r="UM103" i="2" s="1"/>
  <c r="UN103" i="2" s="1"/>
  <c r="UO103" i="2" s="1"/>
  <c r="UP103" i="2" s="1"/>
  <c r="UQ103" i="2" s="1"/>
  <c r="UR103" i="2" s="1"/>
  <c r="US103" i="2" s="1"/>
  <c r="UT103" i="2" s="1"/>
  <c r="UU103" i="2" s="1"/>
  <c r="UV103" i="2" s="1"/>
  <c r="UW103" i="2" s="1"/>
  <c r="UX103" i="2" s="1"/>
  <c r="UY103" i="2" s="1"/>
  <c r="UZ103" i="2" s="1"/>
  <c r="VA103" i="2" s="1"/>
  <c r="VB103" i="2" s="1"/>
  <c r="VC103" i="2" s="1"/>
  <c r="VD103" i="2" s="1"/>
  <c r="VE103" i="2" s="1"/>
  <c r="VF103" i="2" s="1"/>
  <c r="VG103" i="2" s="1"/>
  <c r="VH103" i="2" s="1"/>
  <c r="VI103" i="2" s="1"/>
  <c r="VJ103" i="2" s="1"/>
  <c r="VK103" i="2" s="1"/>
  <c r="VL103" i="2" s="1"/>
  <c r="VM103" i="2" s="1"/>
  <c r="VN103" i="2" s="1"/>
  <c r="VO103" i="2" s="1"/>
  <c r="VP103" i="2" s="1"/>
  <c r="VQ103" i="2" s="1"/>
  <c r="VR103" i="2" s="1"/>
  <c r="VS103" i="2" s="1"/>
  <c r="VT103" i="2" s="1"/>
  <c r="VU103" i="2" s="1"/>
  <c r="VV103" i="2" s="1"/>
  <c r="VW103" i="2" s="1"/>
  <c r="VX103" i="2" s="1"/>
  <c r="VY103" i="2" s="1"/>
  <c r="VZ103" i="2" s="1"/>
  <c r="WA103" i="2" s="1"/>
  <c r="WB103" i="2" s="1"/>
  <c r="WC103" i="2" s="1"/>
  <c r="WD103" i="2" s="1"/>
  <c r="WE103" i="2" s="1"/>
  <c r="WF103" i="2" s="1"/>
  <c r="WG103" i="2" s="1"/>
  <c r="WH103" i="2" s="1"/>
  <c r="WI103" i="2" s="1"/>
  <c r="WJ103" i="2" s="1"/>
  <c r="WK103" i="2" s="1"/>
  <c r="WL103" i="2" s="1"/>
  <c r="WM103" i="2" s="1"/>
  <c r="WN103" i="2" s="1"/>
  <c r="WO103" i="2" s="1"/>
  <c r="WP103" i="2" s="1"/>
  <c r="WQ103" i="2" s="1"/>
  <c r="WR103" i="2" s="1"/>
  <c r="WS103" i="2" s="1"/>
  <c r="WT103" i="2" s="1"/>
  <c r="WU103" i="2" s="1"/>
  <c r="WV103" i="2" s="1"/>
  <c r="WW103" i="2" s="1"/>
  <c r="WX103" i="2" s="1"/>
  <c r="WY103" i="2" s="1"/>
  <c r="WZ103" i="2" s="1"/>
  <c r="XA103" i="2" s="1"/>
  <c r="XB103" i="2" s="1"/>
  <c r="XC103" i="2" s="1"/>
  <c r="XD103" i="2" s="1"/>
  <c r="XE103" i="2" s="1"/>
  <c r="XF103" i="2" s="1"/>
  <c r="XG103" i="2" s="1"/>
  <c r="XH103" i="2" s="1"/>
  <c r="XI103" i="2" s="1"/>
  <c r="XJ103" i="2" s="1"/>
  <c r="XK103" i="2" s="1"/>
  <c r="XL103" i="2" s="1"/>
  <c r="XM103" i="2" s="1"/>
  <c r="XN103" i="2" s="1"/>
  <c r="XO103" i="2" s="1"/>
  <c r="XP103" i="2" s="1"/>
  <c r="XQ103" i="2" s="1"/>
  <c r="XR103" i="2" s="1"/>
  <c r="XS103" i="2" s="1"/>
  <c r="XT103" i="2" s="1"/>
  <c r="XU103" i="2" s="1"/>
  <c r="XV103" i="2" s="1"/>
  <c r="XW103" i="2" s="1"/>
  <c r="XX103" i="2" s="1"/>
  <c r="XY103" i="2" s="1"/>
  <c r="XZ103" i="2" s="1"/>
  <c r="YA103" i="2" s="1"/>
  <c r="YB103" i="2" s="1"/>
  <c r="YC103" i="2" s="1"/>
  <c r="YD103" i="2" s="1"/>
  <c r="YE103" i="2" s="1"/>
  <c r="YF103" i="2" s="1"/>
  <c r="YG103" i="2" s="1"/>
  <c r="YH103" i="2" s="1"/>
  <c r="YI103" i="2" s="1"/>
  <c r="YJ103" i="2" s="1"/>
  <c r="YK103" i="2" s="1"/>
  <c r="YL103" i="2" s="1"/>
  <c r="YM103" i="2" s="1"/>
  <c r="YN103" i="2" s="1"/>
  <c r="YO103" i="2" s="1"/>
  <c r="YP103" i="2" s="1"/>
  <c r="YQ103" i="2" s="1"/>
  <c r="YR103" i="2" s="1"/>
  <c r="YS103" i="2" s="1"/>
  <c r="YT103" i="2" s="1"/>
  <c r="YU103" i="2" s="1"/>
  <c r="YV103" i="2" s="1"/>
  <c r="YW103" i="2" s="1"/>
  <c r="YX103" i="2" s="1"/>
  <c r="YY103" i="2" s="1"/>
  <c r="YZ103" i="2" s="1"/>
  <c r="ZA103" i="2" s="1"/>
  <c r="ZB103" i="2" s="1"/>
  <c r="ZC103" i="2" s="1"/>
  <c r="ZD103" i="2" s="1"/>
  <c r="ZE103" i="2" s="1"/>
  <c r="ZF103" i="2" s="1"/>
  <c r="ZG103" i="2" s="1"/>
  <c r="ZH103" i="2" s="1"/>
  <c r="ZI103" i="2" s="1"/>
  <c r="ZJ103" i="2" s="1"/>
  <c r="ZK103" i="2" s="1"/>
  <c r="ZL103" i="2" s="1"/>
  <c r="ZM103" i="2" s="1"/>
  <c r="ZN103" i="2" s="1"/>
  <c r="ZO103" i="2" s="1"/>
  <c r="ZP103" i="2" s="1"/>
  <c r="ZQ103" i="2" s="1"/>
  <c r="ZR103" i="2" s="1"/>
  <c r="ZS103" i="2" s="1"/>
  <c r="ZT103" i="2" s="1"/>
  <c r="ZU103" i="2" s="1"/>
  <c r="ZV103" i="2" s="1"/>
  <c r="ZW103" i="2" s="1"/>
  <c r="ZX103" i="2" s="1"/>
  <c r="ZY103" i="2" s="1"/>
  <c r="ZZ103" i="2" s="1"/>
  <c r="AAA103" i="2" s="1"/>
  <c r="AAB103" i="2" s="1"/>
  <c r="AAC103" i="2" s="1"/>
  <c r="AAD103" i="2" s="1"/>
  <c r="AAE103" i="2" s="1"/>
  <c r="AAF103" i="2" s="1"/>
  <c r="AAG103" i="2" s="1"/>
  <c r="AAH103" i="2" s="1"/>
  <c r="AAI103" i="2" s="1"/>
  <c r="AAJ103" i="2" s="1"/>
  <c r="AAK103" i="2" s="1"/>
  <c r="AAL103" i="2" s="1"/>
  <c r="AAM103" i="2" s="1"/>
  <c r="AAN103" i="2" s="1"/>
  <c r="AAO103" i="2" s="1"/>
  <c r="AAP103" i="2" s="1"/>
  <c r="AAQ103" i="2" s="1"/>
  <c r="AAR103" i="2" s="1"/>
  <c r="AAS103" i="2" s="1"/>
  <c r="AAT103" i="2" s="1"/>
  <c r="AAU103" i="2" s="1"/>
  <c r="AAV103" i="2" s="1"/>
  <c r="AAW103" i="2" s="1"/>
  <c r="AAX103" i="2" s="1"/>
  <c r="AAY103" i="2" s="1"/>
  <c r="AAZ103" i="2" s="1"/>
  <c r="ABA103" i="2" s="1"/>
  <c r="ABB103" i="2" s="1"/>
  <c r="ABC103" i="2" s="1"/>
  <c r="ABD103" i="2" s="1"/>
  <c r="ABE103" i="2" s="1"/>
  <c r="ABF103" i="2" s="1"/>
  <c r="ABG103" i="2" s="1"/>
  <c r="ABH103" i="2" s="1"/>
  <c r="ABI103" i="2" s="1"/>
  <c r="ABJ103" i="2" s="1"/>
  <c r="ABK103" i="2" s="1"/>
  <c r="ABL103" i="2" s="1"/>
  <c r="ABM103" i="2" s="1"/>
  <c r="ABN103" i="2" s="1"/>
  <c r="ABO103" i="2" s="1"/>
  <c r="ABP103" i="2" s="1"/>
  <c r="ABQ103" i="2" s="1"/>
  <c r="ABR103" i="2" s="1"/>
  <c r="ABS103" i="2" s="1"/>
  <c r="ABT103" i="2" s="1"/>
  <c r="ABU103" i="2" s="1"/>
  <c r="ABV103" i="2" s="1"/>
  <c r="ABW103" i="2" s="1"/>
  <c r="ABX103" i="2" s="1"/>
  <c r="ABY103" i="2" s="1"/>
  <c r="ABZ103" i="2" s="1"/>
  <c r="ACA103" i="2" s="1"/>
  <c r="ACB103" i="2" s="1"/>
  <c r="ACC103" i="2" s="1"/>
  <c r="ACD103" i="2" s="1"/>
  <c r="ACE103" i="2" s="1"/>
  <c r="ACF103" i="2" s="1"/>
  <c r="ACG103" i="2" s="1"/>
  <c r="ACH103" i="2" s="1"/>
  <c r="ACI103" i="2" s="1"/>
  <c r="ACJ103" i="2" s="1"/>
  <c r="ACK103" i="2" s="1"/>
  <c r="ACL103" i="2" s="1"/>
  <c r="ACM103" i="2" s="1"/>
  <c r="ACN103" i="2" s="1"/>
  <c r="ACO103" i="2" s="1"/>
  <c r="ACP103" i="2" s="1"/>
  <c r="ACQ103" i="2" s="1"/>
  <c r="ACR103" i="2" s="1"/>
  <c r="ACS103" i="2" s="1"/>
  <c r="ACT103" i="2" s="1"/>
  <c r="ACU103" i="2" s="1"/>
  <c r="ACV103" i="2" s="1"/>
  <c r="ACW103" i="2" s="1"/>
  <c r="ACX103" i="2" s="1"/>
  <c r="ACY103" i="2" s="1"/>
  <c r="ACZ103" i="2" s="1"/>
  <c r="ADA103" i="2" s="1"/>
  <c r="ADB103" i="2" s="1"/>
  <c r="ADC103" i="2" s="1"/>
  <c r="ADD103" i="2" s="1"/>
  <c r="ADE103" i="2" s="1"/>
  <c r="ADF103" i="2" s="1"/>
  <c r="AY103" i="2"/>
  <c r="AP103" i="2"/>
  <c r="AQ103" i="2" s="1"/>
  <c r="AR103" i="2" s="1"/>
  <c r="AS103" i="2" s="1"/>
  <c r="AT103" i="2" s="1"/>
  <c r="AU103" i="2" s="1"/>
  <c r="AV103" i="2" s="1"/>
  <c r="AW103" i="2" s="1"/>
  <c r="AX103" i="2" s="1"/>
  <c r="AO103" i="2"/>
  <c r="AN103" i="2"/>
  <c r="AM103" i="2"/>
  <c r="AL103" i="2"/>
  <c r="AK103" i="2"/>
  <c r="AJ103" i="2"/>
  <c r="AI103" i="2"/>
  <c r="AH103" i="2"/>
  <c r="AG103" i="2"/>
  <c r="AF103" i="2"/>
  <c r="AE103" i="2"/>
  <c r="AP26" i="2" s="1"/>
  <c r="AP27" i="2" s="1"/>
  <c r="AJ3" i="2"/>
  <c r="AK3" i="2" s="1"/>
  <c r="AL3" i="2" s="1"/>
  <c r="AM3" i="2" s="1"/>
  <c r="AN3" i="2" s="1"/>
  <c r="AN34" i="2"/>
  <c r="AM34" i="2"/>
  <c r="AL34" i="2"/>
  <c r="AK34" i="2"/>
  <c r="AJ34" i="2"/>
  <c r="AD147" i="2"/>
  <c r="AC147" i="2"/>
  <c r="AB147" i="2"/>
  <c r="AC140" i="2"/>
  <c r="AD140" i="2"/>
  <c r="AF3" i="2"/>
  <c r="AG3" i="2" s="1"/>
  <c r="AH3" i="2" s="1"/>
  <c r="AI3" i="2" s="1"/>
  <c r="AE3" i="2"/>
  <c r="AE5" i="2" s="1"/>
  <c r="AE10" i="2" s="1"/>
  <c r="AE14" i="2" s="1"/>
  <c r="AE16" i="2" s="1"/>
  <c r="AE20" i="2" s="1"/>
  <c r="X34" i="2"/>
  <c r="W34" i="2"/>
  <c r="AD149" i="2"/>
  <c r="AC149" i="2"/>
  <c r="AB149" i="2"/>
  <c r="AB152" i="2" s="1"/>
  <c r="AD110" i="2"/>
  <c r="AC110" i="2"/>
  <c r="AC114" i="2" s="1"/>
  <c r="AB110" i="2"/>
  <c r="AD109" i="2"/>
  <c r="AC109" i="2"/>
  <c r="AB109" i="2"/>
  <c r="AB111" i="2" s="1"/>
  <c r="AB100" i="2"/>
  <c r="AD98" i="2"/>
  <c r="AC98" i="2"/>
  <c r="AB98" i="2"/>
  <c r="AC96" i="2"/>
  <c r="AD95" i="2"/>
  <c r="AC95" i="2"/>
  <c r="AB95" i="2"/>
  <c r="AD94" i="2"/>
  <c r="AC94" i="2"/>
  <c r="AB94" i="2"/>
  <c r="AD93" i="2"/>
  <c r="AC93" i="2"/>
  <c r="AC97" i="2" s="1"/>
  <c r="AB93" i="2"/>
  <c r="AD92" i="2"/>
  <c r="AC92" i="2"/>
  <c r="AB92" i="2"/>
  <c r="AD90" i="2"/>
  <c r="AC90" i="2"/>
  <c r="AB90" i="2"/>
  <c r="AD89" i="2"/>
  <c r="AC89" i="2"/>
  <c r="AB89" i="2"/>
  <c r="AD88" i="2"/>
  <c r="AC88" i="2"/>
  <c r="AB88" i="2"/>
  <c r="AD86" i="2"/>
  <c r="AC86" i="2"/>
  <c r="AB86" i="2"/>
  <c r="AD85" i="2"/>
  <c r="AC85" i="2"/>
  <c r="AB85" i="2"/>
  <c r="AD83" i="2"/>
  <c r="AC83" i="2"/>
  <c r="AB83" i="2"/>
  <c r="AD82" i="2"/>
  <c r="AC82" i="2"/>
  <c r="AB82" i="2"/>
  <c r="AD81" i="2"/>
  <c r="AC81" i="2"/>
  <c r="AB81" i="2"/>
  <c r="AD80" i="2"/>
  <c r="AC80" i="2"/>
  <c r="AB80" i="2"/>
  <c r="AD79" i="2"/>
  <c r="AC79" i="2"/>
  <c r="AB79" i="2"/>
  <c r="AD78" i="2"/>
  <c r="AC78" i="2"/>
  <c r="AB78" i="2"/>
  <c r="AD77" i="2"/>
  <c r="AC77" i="2"/>
  <c r="AB77" i="2"/>
  <c r="AD75" i="2"/>
  <c r="AC75" i="2"/>
  <c r="AB75" i="2"/>
  <c r="AD74" i="2"/>
  <c r="AC74" i="2"/>
  <c r="AB74" i="2"/>
  <c r="AD73" i="2"/>
  <c r="AC73" i="2"/>
  <c r="AB73" i="2"/>
  <c r="AD72" i="2"/>
  <c r="AC72" i="2"/>
  <c r="AB72" i="2"/>
  <c r="AD71" i="2"/>
  <c r="AC71" i="2"/>
  <c r="AB71" i="2"/>
  <c r="AD70" i="2"/>
  <c r="AC70" i="2"/>
  <c r="AB70" i="2"/>
  <c r="AD69" i="2"/>
  <c r="AC69" i="2"/>
  <c r="AB69" i="2"/>
  <c r="AD68" i="2"/>
  <c r="AC68" i="2"/>
  <c r="AB68" i="2"/>
  <c r="AB67" i="2"/>
  <c r="AD67" i="2"/>
  <c r="AC67" i="2"/>
  <c r="AB61" i="2"/>
  <c r="AB60" i="2"/>
  <c r="AB51" i="2"/>
  <c r="AB38" i="2"/>
  <c r="AC60" i="2"/>
  <c r="AC62" i="2" s="1"/>
  <c r="AC51" i="2"/>
  <c r="AC38" i="2"/>
  <c r="AD60" i="2"/>
  <c r="AD62" i="2" s="1"/>
  <c r="AD51" i="2"/>
  <c r="AD38" i="2"/>
  <c r="AB34" i="2"/>
  <c r="AC19" i="2"/>
  <c r="AD19" i="2"/>
  <c r="AD17" i="2"/>
  <c r="AC17" i="2"/>
  <c r="AD15" i="2"/>
  <c r="AC15" i="2"/>
  <c r="AD13" i="2"/>
  <c r="AC13" i="2"/>
  <c r="AD12" i="2"/>
  <c r="AC12" i="2"/>
  <c r="AD11" i="2"/>
  <c r="AC11" i="2"/>
  <c r="AD8" i="2"/>
  <c r="AC8" i="2"/>
  <c r="AD7" i="2"/>
  <c r="AC7" i="2"/>
  <c r="AD6" i="2"/>
  <c r="AC6" i="2"/>
  <c r="AD4" i="2"/>
  <c r="AC4" i="2"/>
  <c r="AD3" i="2"/>
  <c r="AC3" i="2"/>
  <c r="AC34" i="2" s="1"/>
  <c r="AE9" i="2"/>
  <c r="D87" i="2"/>
  <c r="D91" i="2" s="1"/>
  <c r="C97" i="2"/>
  <c r="C87" i="2"/>
  <c r="C76" i="2"/>
  <c r="C84" i="2" s="1"/>
  <c r="C9" i="2"/>
  <c r="C5" i="2"/>
  <c r="C23" i="2" s="1"/>
  <c r="G140" i="2"/>
  <c r="D84" i="2"/>
  <c r="D103" i="2" s="1"/>
  <c r="D106" i="2" s="1"/>
  <c r="J126" i="2"/>
  <c r="J124" i="2"/>
  <c r="E96" i="2"/>
  <c r="E97" i="2" s="1"/>
  <c r="E87" i="2"/>
  <c r="E76" i="2"/>
  <c r="AA9" i="2"/>
  <c r="AA5" i="2"/>
  <c r="AA26" i="2" s="1"/>
  <c r="AA129" i="2"/>
  <c r="AA128" i="2"/>
  <c r="AB126" i="2"/>
  <c r="AB125" i="2"/>
  <c r="AB124" i="2"/>
  <c r="AB123" i="2"/>
  <c r="AA121" i="2"/>
  <c r="AA131" i="2" s="1"/>
  <c r="AB5" i="2"/>
  <c r="AB26" i="2" s="1"/>
  <c r="AB9" i="2"/>
  <c r="F87" i="2"/>
  <c r="F91" i="2" s="1"/>
  <c r="F76" i="2"/>
  <c r="F61" i="2"/>
  <c r="G87" i="2"/>
  <c r="G76" i="2"/>
  <c r="G84" i="2" s="1"/>
  <c r="G103" i="2" s="1"/>
  <c r="K61" i="2"/>
  <c r="L87" i="2"/>
  <c r="L91" i="2" s="1"/>
  <c r="H87" i="2"/>
  <c r="H91" i="2" s="1"/>
  <c r="H76" i="2"/>
  <c r="H84" i="2" s="1"/>
  <c r="H103" i="2" s="1"/>
  <c r="L76" i="2"/>
  <c r="L84" i="2" s="1"/>
  <c r="L61" i="2"/>
  <c r="N123" i="2"/>
  <c r="R126" i="2"/>
  <c r="R125" i="2"/>
  <c r="R124" i="2"/>
  <c r="O124" i="2"/>
  <c r="O123" i="2"/>
  <c r="M96" i="2"/>
  <c r="M97" i="2" s="1"/>
  <c r="I87" i="2"/>
  <c r="I91" i="2" s="1"/>
  <c r="M87" i="2"/>
  <c r="I76" i="2"/>
  <c r="I84" i="2" s="1"/>
  <c r="I103" i="2" s="1"/>
  <c r="M76" i="2"/>
  <c r="M84" i="2" s="1"/>
  <c r="M103" i="2" s="1"/>
  <c r="M61" i="2"/>
  <c r="AD126" i="2"/>
  <c r="AC126" i="2"/>
  <c r="AD125" i="2"/>
  <c r="AC125" i="2"/>
  <c r="AD124" i="2"/>
  <c r="AC124" i="2"/>
  <c r="AC123" i="2"/>
  <c r="AD123" i="2"/>
  <c r="AE121" i="2"/>
  <c r="AE131" i="2" s="1"/>
  <c r="AD121" i="2"/>
  <c r="AD130" i="2" s="1"/>
  <c r="AC121" i="2"/>
  <c r="AC128" i="2" s="1"/>
  <c r="AB121" i="2"/>
  <c r="AB131" i="2" s="1"/>
  <c r="V150" i="2"/>
  <c r="U150" i="2"/>
  <c r="T150" i="2"/>
  <c r="S150" i="2"/>
  <c r="R150" i="2"/>
  <c r="Q150" i="2"/>
  <c r="P150" i="2"/>
  <c r="O150" i="2"/>
  <c r="M150" i="2"/>
  <c r="L150" i="2"/>
  <c r="K150" i="2"/>
  <c r="J150" i="2"/>
  <c r="I150" i="2"/>
  <c r="H150" i="2"/>
  <c r="G150" i="2"/>
  <c r="F150" i="2"/>
  <c r="E150" i="2"/>
  <c r="D150" i="2"/>
  <c r="C150" i="2"/>
  <c r="N150" i="2"/>
  <c r="V152" i="2"/>
  <c r="U152" i="2"/>
  <c r="T152" i="2"/>
  <c r="S152" i="2"/>
  <c r="R152" i="2"/>
  <c r="Q152" i="2"/>
  <c r="P152" i="2"/>
  <c r="O152" i="2"/>
  <c r="M152" i="2"/>
  <c r="L152" i="2"/>
  <c r="K152" i="2"/>
  <c r="J152" i="2"/>
  <c r="I152" i="2"/>
  <c r="H152" i="2"/>
  <c r="G152" i="2"/>
  <c r="F152" i="2"/>
  <c r="E152" i="2"/>
  <c r="D152" i="2"/>
  <c r="C152" i="2"/>
  <c r="N152" i="2"/>
  <c r="V153" i="2"/>
  <c r="U153" i="2"/>
  <c r="T153" i="2"/>
  <c r="S153" i="2"/>
  <c r="R153" i="2"/>
  <c r="Q153" i="2"/>
  <c r="P153" i="2"/>
  <c r="O153" i="2"/>
  <c r="M153" i="2"/>
  <c r="L153" i="2"/>
  <c r="K153" i="2"/>
  <c r="J153" i="2"/>
  <c r="I153" i="2"/>
  <c r="H153" i="2"/>
  <c r="G153" i="2"/>
  <c r="N153" i="2"/>
  <c r="J87" i="2"/>
  <c r="J91" i="2" s="1"/>
  <c r="N87" i="2"/>
  <c r="N91" i="2" s="1"/>
  <c r="V142" i="2"/>
  <c r="U142" i="2"/>
  <c r="T142" i="2"/>
  <c r="S142" i="2"/>
  <c r="R142" i="2"/>
  <c r="Q142" i="2"/>
  <c r="P142" i="2"/>
  <c r="V141" i="2"/>
  <c r="U141" i="2"/>
  <c r="T141" i="2"/>
  <c r="S141" i="2"/>
  <c r="R141" i="2"/>
  <c r="Q141" i="2"/>
  <c r="P141" i="2"/>
  <c r="V140" i="2"/>
  <c r="U140" i="2"/>
  <c r="T140" i="2"/>
  <c r="S140" i="2"/>
  <c r="R140" i="2"/>
  <c r="Q140" i="2"/>
  <c r="P140" i="2"/>
  <c r="N142" i="2"/>
  <c r="M142" i="2"/>
  <c r="L142" i="2"/>
  <c r="K142" i="2"/>
  <c r="J142" i="2"/>
  <c r="I142" i="2"/>
  <c r="H142" i="2"/>
  <c r="G142" i="2"/>
  <c r="N141" i="2"/>
  <c r="M141" i="2"/>
  <c r="L141" i="2"/>
  <c r="K141" i="2"/>
  <c r="J141" i="2"/>
  <c r="I141" i="2"/>
  <c r="H141" i="2"/>
  <c r="G141" i="2"/>
  <c r="N140" i="2"/>
  <c r="M140" i="2"/>
  <c r="L140" i="2"/>
  <c r="K140" i="2"/>
  <c r="J140" i="2"/>
  <c r="I140" i="2"/>
  <c r="H140" i="2"/>
  <c r="V145" i="2"/>
  <c r="U145" i="2"/>
  <c r="T145" i="2"/>
  <c r="S145" i="2"/>
  <c r="R145" i="2"/>
  <c r="Q145" i="2"/>
  <c r="P145" i="2"/>
  <c r="V144" i="2"/>
  <c r="U144" i="2"/>
  <c r="T144" i="2"/>
  <c r="S144" i="2"/>
  <c r="R144" i="2"/>
  <c r="Q144" i="2"/>
  <c r="P144" i="2"/>
  <c r="N145" i="2"/>
  <c r="M145" i="2"/>
  <c r="L145" i="2"/>
  <c r="K145" i="2"/>
  <c r="J145" i="2"/>
  <c r="I145" i="2"/>
  <c r="H145" i="2"/>
  <c r="G145" i="2"/>
  <c r="N144" i="2"/>
  <c r="M144" i="2"/>
  <c r="L144" i="2"/>
  <c r="K144" i="2"/>
  <c r="J144" i="2"/>
  <c r="I144" i="2"/>
  <c r="H144" i="2"/>
  <c r="G144" i="2"/>
  <c r="O145" i="2"/>
  <c r="O144" i="2"/>
  <c r="O142" i="2"/>
  <c r="O141" i="2"/>
  <c r="O140" i="2"/>
  <c r="V126" i="2"/>
  <c r="U126" i="2"/>
  <c r="T126" i="2"/>
  <c r="S126" i="2"/>
  <c r="Q126" i="2"/>
  <c r="P126" i="2"/>
  <c r="V125" i="2"/>
  <c r="U125" i="2"/>
  <c r="T125" i="2"/>
  <c r="S125" i="2"/>
  <c r="Q125" i="2"/>
  <c r="P125" i="2"/>
  <c r="V124" i="2"/>
  <c r="U124" i="2"/>
  <c r="T124" i="2"/>
  <c r="S124" i="2"/>
  <c r="Q124" i="2"/>
  <c r="P124" i="2"/>
  <c r="V123" i="2"/>
  <c r="U123" i="2"/>
  <c r="T123" i="2"/>
  <c r="S123" i="2"/>
  <c r="R123" i="2"/>
  <c r="Q123" i="2"/>
  <c r="P123" i="2"/>
  <c r="M126" i="2"/>
  <c r="L126" i="2"/>
  <c r="K126" i="2"/>
  <c r="I126" i="2"/>
  <c r="H126" i="2"/>
  <c r="G126" i="2"/>
  <c r="M125" i="2"/>
  <c r="L125" i="2"/>
  <c r="K125" i="2"/>
  <c r="J125" i="2"/>
  <c r="I125" i="2"/>
  <c r="H125" i="2"/>
  <c r="G125" i="2"/>
  <c r="M124" i="2"/>
  <c r="L124" i="2"/>
  <c r="K124" i="2"/>
  <c r="I124" i="2"/>
  <c r="H124" i="2"/>
  <c r="G124" i="2"/>
  <c r="M123" i="2"/>
  <c r="L123" i="2"/>
  <c r="K123" i="2"/>
  <c r="J123" i="2"/>
  <c r="I123" i="2"/>
  <c r="H123" i="2"/>
  <c r="G123" i="2"/>
  <c r="O126" i="2"/>
  <c r="O125" i="2"/>
  <c r="V121" i="2"/>
  <c r="V131" i="2" s="1"/>
  <c r="U121" i="2"/>
  <c r="U131" i="2" s="1"/>
  <c r="T121" i="2"/>
  <c r="T129" i="2" s="1"/>
  <c r="S121" i="2"/>
  <c r="S128" i="2" s="1"/>
  <c r="R121" i="2"/>
  <c r="R128" i="2" s="1"/>
  <c r="Q121" i="2"/>
  <c r="Q130" i="2" s="1"/>
  <c r="P121" i="2"/>
  <c r="P131" i="2" s="1"/>
  <c r="M121" i="2"/>
  <c r="M130" i="2" s="1"/>
  <c r="L121" i="2"/>
  <c r="L131" i="2" s="1"/>
  <c r="K121" i="2"/>
  <c r="K131" i="2" s="1"/>
  <c r="J121" i="2"/>
  <c r="J131" i="2" s="1"/>
  <c r="I121" i="2"/>
  <c r="I131" i="2" s="1"/>
  <c r="H121" i="2"/>
  <c r="H131" i="2" s="1"/>
  <c r="G121" i="2"/>
  <c r="G131" i="2" s="1"/>
  <c r="E121" i="2"/>
  <c r="E131" i="2" s="1"/>
  <c r="D121" i="2"/>
  <c r="D131" i="2" s="1"/>
  <c r="C121" i="2"/>
  <c r="C129" i="2" s="1"/>
  <c r="O121" i="2"/>
  <c r="O129" i="2" s="1"/>
  <c r="V114" i="2"/>
  <c r="U114" i="2"/>
  <c r="T114" i="2"/>
  <c r="S114" i="2"/>
  <c r="R114" i="2"/>
  <c r="P114" i="2"/>
  <c r="O114" i="2"/>
  <c r="V113" i="2"/>
  <c r="U113" i="2"/>
  <c r="T113" i="2"/>
  <c r="S113" i="2"/>
  <c r="R113" i="2"/>
  <c r="Q113" i="2"/>
  <c r="P113" i="2"/>
  <c r="N114" i="2"/>
  <c r="M114" i="2"/>
  <c r="L114" i="2"/>
  <c r="K114" i="2"/>
  <c r="J114" i="2"/>
  <c r="I114" i="2"/>
  <c r="H114" i="2"/>
  <c r="G114" i="2"/>
  <c r="N113" i="2"/>
  <c r="M113" i="2"/>
  <c r="L113" i="2"/>
  <c r="K113" i="2"/>
  <c r="J113" i="2"/>
  <c r="I113" i="2"/>
  <c r="H113" i="2"/>
  <c r="G113" i="2"/>
  <c r="O113" i="2"/>
  <c r="V111" i="2"/>
  <c r="U111" i="2"/>
  <c r="T111" i="2"/>
  <c r="S111" i="2"/>
  <c r="R111" i="2"/>
  <c r="Q111" i="2"/>
  <c r="P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O111" i="2"/>
  <c r="V104" i="2"/>
  <c r="U104" i="2"/>
  <c r="T104" i="2"/>
  <c r="S104" i="2"/>
  <c r="R104" i="2"/>
  <c r="Q104" i="2"/>
  <c r="P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O104" i="2"/>
  <c r="V97" i="2"/>
  <c r="U97" i="2"/>
  <c r="T97" i="2"/>
  <c r="S97" i="2"/>
  <c r="R97" i="2"/>
  <c r="Q97" i="2"/>
  <c r="P97" i="2"/>
  <c r="N97" i="2"/>
  <c r="L97" i="2"/>
  <c r="K97" i="2"/>
  <c r="J97" i="2"/>
  <c r="I97" i="2"/>
  <c r="H97" i="2"/>
  <c r="G97" i="2"/>
  <c r="F97" i="2"/>
  <c r="D97" i="2"/>
  <c r="O97" i="2"/>
  <c r="V91" i="2"/>
  <c r="U91" i="2"/>
  <c r="T91" i="2"/>
  <c r="S91" i="2"/>
  <c r="R91" i="2"/>
  <c r="Q91" i="2"/>
  <c r="M91" i="2"/>
  <c r="K91" i="2"/>
  <c r="E91" i="2"/>
  <c r="O91" i="2"/>
  <c r="V84" i="2"/>
  <c r="V103" i="2" s="1"/>
  <c r="U84" i="2"/>
  <c r="U103" i="2" s="1"/>
  <c r="T84" i="2"/>
  <c r="T103" i="2" s="1"/>
  <c r="S84" i="2"/>
  <c r="S103" i="2" s="1"/>
  <c r="R84" i="2"/>
  <c r="Q84" i="2"/>
  <c r="Q103" i="2" s="1"/>
  <c r="P84" i="2"/>
  <c r="P103" i="2" s="1"/>
  <c r="N84" i="2"/>
  <c r="K84" i="2"/>
  <c r="K103" i="2" s="1"/>
  <c r="J84" i="2"/>
  <c r="J103" i="2" s="1"/>
  <c r="E84" i="2"/>
  <c r="E103" i="2" s="1"/>
  <c r="E106" i="2" s="1"/>
  <c r="O84" i="2"/>
  <c r="O103" i="2" s="1"/>
  <c r="V38" i="2"/>
  <c r="U38" i="2"/>
  <c r="T38" i="2"/>
  <c r="S38" i="2"/>
  <c r="R38" i="2"/>
  <c r="Q38" i="2"/>
  <c r="P38" i="2"/>
  <c r="N38" i="2"/>
  <c r="M38" i="2"/>
  <c r="L38" i="2"/>
  <c r="K38" i="2"/>
  <c r="J38" i="2"/>
  <c r="I38" i="2"/>
  <c r="H38" i="2"/>
  <c r="G38" i="2"/>
  <c r="F38" i="2"/>
  <c r="E38" i="2"/>
  <c r="D38" i="2"/>
  <c r="C38" i="2"/>
  <c r="O38" i="2"/>
  <c r="V60" i="2"/>
  <c r="V62" i="2" s="1"/>
  <c r="U60" i="2"/>
  <c r="U62" i="2" s="1"/>
  <c r="T60" i="2"/>
  <c r="T62" i="2" s="1"/>
  <c r="S60" i="2"/>
  <c r="S62" i="2" s="1"/>
  <c r="R60" i="2"/>
  <c r="R62" i="2" s="1"/>
  <c r="Q60" i="2"/>
  <c r="Q62" i="2" s="1"/>
  <c r="P62" i="2"/>
  <c r="N60" i="2"/>
  <c r="N62" i="2" s="1"/>
  <c r="M60" i="2"/>
  <c r="L60" i="2"/>
  <c r="K60" i="2"/>
  <c r="J60" i="2"/>
  <c r="J62" i="2" s="1"/>
  <c r="I60" i="2"/>
  <c r="I62" i="2" s="1"/>
  <c r="H60" i="2"/>
  <c r="H62" i="2" s="1"/>
  <c r="G60" i="2"/>
  <c r="G62" i="2" s="1"/>
  <c r="F60" i="2"/>
  <c r="F62" i="2" s="1"/>
  <c r="E60" i="2"/>
  <c r="E62" i="2" s="1"/>
  <c r="D60" i="2"/>
  <c r="D62" i="2" s="1"/>
  <c r="C60" i="2"/>
  <c r="C62" i="2" s="1"/>
  <c r="O60" i="2"/>
  <c r="O62" i="2" s="1"/>
  <c r="V51" i="2"/>
  <c r="U51" i="2"/>
  <c r="T51" i="2"/>
  <c r="S51" i="2"/>
  <c r="R51" i="2"/>
  <c r="Q51" i="2"/>
  <c r="P51" i="2"/>
  <c r="N51" i="2"/>
  <c r="M51" i="2"/>
  <c r="L51" i="2"/>
  <c r="K51" i="2"/>
  <c r="J51" i="2"/>
  <c r="I51" i="2"/>
  <c r="H51" i="2"/>
  <c r="G51" i="2"/>
  <c r="F51" i="2"/>
  <c r="E51" i="2"/>
  <c r="D51" i="2"/>
  <c r="C51" i="2"/>
  <c r="O51" i="2"/>
  <c r="V34" i="2"/>
  <c r="U34" i="2"/>
  <c r="T34" i="2"/>
  <c r="S34" i="2"/>
  <c r="R34" i="2"/>
  <c r="Q34" i="2"/>
  <c r="P34" i="2"/>
  <c r="N34" i="2"/>
  <c r="M34" i="2"/>
  <c r="L34" i="2"/>
  <c r="K34" i="2"/>
  <c r="J34" i="2"/>
  <c r="I34" i="2"/>
  <c r="H34" i="2"/>
  <c r="G34" i="2"/>
  <c r="O34" i="2"/>
  <c r="V9" i="2"/>
  <c r="U9" i="2"/>
  <c r="T9" i="2"/>
  <c r="S9" i="2"/>
  <c r="R9" i="2"/>
  <c r="Q9" i="2"/>
  <c r="P9" i="2"/>
  <c r="N9" i="2"/>
  <c r="M9" i="2"/>
  <c r="L9" i="2"/>
  <c r="K9" i="2"/>
  <c r="J9" i="2"/>
  <c r="I9" i="2"/>
  <c r="H9" i="2"/>
  <c r="G9" i="2"/>
  <c r="F9" i="2"/>
  <c r="E9" i="2"/>
  <c r="D9" i="2"/>
  <c r="O9" i="2"/>
  <c r="V5" i="2"/>
  <c r="U5" i="2"/>
  <c r="U26" i="2" s="1"/>
  <c r="T5" i="2"/>
  <c r="T26" i="2" s="1"/>
  <c r="S5" i="2"/>
  <c r="S26" i="2" s="1"/>
  <c r="R5" i="2"/>
  <c r="R26" i="2" s="1"/>
  <c r="Q5" i="2"/>
  <c r="Q27" i="2" s="1"/>
  <c r="P5" i="2"/>
  <c r="P25" i="2" s="1"/>
  <c r="N5" i="2"/>
  <c r="N27" i="2" s="1"/>
  <c r="M5" i="2"/>
  <c r="M23" i="2" s="1"/>
  <c r="L5" i="2"/>
  <c r="L23" i="2" s="1"/>
  <c r="K5" i="2"/>
  <c r="K26" i="2" s="1"/>
  <c r="J5" i="2"/>
  <c r="J25" i="2" s="1"/>
  <c r="I5" i="2"/>
  <c r="I23" i="2" s="1"/>
  <c r="H5" i="2"/>
  <c r="H25" i="2" s="1"/>
  <c r="G5" i="2"/>
  <c r="G23" i="2" s="1"/>
  <c r="F5" i="2"/>
  <c r="F23" i="2" s="1"/>
  <c r="E5" i="2"/>
  <c r="E23" i="2" s="1"/>
  <c r="D5" i="2"/>
  <c r="D23" i="2" s="1"/>
  <c r="O5" i="2"/>
  <c r="O27" i="2" s="1"/>
  <c r="AP29" i="2" l="1"/>
  <c r="AC111" i="2"/>
  <c r="AF34" i="2"/>
  <c r="AF140" i="2" s="1"/>
  <c r="AB23" i="2"/>
  <c r="AB62" i="2"/>
  <c r="AE34" i="2"/>
  <c r="AE140" i="2" s="1"/>
  <c r="AE136" i="2" s="1"/>
  <c r="AB10" i="2"/>
  <c r="AB30" i="2" s="1"/>
  <c r="AB25" i="2"/>
  <c r="AB27" i="2"/>
  <c r="AD34" i="2"/>
  <c r="AD114" i="2"/>
  <c r="AC5" i="2"/>
  <c r="AC27" i="2" s="1"/>
  <c r="AD104" i="2"/>
  <c r="AC104" i="2"/>
  <c r="AA27" i="2"/>
  <c r="AC87" i="2"/>
  <c r="AC91" i="2" s="1"/>
  <c r="AA28" i="2"/>
  <c r="AA130" i="2"/>
  <c r="AD25" i="2"/>
  <c r="AB28" i="2"/>
  <c r="AD111" i="2"/>
  <c r="AB76" i="2"/>
  <c r="AB84" i="2" s="1"/>
  <c r="AB103" i="2" s="1"/>
  <c r="AB106" i="2" s="1"/>
  <c r="AC26" i="2"/>
  <c r="AB104" i="2"/>
  <c r="AB87" i="2"/>
  <c r="AB91" i="2" s="1"/>
  <c r="AD5" i="2"/>
  <c r="AD27" i="2" s="1"/>
  <c r="AC76" i="2"/>
  <c r="AC84" i="2" s="1"/>
  <c r="AC103" i="2" s="1"/>
  <c r="G91" i="2"/>
  <c r="G99" i="2" s="1"/>
  <c r="AC9" i="2"/>
  <c r="AB96" i="2"/>
  <c r="AB97" i="2" s="1"/>
  <c r="AD9" i="2"/>
  <c r="AD28" i="2" s="1"/>
  <c r="AA23" i="2"/>
  <c r="AC153" i="2"/>
  <c r="AA25" i="2"/>
  <c r="AD153" i="2"/>
  <c r="F84" i="2"/>
  <c r="F103" i="2" s="1"/>
  <c r="F106" i="2" s="1"/>
  <c r="AD23" i="2"/>
  <c r="AD76" i="2"/>
  <c r="AD84" i="2" s="1"/>
  <c r="AC150" i="2"/>
  <c r="C10" i="2"/>
  <c r="C14" i="2" s="1"/>
  <c r="C16" i="2" s="1"/>
  <c r="C18" i="2" s="1"/>
  <c r="C20" i="2" s="1"/>
  <c r="AD150" i="2"/>
  <c r="AC152" i="2"/>
  <c r="AB150" i="2"/>
  <c r="C91" i="2"/>
  <c r="C99" i="2" s="1"/>
  <c r="C101" i="2" s="1"/>
  <c r="D100" i="2" s="1"/>
  <c r="AD113" i="2"/>
  <c r="AD152" i="2"/>
  <c r="AC113" i="2"/>
  <c r="AD87" i="2"/>
  <c r="AD91" i="2" s="1"/>
  <c r="AD96" i="2"/>
  <c r="AD97" i="2" s="1"/>
  <c r="F121" i="2"/>
  <c r="F131" i="2" s="1"/>
  <c r="AA10" i="2"/>
  <c r="K62" i="2"/>
  <c r="AD128" i="2"/>
  <c r="AE128" i="2"/>
  <c r="AD129" i="2"/>
  <c r="AE129" i="2"/>
  <c r="AE130" i="2"/>
  <c r="AD131" i="2"/>
  <c r="L62" i="2"/>
  <c r="M62" i="2"/>
  <c r="N125" i="2"/>
  <c r="N121" i="2"/>
  <c r="N130" i="2" s="1"/>
  <c r="N124" i="2"/>
  <c r="N126" i="2"/>
  <c r="AB128" i="2"/>
  <c r="AB129" i="2"/>
  <c r="AB130" i="2"/>
  <c r="AC129" i="2"/>
  <c r="AC130" i="2"/>
  <c r="AC131" i="2"/>
  <c r="K28" i="2"/>
  <c r="M26" i="2"/>
  <c r="L10" i="2"/>
  <c r="L14" i="2" s="1"/>
  <c r="L16" i="2" s="1"/>
  <c r="M10" i="2"/>
  <c r="M14" i="2" s="1"/>
  <c r="M31" i="2" s="1"/>
  <c r="Q25" i="2"/>
  <c r="M129" i="2"/>
  <c r="O23" i="2"/>
  <c r="P27" i="2"/>
  <c r="O25" i="2"/>
  <c r="C130" i="2"/>
  <c r="C131" i="2"/>
  <c r="M131" i="2"/>
  <c r="O28" i="2"/>
  <c r="P28" i="2"/>
  <c r="P128" i="2"/>
  <c r="AD10" i="2"/>
  <c r="AD14" i="2" s="1"/>
  <c r="P130" i="2"/>
  <c r="L129" i="2"/>
  <c r="E27" i="2"/>
  <c r="G27" i="2"/>
  <c r="V28" i="2"/>
  <c r="T25" i="2"/>
  <c r="E26" i="2"/>
  <c r="D10" i="2"/>
  <c r="Q28" i="2"/>
  <c r="F26" i="2"/>
  <c r="E10" i="2"/>
  <c r="E30" i="2" s="1"/>
  <c r="R10" i="2"/>
  <c r="R14" i="2" s="1"/>
  <c r="R16" i="2" s="1"/>
  <c r="R27" i="2"/>
  <c r="L26" i="2"/>
  <c r="C128" i="2"/>
  <c r="S25" i="2"/>
  <c r="F27" i="2"/>
  <c r="F10" i="2"/>
  <c r="S10" i="2"/>
  <c r="S14" i="2" s="1"/>
  <c r="S31" i="2" s="1"/>
  <c r="S27" i="2"/>
  <c r="M128" i="2"/>
  <c r="G10" i="2"/>
  <c r="G14" i="2" s="1"/>
  <c r="T10" i="2"/>
  <c r="T27" i="2"/>
  <c r="C27" i="2"/>
  <c r="R25" i="2"/>
  <c r="D27" i="2"/>
  <c r="N10" i="2"/>
  <c r="N30" i="2" s="1"/>
  <c r="U28" i="2"/>
  <c r="J26" i="2"/>
  <c r="O10" i="2"/>
  <c r="O14" i="2" s="1"/>
  <c r="O31" i="2" s="1"/>
  <c r="U25" i="2"/>
  <c r="U129" i="2"/>
  <c r="V129" i="2"/>
  <c r="N99" i="2"/>
  <c r="K99" i="2"/>
  <c r="N23" i="2"/>
  <c r="P23" i="2"/>
  <c r="M99" i="2"/>
  <c r="T131" i="2"/>
  <c r="Q10" i="2"/>
  <c r="Q30" i="2" s="1"/>
  <c r="Q23" i="2"/>
  <c r="O130" i="2"/>
  <c r="H10" i="2"/>
  <c r="U10" i="2"/>
  <c r="N26" i="2"/>
  <c r="R23" i="2"/>
  <c r="J23" i="2"/>
  <c r="R99" i="2"/>
  <c r="O131" i="2"/>
  <c r="S129" i="2"/>
  <c r="L99" i="2"/>
  <c r="L130" i="2"/>
  <c r="N25" i="2"/>
  <c r="H23" i="2"/>
  <c r="S23" i="2"/>
  <c r="U27" i="2"/>
  <c r="C26" i="2"/>
  <c r="K27" i="2"/>
  <c r="J28" i="2"/>
  <c r="T23" i="2"/>
  <c r="T28" i="2"/>
  <c r="D26" i="2"/>
  <c r="M27" i="2"/>
  <c r="L128" i="2"/>
  <c r="Q105" i="2"/>
  <c r="Q106" i="2"/>
  <c r="S106" i="2"/>
  <c r="S105" i="2"/>
  <c r="G106" i="2"/>
  <c r="H106" i="2"/>
  <c r="H105" i="2"/>
  <c r="I106" i="2"/>
  <c r="I105" i="2"/>
  <c r="J106" i="2"/>
  <c r="K105" i="2"/>
  <c r="K106" i="2"/>
  <c r="M105" i="2"/>
  <c r="M106" i="2"/>
  <c r="T105" i="2"/>
  <c r="T106" i="2"/>
  <c r="U106" i="2"/>
  <c r="U105" i="2"/>
  <c r="V106" i="2"/>
  <c r="O106" i="2"/>
  <c r="O105" i="2"/>
  <c r="P106" i="2"/>
  <c r="V26" i="2"/>
  <c r="K25" i="2"/>
  <c r="C103" i="2"/>
  <c r="C106" i="2" s="1"/>
  <c r="D128" i="2"/>
  <c r="F28" i="2"/>
  <c r="F99" i="2"/>
  <c r="S99" i="2"/>
  <c r="G128" i="2"/>
  <c r="G129" i="2"/>
  <c r="G130" i="2"/>
  <c r="T128" i="2"/>
  <c r="R130" i="2"/>
  <c r="I25" i="2"/>
  <c r="S131" i="2"/>
  <c r="L25" i="2"/>
  <c r="D129" i="2"/>
  <c r="N28" i="2"/>
  <c r="C25" i="2"/>
  <c r="D25" i="2"/>
  <c r="H128" i="2"/>
  <c r="H129" i="2"/>
  <c r="H130" i="2"/>
  <c r="U128" i="2"/>
  <c r="S130" i="2"/>
  <c r="H99" i="2"/>
  <c r="U99" i="2"/>
  <c r="I128" i="2"/>
  <c r="I129" i="2"/>
  <c r="I130" i="2"/>
  <c r="V128" i="2"/>
  <c r="T130" i="2"/>
  <c r="P99" i="2"/>
  <c r="D130" i="2"/>
  <c r="E25" i="2"/>
  <c r="H28" i="2"/>
  <c r="I10" i="2"/>
  <c r="V10" i="2"/>
  <c r="U23" i="2"/>
  <c r="F25" i="2"/>
  <c r="G26" i="2"/>
  <c r="H27" i="2"/>
  <c r="I28" i="2"/>
  <c r="I99" i="2"/>
  <c r="V99" i="2"/>
  <c r="J128" i="2"/>
  <c r="J129" i="2"/>
  <c r="J130" i="2"/>
  <c r="P129" i="2"/>
  <c r="U130" i="2"/>
  <c r="L28" i="2"/>
  <c r="L103" i="2"/>
  <c r="P105" i="2" s="1"/>
  <c r="O99" i="2"/>
  <c r="C28" i="2"/>
  <c r="Q128" i="2"/>
  <c r="O26" i="2"/>
  <c r="R103" i="2"/>
  <c r="P26" i="2"/>
  <c r="V27" i="2"/>
  <c r="V23" i="2"/>
  <c r="R28" i="2"/>
  <c r="G25" i="2"/>
  <c r="H26" i="2"/>
  <c r="I27" i="2"/>
  <c r="J99" i="2"/>
  <c r="O128" i="2"/>
  <c r="K128" i="2"/>
  <c r="K129" i="2"/>
  <c r="K130" i="2"/>
  <c r="Q129" i="2"/>
  <c r="V130" i="2"/>
  <c r="N103" i="2"/>
  <c r="K23" i="2"/>
  <c r="V25" i="2"/>
  <c r="E28" i="2"/>
  <c r="E99" i="2"/>
  <c r="Q26" i="2"/>
  <c r="G28" i="2"/>
  <c r="T99" i="2"/>
  <c r="J10" i="2"/>
  <c r="P10" i="2"/>
  <c r="S28" i="2"/>
  <c r="I26" i="2"/>
  <c r="J27" i="2"/>
  <c r="R129" i="2"/>
  <c r="Q131" i="2"/>
  <c r="L27" i="2"/>
  <c r="M28" i="2"/>
  <c r="R131" i="2"/>
  <c r="M25" i="2"/>
  <c r="D28" i="2"/>
  <c r="D99" i="2"/>
  <c r="Q99" i="2"/>
  <c r="E128" i="2"/>
  <c r="E129" i="2"/>
  <c r="E130" i="2"/>
  <c r="K10" i="2"/>
  <c r="J7" i="1"/>
  <c r="J11" i="1" l="1"/>
  <c r="T23" i="1"/>
  <c r="AF136" i="2"/>
  <c r="AE147" i="2"/>
  <c r="AC23" i="2"/>
  <c r="AB14" i="2"/>
  <c r="AD26" i="2"/>
  <c r="AC25" i="2"/>
  <c r="AC28" i="2"/>
  <c r="AC99" i="2"/>
  <c r="AC10" i="2"/>
  <c r="J105" i="2"/>
  <c r="AD103" i="2"/>
  <c r="AD99" i="2"/>
  <c r="AD16" i="2"/>
  <c r="AD31" i="2"/>
  <c r="AA14" i="2"/>
  <c r="AA30" i="2"/>
  <c r="AD30" i="2"/>
  <c r="AB99" i="2"/>
  <c r="AB101" i="2" s="1"/>
  <c r="AC100" i="2" s="1"/>
  <c r="AB31" i="2"/>
  <c r="AB16" i="2"/>
  <c r="AC106" i="2"/>
  <c r="AC105" i="2"/>
  <c r="F130" i="2"/>
  <c r="F129" i="2"/>
  <c r="F128" i="2"/>
  <c r="N131" i="2"/>
  <c r="N129" i="2"/>
  <c r="N128" i="2"/>
  <c r="L31" i="2"/>
  <c r="M16" i="2"/>
  <c r="M66" i="2" s="1"/>
  <c r="L30" i="2"/>
  <c r="D101" i="2"/>
  <c r="E100" i="2" s="1"/>
  <c r="E101" i="2" s="1"/>
  <c r="F100" i="2" s="1"/>
  <c r="F101" i="2" s="1"/>
  <c r="G100" i="2" s="1"/>
  <c r="G101" i="2" s="1"/>
  <c r="H100" i="2" s="1"/>
  <c r="H101" i="2" s="1"/>
  <c r="I100" i="2" s="1"/>
  <c r="I101" i="2" s="1"/>
  <c r="J100" i="2" s="1"/>
  <c r="J101" i="2" s="1"/>
  <c r="K100" i="2" s="1"/>
  <c r="K101" i="2" s="1"/>
  <c r="L100" i="2" s="1"/>
  <c r="L101" i="2" s="1"/>
  <c r="M100" i="2" s="1"/>
  <c r="M101" i="2" s="1"/>
  <c r="N100" i="2" s="1"/>
  <c r="N101" i="2" s="1"/>
  <c r="O100" i="2" s="1"/>
  <c r="O101" i="2" s="1"/>
  <c r="P100" i="2" s="1"/>
  <c r="P101" i="2" s="1"/>
  <c r="Q100" i="2" s="1"/>
  <c r="Q101" i="2" s="1"/>
  <c r="R100" i="2" s="1"/>
  <c r="R101" i="2" s="1"/>
  <c r="S100" i="2" s="1"/>
  <c r="S101" i="2" s="1"/>
  <c r="T100" i="2" s="1"/>
  <c r="T101" i="2" s="1"/>
  <c r="U100" i="2" s="1"/>
  <c r="U101" i="2" s="1"/>
  <c r="V100" i="2" s="1"/>
  <c r="V101" i="2" s="1"/>
  <c r="M30" i="2"/>
  <c r="Q14" i="2"/>
  <c r="Q16" i="2" s="1"/>
  <c r="S16" i="2"/>
  <c r="S66" i="2" s="1"/>
  <c r="C30" i="2"/>
  <c r="S30" i="2"/>
  <c r="O16" i="2"/>
  <c r="R30" i="2"/>
  <c r="D14" i="2"/>
  <c r="D30" i="2"/>
  <c r="R31" i="2"/>
  <c r="F14" i="2"/>
  <c r="F30" i="2"/>
  <c r="T30" i="2"/>
  <c r="T14" i="2"/>
  <c r="E14" i="2"/>
  <c r="E16" i="2" s="1"/>
  <c r="G30" i="2"/>
  <c r="N14" i="2"/>
  <c r="N16" i="2" s="1"/>
  <c r="U30" i="2"/>
  <c r="U14" i="2"/>
  <c r="H30" i="2"/>
  <c r="H14" i="2"/>
  <c r="O30" i="2"/>
  <c r="I14" i="2"/>
  <c r="I30" i="2"/>
  <c r="R18" i="2"/>
  <c r="R20" i="2" s="1"/>
  <c r="R66" i="2"/>
  <c r="R32" i="2"/>
  <c r="R105" i="2"/>
  <c r="R106" i="2"/>
  <c r="L18" i="2"/>
  <c r="L20" i="2" s="1"/>
  <c r="L66" i="2"/>
  <c r="L32" i="2"/>
  <c r="G105" i="2"/>
  <c r="V105" i="2"/>
  <c r="L105" i="2"/>
  <c r="L106" i="2"/>
  <c r="K14" i="2"/>
  <c r="K30" i="2"/>
  <c r="P14" i="2"/>
  <c r="P30" i="2"/>
  <c r="N105" i="2"/>
  <c r="N106" i="2"/>
  <c r="J30" i="2"/>
  <c r="J14" i="2"/>
  <c r="V14" i="2"/>
  <c r="V30" i="2"/>
  <c r="AG136" i="2" l="1"/>
  <c r="AF147" i="2"/>
  <c r="AC101" i="2"/>
  <c r="AD100" i="2" s="1"/>
  <c r="AC14" i="2"/>
  <c r="AC30" i="2"/>
  <c r="AD101" i="2"/>
  <c r="AB66" i="2"/>
  <c r="AB18" i="2"/>
  <c r="AB20" i="2" s="1"/>
  <c r="AB32" i="2"/>
  <c r="AA16" i="2"/>
  <c r="AA31" i="2"/>
  <c r="AD18" i="2"/>
  <c r="AD20" i="2" s="1"/>
  <c r="AD66" i="2"/>
  <c r="AD32" i="2"/>
  <c r="AD106" i="2"/>
  <c r="AD105" i="2"/>
  <c r="M18" i="2"/>
  <c r="M20" i="2" s="1"/>
  <c r="O18" i="2"/>
  <c r="O20" i="2" s="1"/>
  <c r="M32" i="2"/>
  <c r="Q31" i="2"/>
  <c r="S18" i="2"/>
  <c r="S20" i="2" s="1"/>
  <c r="C31" i="2"/>
  <c r="O66" i="2"/>
  <c r="O32" i="2"/>
  <c r="S32" i="2"/>
  <c r="E31" i="2"/>
  <c r="T31" i="2"/>
  <c r="T16" i="2"/>
  <c r="F16" i="2"/>
  <c r="F31" i="2"/>
  <c r="D31" i="2"/>
  <c r="D16" i="2"/>
  <c r="G16" i="2"/>
  <c r="G31" i="2"/>
  <c r="N31" i="2"/>
  <c r="H16" i="2"/>
  <c r="H31" i="2"/>
  <c r="U31" i="2"/>
  <c r="U16" i="2"/>
  <c r="V16" i="2"/>
  <c r="V31" i="2"/>
  <c r="K16" i="2"/>
  <c r="K31" i="2"/>
  <c r="N18" i="2"/>
  <c r="N20" i="2" s="1"/>
  <c r="N32" i="2"/>
  <c r="N66" i="2"/>
  <c r="E18" i="2"/>
  <c r="E20" i="2" s="1"/>
  <c r="E32" i="2"/>
  <c r="E66" i="2"/>
  <c r="J16" i="2"/>
  <c r="J31" i="2"/>
  <c r="Q18" i="2"/>
  <c r="Q20" i="2" s="1"/>
  <c r="Q32" i="2"/>
  <c r="Q66" i="2"/>
  <c r="P16" i="2"/>
  <c r="P31" i="2"/>
  <c r="I16" i="2"/>
  <c r="I31" i="2"/>
  <c r="AH136" i="2" l="1"/>
  <c r="AG147" i="2"/>
  <c r="AC31" i="2"/>
  <c r="AC16" i="2"/>
  <c r="AA18" i="2"/>
  <c r="AA20" i="2" s="1"/>
  <c r="AA32" i="2"/>
  <c r="C32" i="2"/>
  <c r="C66" i="2"/>
  <c r="G18" i="2"/>
  <c r="G20" i="2" s="1"/>
  <c r="G32" i="2"/>
  <c r="G66" i="2"/>
  <c r="D18" i="2"/>
  <c r="D20" i="2" s="1"/>
  <c r="D66" i="2"/>
  <c r="D32" i="2"/>
  <c r="F18" i="2"/>
  <c r="F20" i="2" s="1"/>
  <c r="F66" i="2"/>
  <c r="F32" i="2"/>
  <c r="T66" i="2"/>
  <c r="T18" i="2"/>
  <c r="T20" i="2" s="1"/>
  <c r="T32" i="2"/>
  <c r="U18" i="2"/>
  <c r="U20" i="2" s="1"/>
  <c r="U66" i="2"/>
  <c r="U32" i="2"/>
  <c r="H18" i="2"/>
  <c r="H20" i="2" s="1"/>
  <c r="H66" i="2"/>
  <c r="H32" i="2"/>
  <c r="V18" i="2"/>
  <c r="V20" i="2" s="1"/>
  <c r="V66" i="2"/>
  <c r="V32" i="2"/>
  <c r="J18" i="2"/>
  <c r="J20" i="2" s="1"/>
  <c r="J32" i="2"/>
  <c r="J66" i="2"/>
  <c r="I18" i="2"/>
  <c r="I20" i="2" s="1"/>
  <c r="I66" i="2"/>
  <c r="I32" i="2"/>
  <c r="P18" i="2"/>
  <c r="P20" i="2" s="1"/>
  <c r="P32" i="2"/>
  <c r="P66" i="2"/>
  <c r="K18" i="2"/>
  <c r="K20" i="2" s="1"/>
  <c r="K66" i="2"/>
  <c r="K32" i="2"/>
  <c r="AI136" i="2" l="1"/>
  <c r="AJ136" i="2" s="1"/>
  <c r="AK136" i="2" s="1"/>
  <c r="AL136" i="2" s="1"/>
  <c r="AM136" i="2" s="1"/>
  <c r="AN136" i="2" s="1"/>
  <c r="AH147" i="2"/>
  <c r="AC66" i="2"/>
  <c r="AC18" i="2"/>
  <c r="AC20" i="2" s="1"/>
  <c r="AC32" i="2"/>
</calcChain>
</file>

<file path=xl/sharedStrings.xml><?xml version="1.0" encoding="utf-8"?>
<sst xmlns="http://schemas.openxmlformats.org/spreadsheetml/2006/main" count="220" uniqueCount="194">
  <si>
    <t>SaaS</t>
  </si>
  <si>
    <t>Price</t>
  </si>
  <si>
    <t>S/O</t>
  </si>
  <si>
    <t>MC</t>
  </si>
  <si>
    <t>Cash</t>
  </si>
  <si>
    <t>Debt</t>
  </si>
  <si>
    <t>EV</t>
  </si>
  <si>
    <t>Main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</si>
  <si>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</si>
  <si>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</si>
  <si>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</si>
  <si>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</si>
  <si>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</si>
  <si>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</si>
  <si>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</si>
  <si>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</si>
  <si>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</si>
  <si>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</si>
  <si>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</si>
  <si>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</si>
  <si>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</si>
  <si>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</si>
  <si>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</si>
  <si>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</si>
  <si>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</si>
  <si>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</si>
  <si>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Q3FY27</t>
  </si>
  <si>
    <t>Q4FY27</t>
  </si>
  <si>
    <t>Revenue</t>
  </si>
  <si>
    <t>COGS</t>
  </si>
  <si>
    <t>Gross Profit</t>
  </si>
  <si>
    <t>S&amp;M</t>
  </si>
  <si>
    <t>R&amp;D</t>
  </si>
  <si>
    <t>G&amp;A</t>
  </si>
  <si>
    <t>OpEx</t>
  </si>
  <si>
    <t>OpInc</t>
  </si>
  <si>
    <t>Interest Income</t>
  </si>
  <si>
    <t>Interest expense</t>
  </si>
  <si>
    <t>Other</t>
  </si>
  <si>
    <t>Pretax Income</t>
  </si>
  <si>
    <t>Taxes</t>
  </si>
  <si>
    <t>Net Income</t>
  </si>
  <si>
    <t>Attributable to noncontrolling interest</t>
  </si>
  <si>
    <t>Net Income attributable to Snowflake</t>
  </si>
  <si>
    <t>EPS</t>
  </si>
  <si>
    <t>Gross margin</t>
  </si>
  <si>
    <t>S&amp;M margin</t>
  </si>
  <si>
    <t>R&amp;D margin</t>
  </si>
  <si>
    <t>G&amp;A margin</t>
  </si>
  <si>
    <t>Interest margin</t>
  </si>
  <si>
    <t>Tax margin</t>
  </si>
  <si>
    <t>Net margin</t>
  </si>
  <si>
    <t>YoY Revenue</t>
  </si>
  <si>
    <t>OpEx margin</t>
  </si>
  <si>
    <t>Net Cash</t>
  </si>
  <si>
    <t>Short-term inv.</t>
  </si>
  <si>
    <t>A/R</t>
  </si>
  <si>
    <t>Deferred commissions, current</t>
  </si>
  <si>
    <t>Prepaids</t>
  </si>
  <si>
    <t>Long-term inv.</t>
  </si>
  <si>
    <t>PP&amp;A</t>
  </si>
  <si>
    <t>Operating lease ROU</t>
  </si>
  <si>
    <t>Goodwill</t>
  </si>
  <si>
    <t>Intangibles</t>
  </si>
  <si>
    <t>Deferred commissions, non-current</t>
  </si>
  <si>
    <t>Other assets</t>
  </si>
  <si>
    <t>Total assets</t>
  </si>
  <si>
    <t>A/P</t>
  </si>
  <si>
    <t>Accrued and other liabilities</t>
  </si>
  <si>
    <t>Operating lease, current</t>
  </si>
  <si>
    <t>Deferred revenue, current</t>
  </si>
  <si>
    <t>Operating lease, non-current</t>
  </si>
  <si>
    <t>Deferred revenue, non-current</t>
  </si>
  <si>
    <t>Other liabilities</t>
  </si>
  <si>
    <t>Total liabilities</t>
  </si>
  <si>
    <t>SE</t>
  </si>
  <si>
    <t>L+SE</t>
  </si>
  <si>
    <t>Model NI</t>
  </si>
  <si>
    <t>GAAP NI</t>
  </si>
  <si>
    <t>D&amp;A</t>
  </si>
  <si>
    <t>Non-cash lease</t>
  </si>
  <si>
    <t>Amortization of deferred commissions</t>
  </si>
  <si>
    <t>Stock-based comp.</t>
  </si>
  <si>
    <t>Accretion on inv.</t>
  </si>
  <si>
    <t>Realized gain on inv. in equity sec.</t>
  </si>
  <si>
    <t>Amort. Of debt issuance costs</t>
  </si>
  <si>
    <t>Impairments</t>
  </si>
  <si>
    <t>Deferred Commissions</t>
  </si>
  <si>
    <t>Operating lease</t>
  </si>
  <si>
    <t>Deferred revenue</t>
  </si>
  <si>
    <t>CFFO</t>
  </si>
  <si>
    <t xml:space="preserve">Capitalized software </t>
  </si>
  <si>
    <t>Purchase of inv.</t>
  </si>
  <si>
    <t>Sales of inv.</t>
  </si>
  <si>
    <t>Maturities of inv.</t>
  </si>
  <si>
    <t>Settlement of cash flow hedges</t>
  </si>
  <si>
    <t>CFFI</t>
  </si>
  <si>
    <t>Exercies of stock options</t>
  </si>
  <si>
    <t>Issuance of stock under emp. plan</t>
  </si>
  <si>
    <t>Taxes on share settlement of equity awards</t>
  </si>
  <si>
    <t>Repurchases of stock</t>
  </si>
  <si>
    <t>CFFF</t>
  </si>
  <si>
    <t>FX adj.</t>
  </si>
  <si>
    <t>CF</t>
  </si>
  <si>
    <t>BOP Cash</t>
  </si>
  <si>
    <t>EOP Cash</t>
  </si>
  <si>
    <t>FCF</t>
  </si>
  <si>
    <t>CapEx margin</t>
  </si>
  <si>
    <t>CapEx</t>
  </si>
  <si>
    <t>YoY FCF</t>
  </si>
  <si>
    <t>FCF Margin</t>
  </si>
  <si>
    <t>Total</t>
  </si>
  <si>
    <t>Product revenue</t>
  </si>
  <si>
    <t>Professional services and other</t>
  </si>
  <si>
    <t>YoY Product revenue</t>
  </si>
  <si>
    <t>YoY Professional services and other</t>
  </si>
  <si>
    <t>U.S.</t>
  </si>
  <si>
    <t>Other Americas</t>
  </si>
  <si>
    <t>EMEA</t>
  </si>
  <si>
    <t>Asia-Pacific and Japan</t>
  </si>
  <si>
    <t>YoY U.S.</t>
  </si>
  <si>
    <t>YoY Other Americas</t>
  </si>
  <si>
    <t>YoY EMEA</t>
  </si>
  <si>
    <t>YoY Asia-Pacific and Japan</t>
  </si>
  <si>
    <t>U.S. %</t>
  </si>
  <si>
    <t>Other Americas %</t>
  </si>
  <si>
    <t>EMEA %</t>
  </si>
  <si>
    <t>Asia-Pacific and Japan %</t>
  </si>
  <si>
    <t>RPO</t>
  </si>
  <si>
    <t>Net revenue retention rate</t>
  </si>
  <si>
    <t>&gt;$1m customers w trailing 12-months</t>
  </si>
  <si>
    <t>Forbes Global 2K customers</t>
  </si>
  <si>
    <t xml:space="preserve">YoY &gt;$1m cust. </t>
  </si>
  <si>
    <t>YoY Forbes</t>
  </si>
  <si>
    <t>YoY RPO</t>
  </si>
  <si>
    <t xml:space="preserve">QoQ &gt;$1m cust. </t>
  </si>
  <si>
    <t>QoQ Forbes</t>
  </si>
  <si>
    <t>FY23</t>
  </si>
  <si>
    <t>Non-GAAP NI</t>
  </si>
  <si>
    <t>Non-GAAP net margin</t>
  </si>
  <si>
    <t>YoY Non-GAAP NI</t>
  </si>
  <si>
    <t>Non-GAAP EPS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</si>
  <si>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</si>
  <si>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</si>
  <si>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</si>
  <si>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</si>
  <si>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</si>
  <si>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</si>
  <si>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</si>
  <si>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</si>
  <si>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</si>
  <si>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</si>
  <si>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</si>
  <si>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</si>
  <si>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</si>
  <si>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</si>
  <si>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</si>
  <si>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</si>
  <si>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</si>
  <si>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</si>
  <si>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FY42</t>
  </si>
  <si>
    <t>FY43</t>
  </si>
  <si>
    <t>FY44</t>
  </si>
  <si>
    <t>FY45</t>
  </si>
  <si>
    <t>FY22</t>
  </si>
  <si>
    <t>Q1FY28</t>
  </si>
  <si>
    <t>Q2FY28</t>
  </si>
  <si>
    <t>Revenue per &gt;$1m customer</t>
  </si>
  <si>
    <t>FCF Model</t>
  </si>
  <si>
    <t>Maturity</t>
  </si>
  <si>
    <t>Discount</t>
  </si>
  <si>
    <t>NPV</t>
  </si>
  <si>
    <t>Share</t>
  </si>
  <si>
    <t>Current</t>
  </si>
  <si>
    <t>Return</t>
  </si>
  <si>
    <t>It supports diverse data types, scales across AWS, Azure, and Google Cloud (47 global regions), and uses a consumption-based model with near-zero maintenance.</t>
  </si>
  <si>
    <t>Cusomters:</t>
  </si>
  <si>
    <t>Employees:</t>
  </si>
  <si>
    <t>Countries:</t>
  </si>
  <si>
    <t>Snowflake created a cloud-based platform called the AI Data Cloud, that helps businesses organize, analyze, and use their data effectively.</t>
  </si>
  <si>
    <r>
      <t>Growth Strategy</t>
    </r>
    <r>
      <rPr>
        <sz val="10"/>
        <color theme="1"/>
        <rFont val="Arial"/>
        <family val="2"/>
      </rPr>
      <t>: Innovate platform, acquire customers, increase usage, expand globally, and grow partnerships to enhance the AI Data Cloud ecosystem.</t>
    </r>
  </si>
  <si>
    <r>
      <t xml:space="preserve">Competitors: </t>
    </r>
    <r>
      <rPr>
        <sz val="10"/>
        <color theme="1"/>
        <rFont val="Arial"/>
        <family val="2"/>
      </rPr>
      <t>Amazon (AWS), Microsoft (Azure), and Google (Google Cloud), Databricks, Teradata, Oracle, IBM, Cloudera, ClickHouse, Dremio, Firebolt.</t>
    </r>
  </si>
  <si>
    <t>Q2 R Cons.</t>
  </si>
  <si>
    <t>Q2 EPS Cons.</t>
  </si>
  <si>
    <t>Beat</t>
  </si>
  <si>
    <t>Q3 R Guid. Cons.</t>
  </si>
  <si>
    <t>Q3 EPS Guid. Cons</t>
  </si>
  <si>
    <t>FY26 R Cons.</t>
  </si>
  <si>
    <t>FY26 EPS Cons.</t>
  </si>
  <si>
    <t>Actual</t>
  </si>
  <si>
    <t>Current P/E</t>
  </si>
  <si>
    <t xml:space="preserve">Target </t>
  </si>
  <si>
    <t>08/28/25 Price</t>
  </si>
  <si>
    <t>Target: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</si>
</sst>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7" fillId="0" borderId="0" xfId="1" applyFont="1"/>
    <xf numFmtId="3" fontId="4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64" fontId="4" fillId="0" borderId="0" xfId="0" applyNumberFormat="1" applyFont="1"/>
    <xf numFmtId="9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164" fontId="5" fillId="0" borderId="0" xfId="0" applyNumberFormat="1" applyFont="1"/>
    <xf numFmtId="0" fontId="5" fillId="0" borderId="0" xfId="0" applyFont="1"/>
    <xf numFmtId="0" fontId="2" fillId="0" borderId="0" xfId="0" applyFont="1"/>
    <xf numFmtId="9" fontId="3" fillId="0" borderId="0" xfId="0" applyNumberFormat="1" applyFont="1"/>
    <xf numFmtId="10" fontId="3" fillId="0" borderId="0" xfId="0" applyNumberFormat="1" applyFont="1"/>
    <xf numFmtId="38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601980</xdr:colOff>
      <xdr:row>0</xdr:row>
      <xdr:rowOff>30480</xdr:rowOff>
    </xdr:from>
    <xdr:to>
      <xdr:col>30</xdr:col>
      <xdr:colOff>15240</xdr:colOff>
      <xdr:row>149</xdr:row>
      <xdr:rowOff>144780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07E542-4DD4-CAB2-6B41-0DFF863C6685}"/>
            </a:ext>
          </a:extLst>
        </xdr:cNvPr>
        <xdr:cNvCxnSpPr/>
      </xdr:nvCxnSpPr>
      <xdr:spPr>
        <a:xfrm flipH="1">
          <a:off x="18295620" y="30480"/>
          <a:ext cx="22860" cy="25092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Saa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topLeftCell="E1" zoomScale="94" workbookViewId="0">
      <selection activeCell="N16" sqref="N16"/>
    </sheetView>
  </sheetViews>
  <sheetFormatPr defaultRowHeight="13.2" x14ac:dyDescent="0.25"/>
  <cols>
    <col min="1" max="16" width="8.88671875" style="8"/>
    <col min="17" max="17" width="11.21875" style="8" bestFit="1" customWidth="1"/>
    <col min="18" max="16384" width="8.88671875" style="8"/>
  </cols>
  <sheetData>
    <row r="1" spans="1:19" x14ac:dyDescent="0.25">
      <c r="A1" s="2" t="s">
        <v>0</v>
      </c>
    </row>
    <row r="2" spans="1:19" ht="13.8" customHeight="1" x14ac:dyDescent="0.25">
      <c r="B2" s="8" t="s">
        <v>179</v>
      </c>
    </row>
    <row r="3" spans="1:19" x14ac:dyDescent="0.25">
      <c r="B3" s="8" t="s">
        <v>175</v>
      </c>
    </row>
    <row r="5" spans="1:19" x14ac:dyDescent="0.25">
      <c r="I5" s="8" t="s">
        <v>1</v>
      </c>
      <c r="J5" s="8">
        <v>228.2</v>
      </c>
      <c r="R5" s="8" t="s">
        <v>19</v>
      </c>
      <c r="S5" s="15" t="s">
        <v>21</v>
      </c>
    </row>
    <row r="6" spans="1:19" x14ac:dyDescent="0.25">
      <c r="I6" s="8" t="s">
        <v>2</v>
      </c>
      <c r="J6" s="9">
        <f>Model!P19</f>
        <v>335.21499999999997</v>
      </c>
      <c r="K6" s="15" t="s">
        <v>21</v>
      </c>
      <c r="Q6" s="8" t="s">
        <v>176</v>
      </c>
      <c r="R6" s="9">
        <v>11159</v>
      </c>
      <c r="S6" s="9">
        <v>12062</v>
      </c>
    </row>
    <row r="7" spans="1:19" x14ac:dyDescent="0.25">
      <c r="I7" s="8" t="s">
        <v>3</v>
      </c>
      <c r="J7" s="9">
        <f>+J5*J6</f>
        <v>76496.062999999995</v>
      </c>
      <c r="Q7" s="8" t="s">
        <v>177</v>
      </c>
      <c r="R7" s="8">
        <v>7834</v>
      </c>
    </row>
    <row r="8" spans="1:19" x14ac:dyDescent="0.25">
      <c r="I8" s="8" t="s">
        <v>4</v>
      </c>
      <c r="J8" s="9">
        <f>Model!P39+Model!P40+Model!P44</f>
        <v>4599.5879999999997</v>
      </c>
      <c r="K8" s="15" t="s">
        <v>21</v>
      </c>
      <c r="Q8" s="8" t="s">
        <v>178</v>
      </c>
      <c r="R8" s="8">
        <v>34</v>
      </c>
    </row>
    <row r="9" spans="1:19" x14ac:dyDescent="0.25">
      <c r="I9" s="8" t="s">
        <v>5</v>
      </c>
      <c r="J9" s="9">
        <f>+Model!P56</f>
        <v>2275.674</v>
      </c>
      <c r="K9" s="15" t="s">
        <v>21</v>
      </c>
    </row>
    <row r="10" spans="1:19" x14ac:dyDescent="0.25">
      <c r="J10" s="9"/>
    </row>
    <row r="11" spans="1:19" x14ac:dyDescent="0.25">
      <c r="I11" s="8" t="s">
        <v>6</v>
      </c>
      <c r="J11" s="9">
        <f>J7-J8+J9</f>
        <v>74172.14899999999</v>
      </c>
    </row>
    <row r="12" spans="1:19" x14ac:dyDescent="0.25">
      <c r="P12" s="15" t="s">
        <v>182</v>
      </c>
      <c r="Q12" s="9">
        <v>1150</v>
      </c>
    </row>
    <row r="13" spans="1:19" x14ac:dyDescent="0.25">
      <c r="P13" s="15" t="s">
        <v>189</v>
      </c>
      <c r="Q13" s="9">
        <v>1144</v>
      </c>
    </row>
    <row r="14" spans="1:19" x14ac:dyDescent="0.25">
      <c r="B14" s="14" t="s">
        <v>180</v>
      </c>
      <c r="P14" s="15" t="s">
        <v>184</v>
      </c>
      <c r="Q14" s="17">
        <f>+Q13/Q12-1</f>
        <v>-5.2173913043478404E-3</v>
      </c>
    </row>
    <row r="15" spans="1:19" x14ac:dyDescent="0.25">
      <c r="B15" s="14" t="s">
        <v>181</v>
      </c>
      <c r="P15" s="15" t="s">
        <v>183</v>
      </c>
      <c r="Q15" s="11">
        <v>0.35</v>
      </c>
    </row>
    <row r="16" spans="1:19" x14ac:dyDescent="0.25">
      <c r="P16" s="15" t="s">
        <v>189</v>
      </c>
      <c r="Q16" s="8">
        <v>-0.89</v>
      </c>
    </row>
    <row r="17" spans="16:20" x14ac:dyDescent="0.25">
      <c r="P17" s="15" t="s">
        <v>184</v>
      </c>
      <c r="Q17" s="17">
        <f>Q15/Q16-1</f>
        <v>-1.393258426966292</v>
      </c>
    </row>
    <row r="18" spans="16:20" x14ac:dyDescent="0.25">
      <c r="P18" s="15" t="s">
        <v>185</v>
      </c>
      <c r="Q18" s="9">
        <v>1180</v>
      </c>
    </row>
    <row r="19" spans="16:20" x14ac:dyDescent="0.25">
      <c r="P19" s="15" t="s">
        <v>189</v>
      </c>
      <c r="Q19" s="9">
        <v>1180</v>
      </c>
    </row>
    <row r="20" spans="16:20" x14ac:dyDescent="0.25">
      <c r="P20" s="15" t="s">
        <v>184</v>
      </c>
      <c r="Q20" s="17">
        <f>+Q19/Q18-1</f>
        <v>0</v>
      </c>
    </row>
    <row r="21" spans="16:20" x14ac:dyDescent="0.25">
      <c r="P21" s="15" t="s">
        <v>186</v>
      </c>
      <c r="Q21" s="11">
        <v>0.3</v>
      </c>
    </row>
    <row r="22" spans="16:20" x14ac:dyDescent="0.25">
      <c r="P22" s="15" t="s">
        <v>189</v>
      </c>
      <c r="Q22" s="11"/>
    </row>
    <row r="23" spans="16:20" x14ac:dyDescent="0.25">
      <c r="P23" s="15" t="s">
        <v>184</v>
      </c>
      <c r="S23" s="15" t="s">
        <v>190</v>
      </c>
      <c r="T23" s="8">
        <f>+J7/Q25</f>
        <v>16.658550304878048</v>
      </c>
    </row>
    <row r="24" spans="16:20" x14ac:dyDescent="0.25">
      <c r="P24" s="15" t="s">
        <v>187</v>
      </c>
      <c r="Q24" s="9">
        <v>4580</v>
      </c>
      <c r="S24" s="15" t="s">
        <v>191</v>
      </c>
      <c r="T24" s="8">
        <v>20</v>
      </c>
    </row>
    <row r="25" spans="16:20" x14ac:dyDescent="0.25">
      <c r="P25" s="15" t="s">
        <v>189</v>
      </c>
      <c r="Q25" s="18">
        <v>4592</v>
      </c>
      <c r="S25" s="15" t="s">
        <v>192</v>
      </c>
      <c r="T25" s="8">
        <v>228.2</v>
      </c>
    </row>
    <row r="26" spans="16:20" x14ac:dyDescent="0.25">
      <c r="P26" s="15" t="s">
        <v>184</v>
      </c>
      <c r="Q26" s="17">
        <f>+Q25/Q24-1</f>
        <v>2.6200873362445254E-3</v>
      </c>
      <c r="S26" s="15" t="s">
        <v>193</v>
      </c>
      <c r="T26" s="8">
        <f>+Q25*20/J6</f>
        <v>273.97342004385246</v>
      </c>
    </row>
    <row r="27" spans="16:20" x14ac:dyDescent="0.25">
      <c r="P27" s="15" t="s">
        <v>188</v>
      </c>
      <c r="Q27" s="8">
        <v>1.1599999999999999</v>
      </c>
      <c r="S27" s="15" t="s">
        <v>174</v>
      </c>
      <c r="T27" s="16">
        <f>T26/T25-1</f>
        <v>0.20058466276885389</v>
      </c>
    </row>
    <row r="28" spans="16:20" x14ac:dyDescent="0.25">
      <c r="P28" s="15" t="s">
        <v>189</v>
      </c>
    </row>
    <row r="29" spans="16:20" x14ac:dyDescent="0.25">
      <c r="P29" s="15" t="s">
        <v>184</v>
      </c>
    </row>
  </sheetData>
  <hyperlinks>
    <hyperlink ref="A1" r:id="rId1" xr:uid="{428CBD16-2DCB-48ED-B895-D936D89135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9E70-B6EC-4EF7-8C7E-48750302AAD0}">
  <dimension ref="A1:ADF153"/>
  <sheetViews>
    <sheetView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AE109" sqref="AE109"/>
    </sheetView>
  </sheetViews>
  <sheetFormatPr defaultRowHeight="13.2" x14ac:dyDescent="0.25"/>
  <cols>
    <col min="1" max="14" width="8.88671875" style="1"/>
    <col min="15" max="15" width="9.109375" style="1" bestFit="1" customWidth="1"/>
    <col min="16" max="16384" width="8.88671875" style="1"/>
  </cols>
  <sheetData>
    <row r="1" spans="1:50" x14ac:dyDescent="0.25">
      <c r="A1" s="2" t="s">
        <v>7</v>
      </c>
    </row>
    <row r="2" spans="1:50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8" t="s">
        <v>165</v>
      </c>
      <c r="X2" s="8" t="s">
        <v>166</v>
      </c>
      <c r="AA2" s="8" t="s">
        <v>164</v>
      </c>
      <c r="AB2" s="8" t="s">
        <v>137</v>
      </c>
      <c r="AC2" s="8" t="s">
        <v>142</v>
      </c>
      <c r="AD2" s="8" t="s">
        <v>143</v>
      </c>
      <c r="AE2" s="8" t="s">
        <v>144</v>
      </c>
      <c r="AF2" s="8" t="s">
        <v>145</v>
      </c>
      <c r="AG2" s="8" t="s">
        <v>146</v>
      </c>
      <c r="AH2" s="8" t="s">
        <v>147</v>
      </c>
      <c r="AI2" s="8" t="s">
        <v>148</v>
      </c>
      <c r="AJ2" s="8" t="s">
        <v>149</v>
      </c>
      <c r="AK2" s="8" t="s">
        <v>150</v>
      </c>
      <c r="AL2" s="8" t="s">
        <v>151</v>
      </c>
      <c r="AM2" s="8" t="s">
        <v>152</v>
      </c>
      <c r="AN2" s="8" t="s">
        <v>153</v>
      </c>
      <c r="AO2" s="8" t="s">
        <v>154</v>
      </c>
      <c r="AP2" s="8" t="s">
        <v>155</v>
      </c>
      <c r="AQ2" s="8" t="s">
        <v>156</v>
      </c>
      <c r="AR2" s="8" t="s">
        <v>157</v>
      </c>
      <c r="AS2" s="8" t="s">
        <v>158</v>
      </c>
      <c r="AT2" s="8" t="s">
        <v>159</v>
      </c>
      <c r="AU2" s="8" t="s">
        <v>160</v>
      </c>
      <c r="AV2" s="8" t="s">
        <v>161</v>
      </c>
      <c r="AW2" s="8" t="s">
        <v>162</v>
      </c>
      <c r="AX2" s="8" t="s">
        <v>163</v>
      </c>
    </row>
    <row r="3" spans="1:50" s="3" customFormat="1" x14ac:dyDescent="0.25">
      <c r="B3" s="3" t="s">
        <v>28</v>
      </c>
      <c r="C3" s="3">
        <v>422.3</v>
      </c>
      <c r="D3" s="3">
        <v>497.2</v>
      </c>
      <c r="E3" s="3">
        <v>557</v>
      </c>
      <c r="F3" s="3">
        <v>589</v>
      </c>
      <c r="G3" s="3">
        <v>623.6</v>
      </c>
      <c r="H3" s="3">
        <v>674</v>
      </c>
      <c r="I3" s="3">
        <v>734.1</v>
      </c>
      <c r="J3" s="3">
        <v>774.7</v>
      </c>
      <c r="K3" s="3">
        <v>828.7</v>
      </c>
      <c r="L3" s="3">
        <v>868.8</v>
      </c>
      <c r="M3" s="3">
        <v>942</v>
      </c>
      <c r="N3" s="3">
        <v>986.7</v>
      </c>
      <c r="O3" s="3">
        <v>1042</v>
      </c>
      <c r="P3" s="3">
        <v>1144.9690000000001</v>
      </c>
      <c r="Q3" s="3">
        <v>1170</v>
      </c>
      <c r="R3" s="3">
        <v>1230</v>
      </c>
      <c r="S3" s="3">
        <v>1280</v>
      </c>
      <c r="T3" s="3">
        <v>1340</v>
      </c>
      <c r="U3" s="3">
        <v>1430</v>
      </c>
      <c r="V3" s="3">
        <v>1500</v>
      </c>
      <c r="W3" s="3">
        <v>1610</v>
      </c>
      <c r="X3" s="3">
        <v>1680</v>
      </c>
      <c r="AA3" s="3">
        <v>1219.3</v>
      </c>
      <c r="AB3" s="3">
        <v>2065.6</v>
      </c>
      <c r="AC3" s="3">
        <f>+G3+H3+I3+J3</f>
        <v>2806.3999999999996</v>
      </c>
      <c r="AD3" s="3">
        <f>+K3+L3+M3+N3</f>
        <v>3626.2</v>
      </c>
      <c r="AE3" s="3">
        <f>+O3+P3+Q3+R3</f>
        <v>4586.9690000000001</v>
      </c>
      <c r="AF3" s="3">
        <f>+S3+T3+U3+V3</f>
        <v>5550</v>
      </c>
      <c r="AG3" s="3">
        <f>+AF3*(1+AG34)</f>
        <v>6937.5</v>
      </c>
      <c r="AH3" s="3">
        <f t="shared" ref="AH3:AN3" si="0">+AG3*(1+AH34)</f>
        <v>8463.75</v>
      </c>
      <c r="AI3" s="3">
        <f t="shared" si="0"/>
        <v>10156.5</v>
      </c>
      <c r="AJ3" s="3">
        <f t="shared" si="0"/>
        <v>11984.67</v>
      </c>
      <c r="AK3" s="3">
        <f t="shared" si="0"/>
        <v>13902.217199999999</v>
      </c>
      <c r="AL3" s="3">
        <f t="shared" si="0"/>
        <v>15848.527608</v>
      </c>
      <c r="AM3" s="3">
        <f t="shared" si="0"/>
        <v>17750.350920960002</v>
      </c>
      <c r="AN3" s="3">
        <f t="shared" si="0"/>
        <v>19525.386013056002</v>
      </c>
    </row>
    <row r="4" spans="1:50" s="3" customFormat="1" x14ac:dyDescent="0.25">
      <c r="B4" s="3" t="s">
        <v>29</v>
      </c>
      <c r="C4" s="3">
        <v>147.9</v>
      </c>
      <c r="D4" s="3">
        <v>173.2</v>
      </c>
      <c r="E4" s="3">
        <v>190.7</v>
      </c>
      <c r="F4" s="3">
        <v>205.6</v>
      </c>
      <c r="G4" s="3">
        <v>209.4</v>
      </c>
      <c r="H4" s="3">
        <v>218.392</v>
      </c>
      <c r="I4" s="3">
        <v>228.9</v>
      </c>
      <c r="J4" s="3">
        <v>241.8</v>
      </c>
      <c r="K4" s="3">
        <v>272.5</v>
      </c>
      <c r="L4" s="3">
        <v>288</v>
      </c>
      <c r="M4" s="3">
        <v>320.89</v>
      </c>
      <c r="N4" s="3">
        <v>333.1</v>
      </c>
      <c r="O4" s="3">
        <v>348.786</v>
      </c>
      <c r="P4" s="3">
        <v>371.815</v>
      </c>
      <c r="AA4" s="3">
        <v>458.4</v>
      </c>
      <c r="AB4" s="3">
        <v>717.54</v>
      </c>
      <c r="AC4" s="3">
        <f t="shared" ref="AC4" si="1">+G4+H4+I4+J4</f>
        <v>898.49199999999996</v>
      </c>
      <c r="AD4" s="3">
        <f t="shared" ref="AD4" si="2">+K4+L4+M4+N4</f>
        <v>1214.49</v>
      </c>
    </row>
    <row r="5" spans="1:50" s="5" customFormat="1" x14ac:dyDescent="0.25">
      <c r="B5" s="5" t="s">
        <v>30</v>
      </c>
      <c r="C5" s="5">
        <f t="shared" ref="C5" si="3">C3-C4</f>
        <v>274.39999999999998</v>
      </c>
      <c r="D5" s="5">
        <f t="shared" ref="D5:N5" si="4">D3-D4</f>
        <v>324</v>
      </c>
      <c r="E5" s="5">
        <f t="shared" si="4"/>
        <v>366.3</v>
      </c>
      <c r="F5" s="5">
        <f t="shared" si="4"/>
        <v>383.4</v>
      </c>
      <c r="G5" s="5">
        <f t="shared" si="4"/>
        <v>414.20000000000005</v>
      </c>
      <c r="H5" s="5">
        <f t="shared" si="4"/>
        <v>455.608</v>
      </c>
      <c r="I5" s="5">
        <f t="shared" si="4"/>
        <v>505.20000000000005</v>
      </c>
      <c r="J5" s="5">
        <f t="shared" si="4"/>
        <v>532.90000000000009</v>
      </c>
      <c r="K5" s="5">
        <f t="shared" si="4"/>
        <v>556.20000000000005</v>
      </c>
      <c r="L5" s="5">
        <f t="shared" si="4"/>
        <v>580.79999999999995</v>
      </c>
      <c r="M5" s="5">
        <f t="shared" si="4"/>
        <v>621.11</v>
      </c>
      <c r="N5" s="5">
        <f t="shared" si="4"/>
        <v>653.6</v>
      </c>
      <c r="O5" s="5">
        <f>O3-O4</f>
        <v>693.21399999999994</v>
      </c>
      <c r="P5" s="5">
        <f t="shared" ref="P5:V5" si="5">P3-P4</f>
        <v>773.154</v>
      </c>
      <c r="Q5" s="5">
        <f t="shared" si="5"/>
        <v>1170</v>
      </c>
      <c r="R5" s="5">
        <f t="shared" si="5"/>
        <v>1230</v>
      </c>
      <c r="S5" s="5">
        <f t="shared" si="5"/>
        <v>1280</v>
      </c>
      <c r="T5" s="5">
        <f t="shared" si="5"/>
        <v>1340</v>
      </c>
      <c r="U5" s="5">
        <f t="shared" si="5"/>
        <v>1430</v>
      </c>
      <c r="V5" s="5">
        <f t="shared" si="5"/>
        <v>1500</v>
      </c>
      <c r="AA5" s="5">
        <f t="shared" ref="AA5" si="6">AA3-AA4</f>
        <v>760.9</v>
      </c>
      <c r="AB5" s="5">
        <f t="shared" ref="AB5:AD5" si="7">AB3-AB4</f>
        <v>1348.06</v>
      </c>
      <c r="AC5" s="5">
        <f t="shared" si="7"/>
        <v>1907.9079999999997</v>
      </c>
      <c r="AD5" s="5">
        <f t="shared" si="7"/>
        <v>2411.71</v>
      </c>
      <c r="AE5" s="5">
        <f t="shared" ref="AE5" si="8">AE3-AE4</f>
        <v>4586.9690000000001</v>
      </c>
    </row>
    <row r="6" spans="1:50" s="3" customFormat="1" x14ac:dyDescent="0.25">
      <c r="B6" s="3" t="s">
        <v>31</v>
      </c>
      <c r="C6" s="3">
        <v>243.9</v>
      </c>
      <c r="D6" s="3">
        <v>274.60000000000002</v>
      </c>
      <c r="E6" s="3">
        <v>284.39999999999998</v>
      </c>
      <c r="F6" s="3">
        <v>303.39999999999998</v>
      </c>
      <c r="G6" s="3">
        <v>331.5</v>
      </c>
      <c r="H6" s="3">
        <v>343.28800000000001</v>
      </c>
      <c r="I6" s="3">
        <v>355</v>
      </c>
      <c r="J6" s="3">
        <v>361.8</v>
      </c>
      <c r="K6" s="3">
        <v>400.8</v>
      </c>
      <c r="L6" s="3">
        <v>400.6</v>
      </c>
      <c r="M6" s="3">
        <v>437.96</v>
      </c>
      <c r="N6" s="3">
        <v>432.6</v>
      </c>
      <c r="O6" s="3">
        <v>458.55399999999997</v>
      </c>
      <c r="P6" s="3">
        <v>501.95699999999999</v>
      </c>
      <c r="AA6" s="3">
        <v>743.9</v>
      </c>
      <c r="AB6" s="3">
        <v>1106.5</v>
      </c>
      <c r="AC6" s="3">
        <f t="shared" ref="AC6:AC8" si="9">+G6+H6+I6+J6</f>
        <v>1391.588</v>
      </c>
      <c r="AD6" s="3">
        <f t="shared" ref="AD6:AD8" si="10">+K6+L6+M6+N6</f>
        <v>1671.96</v>
      </c>
    </row>
    <row r="7" spans="1:50" s="3" customFormat="1" x14ac:dyDescent="0.25">
      <c r="B7" s="3" t="s">
        <v>32</v>
      </c>
      <c r="C7" s="3">
        <v>150.798</v>
      </c>
      <c r="D7" s="3">
        <v>183.7</v>
      </c>
      <c r="E7" s="3">
        <v>211.3</v>
      </c>
      <c r="F7" s="3">
        <v>242.1</v>
      </c>
      <c r="G7" s="3">
        <v>277.39999999999998</v>
      </c>
      <c r="H7" s="3">
        <v>313.99599999999998</v>
      </c>
      <c r="I7" s="3">
        <v>332</v>
      </c>
      <c r="J7" s="3">
        <v>364.47</v>
      </c>
      <c r="K7" s="3">
        <v>410.79</v>
      </c>
      <c r="L7" s="3">
        <v>437.6</v>
      </c>
      <c r="M7" s="3">
        <v>442.4</v>
      </c>
      <c r="N7" s="3">
        <v>492.5</v>
      </c>
      <c r="O7" s="3">
        <v>472.4</v>
      </c>
      <c r="P7" s="3">
        <v>492</v>
      </c>
      <c r="AA7" s="3">
        <v>466.9</v>
      </c>
      <c r="AB7" s="3">
        <v>788</v>
      </c>
      <c r="AC7" s="3">
        <f t="shared" si="9"/>
        <v>1287.866</v>
      </c>
      <c r="AD7" s="3">
        <f t="shared" si="10"/>
        <v>1783.29</v>
      </c>
    </row>
    <row r="8" spans="1:50" s="3" customFormat="1" x14ac:dyDescent="0.25">
      <c r="B8" s="3" t="s">
        <v>33</v>
      </c>
      <c r="C8" s="3">
        <v>68.489999999999995</v>
      </c>
      <c r="D8" s="3">
        <v>73.3</v>
      </c>
      <c r="E8" s="3">
        <v>76.400000000000006</v>
      </c>
      <c r="F8" s="3">
        <v>77.5</v>
      </c>
      <c r="G8" s="3">
        <v>78.400000000000006</v>
      </c>
      <c r="H8" s="3">
        <v>83.748999999999995</v>
      </c>
      <c r="I8" s="3">
        <v>78.7</v>
      </c>
      <c r="J8" s="3">
        <v>82.1</v>
      </c>
      <c r="K8" s="3">
        <v>93.147999999999996</v>
      </c>
      <c r="L8" s="3">
        <v>97.7</v>
      </c>
      <c r="M8" s="3">
        <v>106.2</v>
      </c>
      <c r="N8" s="3">
        <v>115</v>
      </c>
      <c r="O8" s="3">
        <v>209.58699999999999</v>
      </c>
      <c r="P8" s="3">
        <v>119.47</v>
      </c>
      <c r="AA8" s="3">
        <v>265</v>
      </c>
      <c r="AB8" s="3">
        <v>295.8</v>
      </c>
      <c r="AC8" s="3">
        <f t="shared" si="9"/>
        <v>322.94899999999996</v>
      </c>
      <c r="AD8" s="3">
        <f t="shared" si="10"/>
        <v>412.048</v>
      </c>
    </row>
    <row r="9" spans="1:50" s="5" customFormat="1" x14ac:dyDescent="0.25">
      <c r="B9" s="5" t="s">
        <v>34</v>
      </c>
      <c r="C9" s="5">
        <f t="shared" ref="C9" si="11">SUM(C6:C8)</f>
        <v>463.18799999999999</v>
      </c>
      <c r="D9" s="5">
        <f t="shared" ref="D9:N9" si="12">SUM(D6:D8)</f>
        <v>531.6</v>
      </c>
      <c r="E9" s="5">
        <f t="shared" si="12"/>
        <v>572.1</v>
      </c>
      <c r="F9" s="5">
        <f t="shared" si="12"/>
        <v>623</v>
      </c>
      <c r="G9" s="5">
        <f t="shared" si="12"/>
        <v>687.3</v>
      </c>
      <c r="H9" s="5">
        <f t="shared" si="12"/>
        <v>741.03300000000002</v>
      </c>
      <c r="I9" s="5">
        <f t="shared" si="12"/>
        <v>765.7</v>
      </c>
      <c r="J9" s="5">
        <f t="shared" si="12"/>
        <v>808.37</v>
      </c>
      <c r="K9" s="5">
        <f t="shared" si="12"/>
        <v>904.73800000000006</v>
      </c>
      <c r="L9" s="5">
        <f t="shared" si="12"/>
        <v>935.90000000000009</v>
      </c>
      <c r="M9" s="5">
        <f t="shared" si="12"/>
        <v>986.56</v>
      </c>
      <c r="N9" s="5">
        <f t="shared" si="12"/>
        <v>1040.0999999999999</v>
      </c>
      <c r="O9" s="5">
        <f>SUM(O6:O8)</f>
        <v>1140.5409999999999</v>
      </c>
      <c r="P9" s="5">
        <f t="shared" ref="P9:V9" si="13">SUM(P6:P8)</f>
        <v>1113.4269999999999</v>
      </c>
      <c r="Q9" s="5">
        <f t="shared" si="13"/>
        <v>0</v>
      </c>
      <c r="R9" s="5">
        <f t="shared" si="13"/>
        <v>0</v>
      </c>
      <c r="S9" s="5">
        <f t="shared" si="13"/>
        <v>0</v>
      </c>
      <c r="T9" s="5">
        <f t="shared" si="13"/>
        <v>0</v>
      </c>
      <c r="U9" s="5">
        <f t="shared" si="13"/>
        <v>0</v>
      </c>
      <c r="V9" s="5">
        <f t="shared" si="13"/>
        <v>0</v>
      </c>
      <c r="AA9" s="5">
        <f t="shared" ref="AA9" si="14">SUM(AA6:AA8)</f>
        <v>1475.8</v>
      </c>
      <c r="AB9" s="5">
        <f t="shared" ref="AB9:AD9" si="15">SUM(AB6:AB8)</f>
        <v>2190.3000000000002</v>
      </c>
      <c r="AC9" s="5">
        <f t="shared" si="15"/>
        <v>3002.4029999999998</v>
      </c>
      <c r="AD9" s="5">
        <f t="shared" si="15"/>
        <v>3867.2979999999998</v>
      </c>
      <c r="AE9" s="5">
        <f t="shared" ref="AE9" si="16">SUM(AE6:AE8)</f>
        <v>0</v>
      </c>
    </row>
    <row r="10" spans="1:50" s="5" customFormat="1" x14ac:dyDescent="0.25">
      <c r="B10" s="5" t="s">
        <v>35</v>
      </c>
      <c r="C10" s="5">
        <f t="shared" ref="C10" si="17">C5-C9</f>
        <v>-188.78800000000001</v>
      </c>
      <c r="D10" s="5">
        <f t="shared" ref="D10:N10" si="18">D5-D9</f>
        <v>-207.60000000000002</v>
      </c>
      <c r="E10" s="5">
        <f t="shared" si="18"/>
        <v>-205.8</v>
      </c>
      <c r="F10" s="5">
        <f t="shared" si="18"/>
        <v>-239.60000000000002</v>
      </c>
      <c r="G10" s="5">
        <f t="shared" si="18"/>
        <v>-273.09999999999991</v>
      </c>
      <c r="H10" s="5">
        <f t="shared" si="18"/>
        <v>-285.42500000000001</v>
      </c>
      <c r="I10" s="5">
        <f t="shared" si="18"/>
        <v>-260.5</v>
      </c>
      <c r="J10" s="5">
        <f t="shared" si="18"/>
        <v>-275.46999999999991</v>
      </c>
      <c r="K10" s="5">
        <f t="shared" si="18"/>
        <v>-348.53800000000001</v>
      </c>
      <c r="L10" s="5">
        <f t="shared" si="18"/>
        <v>-355.10000000000014</v>
      </c>
      <c r="M10" s="5">
        <f t="shared" si="18"/>
        <v>-365.44999999999993</v>
      </c>
      <c r="N10" s="5">
        <f t="shared" si="18"/>
        <v>-386.49999999999989</v>
      </c>
      <c r="O10" s="5">
        <f>O5-O9</f>
        <v>-447.327</v>
      </c>
      <c r="P10" s="5">
        <f t="shared" ref="P10:V10" si="19">P5-P9</f>
        <v>-340.27299999999991</v>
      </c>
      <c r="Q10" s="5">
        <f t="shared" si="19"/>
        <v>1170</v>
      </c>
      <c r="R10" s="5">
        <f t="shared" si="19"/>
        <v>1230</v>
      </c>
      <c r="S10" s="5">
        <f t="shared" si="19"/>
        <v>1280</v>
      </c>
      <c r="T10" s="5">
        <f t="shared" si="19"/>
        <v>1340</v>
      </c>
      <c r="U10" s="5">
        <f t="shared" si="19"/>
        <v>1430</v>
      </c>
      <c r="V10" s="5">
        <f t="shared" si="19"/>
        <v>1500</v>
      </c>
      <c r="AA10" s="5">
        <f t="shared" ref="AA10" si="20">AA5-AA9</f>
        <v>-714.9</v>
      </c>
      <c r="AB10" s="5">
        <f t="shared" ref="AB10:AD10" si="21">AB5-AB9</f>
        <v>-842.24000000000024</v>
      </c>
      <c r="AC10" s="5">
        <f t="shared" si="21"/>
        <v>-1094.4950000000001</v>
      </c>
      <c r="AD10" s="5">
        <f t="shared" si="21"/>
        <v>-1455.5879999999997</v>
      </c>
      <c r="AE10" s="5">
        <f t="shared" ref="AE10" si="22">AE5-AE9</f>
        <v>4586.9690000000001</v>
      </c>
    </row>
    <row r="11" spans="1:50" s="3" customFormat="1" x14ac:dyDescent="0.25">
      <c r="B11" s="3" t="s">
        <v>36</v>
      </c>
      <c r="C11" s="3">
        <v>4.7</v>
      </c>
      <c r="D11" s="3">
        <v>11.6</v>
      </c>
      <c r="E11" s="3">
        <v>21.8</v>
      </c>
      <c r="F11" s="3">
        <v>35.5</v>
      </c>
      <c r="G11" s="3">
        <v>43.1</v>
      </c>
      <c r="H11" s="3">
        <v>50.28</v>
      </c>
      <c r="I11" s="3">
        <v>53.5</v>
      </c>
      <c r="J11" s="3">
        <v>53.76</v>
      </c>
      <c r="K11" s="3">
        <v>54.779000000000003</v>
      </c>
      <c r="L11" s="3">
        <v>49.2</v>
      </c>
      <c r="M11" s="3">
        <v>48.655000000000001</v>
      </c>
      <c r="N11" s="3">
        <v>56.3</v>
      </c>
      <c r="O11" s="3">
        <v>53.162999999999997</v>
      </c>
      <c r="P11" s="3">
        <v>49.466999999999999</v>
      </c>
      <c r="AA11" s="3">
        <v>9.1</v>
      </c>
      <c r="AB11" s="3">
        <v>73.8</v>
      </c>
      <c r="AC11" s="3">
        <f t="shared" ref="AC11:AC13" si="23">+G11+H11+I11+J11</f>
        <v>200.64</v>
      </c>
      <c r="AD11" s="3">
        <f t="shared" ref="AD11:AD13" si="24">+K11+L11+M11+N11</f>
        <v>208.93400000000003</v>
      </c>
    </row>
    <row r="12" spans="1:50" s="3" customFormat="1" x14ac:dyDescent="0.25">
      <c r="B12" s="3" t="s">
        <v>37</v>
      </c>
      <c r="M12" s="3">
        <v>-0.68899999999999995</v>
      </c>
      <c r="N12" s="3">
        <v>-2</v>
      </c>
      <c r="O12" s="3">
        <v>-2</v>
      </c>
      <c r="P12" s="3">
        <v>-2.0739999999999998</v>
      </c>
      <c r="AC12" s="3">
        <f t="shared" si="23"/>
        <v>0</v>
      </c>
      <c r="AD12" s="3">
        <f t="shared" si="24"/>
        <v>-2.6890000000000001</v>
      </c>
    </row>
    <row r="13" spans="1:50" s="3" customFormat="1" x14ac:dyDescent="0.25">
      <c r="B13" s="3" t="s">
        <v>38</v>
      </c>
      <c r="C13" s="3">
        <v>-8.4</v>
      </c>
      <c r="D13" s="3">
        <v>-22.9</v>
      </c>
      <c r="E13" s="3">
        <v>-13.2</v>
      </c>
      <c r="F13" s="3">
        <v>-2.89</v>
      </c>
      <c r="G13" s="3">
        <v>-2.5</v>
      </c>
      <c r="H13" s="3">
        <v>4</v>
      </c>
      <c r="I13" s="3">
        <v>-4.17</v>
      </c>
      <c r="J13" s="3">
        <v>47.5</v>
      </c>
      <c r="K13" s="3">
        <v>-21.3</v>
      </c>
      <c r="L13" s="3">
        <v>-7.9</v>
      </c>
      <c r="M13" s="3">
        <v>-8.4740000000000002</v>
      </c>
      <c r="N13" s="3">
        <v>2.2999999999999998</v>
      </c>
      <c r="O13" s="3">
        <v>-28</v>
      </c>
      <c r="P13" s="3">
        <v>-4.9850000000000003</v>
      </c>
      <c r="AA13" s="3">
        <v>28.9</v>
      </c>
      <c r="AB13" s="3">
        <v>-47.56</v>
      </c>
      <c r="AC13" s="3">
        <f t="shared" si="23"/>
        <v>44.83</v>
      </c>
      <c r="AD13" s="3">
        <f t="shared" si="24"/>
        <v>-35.374000000000009</v>
      </c>
    </row>
    <row r="14" spans="1:50" s="5" customFormat="1" x14ac:dyDescent="0.25">
      <c r="B14" s="5" t="s">
        <v>39</v>
      </c>
      <c r="C14" s="5">
        <f t="shared" ref="C14" si="25">C10+SUM(C11:C13)</f>
        <v>-192.488</v>
      </c>
      <c r="D14" s="5">
        <f t="shared" ref="D14:N14" si="26">D10+SUM(D11:D13)</f>
        <v>-218.90000000000003</v>
      </c>
      <c r="E14" s="5">
        <f t="shared" si="26"/>
        <v>-197.20000000000002</v>
      </c>
      <c r="F14" s="5">
        <f t="shared" si="26"/>
        <v>-206.99</v>
      </c>
      <c r="G14" s="5">
        <f>G10+SUM(G11:G13)</f>
        <v>-232.49999999999991</v>
      </c>
      <c r="H14" s="5">
        <f>H10+SUM(H11:H13)</f>
        <v>-231.14500000000001</v>
      </c>
      <c r="I14" s="5">
        <f t="shared" si="26"/>
        <v>-211.17000000000002</v>
      </c>
      <c r="J14" s="5">
        <f t="shared" si="26"/>
        <v>-174.20999999999992</v>
      </c>
      <c r="K14" s="5">
        <f t="shared" si="26"/>
        <v>-315.05900000000003</v>
      </c>
      <c r="L14" s="5">
        <f t="shared" si="26"/>
        <v>-313.80000000000013</v>
      </c>
      <c r="M14" s="5">
        <f t="shared" si="26"/>
        <v>-325.95799999999991</v>
      </c>
      <c r="N14" s="5">
        <f t="shared" si="26"/>
        <v>-329.89999999999986</v>
      </c>
      <c r="O14" s="5">
        <f>O10+SUM(O11:O13)</f>
        <v>-424.16399999999999</v>
      </c>
      <c r="P14" s="5">
        <f t="shared" ref="P14:V14" si="27">P10+SUM(P11:P13)</f>
        <v>-297.8649999999999</v>
      </c>
      <c r="Q14" s="5">
        <f t="shared" si="27"/>
        <v>1170</v>
      </c>
      <c r="R14" s="5">
        <f t="shared" si="27"/>
        <v>1230</v>
      </c>
      <c r="S14" s="5">
        <f t="shared" si="27"/>
        <v>1280</v>
      </c>
      <c r="T14" s="5">
        <f t="shared" si="27"/>
        <v>1340</v>
      </c>
      <c r="U14" s="5">
        <f t="shared" si="27"/>
        <v>1430</v>
      </c>
      <c r="V14" s="5">
        <f t="shared" si="27"/>
        <v>1500</v>
      </c>
      <c r="AA14" s="5">
        <f t="shared" ref="AA14" si="28">AA10+SUM(AA11:AA13)</f>
        <v>-676.9</v>
      </c>
      <c r="AB14" s="5">
        <f t="shared" ref="AB14:AD14" si="29">AB10+SUM(AB11:AB13)</f>
        <v>-816.00000000000023</v>
      </c>
      <c r="AC14" s="5">
        <f t="shared" si="29"/>
        <v>-849.02500000000009</v>
      </c>
      <c r="AD14" s="5">
        <f t="shared" si="29"/>
        <v>-1284.7169999999996</v>
      </c>
      <c r="AE14" s="5">
        <f t="shared" ref="AE14" si="30">AE10+SUM(AE11:AE13)</f>
        <v>4586.9690000000001</v>
      </c>
    </row>
    <row r="15" spans="1:50" s="3" customFormat="1" x14ac:dyDescent="0.25">
      <c r="B15" s="3" t="s">
        <v>40</v>
      </c>
      <c r="C15" s="3">
        <v>-26.6</v>
      </c>
      <c r="D15" s="3">
        <v>3.8</v>
      </c>
      <c r="E15" s="3">
        <v>4</v>
      </c>
      <c r="F15" s="3">
        <v>0.372</v>
      </c>
      <c r="G15" s="3">
        <v>-6.6</v>
      </c>
      <c r="H15" s="3">
        <v>-3.7</v>
      </c>
      <c r="I15" s="3">
        <v>3.39</v>
      </c>
      <c r="J15" s="3">
        <v>-4.3</v>
      </c>
      <c r="K15" s="3">
        <v>2.7210000000000001</v>
      </c>
      <c r="L15" s="3">
        <v>3.78</v>
      </c>
      <c r="M15" s="3">
        <v>1.9</v>
      </c>
      <c r="N15" s="3">
        <v>-4.3</v>
      </c>
      <c r="O15" s="3">
        <v>5.7290000000000001</v>
      </c>
      <c r="P15" s="3">
        <v>6.2E-2</v>
      </c>
      <c r="AA15" s="3">
        <v>2.988</v>
      </c>
      <c r="AB15" s="3">
        <v>-18.46</v>
      </c>
      <c r="AC15" s="3">
        <f>+G15+H15+I15+J15</f>
        <v>-11.21</v>
      </c>
      <c r="AD15" s="3">
        <f>+K15+L15+M15+N15</f>
        <v>4.101</v>
      </c>
    </row>
    <row r="16" spans="1:50" s="5" customFormat="1" x14ac:dyDescent="0.25">
      <c r="B16" s="5" t="s">
        <v>41</v>
      </c>
      <c r="C16" s="5">
        <f t="shared" ref="C16" si="31">C14-C15</f>
        <v>-165.88800000000001</v>
      </c>
      <c r="D16" s="5">
        <f t="shared" ref="D16:N16" si="32">D14-D15</f>
        <v>-222.70000000000005</v>
      </c>
      <c r="E16" s="5">
        <f t="shared" si="32"/>
        <v>-201.20000000000002</v>
      </c>
      <c r="F16" s="5">
        <f t="shared" si="32"/>
        <v>-207.36200000000002</v>
      </c>
      <c r="G16" s="5">
        <f>G14-G15</f>
        <v>-225.89999999999992</v>
      </c>
      <c r="H16" s="5">
        <f t="shared" si="32"/>
        <v>-227.44500000000002</v>
      </c>
      <c r="I16" s="5">
        <f t="shared" si="32"/>
        <v>-214.56</v>
      </c>
      <c r="J16" s="5">
        <f t="shared" si="32"/>
        <v>-169.90999999999991</v>
      </c>
      <c r="K16" s="5">
        <f t="shared" si="32"/>
        <v>-317.78000000000003</v>
      </c>
      <c r="L16" s="5">
        <f t="shared" si="32"/>
        <v>-317.5800000000001</v>
      </c>
      <c r="M16" s="5">
        <f t="shared" si="32"/>
        <v>-327.85799999999989</v>
      </c>
      <c r="N16" s="5">
        <f t="shared" si="32"/>
        <v>-325.59999999999985</v>
      </c>
      <c r="O16" s="5">
        <f>O14-O15</f>
        <v>-429.89299999999997</v>
      </c>
      <c r="P16" s="5">
        <f t="shared" ref="P16:V16" si="33">P14-P15</f>
        <v>-297.92699999999991</v>
      </c>
      <c r="Q16" s="5">
        <f t="shared" si="33"/>
        <v>1170</v>
      </c>
      <c r="R16" s="5">
        <f t="shared" si="33"/>
        <v>1230</v>
      </c>
      <c r="S16" s="5">
        <f t="shared" si="33"/>
        <v>1280</v>
      </c>
      <c r="T16" s="5">
        <f t="shared" si="33"/>
        <v>1340</v>
      </c>
      <c r="U16" s="5">
        <f t="shared" si="33"/>
        <v>1430</v>
      </c>
      <c r="V16" s="5">
        <f t="shared" si="33"/>
        <v>1500</v>
      </c>
      <c r="AA16" s="5">
        <f t="shared" ref="AA16" si="34">AA14-AA15</f>
        <v>-679.88800000000003</v>
      </c>
      <c r="AB16" s="5">
        <f t="shared" ref="AB16:AD16" si="35">AB14-AB15</f>
        <v>-797.54000000000019</v>
      </c>
      <c r="AC16" s="5">
        <f t="shared" si="35"/>
        <v>-837.81500000000005</v>
      </c>
      <c r="AD16" s="5">
        <f t="shared" si="35"/>
        <v>-1288.8179999999998</v>
      </c>
      <c r="AE16" s="5">
        <f t="shared" ref="AE16" si="36">AE14-AE15</f>
        <v>4586.9690000000001</v>
      </c>
    </row>
    <row r="17" spans="2:42" s="3" customFormat="1" x14ac:dyDescent="0.25">
      <c r="B17" s="3" t="s">
        <v>42</v>
      </c>
      <c r="C17" s="3">
        <v>0</v>
      </c>
      <c r="D17" s="3">
        <v>0</v>
      </c>
      <c r="E17" s="3">
        <v>-0.50600000000000001</v>
      </c>
      <c r="F17" s="3">
        <v>-0.315</v>
      </c>
      <c r="G17" s="3">
        <v>-0.437</v>
      </c>
      <c r="H17" s="3">
        <v>-0.45</v>
      </c>
      <c r="I17" s="3">
        <v>-0.443</v>
      </c>
      <c r="J17" s="3">
        <v>-0.56000000000000005</v>
      </c>
      <c r="K17" s="3">
        <v>-0.82799999999999996</v>
      </c>
      <c r="L17" s="3">
        <v>-0.871</v>
      </c>
      <c r="M17" s="3">
        <v>-3.62</v>
      </c>
      <c r="N17" s="3">
        <v>1.75</v>
      </c>
      <c r="O17" s="3">
        <v>0.14000000000000001</v>
      </c>
      <c r="P17" s="3">
        <v>8.6999999999999994E-2</v>
      </c>
      <c r="AB17" s="3">
        <v>-0.82099999999999995</v>
      </c>
      <c r="AC17" s="3">
        <f>+G17+H17+I17+J17</f>
        <v>-1.8900000000000001</v>
      </c>
      <c r="AD17" s="3">
        <f>+K17+L17+M17+N17</f>
        <v>-3.569</v>
      </c>
    </row>
    <row r="18" spans="2:42" s="5" customFormat="1" x14ac:dyDescent="0.25">
      <c r="B18" s="5" t="s">
        <v>43</v>
      </c>
      <c r="C18" s="5">
        <f t="shared" ref="C18" si="37">C16-C17</f>
        <v>-165.88800000000001</v>
      </c>
      <c r="D18" s="5">
        <f t="shared" ref="D18:N18" si="38">D16-D17</f>
        <v>-222.70000000000005</v>
      </c>
      <c r="E18" s="5">
        <f t="shared" si="38"/>
        <v>-200.69400000000002</v>
      </c>
      <c r="F18" s="5">
        <f t="shared" si="38"/>
        <v>-207.04700000000003</v>
      </c>
      <c r="G18" s="5">
        <f>G16-G17</f>
        <v>-225.46299999999991</v>
      </c>
      <c r="H18" s="5">
        <f t="shared" si="38"/>
        <v>-226.99500000000003</v>
      </c>
      <c r="I18" s="5">
        <f t="shared" si="38"/>
        <v>-214.11699999999999</v>
      </c>
      <c r="J18" s="5">
        <f t="shared" si="38"/>
        <v>-169.34999999999991</v>
      </c>
      <c r="K18" s="5">
        <f t="shared" si="38"/>
        <v>-316.95200000000006</v>
      </c>
      <c r="L18" s="5">
        <f t="shared" si="38"/>
        <v>-316.70900000000012</v>
      </c>
      <c r="M18" s="5">
        <f t="shared" si="38"/>
        <v>-324.23799999999989</v>
      </c>
      <c r="N18" s="5">
        <f t="shared" si="38"/>
        <v>-327.34999999999985</v>
      </c>
      <c r="O18" s="5">
        <f>O16-O17</f>
        <v>-430.03299999999996</v>
      </c>
      <c r="P18" s="5">
        <f t="shared" ref="P18:V18" si="39">P16-P17</f>
        <v>-298.0139999999999</v>
      </c>
      <c r="Q18" s="5">
        <f t="shared" si="39"/>
        <v>1170</v>
      </c>
      <c r="R18" s="5">
        <f t="shared" si="39"/>
        <v>1230</v>
      </c>
      <c r="S18" s="5">
        <f t="shared" si="39"/>
        <v>1280</v>
      </c>
      <c r="T18" s="5">
        <f t="shared" si="39"/>
        <v>1340</v>
      </c>
      <c r="U18" s="5">
        <f t="shared" si="39"/>
        <v>1430</v>
      </c>
      <c r="V18" s="5">
        <f t="shared" si="39"/>
        <v>1500</v>
      </c>
      <c r="AA18" s="5">
        <f t="shared" ref="AA18" si="40">AA16-AA17</f>
        <v>-679.88800000000003</v>
      </c>
      <c r="AB18" s="5">
        <f t="shared" ref="AB18:AD18" si="41">AB16-AB17</f>
        <v>-796.71900000000016</v>
      </c>
      <c r="AC18" s="5">
        <f t="shared" si="41"/>
        <v>-835.92500000000007</v>
      </c>
      <c r="AD18" s="5">
        <f t="shared" si="41"/>
        <v>-1285.2489999999998</v>
      </c>
      <c r="AE18" s="5">
        <v>-1430</v>
      </c>
      <c r="AF18" s="5">
        <v>-1300</v>
      </c>
    </row>
    <row r="19" spans="2:42" s="3" customFormat="1" x14ac:dyDescent="0.25">
      <c r="B19" s="3" t="s">
        <v>2</v>
      </c>
      <c r="C19" s="3">
        <v>314.36099999999999</v>
      </c>
      <c r="D19" s="3">
        <v>318.35599999999999</v>
      </c>
      <c r="E19" s="3">
        <v>320.13499999999999</v>
      </c>
      <c r="F19" s="3">
        <v>321.92399999999998</v>
      </c>
      <c r="G19" s="3">
        <v>324.15699999999998</v>
      </c>
      <c r="H19" s="3">
        <v>327.33499999999998</v>
      </c>
      <c r="I19" s="3">
        <v>329.31</v>
      </c>
      <c r="J19" s="3">
        <v>331.07900000000001</v>
      </c>
      <c r="K19" s="3">
        <v>333.584</v>
      </c>
      <c r="L19" s="3">
        <v>334.07100000000003</v>
      </c>
      <c r="M19" s="3">
        <v>331.76100000000002</v>
      </c>
      <c r="N19" s="3">
        <v>331.43200000000002</v>
      </c>
      <c r="O19" s="3">
        <v>332.65699999999998</v>
      </c>
      <c r="P19" s="3">
        <v>335.21499999999997</v>
      </c>
      <c r="AA19" s="3">
        <v>300.27300000000002</v>
      </c>
      <c r="AB19" s="3">
        <v>318.73</v>
      </c>
      <c r="AC19" s="3">
        <f>+J19</f>
        <v>331.07900000000001</v>
      </c>
      <c r="AD19" s="3">
        <f>N19</f>
        <v>331.43200000000002</v>
      </c>
    </row>
    <row r="20" spans="2:42" s="4" customFormat="1" x14ac:dyDescent="0.25">
      <c r="B20" s="4" t="s">
        <v>44</v>
      </c>
      <c r="C20" s="4">
        <f t="shared" ref="C20" si="42">C18/C19</f>
        <v>-0.52769904663746459</v>
      </c>
      <c r="D20" s="4">
        <f t="shared" ref="D20:N20" si="43">D18/D19</f>
        <v>-0.69953134227091696</v>
      </c>
      <c r="E20" s="4">
        <f t="shared" si="43"/>
        <v>-0.62690427475908606</v>
      </c>
      <c r="F20" s="4">
        <f t="shared" si="43"/>
        <v>-0.64315490612691206</v>
      </c>
      <c r="G20" s="4">
        <f>G18/G19</f>
        <v>-0.69553642216580214</v>
      </c>
      <c r="H20" s="4">
        <f t="shared" si="43"/>
        <v>-0.69346388256678948</v>
      </c>
      <c r="I20" s="4">
        <f t="shared" si="43"/>
        <v>-0.65019890073183317</v>
      </c>
      <c r="J20" s="4">
        <f t="shared" si="43"/>
        <v>-0.5115093376505303</v>
      </c>
      <c r="K20" s="4">
        <f t="shared" si="43"/>
        <v>-0.95014149359681532</v>
      </c>
      <c r="L20" s="4">
        <f t="shared" si="43"/>
        <v>-0.94802901179689369</v>
      </c>
      <c r="M20" s="4">
        <f t="shared" si="43"/>
        <v>-0.97732403748481544</v>
      </c>
      <c r="N20" s="4">
        <f t="shared" si="43"/>
        <v>-0.98768374809915715</v>
      </c>
      <c r="O20" s="4">
        <f>O18/O19</f>
        <v>-1.2927219328016546</v>
      </c>
      <c r="P20" s="4">
        <f t="shared" ref="P20:V20" si="44">P18/P19</f>
        <v>-0.88902346255388309</v>
      </c>
      <c r="Q20" s="4" t="e">
        <f t="shared" si="44"/>
        <v>#DIV/0!</v>
      </c>
      <c r="R20" s="4" t="e">
        <f t="shared" si="44"/>
        <v>#DIV/0!</v>
      </c>
      <c r="S20" s="4" t="e">
        <f t="shared" si="44"/>
        <v>#DIV/0!</v>
      </c>
      <c r="T20" s="4" t="e">
        <f t="shared" si="44"/>
        <v>#DIV/0!</v>
      </c>
      <c r="U20" s="4" t="e">
        <f t="shared" si="44"/>
        <v>#DIV/0!</v>
      </c>
      <c r="V20" s="4" t="e">
        <f t="shared" si="44"/>
        <v>#DIV/0!</v>
      </c>
      <c r="AA20" s="4">
        <f t="shared" ref="AA20" si="45">AA18/AA19</f>
        <v>-2.2642328814112491</v>
      </c>
      <c r="AB20" s="4">
        <f t="shared" ref="AB20:AD20" si="46">AB18/AB19</f>
        <v>-2.4996674301132624</v>
      </c>
      <c r="AC20" s="4">
        <f t="shared" si="46"/>
        <v>-2.5248505643668131</v>
      </c>
      <c r="AD20" s="4">
        <f t="shared" si="46"/>
        <v>-3.8778663496584511</v>
      </c>
      <c r="AE20" s="4" t="e">
        <f t="shared" ref="AE20" si="47">AE18/AE19</f>
        <v>#DIV/0!</v>
      </c>
    </row>
    <row r="23" spans="2:42" s="6" customFormat="1" x14ac:dyDescent="0.25">
      <c r="B23" s="6" t="s">
        <v>45</v>
      </c>
      <c r="C23" s="6">
        <f t="shared" ref="C23:M23" si="48">+C5/C3</f>
        <v>0.64977504143973475</v>
      </c>
      <c r="D23" s="6">
        <f t="shared" si="48"/>
        <v>0.65164923572003219</v>
      </c>
      <c r="E23" s="6">
        <f t="shared" si="48"/>
        <v>0.65763016157989229</v>
      </c>
      <c r="F23" s="6">
        <f t="shared" si="48"/>
        <v>0.65093378607809849</v>
      </c>
      <c r="G23" s="6">
        <f t="shared" si="48"/>
        <v>0.66420782552918545</v>
      </c>
      <c r="H23" s="6">
        <f t="shared" si="48"/>
        <v>0.67597626112759646</v>
      </c>
      <c r="I23" s="6">
        <f t="shared" si="48"/>
        <v>0.68818961994278716</v>
      </c>
      <c r="J23" s="6">
        <f t="shared" si="48"/>
        <v>0.68787917903704665</v>
      </c>
      <c r="K23" s="6">
        <f t="shared" si="48"/>
        <v>0.67117171473392057</v>
      </c>
      <c r="L23" s="6">
        <f t="shared" si="48"/>
        <v>0.66850828729281764</v>
      </c>
      <c r="M23" s="6">
        <f t="shared" si="48"/>
        <v>0.65935244161358808</v>
      </c>
      <c r="N23" s="6">
        <f t="shared" ref="N23" si="49">+N5/N3</f>
        <v>0.66241005371440154</v>
      </c>
      <c r="O23" s="6">
        <f>+O5/O3</f>
        <v>0.66527255278310937</v>
      </c>
      <c r="P23" s="6">
        <f t="shared" ref="P23:V23" si="50">+P5/P3</f>
        <v>0.67526195032354586</v>
      </c>
      <c r="Q23" s="6">
        <f t="shared" si="50"/>
        <v>1</v>
      </c>
      <c r="R23" s="6">
        <f t="shared" si="50"/>
        <v>1</v>
      </c>
      <c r="S23" s="6">
        <f t="shared" si="50"/>
        <v>1</v>
      </c>
      <c r="T23" s="6">
        <f t="shared" si="50"/>
        <v>1</v>
      </c>
      <c r="U23" s="6">
        <f t="shared" si="50"/>
        <v>1</v>
      </c>
      <c r="V23" s="6">
        <f t="shared" si="50"/>
        <v>1</v>
      </c>
      <c r="AA23" s="6">
        <f t="shared" ref="AA23:AD23" si="51">+AA5/AA3</f>
        <v>0.62404658410563441</v>
      </c>
      <c r="AB23" s="6">
        <f t="shared" si="51"/>
        <v>0.6526239349341596</v>
      </c>
      <c r="AC23" s="6">
        <f t="shared" si="51"/>
        <v>0.67984179019384261</v>
      </c>
      <c r="AD23" s="6">
        <f t="shared" si="51"/>
        <v>0.66507914621366726</v>
      </c>
      <c r="AO23" s="13" t="s">
        <v>168</v>
      </c>
    </row>
    <row r="24" spans="2:42" s="6" customFormat="1" x14ac:dyDescent="0.25">
      <c r="AO24" s="10" t="s">
        <v>169</v>
      </c>
      <c r="AP24" s="6">
        <v>-1.4999999999999999E-2</v>
      </c>
    </row>
    <row r="25" spans="2:42" s="6" customFormat="1" x14ac:dyDescent="0.25">
      <c r="B25" s="6" t="s">
        <v>46</v>
      </c>
      <c r="C25" s="6">
        <f t="shared" ref="C25:M25" si="52">C6/C5</f>
        <v>0.88884839650145786</v>
      </c>
      <c r="D25" s="6">
        <f t="shared" si="52"/>
        <v>0.84753086419753099</v>
      </c>
      <c r="E25" s="6">
        <f t="shared" si="52"/>
        <v>0.77641277641277628</v>
      </c>
      <c r="F25" s="6">
        <f t="shared" si="52"/>
        <v>0.7913406364110589</v>
      </c>
      <c r="G25" s="6">
        <f t="shared" si="52"/>
        <v>0.80033800096571694</v>
      </c>
      <c r="H25" s="6">
        <f t="shared" si="52"/>
        <v>0.75347228319081316</v>
      </c>
      <c r="I25" s="6">
        <f t="shared" si="52"/>
        <v>0.70269200316706248</v>
      </c>
      <c r="J25" s="6">
        <f t="shared" si="52"/>
        <v>0.67892662788515656</v>
      </c>
      <c r="K25" s="6">
        <f t="shared" si="52"/>
        <v>0.7206040992448759</v>
      </c>
      <c r="L25" s="6">
        <f t="shared" si="52"/>
        <v>0.68973829201101933</v>
      </c>
      <c r="M25" s="6">
        <f t="shared" si="52"/>
        <v>0.70512469610857975</v>
      </c>
      <c r="N25" s="6">
        <f t="shared" ref="N25" si="53">N6/N5</f>
        <v>0.66187270501835982</v>
      </c>
      <c r="O25" s="6">
        <f>O6/O5</f>
        <v>0.66148981411223662</v>
      </c>
      <c r="P25" s="6">
        <f t="shared" ref="P25:V25" si="54">P6/P5</f>
        <v>0.64923288245291366</v>
      </c>
      <c r="Q25" s="6">
        <f t="shared" si="54"/>
        <v>0</v>
      </c>
      <c r="R25" s="6">
        <f t="shared" si="54"/>
        <v>0</v>
      </c>
      <c r="S25" s="6">
        <f t="shared" si="54"/>
        <v>0</v>
      </c>
      <c r="T25" s="6">
        <f t="shared" si="54"/>
        <v>0</v>
      </c>
      <c r="U25" s="6">
        <f t="shared" si="54"/>
        <v>0</v>
      </c>
      <c r="V25" s="6">
        <f t="shared" si="54"/>
        <v>0</v>
      </c>
      <c r="AA25" s="6">
        <f t="shared" ref="AA25:AD25" si="55">AA6/AA5</f>
        <v>0.9776580365356814</v>
      </c>
      <c r="AB25" s="6">
        <f t="shared" si="55"/>
        <v>0.82080916279690819</v>
      </c>
      <c r="AC25" s="6">
        <f t="shared" si="55"/>
        <v>0.72937898473092</v>
      </c>
      <c r="AD25" s="6">
        <f t="shared" si="55"/>
        <v>0.69326743265152113</v>
      </c>
      <c r="AO25" s="10" t="s">
        <v>170</v>
      </c>
      <c r="AP25" s="6">
        <v>0.08</v>
      </c>
    </row>
    <row r="26" spans="2:42" s="6" customFormat="1" x14ac:dyDescent="0.25">
      <c r="B26" s="6" t="s">
        <v>47</v>
      </c>
      <c r="C26" s="6">
        <f t="shared" ref="C26:M26" si="56">C7/C5</f>
        <v>0.54955539358600591</v>
      </c>
      <c r="D26" s="6">
        <f t="shared" si="56"/>
        <v>0.56697530864197532</v>
      </c>
      <c r="E26" s="6">
        <f t="shared" si="56"/>
        <v>0.57684957684957683</v>
      </c>
      <c r="F26" s="6">
        <f t="shared" si="56"/>
        <v>0.63145539906103287</v>
      </c>
      <c r="G26" s="6">
        <f t="shared" si="56"/>
        <v>0.66972477064220171</v>
      </c>
      <c r="H26" s="6">
        <f t="shared" si="56"/>
        <v>0.68918017242893004</v>
      </c>
      <c r="I26" s="6">
        <f t="shared" si="56"/>
        <v>0.65716547901821054</v>
      </c>
      <c r="J26" s="6">
        <f t="shared" si="56"/>
        <v>0.6839369487708763</v>
      </c>
      <c r="K26" s="6">
        <f t="shared" si="56"/>
        <v>0.73856526429341962</v>
      </c>
      <c r="L26" s="6">
        <f t="shared" si="56"/>
        <v>0.75344352617079902</v>
      </c>
      <c r="M26" s="6">
        <f t="shared" si="56"/>
        <v>0.71227318832412934</v>
      </c>
      <c r="N26" s="6">
        <f t="shared" ref="N26" si="57">N7/N5</f>
        <v>0.75351897184822514</v>
      </c>
      <c r="O26" s="6">
        <f>O7/O5</f>
        <v>0.68146344418895177</v>
      </c>
      <c r="P26" s="6">
        <f t="shared" ref="P26:V26" si="58">P7/P5</f>
        <v>0.63635446495782211</v>
      </c>
      <c r="Q26" s="6">
        <f t="shared" si="58"/>
        <v>0</v>
      </c>
      <c r="R26" s="6">
        <f t="shared" si="58"/>
        <v>0</v>
      </c>
      <c r="S26" s="6">
        <f t="shared" si="58"/>
        <v>0</v>
      </c>
      <c r="T26" s="6">
        <f t="shared" si="58"/>
        <v>0</v>
      </c>
      <c r="U26" s="6">
        <f t="shared" si="58"/>
        <v>0</v>
      </c>
      <c r="V26" s="6">
        <f t="shared" si="58"/>
        <v>0</v>
      </c>
      <c r="AA26" s="6">
        <f t="shared" ref="AA26:AD26" si="59">AA7/AA5</f>
        <v>0.61361545538178475</v>
      </c>
      <c r="AB26" s="6">
        <f t="shared" si="59"/>
        <v>0.58454371467145383</v>
      </c>
      <c r="AC26" s="6">
        <f t="shared" si="59"/>
        <v>0.67501472817347596</v>
      </c>
      <c r="AD26" s="6">
        <f t="shared" si="59"/>
        <v>0.7394296992590319</v>
      </c>
      <c r="AO26" s="10" t="s">
        <v>171</v>
      </c>
      <c r="AP26" s="3">
        <f>NPV(AP25,AF103:ADF103)+AE103+O38</f>
        <v>62278.259640429569</v>
      </c>
    </row>
    <row r="27" spans="2:42" s="6" customFormat="1" x14ac:dyDescent="0.25">
      <c r="B27" s="6" t="s">
        <v>48</v>
      </c>
      <c r="C27" s="6">
        <f t="shared" ref="C27:M27" si="60">C8/C5</f>
        <v>0.24959912536443149</v>
      </c>
      <c r="D27" s="6">
        <f t="shared" si="60"/>
        <v>0.22623456790123456</v>
      </c>
      <c r="E27" s="6">
        <f t="shared" si="60"/>
        <v>0.2085722085722086</v>
      </c>
      <c r="F27" s="6">
        <f t="shared" si="60"/>
        <v>0.20213875847678667</v>
      </c>
      <c r="G27" s="6">
        <f t="shared" si="60"/>
        <v>0.18928054080154513</v>
      </c>
      <c r="H27" s="6">
        <f t="shared" si="60"/>
        <v>0.18381810679355937</v>
      </c>
      <c r="I27" s="6">
        <f t="shared" si="60"/>
        <v>0.15577988915281077</v>
      </c>
      <c r="J27" s="6">
        <f t="shared" si="60"/>
        <v>0.15406267592418837</v>
      </c>
      <c r="K27" s="6">
        <f t="shared" si="60"/>
        <v>0.16747213232650124</v>
      </c>
      <c r="L27" s="6">
        <f t="shared" si="60"/>
        <v>0.1682162534435262</v>
      </c>
      <c r="M27" s="6">
        <f t="shared" si="60"/>
        <v>0.17098420569625347</v>
      </c>
      <c r="N27" s="6">
        <f t="shared" ref="N27" si="61">N8/N5</f>
        <v>0.17594859241126071</v>
      </c>
      <c r="O27" s="6">
        <f>O8/O5</f>
        <v>0.30234097984172276</v>
      </c>
      <c r="P27" s="6">
        <f t="shared" ref="P27:V27" si="62">P8/P5</f>
        <v>0.15452290229372156</v>
      </c>
      <c r="Q27" s="6">
        <f t="shared" si="62"/>
        <v>0</v>
      </c>
      <c r="R27" s="6">
        <f t="shared" si="62"/>
        <v>0</v>
      </c>
      <c r="S27" s="6">
        <f t="shared" si="62"/>
        <v>0</v>
      </c>
      <c r="T27" s="6">
        <f t="shared" si="62"/>
        <v>0</v>
      </c>
      <c r="U27" s="6">
        <f t="shared" si="62"/>
        <v>0</v>
      </c>
      <c r="V27" s="6">
        <f t="shared" si="62"/>
        <v>0</v>
      </c>
      <c r="AA27" s="6">
        <f t="shared" ref="AA27:AD27" si="63">AA8/AA5</f>
        <v>0.3482717834143777</v>
      </c>
      <c r="AB27" s="6">
        <f t="shared" si="63"/>
        <v>0.21942643502514728</v>
      </c>
      <c r="AC27" s="6">
        <f t="shared" si="63"/>
        <v>0.16926864398073702</v>
      </c>
      <c r="AD27" s="6">
        <f t="shared" si="63"/>
        <v>0.17085304617885236</v>
      </c>
      <c r="AO27" s="10" t="s">
        <v>172</v>
      </c>
      <c r="AP27" s="12">
        <f>+AP26/O19</f>
        <v>187.21463742061513</v>
      </c>
    </row>
    <row r="28" spans="2:42" s="6" customFormat="1" x14ac:dyDescent="0.25">
      <c r="B28" s="6" t="s">
        <v>53</v>
      </c>
      <c r="C28" s="6">
        <f t="shared" ref="C28:M28" si="64">C9/C5</f>
        <v>1.6880029154518952</v>
      </c>
      <c r="D28" s="6">
        <f t="shared" si="64"/>
        <v>1.6407407407407408</v>
      </c>
      <c r="E28" s="6">
        <f t="shared" si="64"/>
        <v>1.5618345618345619</v>
      </c>
      <c r="F28" s="6">
        <f t="shared" si="64"/>
        <v>1.6249347939488785</v>
      </c>
      <c r="G28" s="6">
        <f t="shared" si="64"/>
        <v>1.6593433124094636</v>
      </c>
      <c r="H28" s="6">
        <f t="shared" si="64"/>
        <v>1.6264705624133027</v>
      </c>
      <c r="I28" s="6">
        <f t="shared" si="64"/>
        <v>1.515637371338084</v>
      </c>
      <c r="J28" s="6">
        <f t="shared" si="64"/>
        <v>1.5169262525802212</v>
      </c>
      <c r="K28" s="6">
        <f t="shared" si="64"/>
        <v>1.6266414958647968</v>
      </c>
      <c r="L28" s="6">
        <f t="shared" si="64"/>
        <v>1.6113980716253447</v>
      </c>
      <c r="M28" s="6">
        <f t="shared" si="64"/>
        <v>1.5883820901289625</v>
      </c>
      <c r="N28" s="6">
        <f t="shared" ref="N28" si="65">N9/N5</f>
        <v>1.5913402692778456</v>
      </c>
      <c r="O28" s="6">
        <f>O9/O5</f>
        <v>1.6452942381429112</v>
      </c>
      <c r="P28" s="6">
        <f t="shared" ref="P28:V28" si="66">P9/P5</f>
        <v>1.4401102497044571</v>
      </c>
      <c r="Q28" s="6">
        <f t="shared" si="66"/>
        <v>0</v>
      </c>
      <c r="R28" s="6">
        <f t="shared" si="66"/>
        <v>0</v>
      </c>
      <c r="S28" s="6">
        <f t="shared" si="66"/>
        <v>0</v>
      </c>
      <c r="T28" s="6">
        <f t="shared" si="66"/>
        <v>0</v>
      </c>
      <c r="U28" s="6">
        <f t="shared" si="66"/>
        <v>0</v>
      </c>
      <c r="V28" s="6">
        <f t="shared" si="66"/>
        <v>0</v>
      </c>
      <c r="AA28" s="6">
        <f t="shared" ref="AA28:AD28" si="67">AA9/AA5</f>
        <v>1.9395452753318438</v>
      </c>
      <c r="AB28" s="6">
        <f t="shared" si="67"/>
        <v>1.6247793124935095</v>
      </c>
      <c r="AC28" s="6">
        <f t="shared" si="67"/>
        <v>1.5736623568851329</v>
      </c>
      <c r="AD28" s="6">
        <f t="shared" si="67"/>
        <v>1.6035501780894053</v>
      </c>
      <c r="AO28" s="10" t="s">
        <v>173</v>
      </c>
      <c r="AP28" s="12">
        <f>Main!J5</f>
        <v>228.2</v>
      </c>
    </row>
    <row r="29" spans="2:42" s="6" customFormat="1" x14ac:dyDescent="0.25">
      <c r="AO29" s="10" t="s">
        <v>174</v>
      </c>
      <c r="AP29" s="6">
        <f>+AP27/AP28-1</f>
        <v>-0.17960281586058224</v>
      </c>
    </row>
    <row r="30" spans="2:42" s="6" customFormat="1" x14ac:dyDescent="0.25">
      <c r="B30" s="6" t="s">
        <v>49</v>
      </c>
      <c r="C30" s="6">
        <f t="shared" ref="C30:M30" si="68">+SUM(C11:C13)/C10</f>
        <v>1.9598703307413607E-2</v>
      </c>
      <c r="D30" s="6">
        <f t="shared" si="68"/>
        <v>5.443159922928708E-2</v>
      </c>
      <c r="E30" s="6">
        <f t="shared" si="68"/>
        <v>-4.1788143828960157E-2</v>
      </c>
      <c r="F30" s="6">
        <f t="shared" si="68"/>
        <v>-0.13610183639398996</v>
      </c>
      <c r="G30" s="6">
        <f>+SUM(G11:G13)/G10</f>
        <v>-0.14866349322592462</v>
      </c>
      <c r="H30" s="6">
        <f>+SUM(H11:H13)/H10</f>
        <v>-0.1901725497065779</v>
      </c>
      <c r="I30" s="6">
        <f t="shared" si="68"/>
        <v>-0.18936660268714012</v>
      </c>
      <c r="J30" s="6">
        <f t="shared" si="68"/>
        <v>-0.36758993719824307</v>
      </c>
      <c r="K30" s="6">
        <f t="shared" si="68"/>
        <v>-9.6055523357567896E-2</v>
      </c>
      <c r="L30" s="6">
        <f t="shared" si="68"/>
        <v>-0.11630526612221906</v>
      </c>
      <c r="M30" s="6">
        <f t="shared" si="68"/>
        <v>-0.10806403064714738</v>
      </c>
      <c r="N30" s="6">
        <f>+SUM(N11:N13)/N10</f>
        <v>-0.14644243208279434</v>
      </c>
      <c r="O30" s="6">
        <f>+SUM(O11:O13)/O10</f>
        <v>-5.1780911950318219E-2</v>
      </c>
      <c r="P30" s="6">
        <f t="shared" ref="P30:V30" si="69">+SUM(P11:P13)/P10</f>
        <v>-0.12462934173443092</v>
      </c>
      <c r="Q30" s="6">
        <f t="shared" si="69"/>
        <v>0</v>
      </c>
      <c r="R30" s="6">
        <f t="shared" si="69"/>
        <v>0</v>
      </c>
      <c r="S30" s="6">
        <f t="shared" si="69"/>
        <v>0</v>
      </c>
      <c r="T30" s="6">
        <f t="shared" si="69"/>
        <v>0</v>
      </c>
      <c r="U30" s="6">
        <f t="shared" si="69"/>
        <v>0</v>
      </c>
      <c r="V30" s="6">
        <f t="shared" si="69"/>
        <v>0</v>
      </c>
      <c r="AA30" s="6">
        <f t="shared" ref="AA30:AD30" si="70">+SUM(AA11:AA13)/AA10</f>
        <v>-5.31542873129109E-2</v>
      </c>
      <c r="AB30" s="6">
        <f t="shared" si="70"/>
        <v>-3.1155015197568373E-2</v>
      </c>
      <c r="AC30" s="6">
        <f t="shared" si="70"/>
        <v>-0.2242769496434428</v>
      </c>
      <c r="AD30" s="6">
        <f t="shared" si="70"/>
        <v>-0.11738967345155364</v>
      </c>
    </row>
    <row r="31" spans="2:42" s="6" customFormat="1" x14ac:dyDescent="0.25">
      <c r="B31" s="6" t="s">
        <v>50</v>
      </c>
      <c r="C31" s="6">
        <f t="shared" ref="C31:M31" si="71">C15/C14</f>
        <v>0.13819043265034706</v>
      </c>
      <c r="D31" s="6">
        <f t="shared" si="71"/>
        <v>-1.7359524897213336E-2</v>
      </c>
      <c r="E31" s="6">
        <f t="shared" si="71"/>
        <v>-2.0283975659229209E-2</v>
      </c>
      <c r="F31" s="6">
        <f t="shared" si="71"/>
        <v>-1.7971882699647326E-3</v>
      </c>
      <c r="G31" s="6">
        <f>G15/G14</f>
        <v>2.8387096774193557E-2</v>
      </c>
      <c r="H31" s="6">
        <f t="shared" si="71"/>
        <v>1.600726816500465E-2</v>
      </c>
      <c r="I31" s="6">
        <f t="shared" si="71"/>
        <v>-1.6053416678505468E-2</v>
      </c>
      <c r="J31" s="6">
        <f t="shared" si="71"/>
        <v>2.4682854026749336E-2</v>
      </c>
      <c r="K31" s="6">
        <f t="shared" si="71"/>
        <v>-8.6364776121297913E-3</v>
      </c>
      <c r="L31" s="6">
        <f t="shared" si="71"/>
        <v>-1.2045889101338426E-2</v>
      </c>
      <c r="M31" s="6">
        <f t="shared" si="71"/>
        <v>-5.828971830726659E-3</v>
      </c>
      <c r="N31" s="6">
        <f t="shared" ref="N31" si="72">N15/N14</f>
        <v>1.3034252803879969E-2</v>
      </c>
      <c r="O31" s="6">
        <f>O15/O14</f>
        <v>-1.3506568214181308E-2</v>
      </c>
      <c r="P31" s="6">
        <f t="shared" ref="P31:V31" si="73">P15/P14</f>
        <v>-2.081479865039532E-4</v>
      </c>
      <c r="Q31" s="6">
        <f t="shared" si="73"/>
        <v>0</v>
      </c>
      <c r="R31" s="6">
        <f t="shared" si="73"/>
        <v>0</v>
      </c>
      <c r="S31" s="6">
        <f t="shared" si="73"/>
        <v>0</v>
      </c>
      <c r="T31" s="6">
        <f t="shared" si="73"/>
        <v>0</v>
      </c>
      <c r="U31" s="6">
        <f t="shared" si="73"/>
        <v>0</v>
      </c>
      <c r="V31" s="6">
        <f t="shared" si="73"/>
        <v>0</v>
      </c>
      <c r="AA31" s="6">
        <f t="shared" ref="AA31:AD31" si="74">AA15/AA14</f>
        <v>-4.4142413945929973E-3</v>
      </c>
      <c r="AB31" s="6">
        <f t="shared" si="74"/>
        <v>2.2622549019607838E-2</v>
      </c>
      <c r="AC31" s="6">
        <f t="shared" si="74"/>
        <v>1.3203380348046289E-2</v>
      </c>
      <c r="AD31" s="6">
        <f t="shared" si="74"/>
        <v>-3.1921427053584572E-3</v>
      </c>
    </row>
    <row r="32" spans="2:42" s="6" customFormat="1" x14ac:dyDescent="0.25">
      <c r="B32" s="6" t="s">
        <v>51</v>
      </c>
      <c r="C32" s="6">
        <f t="shared" ref="C32:M32" si="75">C16/C3</f>
        <v>-0.3928202699502723</v>
      </c>
      <c r="D32" s="6">
        <f t="shared" si="75"/>
        <v>-0.44790828640386171</v>
      </c>
      <c r="E32" s="6">
        <f t="shared" si="75"/>
        <v>-0.36122082585278281</v>
      </c>
      <c r="F32" s="6">
        <f t="shared" si="75"/>
        <v>-0.35205772495755522</v>
      </c>
      <c r="G32" s="6">
        <f t="shared" si="75"/>
        <v>-0.36225144323284142</v>
      </c>
      <c r="H32" s="6">
        <f t="shared" si="75"/>
        <v>-0.33745548961424338</v>
      </c>
      <c r="I32" s="6">
        <f t="shared" si="75"/>
        <v>-0.2922762566407846</v>
      </c>
      <c r="J32" s="6">
        <f t="shared" si="75"/>
        <v>-0.21932360913902144</v>
      </c>
      <c r="K32" s="6">
        <f t="shared" si="75"/>
        <v>-0.3834680825389164</v>
      </c>
      <c r="L32" s="6">
        <f t="shared" si="75"/>
        <v>-0.36553867403314932</v>
      </c>
      <c r="M32" s="6">
        <f t="shared" si="75"/>
        <v>-0.34804458598726101</v>
      </c>
      <c r="N32" s="6">
        <f t="shared" ref="N32" si="76">N16/N3</f>
        <v>-0.32998885172798198</v>
      </c>
      <c r="O32" s="6">
        <f>O16/O3</f>
        <v>-0.41256525911708253</v>
      </c>
      <c r="P32" s="6">
        <f t="shared" ref="P32:V32" si="77">P16/P3</f>
        <v>-0.26020529813470922</v>
      </c>
      <c r="Q32" s="6">
        <f t="shared" si="77"/>
        <v>1</v>
      </c>
      <c r="R32" s="6">
        <f t="shared" si="77"/>
        <v>1</v>
      </c>
      <c r="S32" s="6">
        <f t="shared" si="77"/>
        <v>1</v>
      </c>
      <c r="T32" s="6">
        <f t="shared" si="77"/>
        <v>1</v>
      </c>
      <c r="U32" s="6">
        <f t="shared" si="77"/>
        <v>1</v>
      </c>
      <c r="V32" s="6">
        <f t="shared" si="77"/>
        <v>1</v>
      </c>
      <c r="AA32" s="6">
        <f t="shared" ref="AA32:AD32" si="78">AA16/AA3</f>
        <v>-0.55760518330189457</v>
      </c>
      <c r="AB32" s="6">
        <f t="shared" si="78"/>
        <v>-0.38610573199070497</v>
      </c>
      <c r="AC32" s="6">
        <f t="shared" si="78"/>
        <v>-0.29853727194982904</v>
      </c>
      <c r="AD32" s="6">
        <f t="shared" si="78"/>
        <v>-0.35541834427224084</v>
      </c>
    </row>
    <row r="33" spans="2:40" s="6" customFormat="1" x14ac:dyDescent="0.25"/>
    <row r="34" spans="2:40" s="6" customFormat="1" x14ac:dyDescent="0.25">
      <c r="B34" s="6" t="s">
        <v>52</v>
      </c>
      <c r="G34" s="6">
        <f t="shared" ref="G34:N34" si="79">G3/C3-1</f>
        <v>0.47667534927776467</v>
      </c>
      <c r="H34" s="6">
        <f t="shared" si="79"/>
        <v>0.35559131134352384</v>
      </c>
      <c r="I34" s="6">
        <f t="shared" si="79"/>
        <v>0.31795332136445253</v>
      </c>
      <c r="J34" s="6">
        <f t="shared" si="79"/>
        <v>0.31528013582342962</v>
      </c>
      <c r="K34" s="6">
        <f t="shared" si="79"/>
        <v>0.32889672867222575</v>
      </c>
      <c r="L34" s="6">
        <f t="shared" si="79"/>
        <v>0.28902077151335304</v>
      </c>
      <c r="M34" s="6">
        <f t="shared" si="79"/>
        <v>0.28320392317123</v>
      </c>
      <c r="N34" s="6">
        <f t="shared" si="79"/>
        <v>0.27365431780043892</v>
      </c>
      <c r="O34" s="6">
        <f>O3/K3-1</f>
        <v>0.25739109448533837</v>
      </c>
      <c r="P34" s="6">
        <f t="shared" ref="P34:V34" si="80">P3/L3-1</f>
        <v>0.31787407918968702</v>
      </c>
      <c r="Q34" s="6">
        <f t="shared" si="80"/>
        <v>0.2420382165605095</v>
      </c>
      <c r="R34" s="6">
        <f t="shared" si="80"/>
        <v>0.24657950744907264</v>
      </c>
      <c r="S34" s="6">
        <f t="shared" si="80"/>
        <v>0.22840690978886746</v>
      </c>
      <c r="T34" s="6">
        <f t="shared" si="80"/>
        <v>0.1703373628456315</v>
      </c>
      <c r="U34" s="6">
        <f t="shared" si="80"/>
        <v>0.22222222222222232</v>
      </c>
      <c r="V34" s="6">
        <f t="shared" si="80"/>
        <v>0.21951219512195119</v>
      </c>
      <c r="W34" s="6">
        <f t="shared" ref="W34" si="81">W3/S3-1</f>
        <v>0.2578125</v>
      </c>
      <c r="X34" s="6">
        <f t="shared" ref="X34" si="82">X3/T3-1</f>
        <v>0.25373134328358216</v>
      </c>
      <c r="AB34" s="6">
        <f t="shared" ref="AB34:AC34" si="83">AB3/AA3-1</f>
        <v>0.69408677109817107</v>
      </c>
      <c r="AC34" s="6">
        <f t="shared" si="83"/>
        <v>0.35863671572424471</v>
      </c>
      <c r="AD34" s="6">
        <f>AD3/AC3-1</f>
        <v>0.29211801596351217</v>
      </c>
      <c r="AE34" s="6">
        <f t="shared" ref="AE34:AF34" si="84">AE3/AD3-1</f>
        <v>0.26495201588439699</v>
      </c>
      <c r="AF34" s="6">
        <f t="shared" si="84"/>
        <v>0.20994931511418535</v>
      </c>
      <c r="AG34" s="6">
        <v>0.25</v>
      </c>
      <c r="AH34" s="6">
        <v>0.22</v>
      </c>
      <c r="AI34" s="6">
        <v>0.2</v>
      </c>
      <c r="AJ34" s="6">
        <f>+AJ140</f>
        <v>0.18</v>
      </c>
      <c r="AK34" s="6">
        <f t="shared" ref="AK34:AN34" si="85">+AK140</f>
        <v>0.16</v>
      </c>
      <c r="AL34" s="6">
        <f t="shared" si="85"/>
        <v>0.14000000000000001</v>
      </c>
      <c r="AM34" s="6">
        <f t="shared" si="85"/>
        <v>0.12</v>
      </c>
      <c r="AN34" s="6">
        <f t="shared" si="85"/>
        <v>0.1</v>
      </c>
    </row>
    <row r="38" spans="2:40" s="3" customFormat="1" x14ac:dyDescent="0.25">
      <c r="B38" s="3" t="s">
        <v>54</v>
      </c>
      <c r="C38" s="3">
        <f t="shared" ref="C38:N38" si="86">+C39+C40+C44-C56</f>
        <v>0</v>
      </c>
      <c r="D38" s="3">
        <f t="shared" si="86"/>
        <v>0</v>
      </c>
      <c r="E38" s="3">
        <f t="shared" si="86"/>
        <v>0</v>
      </c>
      <c r="F38" s="3">
        <f t="shared" si="86"/>
        <v>5080.8</v>
      </c>
      <c r="G38" s="3">
        <f t="shared" si="86"/>
        <v>0</v>
      </c>
      <c r="H38" s="3">
        <f t="shared" si="86"/>
        <v>0</v>
      </c>
      <c r="I38" s="3">
        <f t="shared" si="86"/>
        <v>0</v>
      </c>
      <c r="J38" s="3">
        <f t="shared" si="86"/>
        <v>4762.49</v>
      </c>
      <c r="K38" s="3">
        <f t="shared" si="86"/>
        <v>4459.2</v>
      </c>
      <c r="L38" s="3">
        <f t="shared" si="86"/>
        <v>3927.8</v>
      </c>
      <c r="M38" s="3">
        <f t="shared" si="86"/>
        <v>2780.1499999999996</v>
      </c>
      <c r="N38" s="3">
        <f t="shared" si="86"/>
        <v>3022.6400000000003</v>
      </c>
      <c r="O38" s="3">
        <f>+O39+O40+O44-O56</f>
        <v>2593.14</v>
      </c>
      <c r="P38" s="3">
        <f t="shared" ref="P38:V38" si="87">+P39+P40+P44-P56</f>
        <v>2323.9139999999998</v>
      </c>
      <c r="Q38" s="3">
        <f t="shared" si="87"/>
        <v>0</v>
      </c>
      <c r="R38" s="3">
        <f t="shared" si="87"/>
        <v>0</v>
      </c>
      <c r="S38" s="3">
        <f t="shared" si="87"/>
        <v>0</v>
      </c>
      <c r="T38" s="3">
        <f t="shared" si="87"/>
        <v>0</v>
      </c>
      <c r="U38" s="3">
        <f t="shared" si="87"/>
        <v>0</v>
      </c>
      <c r="V38" s="3">
        <f t="shared" si="87"/>
        <v>0</v>
      </c>
      <c r="AB38" s="3">
        <f t="shared" ref="AB38" si="88">+AB39+AB40+AB44-AB56</f>
        <v>5080.8</v>
      </c>
      <c r="AC38" s="3">
        <f t="shared" ref="AC38" si="89">+AC39+AC40+AC44-AC56</f>
        <v>4762.49</v>
      </c>
      <c r="AD38" s="3">
        <f t="shared" ref="AD38" si="90">+AD39+AD40+AD44-AD56</f>
        <v>3022.6400000000003</v>
      </c>
    </row>
    <row r="39" spans="2:40" s="3" customFormat="1" x14ac:dyDescent="0.25">
      <c r="B39" s="3" t="s">
        <v>4</v>
      </c>
      <c r="F39" s="3">
        <v>939.9</v>
      </c>
      <c r="J39" s="3">
        <v>1762.7</v>
      </c>
      <c r="K39" s="3">
        <v>1330.4</v>
      </c>
      <c r="L39" s="3">
        <v>1282</v>
      </c>
      <c r="M39" s="3">
        <v>2148.9</v>
      </c>
      <c r="N39" s="3">
        <v>2628.8</v>
      </c>
      <c r="O39" s="3">
        <v>2243</v>
      </c>
      <c r="P39" s="3">
        <v>1880.7</v>
      </c>
      <c r="AB39" s="3">
        <v>939.9</v>
      </c>
      <c r="AC39" s="3">
        <v>1762.7</v>
      </c>
      <c r="AD39" s="3">
        <v>2628.8</v>
      </c>
    </row>
    <row r="40" spans="2:40" s="3" customFormat="1" x14ac:dyDescent="0.25">
      <c r="B40" s="3" t="s">
        <v>55</v>
      </c>
      <c r="F40" s="3">
        <v>3067.9</v>
      </c>
      <c r="J40" s="3">
        <v>2083.4899999999998</v>
      </c>
      <c r="K40" s="3">
        <v>2200.9</v>
      </c>
      <c r="L40" s="3">
        <v>1948.4</v>
      </c>
      <c r="M40" s="3">
        <v>2008</v>
      </c>
      <c r="N40" s="3">
        <v>2008.87</v>
      </c>
      <c r="O40" s="3">
        <v>1667.6</v>
      </c>
      <c r="P40" s="3">
        <v>1705.9880000000001</v>
      </c>
      <c r="AB40" s="3">
        <v>3067.9</v>
      </c>
      <c r="AC40" s="3">
        <v>2083.4899999999998</v>
      </c>
      <c r="AD40" s="3">
        <v>2008.87</v>
      </c>
    </row>
    <row r="41" spans="2:40" s="3" customFormat="1" x14ac:dyDescent="0.25">
      <c r="B41" s="3" t="s">
        <v>56</v>
      </c>
      <c r="F41" s="3">
        <v>715.8</v>
      </c>
      <c r="J41" s="3">
        <v>926.9</v>
      </c>
      <c r="K41" s="3">
        <v>345.5</v>
      </c>
      <c r="L41" s="3">
        <v>431.5</v>
      </c>
      <c r="M41" s="3">
        <v>596.29999999999995</v>
      </c>
      <c r="N41" s="3">
        <v>922.8</v>
      </c>
      <c r="O41" s="3">
        <v>530.51700000000005</v>
      </c>
      <c r="P41" s="3">
        <v>646.68200000000002</v>
      </c>
      <c r="AB41" s="3">
        <v>715.8</v>
      </c>
      <c r="AC41" s="3">
        <v>926.9</v>
      </c>
      <c r="AD41" s="3">
        <v>922.8</v>
      </c>
    </row>
    <row r="42" spans="2:40" s="3" customFormat="1" x14ac:dyDescent="0.25">
      <c r="B42" s="3" t="s">
        <v>57</v>
      </c>
      <c r="F42" s="3">
        <v>67.900000000000006</v>
      </c>
      <c r="J42" s="3">
        <v>86</v>
      </c>
      <c r="K42" s="3">
        <v>85.4</v>
      </c>
      <c r="L42" s="3">
        <v>86.8</v>
      </c>
      <c r="M42" s="3">
        <v>89.8</v>
      </c>
      <c r="N42" s="3">
        <v>97.66</v>
      </c>
      <c r="O42" s="3">
        <v>104.18</v>
      </c>
      <c r="P42" s="3">
        <v>129.87299999999999</v>
      </c>
      <c r="AB42" s="3">
        <v>67.900000000000006</v>
      </c>
      <c r="AC42" s="3">
        <v>86</v>
      </c>
      <c r="AD42" s="3">
        <v>97.66</v>
      </c>
    </row>
    <row r="43" spans="2:40" s="3" customFormat="1" x14ac:dyDescent="0.25">
      <c r="B43" s="3" t="s">
        <v>58</v>
      </c>
      <c r="F43" s="3">
        <v>193.1</v>
      </c>
      <c r="J43" s="3">
        <v>180</v>
      </c>
      <c r="K43" s="3">
        <v>180.9</v>
      </c>
      <c r="L43" s="3">
        <v>149</v>
      </c>
      <c r="M43" s="3">
        <v>140.9</v>
      </c>
      <c r="N43" s="3">
        <v>211.23400000000001</v>
      </c>
      <c r="O43" s="3">
        <v>240.58</v>
      </c>
      <c r="P43" s="3">
        <v>232.864</v>
      </c>
      <c r="AB43" s="3">
        <v>193.1</v>
      </c>
      <c r="AC43" s="3">
        <v>180</v>
      </c>
      <c r="AD43" s="3">
        <v>211.23400000000001</v>
      </c>
    </row>
    <row r="44" spans="2:40" s="3" customFormat="1" x14ac:dyDescent="0.25">
      <c r="B44" s="3" t="s">
        <v>59</v>
      </c>
      <c r="F44" s="3">
        <v>1073</v>
      </c>
      <c r="J44" s="3">
        <v>916.3</v>
      </c>
      <c r="K44" s="3">
        <v>927.9</v>
      </c>
      <c r="L44" s="3">
        <v>697.4</v>
      </c>
      <c r="M44" s="3">
        <v>892.7</v>
      </c>
      <c r="N44" s="3">
        <v>656.47</v>
      </c>
      <c r="O44" s="3">
        <v>956.14</v>
      </c>
      <c r="P44" s="3">
        <v>1012.9</v>
      </c>
      <c r="AB44" s="3">
        <v>1073</v>
      </c>
      <c r="AC44" s="3">
        <v>916.3</v>
      </c>
      <c r="AD44" s="3">
        <v>656.47</v>
      </c>
    </row>
    <row r="45" spans="2:40" s="3" customFormat="1" x14ac:dyDescent="0.25">
      <c r="B45" s="3" t="s">
        <v>60</v>
      </c>
      <c r="F45" s="3">
        <v>160.80000000000001</v>
      </c>
      <c r="J45" s="3">
        <v>247.4</v>
      </c>
      <c r="K45" s="3">
        <v>263.60000000000002</v>
      </c>
      <c r="L45" s="3">
        <v>264.7</v>
      </c>
      <c r="M45" s="3">
        <v>278.3</v>
      </c>
      <c r="N45" s="3">
        <v>296.3</v>
      </c>
      <c r="O45" s="3">
        <v>290.3</v>
      </c>
      <c r="P45" s="3">
        <v>283</v>
      </c>
      <c r="AB45" s="3">
        <v>160.80000000000001</v>
      </c>
      <c r="AC45" s="3">
        <v>247.4</v>
      </c>
      <c r="AD45" s="3">
        <v>296.3</v>
      </c>
    </row>
    <row r="46" spans="2:40" s="3" customFormat="1" x14ac:dyDescent="0.25">
      <c r="B46" s="3" t="s">
        <v>61</v>
      </c>
      <c r="F46" s="3">
        <v>231.2</v>
      </c>
      <c r="J46" s="3">
        <v>252.1</v>
      </c>
      <c r="K46" s="3">
        <v>244.6</v>
      </c>
      <c r="L46" s="3">
        <v>272.39999999999998</v>
      </c>
      <c r="M46" s="3">
        <v>280.7</v>
      </c>
      <c r="N46" s="3">
        <v>359.4</v>
      </c>
      <c r="O46" s="3">
        <v>261.97000000000003</v>
      </c>
      <c r="P46" s="3">
        <v>262.39999999999998</v>
      </c>
      <c r="AB46" s="3">
        <v>231.2</v>
      </c>
      <c r="AC46" s="3">
        <v>252.1</v>
      </c>
      <c r="AD46" s="3">
        <v>359.4</v>
      </c>
    </row>
    <row r="47" spans="2:40" s="3" customFormat="1" x14ac:dyDescent="0.25">
      <c r="B47" s="3" t="s">
        <v>62</v>
      </c>
      <c r="F47" s="3">
        <v>657.3</v>
      </c>
      <c r="J47" s="3">
        <v>975.9</v>
      </c>
      <c r="K47" s="3">
        <v>975.9</v>
      </c>
      <c r="L47" s="3">
        <v>984</v>
      </c>
      <c r="M47" s="3">
        <v>990.6</v>
      </c>
      <c r="N47" s="3">
        <v>1056.5</v>
      </c>
      <c r="O47" s="3">
        <v>1056.559</v>
      </c>
      <c r="P47" s="3">
        <v>1174.9780000000001</v>
      </c>
      <c r="AB47" s="3">
        <v>657.3</v>
      </c>
      <c r="AC47" s="3">
        <v>975.9</v>
      </c>
      <c r="AD47" s="3">
        <v>1056.5</v>
      </c>
    </row>
    <row r="48" spans="2:40" s="3" customFormat="1" x14ac:dyDescent="0.25">
      <c r="B48" s="3" t="s">
        <v>63</v>
      </c>
      <c r="F48" s="3">
        <v>186</v>
      </c>
      <c r="J48" s="3">
        <v>331.4</v>
      </c>
      <c r="K48" s="3">
        <v>307.89999999999998</v>
      </c>
      <c r="L48" s="3">
        <v>286.5</v>
      </c>
      <c r="M48" s="3">
        <v>268.5</v>
      </c>
      <c r="N48" s="3">
        <v>278</v>
      </c>
      <c r="O48" s="3">
        <v>253.94399999999999</v>
      </c>
      <c r="P48" s="3">
        <v>285.39999999999998</v>
      </c>
      <c r="AB48" s="3">
        <v>186</v>
      </c>
      <c r="AC48" s="3">
        <v>331.4</v>
      </c>
      <c r="AD48" s="3">
        <v>278</v>
      </c>
    </row>
    <row r="49" spans="2:30" s="3" customFormat="1" x14ac:dyDescent="0.25">
      <c r="B49" s="3" t="s">
        <v>64</v>
      </c>
      <c r="F49" s="3">
        <v>145.19999999999999</v>
      </c>
      <c r="J49" s="3">
        <v>187</v>
      </c>
      <c r="K49" s="3">
        <v>179.9</v>
      </c>
      <c r="L49" s="3">
        <v>177.4</v>
      </c>
      <c r="M49" s="3">
        <v>177.3</v>
      </c>
      <c r="N49" s="3">
        <v>183.96</v>
      </c>
      <c r="O49" s="3">
        <v>182.761</v>
      </c>
      <c r="P49" s="3">
        <v>187.2</v>
      </c>
      <c r="AB49" s="3">
        <v>145.19999999999999</v>
      </c>
      <c r="AC49" s="3">
        <v>187</v>
      </c>
      <c r="AD49" s="3">
        <v>183.96</v>
      </c>
    </row>
    <row r="50" spans="2:30" s="3" customFormat="1" x14ac:dyDescent="0.25">
      <c r="B50" s="3" t="s">
        <v>65</v>
      </c>
      <c r="F50" s="3">
        <v>283.8</v>
      </c>
      <c r="J50" s="3">
        <v>273.8</v>
      </c>
      <c r="K50" s="3">
        <v>254.6</v>
      </c>
      <c r="L50" s="3">
        <v>363</v>
      </c>
      <c r="M50" s="3">
        <v>329.8</v>
      </c>
      <c r="N50" s="3">
        <v>333.7</v>
      </c>
      <c r="O50" s="3">
        <v>369.7</v>
      </c>
      <c r="P50" s="3">
        <v>394.59</v>
      </c>
      <c r="AB50" s="3">
        <v>283.8</v>
      </c>
      <c r="AC50" s="3">
        <v>273.8</v>
      </c>
      <c r="AD50" s="3">
        <v>333.7</v>
      </c>
    </row>
    <row r="51" spans="2:30" s="5" customFormat="1" x14ac:dyDescent="0.25">
      <c r="B51" s="5" t="s">
        <v>66</v>
      </c>
      <c r="C51" s="5">
        <f t="shared" ref="C51:N51" si="91">SUM(C39:C50)</f>
        <v>0</v>
      </c>
      <c r="D51" s="5">
        <f t="shared" si="91"/>
        <v>0</v>
      </c>
      <c r="E51" s="5">
        <f t="shared" si="91"/>
        <v>0</v>
      </c>
      <c r="F51" s="5">
        <f t="shared" si="91"/>
        <v>7721.9000000000005</v>
      </c>
      <c r="G51" s="5">
        <f t="shared" si="91"/>
        <v>0</v>
      </c>
      <c r="H51" s="5">
        <f t="shared" si="91"/>
        <v>0</v>
      </c>
      <c r="I51" s="5">
        <f t="shared" si="91"/>
        <v>0</v>
      </c>
      <c r="J51" s="5">
        <f t="shared" si="91"/>
        <v>8222.989999999998</v>
      </c>
      <c r="K51" s="5">
        <f t="shared" si="91"/>
        <v>7297.5</v>
      </c>
      <c r="L51" s="5">
        <f t="shared" si="91"/>
        <v>6943.0999999999995</v>
      </c>
      <c r="M51" s="5">
        <f t="shared" si="91"/>
        <v>8201.7999999999993</v>
      </c>
      <c r="N51" s="5">
        <f t="shared" si="91"/>
        <v>9033.6939999999995</v>
      </c>
      <c r="O51" s="5">
        <f>SUM(O39:O50)</f>
        <v>8157.251000000002</v>
      </c>
      <c r="P51" s="5">
        <f t="shared" ref="P51:V51" si="92">SUM(P39:P50)</f>
        <v>8196.5749999999971</v>
      </c>
      <c r="Q51" s="5">
        <f t="shared" si="92"/>
        <v>0</v>
      </c>
      <c r="R51" s="5">
        <f t="shared" si="92"/>
        <v>0</v>
      </c>
      <c r="S51" s="5">
        <f t="shared" si="92"/>
        <v>0</v>
      </c>
      <c r="T51" s="5">
        <f t="shared" si="92"/>
        <v>0</v>
      </c>
      <c r="U51" s="5">
        <f t="shared" si="92"/>
        <v>0</v>
      </c>
      <c r="V51" s="5">
        <f t="shared" si="92"/>
        <v>0</v>
      </c>
      <c r="AB51" s="5">
        <f t="shared" ref="AB51" si="93">SUM(AB39:AB50)</f>
        <v>7721.9000000000005</v>
      </c>
      <c r="AC51" s="5">
        <f t="shared" ref="AC51" si="94">SUM(AC39:AC50)</f>
        <v>8222.989999999998</v>
      </c>
      <c r="AD51" s="5">
        <f t="shared" ref="AD51" si="95">SUM(AD39:AD50)</f>
        <v>9033.6939999999995</v>
      </c>
    </row>
    <row r="52" spans="2:30" s="3" customFormat="1" x14ac:dyDescent="0.25">
      <c r="B52" s="3" t="s">
        <v>67</v>
      </c>
      <c r="F52" s="3">
        <v>23.6</v>
      </c>
      <c r="J52" s="3">
        <v>51.7</v>
      </c>
      <c r="K52" s="3">
        <v>64.2</v>
      </c>
      <c r="L52" s="3">
        <v>134.5</v>
      </c>
      <c r="M52" s="3">
        <v>148.9</v>
      </c>
      <c r="N52" s="3">
        <v>169.76</v>
      </c>
      <c r="O52" s="3">
        <v>155.26</v>
      </c>
      <c r="P52" s="3">
        <v>166.78</v>
      </c>
      <c r="AB52" s="3">
        <v>23.6</v>
      </c>
      <c r="AC52" s="3">
        <v>51.7</v>
      </c>
      <c r="AD52" s="3">
        <v>169.76</v>
      </c>
    </row>
    <row r="53" spans="2:30" s="3" customFormat="1" x14ac:dyDescent="0.25">
      <c r="B53" s="3" t="s">
        <v>68</v>
      </c>
      <c r="F53" s="3">
        <v>269</v>
      </c>
      <c r="J53" s="3">
        <v>446.8</v>
      </c>
      <c r="K53" s="3">
        <v>398</v>
      </c>
      <c r="L53" s="3">
        <v>448.9</v>
      </c>
      <c r="M53" s="3">
        <v>485.13</v>
      </c>
      <c r="N53" s="3">
        <v>515.45000000000005</v>
      </c>
      <c r="O53" s="3">
        <v>528.38</v>
      </c>
      <c r="P53" s="3">
        <v>622.79999999999995</v>
      </c>
      <c r="AB53" s="3">
        <v>269</v>
      </c>
      <c r="AC53" s="3">
        <v>446.8</v>
      </c>
      <c r="AD53" s="3">
        <v>515.45000000000005</v>
      </c>
    </row>
    <row r="54" spans="2:30" s="3" customFormat="1" x14ac:dyDescent="0.25">
      <c r="B54" s="3" t="s">
        <v>69</v>
      </c>
      <c r="F54" s="3">
        <v>27.3</v>
      </c>
      <c r="J54" s="3">
        <v>33.9</v>
      </c>
      <c r="K54" s="3">
        <v>30.9</v>
      </c>
      <c r="L54" s="3">
        <v>32.799999999999997</v>
      </c>
      <c r="M54" s="3">
        <v>38.28</v>
      </c>
      <c r="N54" s="3">
        <v>35.9</v>
      </c>
      <c r="O54" s="3">
        <v>37</v>
      </c>
      <c r="P54" s="3">
        <v>38.109000000000002</v>
      </c>
      <c r="AB54" s="3">
        <v>27.3</v>
      </c>
      <c r="AC54" s="3">
        <v>33.9</v>
      </c>
      <c r="AD54" s="3">
        <v>35.9</v>
      </c>
    </row>
    <row r="55" spans="2:30" s="3" customFormat="1" x14ac:dyDescent="0.25">
      <c r="B55" s="3" t="s">
        <v>70</v>
      </c>
      <c r="F55" s="3">
        <v>1673.4</v>
      </c>
      <c r="J55" s="3">
        <v>2198.6999999999998</v>
      </c>
      <c r="K55" s="3">
        <v>1935.6</v>
      </c>
      <c r="L55" s="3">
        <v>1848.3</v>
      </c>
      <c r="M55" s="3">
        <v>1974.9</v>
      </c>
      <c r="N55" s="3">
        <v>2580</v>
      </c>
      <c r="O55" s="3">
        <v>2309.8000000000002</v>
      </c>
      <c r="P55" s="3">
        <v>2268.3870000000002</v>
      </c>
      <c r="AB55" s="3">
        <v>1673.4</v>
      </c>
      <c r="AC55" s="3">
        <v>2198.6999999999998</v>
      </c>
      <c r="AD55" s="3">
        <v>2580</v>
      </c>
    </row>
    <row r="56" spans="2:30" s="3" customFormat="1" x14ac:dyDescent="0.25">
      <c r="B56" s="3" t="s">
        <v>5</v>
      </c>
      <c r="M56" s="3">
        <v>2269.4499999999998</v>
      </c>
      <c r="N56" s="3">
        <v>2271.5</v>
      </c>
      <c r="O56" s="3">
        <v>2273.6</v>
      </c>
      <c r="P56" s="3">
        <v>2275.674</v>
      </c>
      <c r="AD56" s="3">
        <v>2271.5</v>
      </c>
    </row>
    <row r="57" spans="2:30" s="3" customFormat="1" x14ac:dyDescent="0.25">
      <c r="B57" s="3" t="s">
        <v>71</v>
      </c>
      <c r="F57" s="3">
        <v>224.3</v>
      </c>
      <c r="J57" s="3">
        <v>254</v>
      </c>
      <c r="K57" s="3">
        <v>247.5</v>
      </c>
      <c r="L57" s="3">
        <v>279.89999999999998</v>
      </c>
      <c r="M57" s="3">
        <v>287.8</v>
      </c>
      <c r="N57" s="3">
        <v>377.8</v>
      </c>
      <c r="O57" s="3">
        <v>377</v>
      </c>
      <c r="P57" s="3">
        <v>378.54599999999999</v>
      </c>
      <c r="AB57" s="3">
        <v>224.3</v>
      </c>
      <c r="AC57" s="3">
        <v>254</v>
      </c>
      <c r="AD57" s="3">
        <v>377.8</v>
      </c>
    </row>
    <row r="58" spans="2:30" s="3" customFormat="1" x14ac:dyDescent="0.25">
      <c r="B58" s="3" t="s">
        <v>72</v>
      </c>
      <c r="F58" s="3">
        <v>11.4</v>
      </c>
      <c r="J58" s="3">
        <v>14.4</v>
      </c>
      <c r="K58" s="3">
        <v>14.6</v>
      </c>
      <c r="L58" s="3">
        <v>12.2</v>
      </c>
      <c r="M58" s="3">
        <v>11.9</v>
      </c>
      <c r="N58" s="3">
        <v>15.5</v>
      </c>
      <c r="O58" s="3">
        <v>13.724</v>
      </c>
      <c r="P58" s="3">
        <v>11.55</v>
      </c>
      <c r="AB58" s="3">
        <v>11.4</v>
      </c>
      <c r="AC58" s="3">
        <v>14.4</v>
      </c>
      <c r="AD58" s="3">
        <v>15.5</v>
      </c>
    </row>
    <row r="59" spans="2:30" s="3" customFormat="1" x14ac:dyDescent="0.25">
      <c r="B59" s="3" t="s">
        <v>73</v>
      </c>
      <c r="F59" s="3">
        <v>24.3</v>
      </c>
      <c r="J59" s="3">
        <v>33.1</v>
      </c>
      <c r="K59" s="3">
        <v>39.299999999999997</v>
      </c>
      <c r="L59" s="3">
        <v>49.3</v>
      </c>
      <c r="M59" s="3">
        <v>51.26</v>
      </c>
      <c r="N59" s="3">
        <v>61.26</v>
      </c>
      <c r="O59" s="3">
        <v>47.62</v>
      </c>
      <c r="P59" s="3">
        <v>55.295999999999999</v>
      </c>
      <c r="AB59" s="3">
        <v>24.3</v>
      </c>
      <c r="AC59" s="3">
        <v>33.1</v>
      </c>
      <c r="AD59" s="3">
        <v>61.26</v>
      </c>
    </row>
    <row r="60" spans="2:30" s="5" customFormat="1" x14ac:dyDescent="0.25">
      <c r="B60" s="5" t="s">
        <v>74</v>
      </c>
      <c r="C60" s="5">
        <f t="shared" ref="C60:N60" si="96">SUM(C52:C59)</f>
        <v>0</v>
      </c>
      <c r="D60" s="5">
        <f t="shared" si="96"/>
        <v>0</v>
      </c>
      <c r="E60" s="5">
        <f t="shared" si="96"/>
        <v>0</v>
      </c>
      <c r="F60" s="5">
        <f t="shared" si="96"/>
        <v>2253.3000000000006</v>
      </c>
      <c r="G60" s="5">
        <f t="shared" si="96"/>
        <v>0</v>
      </c>
      <c r="H60" s="5">
        <f t="shared" si="96"/>
        <v>0</v>
      </c>
      <c r="I60" s="5">
        <f t="shared" si="96"/>
        <v>0</v>
      </c>
      <c r="J60" s="5">
        <f t="shared" si="96"/>
        <v>3032.6</v>
      </c>
      <c r="K60" s="5">
        <f t="shared" si="96"/>
        <v>2730.1</v>
      </c>
      <c r="L60" s="5">
        <f t="shared" si="96"/>
        <v>2805.9</v>
      </c>
      <c r="M60" s="5">
        <f t="shared" si="96"/>
        <v>5267.62</v>
      </c>
      <c r="N60" s="5">
        <f t="shared" si="96"/>
        <v>6027.170000000001</v>
      </c>
      <c r="O60" s="5">
        <f>SUM(O52:O59)</f>
        <v>5742.384</v>
      </c>
      <c r="P60" s="5">
        <f t="shared" ref="P60:V60" si="97">SUM(P52:P59)</f>
        <v>5817.1420000000007</v>
      </c>
      <c r="Q60" s="5">
        <f t="shared" si="97"/>
        <v>0</v>
      </c>
      <c r="R60" s="5">
        <f t="shared" si="97"/>
        <v>0</v>
      </c>
      <c r="S60" s="5">
        <f t="shared" si="97"/>
        <v>0</v>
      </c>
      <c r="T60" s="5">
        <f t="shared" si="97"/>
        <v>0</v>
      </c>
      <c r="U60" s="5">
        <f t="shared" si="97"/>
        <v>0</v>
      </c>
      <c r="V60" s="5">
        <f t="shared" si="97"/>
        <v>0</v>
      </c>
      <c r="AB60" s="5">
        <f t="shared" ref="AB60" si="98">SUM(AB52:AB59)</f>
        <v>2253.3000000000006</v>
      </c>
      <c r="AC60" s="5">
        <f t="shared" ref="AC60" si="99">SUM(AC52:AC59)</f>
        <v>3032.6</v>
      </c>
      <c r="AD60" s="5">
        <f t="shared" ref="AD60" si="100">SUM(AD52:AD59)</f>
        <v>6027.170000000001</v>
      </c>
    </row>
    <row r="61" spans="2:30" s="3" customFormat="1" x14ac:dyDescent="0.25">
      <c r="B61" s="3" t="s">
        <v>75</v>
      </c>
      <c r="F61" s="3">
        <f>5456.4+12.1</f>
        <v>5468.5</v>
      </c>
      <c r="J61" s="3">
        <v>5190.59</v>
      </c>
      <c r="K61" s="3">
        <f>4558.2+9.4</f>
        <v>4567.5999999999995</v>
      </c>
      <c r="L61" s="3">
        <f>4129+8.5</f>
        <v>4137.5</v>
      </c>
      <c r="M61" s="3">
        <f>2929.4+4.96</f>
        <v>2934.36</v>
      </c>
      <c r="N61" s="3">
        <v>3006.6</v>
      </c>
      <c r="O61" s="3">
        <v>2414.8539999999998</v>
      </c>
      <c r="P61" s="3">
        <f>2372.648+6.941</f>
        <v>2379.5889999999999</v>
      </c>
      <c r="AB61" s="3">
        <f>5456.4+12.1</f>
        <v>5468.5</v>
      </c>
      <c r="AC61" s="3">
        <v>5190.59</v>
      </c>
      <c r="AD61" s="3">
        <v>3006.6</v>
      </c>
    </row>
    <row r="62" spans="2:30" s="5" customFormat="1" x14ac:dyDescent="0.25">
      <c r="B62" s="5" t="s">
        <v>76</v>
      </c>
      <c r="C62" s="5">
        <f t="shared" ref="C62:N62" si="101">+C60+C61</f>
        <v>0</v>
      </c>
      <c r="D62" s="5">
        <f t="shared" si="101"/>
        <v>0</v>
      </c>
      <c r="E62" s="5">
        <f t="shared" si="101"/>
        <v>0</v>
      </c>
      <c r="F62" s="5">
        <f t="shared" si="101"/>
        <v>7721.8000000000011</v>
      </c>
      <c r="G62" s="5">
        <f t="shared" si="101"/>
        <v>0</v>
      </c>
      <c r="H62" s="5">
        <f t="shared" si="101"/>
        <v>0</v>
      </c>
      <c r="I62" s="5">
        <f t="shared" si="101"/>
        <v>0</v>
      </c>
      <c r="J62" s="5">
        <f t="shared" si="101"/>
        <v>8223.19</v>
      </c>
      <c r="K62" s="5">
        <f t="shared" si="101"/>
        <v>7297.6999999999989</v>
      </c>
      <c r="L62" s="5">
        <f t="shared" si="101"/>
        <v>6943.4</v>
      </c>
      <c r="M62" s="5">
        <f t="shared" si="101"/>
        <v>8201.98</v>
      </c>
      <c r="N62" s="5">
        <f t="shared" si="101"/>
        <v>9033.77</v>
      </c>
      <c r="O62" s="5">
        <f>+O60+O61</f>
        <v>8157.2379999999994</v>
      </c>
      <c r="P62" s="5">
        <f t="shared" ref="P62:V62" si="102">+P60+P61</f>
        <v>8196.7309999999998</v>
      </c>
      <c r="Q62" s="5">
        <f t="shared" si="102"/>
        <v>0</v>
      </c>
      <c r="R62" s="5">
        <f t="shared" si="102"/>
        <v>0</v>
      </c>
      <c r="S62" s="5">
        <f t="shared" si="102"/>
        <v>0</v>
      </c>
      <c r="T62" s="5">
        <f t="shared" si="102"/>
        <v>0</v>
      </c>
      <c r="U62" s="5">
        <f t="shared" si="102"/>
        <v>0</v>
      </c>
      <c r="V62" s="5">
        <f t="shared" si="102"/>
        <v>0</v>
      </c>
      <c r="AB62" s="5">
        <f t="shared" ref="AB62" si="103">+AB60+AB61</f>
        <v>7721.8000000000011</v>
      </c>
      <c r="AC62" s="5">
        <f t="shared" ref="AC62" si="104">+AC60+AC61</f>
        <v>8223.19</v>
      </c>
      <c r="AD62" s="5">
        <f t="shared" ref="AD62" si="105">+AD60+AD61</f>
        <v>9033.77</v>
      </c>
    </row>
    <row r="66" spans="2:30" s="3" customFormat="1" x14ac:dyDescent="0.25">
      <c r="B66" s="3" t="s">
        <v>77</v>
      </c>
      <c r="C66" s="3">
        <f t="shared" ref="C66:N66" si="106">C16</f>
        <v>-165.88800000000001</v>
      </c>
      <c r="D66" s="3">
        <f t="shared" si="106"/>
        <v>-222.70000000000005</v>
      </c>
      <c r="E66" s="3">
        <f t="shared" si="106"/>
        <v>-201.20000000000002</v>
      </c>
      <c r="F66" s="3">
        <f t="shared" si="106"/>
        <v>-207.36200000000002</v>
      </c>
      <c r="G66" s="3">
        <f t="shared" si="106"/>
        <v>-225.89999999999992</v>
      </c>
      <c r="H66" s="3">
        <f t="shared" si="106"/>
        <v>-227.44500000000002</v>
      </c>
      <c r="I66" s="3">
        <f t="shared" si="106"/>
        <v>-214.56</v>
      </c>
      <c r="J66" s="3">
        <f t="shared" si="106"/>
        <v>-169.90999999999991</v>
      </c>
      <c r="K66" s="3">
        <f t="shared" si="106"/>
        <v>-317.78000000000003</v>
      </c>
      <c r="L66" s="3">
        <f t="shared" si="106"/>
        <v>-317.5800000000001</v>
      </c>
      <c r="M66" s="3">
        <f t="shared" si="106"/>
        <v>-327.85799999999989</v>
      </c>
      <c r="N66" s="3">
        <f t="shared" si="106"/>
        <v>-325.59999999999985</v>
      </c>
      <c r="O66" s="3">
        <f>O16</f>
        <v>-429.89299999999997</v>
      </c>
      <c r="P66" s="3">
        <f t="shared" ref="P66:V66" si="107">P16</f>
        <v>-297.92699999999991</v>
      </c>
      <c r="Q66" s="3">
        <f t="shared" si="107"/>
        <v>1170</v>
      </c>
      <c r="R66" s="3">
        <f t="shared" si="107"/>
        <v>1230</v>
      </c>
      <c r="S66" s="3">
        <f t="shared" si="107"/>
        <v>1280</v>
      </c>
      <c r="T66" s="3">
        <f t="shared" si="107"/>
        <v>1340</v>
      </c>
      <c r="U66" s="3">
        <f t="shared" si="107"/>
        <v>1430</v>
      </c>
      <c r="V66" s="3">
        <f t="shared" si="107"/>
        <v>1500</v>
      </c>
      <c r="AB66" s="3">
        <f t="shared" ref="AB66:AD66" si="108">AB16</f>
        <v>-797.54000000000019</v>
      </c>
      <c r="AC66" s="3">
        <f t="shared" si="108"/>
        <v>-837.81500000000005</v>
      </c>
      <c r="AD66" s="3">
        <f t="shared" si="108"/>
        <v>-1288.8179999999998</v>
      </c>
    </row>
    <row r="67" spans="2:30" s="3" customFormat="1" x14ac:dyDescent="0.25">
      <c r="B67" s="3" t="s">
        <v>78</v>
      </c>
      <c r="C67" s="3">
        <v>-165.79400000000001</v>
      </c>
      <c r="D67" s="3">
        <v>-222.8</v>
      </c>
      <c r="E67" s="3">
        <v>-201.4</v>
      </c>
      <c r="F67" s="3">
        <v>-207.4</v>
      </c>
      <c r="G67" s="3">
        <v>-226</v>
      </c>
      <c r="H67" s="3">
        <v>-227.3</v>
      </c>
      <c r="I67" s="3">
        <v>-214.7</v>
      </c>
      <c r="J67" s="3">
        <v>-169.9</v>
      </c>
      <c r="K67" s="3">
        <v>-317.8</v>
      </c>
      <c r="L67" s="3">
        <v>-317.7</v>
      </c>
      <c r="M67" s="3">
        <v>-327.9</v>
      </c>
      <c r="N67" s="3">
        <v>-325.7</v>
      </c>
      <c r="O67" s="3">
        <v>-429.95</v>
      </c>
      <c r="P67" s="3">
        <v>-297.93</v>
      </c>
      <c r="AB67" s="3">
        <f>C67+D67+E67+F67</f>
        <v>-797.39400000000001</v>
      </c>
      <c r="AC67" s="3">
        <f t="shared" ref="AC67" si="109">+G67+H67+I67+J67</f>
        <v>-837.9</v>
      </c>
      <c r="AD67" s="3">
        <f t="shared" ref="AD67" si="110">+K67+L67+M67+N67</f>
        <v>-1289.0999999999999</v>
      </c>
    </row>
    <row r="68" spans="2:30" s="3" customFormat="1" x14ac:dyDescent="0.25">
      <c r="B68" s="3" t="s">
        <v>79</v>
      </c>
      <c r="C68" s="3">
        <v>9.9</v>
      </c>
      <c r="D68" s="3">
        <v>16.100000000000001</v>
      </c>
      <c r="E68" s="3">
        <v>17.690000000000001</v>
      </c>
      <c r="F68" s="3">
        <v>19.7</v>
      </c>
      <c r="G68" s="3">
        <v>23.1</v>
      </c>
      <c r="H68" s="3">
        <v>29.2</v>
      </c>
      <c r="I68" s="3">
        <v>32.47</v>
      </c>
      <c r="J68" s="3">
        <v>34.9</v>
      </c>
      <c r="K68" s="3">
        <v>40.200000000000003</v>
      </c>
      <c r="L68" s="3">
        <v>45.1</v>
      </c>
      <c r="M68" s="3">
        <v>47</v>
      </c>
      <c r="N68" s="3">
        <v>50</v>
      </c>
      <c r="O68" s="3">
        <v>48.8</v>
      </c>
      <c r="P68" s="3">
        <v>54.837000000000003</v>
      </c>
      <c r="AB68" s="3">
        <f t="shared" ref="AB68:AB83" si="111">C68+D68+E68+F68</f>
        <v>63.39</v>
      </c>
      <c r="AC68" s="3">
        <f t="shared" ref="AC68:AC83" si="112">+G68+H68+I68+J68</f>
        <v>119.66999999999999</v>
      </c>
      <c r="AD68" s="3">
        <f t="shared" ref="AD68:AD83" si="113">+K68+L68+M68+N68</f>
        <v>182.3</v>
      </c>
    </row>
    <row r="69" spans="2:30" s="3" customFormat="1" x14ac:dyDescent="0.25">
      <c r="B69" s="3" t="s">
        <v>80</v>
      </c>
      <c r="C69" s="3">
        <v>10</v>
      </c>
      <c r="D69" s="3">
        <v>11.1</v>
      </c>
      <c r="E69" s="3">
        <v>12.3</v>
      </c>
      <c r="F69" s="3">
        <v>12.6</v>
      </c>
      <c r="G69" s="3">
        <v>12.8</v>
      </c>
      <c r="H69" s="3">
        <v>12.7</v>
      </c>
      <c r="I69" s="3">
        <v>13.5</v>
      </c>
      <c r="J69" s="3">
        <v>13.75</v>
      </c>
      <c r="K69" s="3">
        <v>13.7</v>
      </c>
      <c r="L69" s="3">
        <v>13.8</v>
      </c>
      <c r="M69" s="3">
        <v>14.8</v>
      </c>
      <c r="N69" s="3">
        <v>17.5</v>
      </c>
      <c r="O69" s="3">
        <v>17.84</v>
      </c>
      <c r="P69" s="3">
        <v>16.155999999999999</v>
      </c>
      <c r="AB69" s="3">
        <f t="shared" si="111"/>
        <v>46.000000000000007</v>
      </c>
      <c r="AC69" s="3">
        <f t="shared" si="112"/>
        <v>52.75</v>
      </c>
      <c r="AD69" s="3">
        <f t="shared" si="113"/>
        <v>59.8</v>
      </c>
    </row>
    <row r="70" spans="2:30" s="3" customFormat="1" x14ac:dyDescent="0.25">
      <c r="B70" s="3" t="s">
        <v>81</v>
      </c>
      <c r="C70" s="3">
        <v>13.2</v>
      </c>
      <c r="D70" s="3">
        <v>13.7</v>
      </c>
      <c r="E70" s="3">
        <v>14.5</v>
      </c>
      <c r="F70" s="3">
        <v>15.9</v>
      </c>
      <c r="G70" s="3">
        <v>17.600000000000001</v>
      </c>
      <c r="H70" s="3">
        <v>18.100000000000001</v>
      </c>
      <c r="I70" s="3">
        <v>18.8</v>
      </c>
      <c r="J70" s="3">
        <v>20</v>
      </c>
      <c r="K70" s="3">
        <v>22.7</v>
      </c>
      <c r="L70" s="3">
        <v>22.8</v>
      </c>
      <c r="M70" s="3">
        <v>23.248999999999999</v>
      </c>
      <c r="N70" s="3">
        <v>24.2</v>
      </c>
      <c r="O70" s="3">
        <v>25.79</v>
      </c>
      <c r="P70" s="3">
        <v>33.158000000000001</v>
      </c>
      <c r="AB70" s="3">
        <f t="shared" si="111"/>
        <v>57.3</v>
      </c>
      <c r="AC70" s="3">
        <f t="shared" si="112"/>
        <v>74.5</v>
      </c>
      <c r="AD70" s="3">
        <f t="shared" si="113"/>
        <v>92.948999999999998</v>
      </c>
    </row>
    <row r="71" spans="2:30" s="3" customFormat="1" x14ac:dyDescent="0.25">
      <c r="B71" s="3" t="s">
        <v>82</v>
      </c>
      <c r="C71" s="3">
        <v>172.49</v>
      </c>
      <c r="D71" s="3">
        <v>209.1</v>
      </c>
      <c r="E71" s="3">
        <v>229.1</v>
      </c>
      <c r="F71" s="3">
        <v>250.6</v>
      </c>
      <c r="G71" s="3">
        <v>264.5</v>
      </c>
      <c r="H71" s="3">
        <v>299.7</v>
      </c>
      <c r="I71" s="3">
        <v>298.2</v>
      </c>
      <c r="J71" s="3">
        <v>305.49799999999999</v>
      </c>
      <c r="K71" s="3">
        <v>331.9</v>
      </c>
      <c r="L71" s="3">
        <v>356</v>
      </c>
      <c r="M71" s="3">
        <v>363.2</v>
      </c>
      <c r="N71" s="3">
        <v>428.1</v>
      </c>
      <c r="O71" s="3">
        <v>379.46</v>
      </c>
      <c r="P71" s="3">
        <v>404.21699999999998</v>
      </c>
      <c r="AB71" s="3">
        <f t="shared" si="111"/>
        <v>861.29000000000008</v>
      </c>
      <c r="AC71" s="3">
        <f t="shared" si="112"/>
        <v>1167.8980000000001</v>
      </c>
      <c r="AD71" s="3">
        <f t="shared" si="113"/>
        <v>1479.1999999999998</v>
      </c>
    </row>
    <row r="72" spans="2:30" s="3" customFormat="1" x14ac:dyDescent="0.25">
      <c r="B72" s="3" t="s">
        <v>83</v>
      </c>
      <c r="C72" s="3">
        <v>8.1</v>
      </c>
      <c r="D72" s="3">
        <v>4.5999999999999996</v>
      </c>
      <c r="E72" s="3">
        <v>-0.54500000000000004</v>
      </c>
      <c r="F72" s="3">
        <v>-8.8000000000000007</v>
      </c>
      <c r="G72" s="3">
        <v>-15.3</v>
      </c>
      <c r="H72" s="3">
        <v>-17.600000000000001</v>
      </c>
      <c r="I72" s="3">
        <v>-16.2</v>
      </c>
      <c r="J72" s="3">
        <v>-12.3</v>
      </c>
      <c r="K72" s="3">
        <v>-11.99</v>
      </c>
      <c r="L72" s="3">
        <v>-12.7</v>
      </c>
      <c r="M72" s="3">
        <v>-9</v>
      </c>
      <c r="N72" s="3">
        <v>-9.5</v>
      </c>
      <c r="O72" s="3">
        <v>-7.65</v>
      </c>
      <c r="P72" s="3">
        <v>-5.7169999999999996</v>
      </c>
      <c r="AB72" s="3">
        <f t="shared" si="111"/>
        <v>3.3549999999999986</v>
      </c>
      <c r="AC72" s="3">
        <f t="shared" si="112"/>
        <v>-61.400000000000006</v>
      </c>
      <c r="AD72" s="3">
        <f t="shared" si="113"/>
        <v>-43.19</v>
      </c>
    </row>
    <row r="73" spans="2:30" s="3" customFormat="1" x14ac:dyDescent="0.25">
      <c r="B73" s="3" t="s">
        <v>84</v>
      </c>
      <c r="C73" s="3">
        <v>8.8000000000000007</v>
      </c>
      <c r="D73" s="3">
        <v>23.1</v>
      </c>
      <c r="E73" s="3">
        <v>13</v>
      </c>
      <c r="F73" s="3">
        <v>1.3</v>
      </c>
      <c r="G73" s="3">
        <v>2.4</v>
      </c>
      <c r="H73" s="3">
        <v>-5.3</v>
      </c>
      <c r="I73" s="3">
        <v>1.7</v>
      </c>
      <c r="J73" s="3">
        <v>-45.7</v>
      </c>
      <c r="K73" s="3">
        <v>20.69</v>
      </c>
      <c r="L73" s="3">
        <v>6.5</v>
      </c>
      <c r="M73" s="3">
        <v>8.6</v>
      </c>
      <c r="N73" s="3">
        <v>-4.3</v>
      </c>
      <c r="O73" s="3">
        <v>29.68</v>
      </c>
      <c r="P73" s="3">
        <v>5.58</v>
      </c>
      <c r="AB73" s="3">
        <f t="shared" si="111"/>
        <v>46.2</v>
      </c>
      <c r="AC73" s="3">
        <f t="shared" si="112"/>
        <v>-46.900000000000006</v>
      </c>
      <c r="AD73" s="3">
        <f t="shared" si="113"/>
        <v>31.49</v>
      </c>
    </row>
    <row r="74" spans="2:30" s="3" customFormat="1" x14ac:dyDescent="0.25">
      <c r="B74" s="3" t="s">
        <v>85</v>
      </c>
      <c r="M74" s="3">
        <v>0.68899999999999995</v>
      </c>
      <c r="N74" s="3">
        <v>2</v>
      </c>
      <c r="O74" s="3">
        <v>2</v>
      </c>
      <c r="P74" s="3">
        <v>2.0739999999999998</v>
      </c>
      <c r="AB74" s="3">
        <f t="shared" si="111"/>
        <v>0</v>
      </c>
      <c r="AC74" s="3">
        <f t="shared" si="112"/>
        <v>0</v>
      </c>
      <c r="AD74" s="3">
        <f t="shared" si="113"/>
        <v>2.6890000000000001</v>
      </c>
    </row>
    <row r="75" spans="2:30" s="3" customFormat="1" x14ac:dyDescent="0.25">
      <c r="B75" s="3" t="s">
        <v>86</v>
      </c>
      <c r="J75" s="3">
        <v>-13.6</v>
      </c>
      <c r="N75" s="3">
        <v>-7.1</v>
      </c>
      <c r="O75" s="3">
        <v>106.488</v>
      </c>
      <c r="P75" s="3">
        <v>2.1309999999999998</v>
      </c>
      <c r="AB75" s="3">
        <f t="shared" si="111"/>
        <v>0</v>
      </c>
      <c r="AC75" s="3">
        <f t="shared" si="112"/>
        <v>-13.6</v>
      </c>
      <c r="AD75" s="3">
        <f t="shared" si="113"/>
        <v>-7.1</v>
      </c>
    </row>
    <row r="76" spans="2:30" s="3" customFormat="1" x14ac:dyDescent="0.25">
      <c r="B76" s="3" t="s">
        <v>38</v>
      </c>
      <c r="C76" s="3">
        <f>-26.6+1.76</f>
        <v>-24.84</v>
      </c>
      <c r="D76" s="3">
        <v>0.3</v>
      </c>
      <c r="E76" s="3">
        <f>1.387-1.396</f>
        <v>-8.999999999999897E-3</v>
      </c>
      <c r="F76" s="3">
        <f>0.9-1.3</f>
        <v>-0.4</v>
      </c>
      <c r="G76" s="3">
        <f>-8.8+9.9</f>
        <v>1.0999999999999996</v>
      </c>
      <c r="H76" s="3">
        <f>-4+1.8</f>
        <v>-2.2000000000000002</v>
      </c>
      <c r="I76" s="3">
        <f>-0.213+2.474</f>
        <v>2.2610000000000001</v>
      </c>
      <c r="J76" s="3">
        <v>0.6</v>
      </c>
      <c r="K76" s="3">
        <v>0.66900000000000004</v>
      </c>
      <c r="L76" s="9">
        <f>0.05+1.25</f>
        <v>1.3</v>
      </c>
      <c r="M76" s="3">
        <f>-0.581+2.961</f>
        <v>2.38</v>
      </c>
      <c r="N76" s="3">
        <v>2.5</v>
      </c>
      <c r="O76" s="3">
        <v>-5.1740000000000004</v>
      </c>
      <c r="P76" s="3">
        <f>-3.445+1.6854</f>
        <v>-1.7595999999999998</v>
      </c>
      <c r="AB76" s="3">
        <f t="shared" si="111"/>
        <v>-24.948999999999998</v>
      </c>
      <c r="AC76" s="3">
        <f t="shared" si="112"/>
        <v>1.7609999999999997</v>
      </c>
      <c r="AD76" s="3">
        <f t="shared" si="113"/>
        <v>6.8490000000000002</v>
      </c>
    </row>
    <row r="77" spans="2:30" s="3" customFormat="1" x14ac:dyDescent="0.25">
      <c r="B77" s="3" t="s">
        <v>56</v>
      </c>
      <c r="C77" s="3">
        <v>266.60000000000002</v>
      </c>
      <c r="D77" s="3">
        <v>-27</v>
      </c>
      <c r="E77" s="3">
        <v>-88.8</v>
      </c>
      <c r="F77" s="3">
        <v>-317.60000000000002</v>
      </c>
      <c r="G77" s="3">
        <v>362.8</v>
      </c>
      <c r="H77" s="3">
        <v>-53</v>
      </c>
      <c r="I77" s="3">
        <v>-104.7</v>
      </c>
      <c r="J77" s="3">
        <v>-417.2</v>
      </c>
      <c r="K77" s="3">
        <v>579.29999999999995</v>
      </c>
      <c r="L77" s="3">
        <v>-87.1</v>
      </c>
      <c r="M77" s="3">
        <v>-163.5</v>
      </c>
      <c r="N77" s="3">
        <v>-328.1</v>
      </c>
      <c r="O77" s="3">
        <v>393.65</v>
      </c>
      <c r="P77" s="3">
        <v>-117.60599999999999</v>
      </c>
      <c r="AB77" s="3">
        <f t="shared" si="111"/>
        <v>-166.8</v>
      </c>
      <c r="AC77" s="3">
        <f t="shared" si="112"/>
        <v>-212.09999999999997</v>
      </c>
      <c r="AD77" s="3">
        <f t="shared" si="113"/>
        <v>0.59999999999990905</v>
      </c>
    </row>
    <row r="78" spans="2:30" s="3" customFormat="1" x14ac:dyDescent="0.25">
      <c r="B78" s="3" t="s">
        <v>87</v>
      </c>
      <c r="C78" s="3">
        <v>-16.7</v>
      </c>
      <c r="D78" s="3">
        <v>-23.1</v>
      </c>
      <c r="E78" s="3">
        <v>-23.7</v>
      </c>
      <c r="F78" s="3">
        <v>-31.4</v>
      </c>
      <c r="G78" s="3">
        <v>-16.399999999999999</v>
      </c>
      <c r="H78" s="3">
        <v>-24.5</v>
      </c>
      <c r="I78" s="3">
        <v>-25.478000000000002</v>
      </c>
      <c r="J78" s="3">
        <v>-68.3</v>
      </c>
      <c r="K78" s="3">
        <v>-14.9</v>
      </c>
      <c r="L78" s="3">
        <v>-21.8</v>
      </c>
      <c r="M78" s="3">
        <v>-26</v>
      </c>
      <c r="N78" s="3">
        <v>-38.78</v>
      </c>
      <c r="O78" s="3">
        <v>-31.1</v>
      </c>
      <c r="P78" s="3">
        <v>-53.75</v>
      </c>
      <c r="AB78" s="3">
        <f t="shared" si="111"/>
        <v>-94.9</v>
      </c>
      <c r="AC78" s="3">
        <f t="shared" si="112"/>
        <v>-134.678</v>
      </c>
      <c r="AD78" s="3">
        <f t="shared" si="113"/>
        <v>-101.48</v>
      </c>
    </row>
    <row r="79" spans="2:30" s="3" customFormat="1" x14ac:dyDescent="0.25">
      <c r="B79" s="3" t="s">
        <v>58</v>
      </c>
      <c r="C79" s="3">
        <v>-57.5</v>
      </c>
      <c r="D79" s="3">
        <v>29.3</v>
      </c>
      <c r="E79" s="3">
        <v>41.3</v>
      </c>
      <c r="F79" s="3">
        <v>-16</v>
      </c>
      <c r="G79" s="3">
        <v>5.5</v>
      </c>
      <c r="H79" s="3">
        <v>41.3</v>
      </c>
      <c r="I79" s="3">
        <v>4.5999999999999996</v>
      </c>
      <c r="J79" s="3">
        <v>8.1999999999999993</v>
      </c>
      <c r="K79" s="3">
        <v>-1.1000000000000001</v>
      </c>
      <c r="L79" s="3">
        <v>34.4</v>
      </c>
      <c r="M79" s="3">
        <v>9.1</v>
      </c>
      <c r="N79" s="3">
        <v>-12.6</v>
      </c>
      <c r="O79" s="3">
        <v>-17.850000000000001</v>
      </c>
      <c r="P79" s="3">
        <v>-4.4859999999999998</v>
      </c>
      <c r="AB79" s="3">
        <f t="shared" si="111"/>
        <v>-2.9000000000000021</v>
      </c>
      <c r="AC79" s="3">
        <f t="shared" si="112"/>
        <v>59.599999999999994</v>
      </c>
      <c r="AD79" s="3">
        <f t="shared" si="113"/>
        <v>29.799999999999997</v>
      </c>
    </row>
    <row r="80" spans="2:30" s="3" customFormat="1" x14ac:dyDescent="0.25">
      <c r="B80" s="3" t="s">
        <v>67</v>
      </c>
      <c r="C80" s="3">
        <v>4.0999999999999996</v>
      </c>
      <c r="D80" s="3">
        <v>2</v>
      </c>
      <c r="E80" s="3">
        <v>4</v>
      </c>
      <c r="F80" s="3">
        <v>-2.2000000000000002</v>
      </c>
      <c r="G80" s="3">
        <v>-3</v>
      </c>
      <c r="H80" s="3">
        <v>20.5</v>
      </c>
      <c r="I80" s="3">
        <v>34.200000000000003</v>
      </c>
      <c r="J80" s="3">
        <v>-32.46</v>
      </c>
      <c r="K80" s="3">
        <v>21.24</v>
      </c>
      <c r="L80" s="3">
        <v>70.099999999999994</v>
      </c>
      <c r="M80" s="3">
        <v>11.2</v>
      </c>
      <c r="N80" s="3">
        <v>6.1</v>
      </c>
      <c r="O80" s="3">
        <v>-4.42</v>
      </c>
      <c r="P80" s="3">
        <v>11.771000000000001</v>
      </c>
      <c r="AB80" s="3">
        <f t="shared" si="111"/>
        <v>7.8999999999999995</v>
      </c>
      <c r="AC80" s="3">
        <f t="shared" si="112"/>
        <v>19.240000000000002</v>
      </c>
      <c r="AD80" s="3">
        <f t="shared" si="113"/>
        <v>108.63999999999999</v>
      </c>
    </row>
    <row r="81" spans="2:30" s="3" customFormat="1" x14ac:dyDescent="0.25">
      <c r="B81" s="3" t="s">
        <v>68</v>
      </c>
      <c r="C81" s="3">
        <v>-14.2</v>
      </c>
      <c r="D81" s="3">
        <v>24.6</v>
      </c>
      <c r="E81" s="3">
        <v>17.2</v>
      </c>
      <c r="F81" s="3">
        <v>46.7</v>
      </c>
      <c r="G81" s="3">
        <v>-8.5</v>
      </c>
      <c r="H81" s="3">
        <v>35.6</v>
      </c>
      <c r="I81" s="3">
        <v>6.6</v>
      </c>
      <c r="J81" s="3">
        <v>137.30000000000001</v>
      </c>
      <c r="K81" s="3">
        <v>-54.68</v>
      </c>
      <c r="L81" s="3">
        <v>59.3</v>
      </c>
      <c r="M81" s="3">
        <v>34</v>
      </c>
      <c r="N81" s="3">
        <v>32.173999999999999</v>
      </c>
      <c r="O81" s="3">
        <v>3.9350000000000001</v>
      </c>
      <c r="P81" s="3">
        <v>93.290999999999997</v>
      </c>
      <c r="AB81" s="3">
        <f t="shared" si="111"/>
        <v>74.300000000000011</v>
      </c>
      <c r="AC81" s="3">
        <f t="shared" si="112"/>
        <v>171</v>
      </c>
      <c r="AD81" s="3">
        <f t="shared" si="113"/>
        <v>70.793999999999997</v>
      </c>
    </row>
    <row r="82" spans="2:30" s="3" customFormat="1" x14ac:dyDescent="0.25">
      <c r="B82" s="3" t="s">
        <v>88</v>
      </c>
      <c r="C82" s="3">
        <v>-8.3000000000000007</v>
      </c>
      <c r="D82" s="3">
        <v>-9.8000000000000007</v>
      </c>
      <c r="E82" s="3">
        <v>-10.9</v>
      </c>
      <c r="F82" s="3">
        <v>-13.1</v>
      </c>
      <c r="G82" s="3">
        <v>-10.7</v>
      </c>
      <c r="H82" s="3">
        <v>-5.2</v>
      </c>
      <c r="I82" s="3">
        <v>-12.7</v>
      </c>
      <c r="J82" s="3">
        <v>-11.7</v>
      </c>
      <c r="K82" s="3">
        <v>-13.3</v>
      </c>
      <c r="L82" s="3">
        <v>-11.9</v>
      </c>
      <c r="M82" s="3">
        <v>-9</v>
      </c>
      <c r="N82" s="3">
        <v>-13.36</v>
      </c>
      <c r="O82" s="3">
        <v>-11.8</v>
      </c>
      <c r="P82" s="3">
        <v>-14.558999999999999</v>
      </c>
      <c r="AB82" s="3">
        <f t="shared" si="111"/>
        <v>-42.1</v>
      </c>
      <c r="AC82" s="3">
        <f t="shared" si="112"/>
        <v>-40.299999999999997</v>
      </c>
      <c r="AD82" s="3">
        <f t="shared" si="113"/>
        <v>-47.56</v>
      </c>
    </row>
    <row r="83" spans="2:30" s="3" customFormat="1" x14ac:dyDescent="0.25">
      <c r="B83" s="3" t="s">
        <v>89</v>
      </c>
      <c r="C83" s="3">
        <v>-21.4</v>
      </c>
      <c r="D83" s="3">
        <v>12.79</v>
      </c>
      <c r="E83" s="3">
        <v>55.3</v>
      </c>
      <c r="F83" s="3">
        <v>467.6</v>
      </c>
      <c r="G83" s="3">
        <v>-110.4</v>
      </c>
      <c r="H83" s="3">
        <v>-39</v>
      </c>
      <c r="I83" s="3">
        <v>82.1</v>
      </c>
      <c r="J83" s="3">
        <v>595.4</v>
      </c>
      <c r="K83" s="3">
        <v>-261.18</v>
      </c>
      <c r="L83" s="3">
        <v>-88.2</v>
      </c>
      <c r="M83" s="3">
        <v>122.7</v>
      </c>
      <c r="N83" s="3">
        <v>609.44000000000005</v>
      </c>
      <c r="O83" s="3">
        <v>-271.36</v>
      </c>
      <c r="P83" s="3">
        <v>-52.511000000000003</v>
      </c>
      <c r="AB83" s="3">
        <f t="shared" si="111"/>
        <v>514.29</v>
      </c>
      <c r="AC83" s="3">
        <f t="shared" si="112"/>
        <v>528.09999999999991</v>
      </c>
      <c r="AD83" s="3">
        <f t="shared" si="113"/>
        <v>382.76000000000005</v>
      </c>
    </row>
    <row r="84" spans="2:30" s="5" customFormat="1" x14ac:dyDescent="0.25">
      <c r="B84" s="5" t="s">
        <v>90</v>
      </c>
      <c r="C84" s="5">
        <f t="shared" ref="C84" si="114">SUM(C67:C83)</f>
        <v>184.45600000000002</v>
      </c>
      <c r="D84" s="5">
        <f t="shared" ref="D84:N84" si="115">SUM(D67:D83)</f>
        <v>63.989999999999959</v>
      </c>
      <c r="E84" s="5">
        <f t="shared" si="115"/>
        <v>79.036000000000001</v>
      </c>
      <c r="F84" s="5">
        <f t="shared" si="115"/>
        <v>217.49999999999997</v>
      </c>
      <c r="G84" s="5">
        <f t="shared" si="115"/>
        <v>299.5</v>
      </c>
      <c r="H84" s="5">
        <f t="shared" si="115"/>
        <v>82.999999999999957</v>
      </c>
      <c r="I84" s="5">
        <f t="shared" si="115"/>
        <v>120.65300000000001</v>
      </c>
      <c r="J84" s="5">
        <f t="shared" si="115"/>
        <v>344.488</v>
      </c>
      <c r="K84" s="5">
        <f t="shared" si="115"/>
        <v>355.44900000000001</v>
      </c>
      <c r="L84" s="5">
        <f t="shared" si="115"/>
        <v>69.900000000000048</v>
      </c>
      <c r="M84" s="5">
        <f t="shared" si="115"/>
        <v>101.518</v>
      </c>
      <c r="N84" s="5">
        <f t="shared" si="115"/>
        <v>432.57400000000007</v>
      </c>
      <c r="O84" s="5">
        <f>SUM(O67:O83)</f>
        <v>228.33899999999988</v>
      </c>
      <c r="P84" s="5">
        <f t="shared" ref="P84:V84" si="116">SUM(P67:P83)</f>
        <v>74.8964</v>
      </c>
      <c r="Q84" s="5">
        <f t="shared" si="116"/>
        <v>0</v>
      </c>
      <c r="R84" s="5">
        <f t="shared" si="116"/>
        <v>0</v>
      </c>
      <c r="S84" s="5">
        <f t="shared" si="116"/>
        <v>0</v>
      </c>
      <c r="T84" s="5">
        <f t="shared" si="116"/>
        <v>0</v>
      </c>
      <c r="U84" s="5">
        <f t="shared" si="116"/>
        <v>0</v>
      </c>
      <c r="V84" s="5">
        <f t="shared" si="116"/>
        <v>0</v>
      </c>
      <c r="AB84" s="5">
        <f t="shared" ref="AB84:AD84" si="117">SUM(AB67:AB83)</f>
        <v>544.98199999999997</v>
      </c>
      <c r="AC84" s="5">
        <f t="shared" si="117"/>
        <v>847.64100000000008</v>
      </c>
      <c r="AD84" s="5">
        <f t="shared" si="117"/>
        <v>959.44099999999958</v>
      </c>
    </row>
    <row r="85" spans="2:30" s="3" customFormat="1" x14ac:dyDescent="0.25">
      <c r="B85" s="3" t="s">
        <v>108</v>
      </c>
      <c r="C85" s="3">
        <v>-7.4</v>
      </c>
      <c r="D85" s="3">
        <v>-3.8</v>
      </c>
      <c r="E85" s="3">
        <v>-8.5</v>
      </c>
      <c r="F85" s="3">
        <v>-5.3</v>
      </c>
      <c r="G85" s="3">
        <v>-6.9</v>
      </c>
      <c r="H85" s="3">
        <v>-6.2</v>
      </c>
      <c r="I85" s="3">
        <v>-8.7460000000000004</v>
      </c>
      <c r="J85" s="3">
        <v>-13</v>
      </c>
      <c r="K85" s="3">
        <v>-16.5</v>
      </c>
      <c r="L85" s="3">
        <v>-5</v>
      </c>
      <c r="M85" s="3">
        <v>-13.4</v>
      </c>
      <c r="N85" s="3">
        <v>-11.2</v>
      </c>
      <c r="O85" s="3">
        <v>-44.9</v>
      </c>
      <c r="P85" s="3">
        <v>-16.664999999999999</v>
      </c>
      <c r="AB85" s="3">
        <f t="shared" ref="AB85" si="118">C85+D85+E85+F85</f>
        <v>-25</v>
      </c>
      <c r="AC85" s="3">
        <f t="shared" ref="AC85" si="119">+G85+H85+I85+J85</f>
        <v>-34.846000000000004</v>
      </c>
      <c r="AD85" s="3">
        <f t="shared" ref="AD85" si="120">+K85+L85+M85+N85</f>
        <v>-46.099999999999994</v>
      </c>
    </row>
    <row r="86" spans="2:30" s="3" customFormat="1" x14ac:dyDescent="0.25">
      <c r="B86" s="3" t="s">
        <v>91</v>
      </c>
      <c r="C86" s="3">
        <v>-4.8</v>
      </c>
      <c r="D86" s="3">
        <v>-6.7</v>
      </c>
      <c r="E86" s="3">
        <v>-5.7</v>
      </c>
      <c r="F86" s="3">
        <v>-6.6</v>
      </c>
      <c r="G86" s="3">
        <v>-9.3000000000000007</v>
      </c>
      <c r="H86" s="3">
        <v>-7.8</v>
      </c>
      <c r="I86" s="3">
        <v>-9.8000000000000007</v>
      </c>
      <c r="J86" s="3">
        <v>-7.0289999999999999</v>
      </c>
      <c r="K86" s="3">
        <v>-7.4</v>
      </c>
      <c r="L86" s="3">
        <v>-5.9</v>
      </c>
      <c r="M86" s="3">
        <v>-10</v>
      </c>
      <c r="N86" s="3">
        <v>-6</v>
      </c>
      <c r="AB86" s="3">
        <f t="shared" ref="AB86:AB90" si="121">C86+D86+E86+F86</f>
        <v>-23.799999999999997</v>
      </c>
      <c r="AC86" s="3">
        <f t="shared" ref="AC86:AC90" si="122">+G86+H86+I86+J86</f>
        <v>-33.929000000000002</v>
      </c>
      <c r="AD86" s="3">
        <f t="shared" ref="AD86:AD90" si="123">+K86+L86+M86+N86</f>
        <v>-29.3</v>
      </c>
    </row>
    <row r="87" spans="2:30" s="3" customFormat="1" x14ac:dyDescent="0.25">
      <c r="B87" s="3" t="s">
        <v>92</v>
      </c>
      <c r="C87" s="3">
        <f>-177.9-897.2</f>
        <v>-1075.1000000000001</v>
      </c>
      <c r="D87" s="3">
        <f>-0.7-1027.9</f>
        <v>-1028.6000000000001</v>
      </c>
      <c r="E87" s="3">
        <f>-174.6-870.9</f>
        <v>-1045.5</v>
      </c>
      <c r="F87" s="3">
        <f>-10-1105.1</f>
        <v>-1115.0999999999999</v>
      </c>
      <c r="G87" s="3">
        <f>-123.1-1037.2</f>
        <v>-1160.3</v>
      </c>
      <c r="H87" s="3">
        <f>-141.4-27.4-688.6</f>
        <v>-857.40000000000009</v>
      </c>
      <c r="I87" s="3">
        <f>-14.9-1.26-369.365</f>
        <v>-385.52500000000003</v>
      </c>
      <c r="J87" s="3">
        <f>3.8-380.87</f>
        <v>-377.07</v>
      </c>
      <c r="K87" s="3">
        <v>-1078.2</v>
      </c>
      <c r="L87" s="3">
        <f>-8.9-196.4</f>
        <v>-205.3</v>
      </c>
      <c r="M87" s="3">
        <f>-8.219-1014.2</f>
        <v>-1022.4190000000001</v>
      </c>
      <c r="N87" s="3">
        <f>-13.1-280.25</f>
        <v>-293.35000000000002</v>
      </c>
      <c r="O87" s="3">
        <v>-1012.57</v>
      </c>
      <c r="P87" s="3">
        <f>-164.23-1.3-636.469</f>
        <v>-801.99900000000002</v>
      </c>
      <c r="AB87" s="3">
        <f t="shared" si="121"/>
        <v>-4264.3</v>
      </c>
      <c r="AC87" s="3">
        <f t="shared" si="122"/>
        <v>-2780.2950000000001</v>
      </c>
      <c r="AD87" s="3">
        <f t="shared" si="123"/>
        <v>-2599.2689999999998</v>
      </c>
    </row>
    <row r="88" spans="2:30" s="3" customFormat="1" x14ac:dyDescent="0.25">
      <c r="B88" s="3" t="s">
        <v>93</v>
      </c>
      <c r="C88" s="3">
        <v>10.9</v>
      </c>
      <c r="D88" s="3">
        <v>32.799999999999997</v>
      </c>
      <c r="E88" s="3">
        <v>14.8</v>
      </c>
      <c r="G88" s="3">
        <v>5.6</v>
      </c>
      <c r="H88" s="3">
        <v>1.6</v>
      </c>
      <c r="I88" s="3">
        <v>4</v>
      </c>
      <c r="K88" s="3">
        <v>30.3</v>
      </c>
      <c r="L88" s="3">
        <v>10.4</v>
      </c>
      <c r="M88" s="3">
        <v>13.59</v>
      </c>
      <c r="N88" s="3">
        <v>10.1</v>
      </c>
      <c r="O88" s="3">
        <v>17.399999999999999</v>
      </c>
      <c r="P88" s="3">
        <v>1.476</v>
      </c>
      <c r="AB88" s="3">
        <f t="shared" si="121"/>
        <v>58.5</v>
      </c>
      <c r="AC88" s="3">
        <f t="shared" si="122"/>
        <v>11.2</v>
      </c>
      <c r="AD88" s="3">
        <f t="shared" si="123"/>
        <v>64.39</v>
      </c>
    </row>
    <row r="89" spans="2:30" s="3" customFormat="1" x14ac:dyDescent="0.25">
      <c r="B89" s="3" t="s">
        <v>94</v>
      </c>
      <c r="C89" s="3">
        <v>886.6</v>
      </c>
      <c r="D89" s="3">
        <v>809.8</v>
      </c>
      <c r="E89" s="3">
        <v>898</v>
      </c>
      <c r="F89" s="3">
        <v>1062.4000000000001</v>
      </c>
      <c r="G89" s="3">
        <v>808.8</v>
      </c>
      <c r="H89" s="3">
        <v>971.2</v>
      </c>
      <c r="I89" s="3">
        <v>971</v>
      </c>
      <c r="J89" s="3">
        <v>919.7</v>
      </c>
      <c r="K89" s="3">
        <v>921.39</v>
      </c>
      <c r="L89" s="3">
        <v>590</v>
      </c>
      <c r="M89" s="3">
        <v>765.19</v>
      </c>
      <c r="N89" s="3">
        <v>525.4</v>
      </c>
      <c r="O89" s="3">
        <v>984.18200000000002</v>
      </c>
      <c r="P89" s="3">
        <v>517.947</v>
      </c>
      <c r="AB89" s="3">
        <f t="shared" si="121"/>
        <v>3656.8</v>
      </c>
      <c r="AC89" s="3">
        <f t="shared" si="122"/>
        <v>3670.7</v>
      </c>
      <c r="AD89" s="3">
        <f t="shared" si="123"/>
        <v>2801.98</v>
      </c>
    </row>
    <row r="90" spans="2:30" s="3" customFormat="1" x14ac:dyDescent="0.25">
      <c r="B90" s="3" t="s">
        <v>95</v>
      </c>
      <c r="K90" s="3">
        <v>-0.749</v>
      </c>
      <c r="AB90" s="3">
        <f t="shared" si="121"/>
        <v>0</v>
      </c>
      <c r="AC90" s="3">
        <f t="shared" si="122"/>
        <v>0</v>
      </c>
      <c r="AD90" s="3">
        <f t="shared" si="123"/>
        <v>-0.749</v>
      </c>
    </row>
    <row r="91" spans="2:30" s="5" customFormat="1" x14ac:dyDescent="0.25">
      <c r="B91" s="5" t="s">
        <v>96</v>
      </c>
      <c r="C91" s="5">
        <f t="shared" ref="C91" si="124">SUM(C85:C90)</f>
        <v>-189.80000000000007</v>
      </c>
      <c r="D91" s="5">
        <f t="shared" ref="D91:N91" si="125">SUM(D85:D90)</f>
        <v>-196.50000000000023</v>
      </c>
      <c r="E91" s="5">
        <f t="shared" si="125"/>
        <v>-146.90000000000009</v>
      </c>
      <c r="F91" s="5">
        <f t="shared" si="125"/>
        <v>-64.599999999999909</v>
      </c>
      <c r="G91" s="5">
        <f t="shared" si="125"/>
        <v>-362.10000000000014</v>
      </c>
      <c r="H91" s="5">
        <f t="shared" si="125"/>
        <v>101.39999999999998</v>
      </c>
      <c r="I91" s="5">
        <f t="shared" si="125"/>
        <v>570.92899999999997</v>
      </c>
      <c r="J91" s="5">
        <f t="shared" si="125"/>
        <v>522.60100000000011</v>
      </c>
      <c r="K91" s="5">
        <f t="shared" si="125"/>
        <v>-151.15900000000019</v>
      </c>
      <c r="L91" s="5">
        <f t="shared" si="125"/>
        <v>384.2</v>
      </c>
      <c r="M91" s="5">
        <f t="shared" si="125"/>
        <v>-267.03900000000021</v>
      </c>
      <c r="N91" s="5">
        <f t="shared" si="125"/>
        <v>224.95</v>
      </c>
      <c r="O91" s="5">
        <f>SUM(O85:O90)</f>
        <v>-55.88799999999992</v>
      </c>
      <c r="P91" s="5">
        <f t="shared" ref="P91:V91" si="126">SUM(P85:P90)</f>
        <v>-299.24099999999999</v>
      </c>
      <c r="Q91" s="5">
        <f t="shared" si="126"/>
        <v>0</v>
      </c>
      <c r="R91" s="5">
        <f t="shared" si="126"/>
        <v>0</v>
      </c>
      <c r="S91" s="5">
        <f t="shared" si="126"/>
        <v>0</v>
      </c>
      <c r="T91" s="5">
        <f t="shared" si="126"/>
        <v>0</v>
      </c>
      <c r="U91" s="5">
        <f t="shared" si="126"/>
        <v>0</v>
      </c>
      <c r="V91" s="5">
        <f t="shared" si="126"/>
        <v>0</v>
      </c>
      <c r="AB91" s="5">
        <f t="shared" ref="AB91:AD91" si="127">SUM(AB85:AB90)</f>
        <v>-597.80000000000018</v>
      </c>
      <c r="AC91" s="5">
        <f t="shared" si="127"/>
        <v>832.82999999999947</v>
      </c>
      <c r="AD91" s="5">
        <f t="shared" si="127"/>
        <v>190.95200000000003</v>
      </c>
    </row>
    <row r="92" spans="2:30" s="3" customFormat="1" x14ac:dyDescent="0.25">
      <c r="B92" s="3" t="s">
        <v>97</v>
      </c>
      <c r="C92" s="3">
        <v>15.2</v>
      </c>
      <c r="D92" s="3">
        <v>8.5</v>
      </c>
      <c r="E92" s="3">
        <v>7.2</v>
      </c>
      <c r="F92" s="3">
        <v>8.8000000000000007</v>
      </c>
      <c r="G92" s="3">
        <v>15.3</v>
      </c>
      <c r="H92" s="3">
        <v>16.100000000000001</v>
      </c>
      <c r="I92" s="3">
        <v>7.335</v>
      </c>
      <c r="J92" s="3">
        <v>18.3</v>
      </c>
      <c r="K92" s="3">
        <v>10.6</v>
      </c>
      <c r="L92" s="3">
        <v>12.9</v>
      </c>
      <c r="M92" s="3">
        <v>11.5</v>
      </c>
      <c r="N92" s="3">
        <v>9.6</v>
      </c>
      <c r="O92" s="3">
        <v>6.26</v>
      </c>
      <c r="P92" s="3">
        <v>28.186</v>
      </c>
      <c r="AB92" s="3">
        <f t="shared" ref="AB92:AB96" si="128">C92+D92+E92+F92</f>
        <v>39.700000000000003</v>
      </c>
      <c r="AC92" s="3">
        <f t="shared" ref="AC92:AC96" si="129">+G92+H92+I92+J92</f>
        <v>57.034999999999997</v>
      </c>
      <c r="AD92" s="3">
        <f t="shared" ref="AD92:AD96" si="130">+K92+L92+M92+N92</f>
        <v>44.6</v>
      </c>
    </row>
    <row r="93" spans="2:30" s="3" customFormat="1" x14ac:dyDescent="0.25">
      <c r="B93" s="3" t="s">
        <v>98</v>
      </c>
      <c r="C93" s="3">
        <v>26</v>
      </c>
      <c r="E93" s="3">
        <v>14.8</v>
      </c>
      <c r="G93" s="3">
        <v>37</v>
      </c>
      <c r="I93" s="3">
        <v>24.169</v>
      </c>
      <c r="K93" s="3">
        <v>46.7</v>
      </c>
      <c r="M93" s="3">
        <v>30.3</v>
      </c>
      <c r="O93" s="3">
        <v>53.1</v>
      </c>
      <c r="AB93" s="3">
        <f t="shared" si="128"/>
        <v>40.799999999999997</v>
      </c>
      <c r="AC93" s="3">
        <f t="shared" si="129"/>
        <v>61.168999999999997</v>
      </c>
      <c r="AD93" s="3">
        <f t="shared" si="130"/>
        <v>77</v>
      </c>
    </row>
    <row r="94" spans="2:30" s="3" customFormat="1" x14ac:dyDescent="0.25">
      <c r="B94" s="3" t="s">
        <v>99</v>
      </c>
      <c r="C94" s="3">
        <v>-53.2</v>
      </c>
      <c r="D94" s="3">
        <v>-30.89</v>
      </c>
      <c r="E94" s="3">
        <v>-51.6</v>
      </c>
      <c r="F94" s="3">
        <v>-48.8</v>
      </c>
      <c r="G94" s="3">
        <v>-84.4</v>
      </c>
      <c r="H94" s="3">
        <v>-98.3</v>
      </c>
      <c r="I94" s="3">
        <v>-91.1</v>
      </c>
      <c r="J94" s="3">
        <v>-106.9</v>
      </c>
      <c r="K94" s="3">
        <v>-174.59</v>
      </c>
      <c r="L94" s="3">
        <v>-103.5</v>
      </c>
      <c r="M94" s="3">
        <v>-81.492999999999995</v>
      </c>
      <c r="N94" s="3">
        <v>-129.5</v>
      </c>
      <c r="O94" s="3">
        <v>-132.49</v>
      </c>
      <c r="P94" s="3">
        <v>-161.999</v>
      </c>
      <c r="AB94" s="3">
        <f t="shared" si="128"/>
        <v>-184.49</v>
      </c>
      <c r="AC94" s="3">
        <f t="shared" si="129"/>
        <v>-380.69999999999993</v>
      </c>
      <c r="AD94" s="3">
        <f t="shared" si="130"/>
        <v>-489.08300000000003</v>
      </c>
    </row>
    <row r="95" spans="2:30" s="3" customFormat="1" x14ac:dyDescent="0.25">
      <c r="B95" s="3" t="s">
        <v>100</v>
      </c>
      <c r="G95" s="3">
        <v>-191.7</v>
      </c>
      <c r="I95" s="3">
        <v>-400</v>
      </c>
      <c r="K95" s="3">
        <v>-516.29999999999995</v>
      </c>
      <c r="L95" s="3">
        <v>-400</v>
      </c>
      <c r="M95" s="3">
        <v>-1016</v>
      </c>
      <c r="O95" s="3">
        <v>-490.6</v>
      </c>
      <c r="AB95" s="3">
        <f t="shared" si="128"/>
        <v>0</v>
      </c>
      <c r="AC95" s="3">
        <f t="shared" si="129"/>
        <v>-591.70000000000005</v>
      </c>
      <c r="AD95" s="3">
        <f t="shared" si="130"/>
        <v>-1932.3</v>
      </c>
    </row>
    <row r="96" spans="2:30" s="3" customFormat="1" x14ac:dyDescent="0.25">
      <c r="B96" s="3" t="s">
        <v>38</v>
      </c>
      <c r="E96" s="3">
        <f>13-1.8</f>
        <v>11.2</v>
      </c>
      <c r="M96" s="3">
        <f>2300-31.2-195.5</f>
        <v>2073.3000000000002</v>
      </c>
      <c r="N96" s="3">
        <v>-0.25</v>
      </c>
      <c r="O96" s="3">
        <v>-0.374</v>
      </c>
      <c r="P96" s="3">
        <v>-0.22600000000000001</v>
      </c>
      <c r="AB96" s="3">
        <f t="shared" si="128"/>
        <v>11.2</v>
      </c>
      <c r="AC96" s="3">
        <f t="shared" si="129"/>
        <v>0</v>
      </c>
      <c r="AD96" s="3">
        <f t="shared" si="130"/>
        <v>2073.0500000000002</v>
      </c>
    </row>
    <row r="97" spans="2:786" s="5" customFormat="1" x14ac:dyDescent="0.25">
      <c r="B97" s="5" t="s">
        <v>101</v>
      </c>
      <c r="C97" s="5">
        <f t="shared" ref="C97" si="131">SUM(C92:C96)</f>
        <v>-12</v>
      </c>
      <c r="D97" s="5">
        <f t="shared" ref="D97:N97" si="132">SUM(D92:D96)</f>
        <v>-22.39</v>
      </c>
      <c r="E97" s="5">
        <f t="shared" si="132"/>
        <v>-18.400000000000002</v>
      </c>
      <c r="F97" s="5">
        <f t="shared" si="132"/>
        <v>-40</v>
      </c>
      <c r="G97" s="5">
        <f t="shared" si="132"/>
        <v>-223.8</v>
      </c>
      <c r="H97" s="5">
        <f t="shared" si="132"/>
        <v>-82.199999999999989</v>
      </c>
      <c r="I97" s="5">
        <f t="shared" si="132"/>
        <v>-459.596</v>
      </c>
      <c r="J97" s="5">
        <f t="shared" si="132"/>
        <v>-88.600000000000009</v>
      </c>
      <c r="K97" s="5">
        <f t="shared" si="132"/>
        <v>-633.58999999999992</v>
      </c>
      <c r="L97" s="5">
        <f t="shared" si="132"/>
        <v>-490.6</v>
      </c>
      <c r="M97" s="5">
        <f t="shared" si="132"/>
        <v>1017.6070000000002</v>
      </c>
      <c r="N97" s="5">
        <f t="shared" si="132"/>
        <v>-120.15</v>
      </c>
      <c r="O97" s="5">
        <f>SUM(O92:O96)</f>
        <v>-564.10400000000004</v>
      </c>
      <c r="P97" s="5">
        <f t="shared" ref="P97:V97" si="133">SUM(P92:P96)</f>
        <v>-134.03899999999999</v>
      </c>
      <c r="Q97" s="5">
        <f t="shared" si="133"/>
        <v>0</v>
      </c>
      <c r="R97" s="5">
        <f t="shared" si="133"/>
        <v>0</v>
      </c>
      <c r="S97" s="5">
        <f t="shared" si="133"/>
        <v>0</v>
      </c>
      <c r="T97" s="5">
        <f t="shared" si="133"/>
        <v>0</v>
      </c>
      <c r="U97" s="5">
        <f t="shared" si="133"/>
        <v>0</v>
      </c>
      <c r="V97" s="5">
        <f t="shared" si="133"/>
        <v>0</v>
      </c>
      <c r="AB97" s="5">
        <f t="shared" ref="AB97:AD97" si="134">SUM(AB92:AB96)</f>
        <v>-92.79</v>
      </c>
      <c r="AC97" s="5">
        <f t="shared" si="134"/>
        <v>-854.19599999999991</v>
      </c>
      <c r="AD97" s="5">
        <f t="shared" si="134"/>
        <v>-226.73299999999972</v>
      </c>
    </row>
    <row r="98" spans="2:786" s="3" customFormat="1" x14ac:dyDescent="0.25">
      <c r="B98" s="3" t="s">
        <v>102</v>
      </c>
      <c r="C98" s="3">
        <v>-5</v>
      </c>
      <c r="D98" s="3">
        <v>-2.2000000000000002</v>
      </c>
      <c r="E98" s="3">
        <v>-2</v>
      </c>
      <c r="F98" s="3">
        <v>8.4</v>
      </c>
      <c r="G98" s="3">
        <v>0.53500000000000003</v>
      </c>
      <c r="H98" s="3">
        <v>0.47</v>
      </c>
      <c r="I98" s="3">
        <v>-5.6</v>
      </c>
      <c r="J98" s="3">
        <v>2.5</v>
      </c>
      <c r="K98" s="3">
        <v>-2.633</v>
      </c>
      <c r="L98" s="3">
        <v>0.72</v>
      </c>
      <c r="M98" s="3">
        <v>0.77800000000000002</v>
      </c>
      <c r="N98" s="3">
        <v>-5</v>
      </c>
      <c r="O98" s="3">
        <v>12.397</v>
      </c>
      <c r="P98" s="3">
        <v>-0.17499999999999999</v>
      </c>
      <c r="AB98" s="3">
        <f t="shared" ref="AB98" si="135">C98+D98+E98+F98</f>
        <v>-0.79999999999999893</v>
      </c>
      <c r="AC98" s="3">
        <f t="shared" ref="AC98" si="136">+G98+H98+I98+J98</f>
        <v>-2.0949999999999998</v>
      </c>
      <c r="AD98" s="3">
        <f t="shared" ref="AD98" si="137">+K98+L98+M98+N98</f>
        <v>-6.1349999999999998</v>
      </c>
    </row>
    <row r="99" spans="2:786" s="5" customFormat="1" x14ac:dyDescent="0.25">
      <c r="B99" s="5" t="s">
        <v>103</v>
      </c>
      <c r="C99" s="5">
        <f t="shared" ref="C99" si="138">C84+C91+C97+C98</f>
        <v>-22.344000000000051</v>
      </c>
      <c r="D99" s="5">
        <f t="shared" ref="D99:J99" si="139">D84+D91+D97+D98</f>
        <v>-157.10000000000025</v>
      </c>
      <c r="E99" s="5">
        <f t="shared" si="139"/>
        <v>-88.264000000000095</v>
      </c>
      <c r="F99" s="5">
        <f t="shared" si="139"/>
        <v>121.30000000000007</v>
      </c>
      <c r="G99" s="5">
        <f t="shared" si="139"/>
        <v>-285.86500000000012</v>
      </c>
      <c r="H99" s="5">
        <f t="shared" si="139"/>
        <v>102.66999999999993</v>
      </c>
      <c r="I99" s="5">
        <f t="shared" si="139"/>
        <v>226.386</v>
      </c>
      <c r="J99" s="5">
        <f t="shared" si="139"/>
        <v>780.98900000000015</v>
      </c>
      <c r="K99" s="5">
        <f>K84+K91+K97+K98</f>
        <v>-431.93300000000005</v>
      </c>
      <c r="L99" s="5">
        <f t="shared" ref="L99:V99" si="140">L84+L91+L97+L98</f>
        <v>-35.78</v>
      </c>
      <c r="M99" s="5">
        <f t="shared" si="140"/>
        <v>852.86400000000003</v>
      </c>
      <c r="N99" s="5">
        <f t="shared" si="140"/>
        <v>532.37400000000014</v>
      </c>
      <c r="O99" s="5">
        <f t="shared" si="140"/>
        <v>-379.25600000000009</v>
      </c>
      <c r="P99" s="5">
        <f t="shared" si="140"/>
        <v>-358.55860000000001</v>
      </c>
      <c r="Q99" s="5">
        <f t="shared" si="140"/>
        <v>0</v>
      </c>
      <c r="R99" s="5">
        <f t="shared" si="140"/>
        <v>0</v>
      </c>
      <c r="S99" s="5">
        <f t="shared" si="140"/>
        <v>0</v>
      </c>
      <c r="T99" s="5">
        <f t="shared" si="140"/>
        <v>0</v>
      </c>
      <c r="U99" s="5">
        <f t="shared" si="140"/>
        <v>0</v>
      </c>
      <c r="V99" s="5">
        <f t="shared" si="140"/>
        <v>0</v>
      </c>
      <c r="AB99" s="5">
        <f t="shared" ref="AB99:AD99" si="141">AB84+AB91+AB97+AB98</f>
        <v>-146.40800000000024</v>
      </c>
      <c r="AC99" s="5">
        <f t="shared" si="141"/>
        <v>824.17999999999961</v>
      </c>
      <c r="AD99" s="5">
        <f t="shared" si="141"/>
        <v>917.52499999999986</v>
      </c>
    </row>
    <row r="100" spans="2:786" s="3" customFormat="1" x14ac:dyDescent="0.25">
      <c r="B100" s="3" t="s">
        <v>104</v>
      </c>
      <c r="C100" s="3">
        <v>1102.5</v>
      </c>
      <c r="D100" s="3">
        <f>+C101</f>
        <v>1080.1559999999999</v>
      </c>
      <c r="E100" s="3">
        <f t="shared" ref="E100:V100" si="142">+D101</f>
        <v>923.0559999999997</v>
      </c>
      <c r="F100" s="3">
        <f t="shared" si="142"/>
        <v>834.79199999999958</v>
      </c>
      <c r="G100" s="3">
        <f t="shared" si="142"/>
        <v>956.09199999999964</v>
      </c>
      <c r="H100" s="3">
        <f t="shared" si="142"/>
        <v>670.22699999999952</v>
      </c>
      <c r="I100" s="3">
        <f t="shared" si="142"/>
        <v>772.89699999999948</v>
      </c>
      <c r="J100" s="3">
        <f t="shared" si="142"/>
        <v>999.28299999999945</v>
      </c>
      <c r="K100" s="3">
        <f t="shared" si="142"/>
        <v>1780.2719999999995</v>
      </c>
      <c r="L100" s="3">
        <f t="shared" si="142"/>
        <v>1348.3389999999995</v>
      </c>
      <c r="M100" s="3">
        <f t="shared" si="142"/>
        <v>1312.5589999999995</v>
      </c>
      <c r="N100" s="3">
        <f t="shared" si="142"/>
        <v>2165.4229999999998</v>
      </c>
      <c r="O100" s="3">
        <f t="shared" si="142"/>
        <v>2697.797</v>
      </c>
      <c r="P100" s="3">
        <f t="shared" si="142"/>
        <v>2318.5410000000002</v>
      </c>
      <c r="Q100" s="3">
        <f t="shared" si="142"/>
        <v>1959.9824000000001</v>
      </c>
      <c r="R100" s="3">
        <f t="shared" si="142"/>
        <v>1959.9824000000001</v>
      </c>
      <c r="S100" s="3">
        <f t="shared" si="142"/>
        <v>1959.9824000000001</v>
      </c>
      <c r="T100" s="3">
        <f t="shared" si="142"/>
        <v>1959.9824000000001</v>
      </c>
      <c r="U100" s="3">
        <f t="shared" si="142"/>
        <v>1959.9824000000001</v>
      </c>
      <c r="V100" s="3">
        <f t="shared" si="142"/>
        <v>1959.9824000000001</v>
      </c>
      <c r="AB100" s="3">
        <f>+C100</f>
        <v>1102.5</v>
      </c>
      <c r="AC100" s="3">
        <f t="shared" ref="AC100" si="143">+AB101</f>
        <v>956.09199999999976</v>
      </c>
      <c r="AD100" s="3">
        <f t="shared" ref="AD100" si="144">+AC101</f>
        <v>1780.2719999999995</v>
      </c>
    </row>
    <row r="101" spans="2:786" s="3" customFormat="1" x14ac:dyDescent="0.25">
      <c r="B101" s="3" t="s">
        <v>105</v>
      </c>
      <c r="C101" s="3">
        <f>+C99+C100</f>
        <v>1080.1559999999999</v>
      </c>
      <c r="D101" s="3">
        <f>+D99+D100</f>
        <v>923.0559999999997</v>
      </c>
      <c r="E101" s="3">
        <f t="shared" ref="E101:V101" si="145">+E99+E100</f>
        <v>834.79199999999958</v>
      </c>
      <c r="F101" s="3">
        <f t="shared" si="145"/>
        <v>956.09199999999964</v>
      </c>
      <c r="G101" s="3">
        <f t="shared" si="145"/>
        <v>670.22699999999952</v>
      </c>
      <c r="H101" s="3">
        <f t="shared" si="145"/>
        <v>772.89699999999948</v>
      </c>
      <c r="I101" s="3">
        <f t="shared" si="145"/>
        <v>999.28299999999945</v>
      </c>
      <c r="J101" s="3">
        <f t="shared" si="145"/>
        <v>1780.2719999999995</v>
      </c>
      <c r="K101" s="3">
        <f t="shared" si="145"/>
        <v>1348.3389999999995</v>
      </c>
      <c r="L101" s="3">
        <f t="shared" si="145"/>
        <v>1312.5589999999995</v>
      </c>
      <c r="M101" s="3">
        <f t="shared" si="145"/>
        <v>2165.4229999999998</v>
      </c>
      <c r="N101" s="3">
        <f t="shared" si="145"/>
        <v>2697.797</v>
      </c>
      <c r="O101" s="3">
        <f t="shared" si="145"/>
        <v>2318.5410000000002</v>
      </c>
      <c r="P101" s="3">
        <f t="shared" si="145"/>
        <v>1959.9824000000001</v>
      </c>
      <c r="Q101" s="3">
        <f t="shared" si="145"/>
        <v>1959.9824000000001</v>
      </c>
      <c r="R101" s="3">
        <f t="shared" si="145"/>
        <v>1959.9824000000001</v>
      </c>
      <c r="S101" s="3">
        <f t="shared" si="145"/>
        <v>1959.9824000000001</v>
      </c>
      <c r="T101" s="3">
        <f t="shared" si="145"/>
        <v>1959.9824000000001</v>
      </c>
      <c r="U101" s="3">
        <f t="shared" si="145"/>
        <v>1959.9824000000001</v>
      </c>
      <c r="V101" s="3">
        <f t="shared" si="145"/>
        <v>1959.9824000000001</v>
      </c>
      <c r="AB101" s="3">
        <f t="shared" ref="AB101:AD101" si="146">+AB99+AB100</f>
        <v>956.09199999999976</v>
      </c>
      <c r="AC101" s="3">
        <f t="shared" si="146"/>
        <v>1780.2719999999995</v>
      </c>
      <c r="AD101" s="3">
        <f t="shared" si="146"/>
        <v>2697.7969999999996</v>
      </c>
    </row>
    <row r="102" spans="2:786" s="3" customFormat="1" x14ac:dyDescent="0.25"/>
    <row r="103" spans="2:786" s="3" customFormat="1" x14ac:dyDescent="0.25">
      <c r="B103" s="3" t="s">
        <v>106</v>
      </c>
      <c r="C103" s="3">
        <f t="shared" ref="C103:N103" si="147">C84+C85+C86</f>
        <v>172.256</v>
      </c>
      <c r="D103" s="3">
        <f t="shared" si="147"/>
        <v>53.489999999999959</v>
      </c>
      <c r="E103" s="3">
        <f t="shared" si="147"/>
        <v>64.835999999999999</v>
      </c>
      <c r="F103" s="3">
        <f t="shared" si="147"/>
        <v>205.59999999999997</v>
      </c>
      <c r="G103" s="3">
        <f t="shared" si="147"/>
        <v>283.3</v>
      </c>
      <c r="H103" s="3">
        <f t="shared" si="147"/>
        <v>68.999999999999957</v>
      </c>
      <c r="I103" s="3">
        <f t="shared" si="147"/>
        <v>102.10700000000001</v>
      </c>
      <c r="J103" s="3">
        <f t="shared" si="147"/>
        <v>324.459</v>
      </c>
      <c r="K103" s="3">
        <f t="shared" si="147"/>
        <v>331.54900000000004</v>
      </c>
      <c r="L103" s="3">
        <f t="shared" si="147"/>
        <v>59.00000000000005</v>
      </c>
      <c r="M103" s="3">
        <f t="shared" si="147"/>
        <v>78.117999999999995</v>
      </c>
      <c r="N103" s="3">
        <f t="shared" si="147"/>
        <v>415.37400000000008</v>
      </c>
      <c r="O103" s="3">
        <f>O84+O85+O86</f>
        <v>183.43899999999988</v>
      </c>
      <c r="P103" s="3">
        <f t="shared" ref="P103:V103" si="148">P84+P85+P86</f>
        <v>58.231400000000001</v>
      </c>
      <c r="Q103" s="3">
        <f t="shared" si="148"/>
        <v>0</v>
      </c>
      <c r="R103" s="3">
        <f t="shared" si="148"/>
        <v>0</v>
      </c>
      <c r="S103" s="3">
        <f t="shared" si="148"/>
        <v>0</v>
      </c>
      <c r="T103" s="3">
        <f t="shared" si="148"/>
        <v>0</v>
      </c>
      <c r="U103" s="3">
        <f t="shared" si="148"/>
        <v>0</v>
      </c>
      <c r="V103" s="3">
        <f t="shared" si="148"/>
        <v>0</v>
      </c>
      <c r="AB103" s="3">
        <f t="shared" ref="AB103:AD103" si="149">AB84+AB85+AB86</f>
        <v>496.18199999999996</v>
      </c>
      <c r="AC103" s="3">
        <f t="shared" si="149"/>
        <v>778.8660000000001</v>
      </c>
      <c r="AD103" s="3">
        <f t="shared" si="149"/>
        <v>884.0409999999996</v>
      </c>
      <c r="AE103" s="3">
        <f>AE3*AE106</f>
        <v>1146.74225</v>
      </c>
      <c r="AF103" s="3">
        <f t="shared" ref="AF103:AN103" si="150">AF3*AF106</f>
        <v>1415.25</v>
      </c>
      <c r="AG103" s="3">
        <f t="shared" si="150"/>
        <v>1803.75</v>
      </c>
      <c r="AH103" s="3">
        <f t="shared" si="150"/>
        <v>2242.8937500000002</v>
      </c>
      <c r="AI103" s="3">
        <f t="shared" si="150"/>
        <v>2742.2550000000001</v>
      </c>
      <c r="AJ103" s="3">
        <f t="shared" si="150"/>
        <v>3295.7842500000002</v>
      </c>
      <c r="AK103" s="3">
        <f t="shared" si="150"/>
        <v>3892.6208160000001</v>
      </c>
      <c r="AL103" s="3">
        <f t="shared" si="150"/>
        <v>4516.8303682799997</v>
      </c>
      <c r="AM103" s="3">
        <f t="shared" si="150"/>
        <v>5147.6017670784004</v>
      </c>
      <c r="AN103" s="3">
        <f t="shared" si="150"/>
        <v>5857.6158039168004</v>
      </c>
      <c r="AO103" s="3">
        <f>+AN103*1.02</f>
        <v>5974.7681199951367</v>
      </c>
      <c r="AP103" s="3">
        <f t="shared" ref="AP103:AX103" si="151">+AO103*1.02</f>
        <v>6094.2634823950393</v>
      </c>
      <c r="AQ103" s="3">
        <f t="shared" si="151"/>
        <v>6216.14875204294</v>
      </c>
      <c r="AR103" s="3">
        <f t="shared" si="151"/>
        <v>6340.4717270837991</v>
      </c>
      <c r="AS103" s="3">
        <f t="shared" si="151"/>
        <v>6467.2811616254749</v>
      </c>
      <c r="AT103" s="3">
        <f t="shared" si="151"/>
        <v>6596.6267848579846</v>
      </c>
      <c r="AU103" s="3">
        <f t="shared" si="151"/>
        <v>6728.559320555144</v>
      </c>
      <c r="AV103" s="3">
        <f t="shared" si="151"/>
        <v>6863.1305069662467</v>
      </c>
      <c r="AW103" s="3">
        <f t="shared" si="151"/>
        <v>7000.3931171055719</v>
      </c>
      <c r="AX103" s="3">
        <f t="shared" si="151"/>
        <v>7140.4009794476833</v>
      </c>
      <c r="AY103" s="3">
        <f>+AX103*(1+$AP$24)</f>
        <v>7033.2949647559681</v>
      </c>
      <c r="AZ103" s="3">
        <f t="shared" ref="AZ103:DK103" si="152">+AY103*(1+$AP$24)</f>
        <v>6927.7955402846283</v>
      </c>
      <c r="BA103" s="3">
        <f t="shared" si="152"/>
        <v>6823.8786071803588</v>
      </c>
      <c r="BB103" s="3">
        <f t="shared" si="152"/>
        <v>6721.520428072653</v>
      </c>
      <c r="BC103" s="3">
        <f t="shared" si="152"/>
        <v>6620.6976216515632</v>
      </c>
      <c r="BD103" s="3">
        <f t="shared" si="152"/>
        <v>6521.3871573267897</v>
      </c>
      <c r="BE103" s="3">
        <f t="shared" si="152"/>
        <v>6423.5663499668881</v>
      </c>
      <c r="BF103" s="3">
        <f t="shared" si="152"/>
        <v>6327.2128547173843</v>
      </c>
      <c r="BG103" s="3">
        <f t="shared" si="152"/>
        <v>6232.3046618966237</v>
      </c>
      <c r="BH103" s="3">
        <f t="shared" si="152"/>
        <v>6138.820091968174</v>
      </c>
      <c r="BI103" s="3">
        <f t="shared" si="152"/>
        <v>6046.7377905886515</v>
      </c>
      <c r="BJ103" s="3">
        <f t="shared" si="152"/>
        <v>5956.0367237298215</v>
      </c>
      <c r="BK103" s="3">
        <f t="shared" si="152"/>
        <v>5866.6961728738743</v>
      </c>
      <c r="BL103" s="3">
        <f t="shared" si="152"/>
        <v>5778.6957302807659</v>
      </c>
      <c r="BM103" s="3">
        <f t="shared" si="152"/>
        <v>5692.0152943265548</v>
      </c>
      <c r="BN103" s="3">
        <f t="shared" si="152"/>
        <v>5606.6350649116566</v>
      </c>
      <c r="BO103" s="3">
        <f t="shared" si="152"/>
        <v>5522.535538937982</v>
      </c>
      <c r="BP103" s="3">
        <f t="shared" si="152"/>
        <v>5439.6975058539119</v>
      </c>
      <c r="BQ103" s="3">
        <f t="shared" si="152"/>
        <v>5358.1020432661035</v>
      </c>
      <c r="BR103" s="3">
        <f t="shared" si="152"/>
        <v>5277.7305126171123</v>
      </c>
      <c r="BS103" s="3">
        <f t="shared" si="152"/>
        <v>5198.5645549278552</v>
      </c>
      <c r="BT103" s="3">
        <f t="shared" si="152"/>
        <v>5120.5860866039375</v>
      </c>
      <c r="BU103" s="3">
        <f t="shared" si="152"/>
        <v>5043.777295304878</v>
      </c>
      <c r="BV103" s="3">
        <f t="shared" si="152"/>
        <v>4968.1206358753043</v>
      </c>
      <c r="BW103" s="3">
        <f t="shared" si="152"/>
        <v>4893.5988263371746</v>
      </c>
      <c r="BX103" s="3">
        <f t="shared" si="152"/>
        <v>4820.1948439421167</v>
      </c>
      <c r="BY103" s="3">
        <f t="shared" si="152"/>
        <v>4747.8919212829851</v>
      </c>
      <c r="BZ103" s="3">
        <f t="shared" si="152"/>
        <v>4676.67354246374</v>
      </c>
      <c r="CA103" s="3">
        <f t="shared" si="152"/>
        <v>4606.5234393267838</v>
      </c>
      <c r="CB103" s="3">
        <f t="shared" si="152"/>
        <v>4537.4255877368823</v>
      </c>
      <c r="CC103" s="3">
        <f t="shared" si="152"/>
        <v>4469.3642039208289</v>
      </c>
      <c r="CD103" s="3">
        <f t="shared" si="152"/>
        <v>4402.3237408620162</v>
      </c>
      <c r="CE103" s="3">
        <f t="shared" si="152"/>
        <v>4336.2888847490858</v>
      </c>
      <c r="CF103" s="3">
        <f t="shared" si="152"/>
        <v>4271.2445514778492</v>
      </c>
      <c r="CG103" s="3">
        <f t="shared" si="152"/>
        <v>4207.1758832056812</v>
      </c>
      <c r="CH103" s="3">
        <f t="shared" si="152"/>
        <v>4144.0682449575961</v>
      </c>
      <c r="CI103" s="3">
        <f t="shared" si="152"/>
        <v>4081.907221283232</v>
      </c>
      <c r="CJ103" s="3">
        <f t="shared" si="152"/>
        <v>4020.6786129639836</v>
      </c>
      <c r="CK103" s="3">
        <f t="shared" si="152"/>
        <v>3960.3684337695236</v>
      </c>
      <c r="CL103" s="3">
        <f t="shared" si="152"/>
        <v>3900.9629072629805</v>
      </c>
      <c r="CM103" s="3">
        <f t="shared" si="152"/>
        <v>3842.4484636540355</v>
      </c>
      <c r="CN103" s="3">
        <f t="shared" si="152"/>
        <v>3784.8117366992251</v>
      </c>
      <c r="CO103" s="3">
        <f t="shared" si="152"/>
        <v>3728.0395606487368</v>
      </c>
      <c r="CP103" s="3">
        <f t="shared" si="152"/>
        <v>3672.1189672390055</v>
      </c>
      <c r="CQ103" s="3">
        <f t="shared" si="152"/>
        <v>3617.0371827304202</v>
      </c>
      <c r="CR103" s="3">
        <f t="shared" si="152"/>
        <v>3562.781624989464</v>
      </c>
      <c r="CS103" s="3">
        <f t="shared" si="152"/>
        <v>3509.3399006146219</v>
      </c>
      <c r="CT103" s="3">
        <f t="shared" si="152"/>
        <v>3456.6998021054023</v>
      </c>
      <c r="CU103" s="3">
        <f t="shared" si="152"/>
        <v>3404.8493050738211</v>
      </c>
      <c r="CV103" s="3">
        <f t="shared" si="152"/>
        <v>3353.7765654977138</v>
      </c>
      <c r="CW103" s="3">
        <f t="shared" si="152"/>
        <v>3303.469917015248</v>
      </c>
      <c r="CX103" s="3">
        <f t="shared" si="152"/>
        <v>3253.9178682600191</v>
      </c>
      <c r="CY103" s="3">
        <f t="shared" si="152"/>
        <v>3205.1091002361186</v>
      </c>
      <c r="CZ103" s="3">
        <f t="shared" si="152"/>
        <v>3157.0324637325766</v>
      </c>
      <c r="DA103" s="3">
        <f t="shared" si="152"/>
        <v>3109.6769767765877</v>
      </c>
      <c r="DB103" s="3">
        <f t="shared" si="152"/>
        <v>3063.031822124939</v>
      </c>
      <c r="DC103" s="3">
        <f t="shared" si="152"/>
        <v>3017.0863447930651</v>
      </c>
      <c r="DD103" s="3">
        <f t="shared" si="152"/>
        <v>2971.8300496211691</v>
      </c>
      <c r="DE103" s="3">
        <f t="shared" si="152"/>
        <v>2927.2525988768516</v>
      </c>
      <c r="DF103" s="3">
        <f t="shared" si="152"/>
        <v>2883.343809893699</v>
      </c>
      <c r="DG103" s="3">
        <f t="shared" si="152"/>
        <v>2840.0936527452936</v>
      </c>
      <c r="DH103" s="3">
        <f t="shared" si="152"/>
        <v>2797.4922479541142</v>
      </c>
      <c r="DI103" s="3">
        <f t="shared" si="152"/>
        <v>2755.5298642348025</v>
      </c>
      <c r="DJ103" s="3">
        <f t="shared" si="152"/>
        <v>2714.1969162712803</v>
      </c>
      <c r="DK103" s="3">
        <f t="shared" si="152"/>
        <v>2673.4839625272111</v>
      </c>
      <c r="DL103" s="3">
        <f t="shared" ref="DL103:FW103" si="153">+DK103*(1+$AP$24)</f>
        <v>2633.3817030893028</v>
      </c>
      <c r="DM103" s="3">
        <f t="shared" si="153"/>
        <v>2593.8809775429631</v>
      </c>
      <c r="DN103" s="3">
        <f t="shared" si="153"/>
        <v>2554.9727628798187</v>
      </c>
      <c r="DO103" s="3">
        <f t="shared" si="153"/>
        <v>2516.6481714366214</v>
      </c>
      <c r="DP103" s="3">
        <f t="shared" si="153"/>
        <v>2478.8984488650722</v>
      </c>
      <c r="DQ103" s="3">
        <f t="shared" si="153"/>
        <v>2441.7149721320961</v>
      </c>
      <c r="DR103" s="3">
        <f t="shared" si="153"/>
        <v>2405.0892475501146</v>
      </c>
      <c r="DS103" s="3">
        <f t="shared" si="153"/>
        <v>2369.0129088368626</v>
      </c>
      <c r="DT103" s="3">
        <f t="shared" si="153"/>
        <v>2333.4777152043098</v>
      </c>
      <c r="DU103" s="3">
        <f t="shared" si="153"/>
        <v>2298.4755494762453</v>
      </c>
      <c r="DV103" s="3">
        <f t="shared" si="153"/>
        <v>2263.9984162341016</v>
      </c>
      <c r="DW103" s="3">
        <f t="shared" si="153"/>
        <v>2230.0384399905902</v>
      </c>
      <c r="DX103" s="3">
        <f t="shared" si="153"/>
        <v>2196.5878633907314</v>
      </c>
      <c r="DY103" s="3">
        <f t="shared" si="153"/>
        <v>2163.6390454398702</v>
      </c>
      <c r="DZ103" s="3">
        <f t="shared" si="153"/>
        <v>2131.1844597582722</v>
      </c>
      <c r="EA103" s="3">
        <f t="shared" si="153"/>
        <v>2099.2166928618981</v>
      </c>
      <c r="EB103" s="3">
        <f t="shared" si="153"/>
        <v>2067.7284424689697</v>
      </c>
      <c r="EC103" s="3">
        <f t="shared" si="153"/>
        <v>2036.712515831935</v>
      </c>
      <c r="ED103" s="3">
        <f t="shared" si="153"/>
        <v>2006.161828094456</v>
      </c>
      <c r="EE103" s="3">
        <f t="shared" si="153"/>
        <v>1976.0694006730391</v>
      </c>
      <c r="EF103" s="3">
        <f t="shared" si="153"/>
        <v>1946.4283596629434</v>
      </c>
      <c r="EG103" s="3">
        <f t="shared" si="153"/>
        <v>1917.2319342679993</v>
      </c>
      <c r="EH103" s="3">
        <f t="shared" si="153"/>
        <v>1888.4734552539794</v>
      </c>
      <c r="EI103" s="3">
        <f t="shared" si="153"/>
        <v>1860.1463534251698</v>
      </c>
      <c r="EJ103" s="3">
        <f t="shared" si="153"/>
        <v>1832.2441581237922</v>
      </c>
      <c r="EK103" s="3">
        <f t="shared" si="153"/>
        <v>1804.7604957519352</v>
      </c>
      <c r="EL103" s="3">
        <f t="shared" si="153"/>
        <v>1777.6890883156561</v>
      </c>
      <c r="EM103" s="3">
        <f t="shared" si="153"/>
        <v>1751.0237519909213</v>
      </c>
      <c r="EN103" s="3">
        <f t="shared" si="153"/>
        <v>1724.7583957110573</v>
      </c>
      <c r="EO103" s="3">
        <f t="shared" si="153"/>
        <v>1698.8870197753915</v>
      </c>
      <c r="EP103" s="3">
        <f t="shared" si="153"/>
        <v>1673.4037144787605</v>
      </c>
      <c r="EQ103" s="3">
        <f t="shared" si="153"/>
        <v>1648.3026587615791</v>
      </c>
      <c r="ER103" s="3">
        <f t="shared" si="153"/>
        <v>1623.5781188801554</v>
      </c>
      <c r="ES103" s="3">
        <f t="shared" si="153"/>
        <v>1599.2244470969531</v>
      </c>
      <c r="ET103" s="3">
        <f t="shared" si="153"/>
        <v>1575.2360803904987</v>
      </c>
      <c r="EU103" s="3">
        <f t="shared" si="153"/>
        <v>1551.6075391846412</v>
      </c>
      <c r="EV103" s="3">
        <f t="shared" si="153"/>
        <v>1528.3334260968716</v>
      </c>
      <c r="EW103" s="3">
        <f t="shared" si="153"/>
        <v>1505.4084247054184</v>
      </c>
      <c r="EX103" s="3">
        <f t="shared" si="153"/>
        <v>1482.827298334837</v>
      </c>
      <c r="EY103" s="3">
        <f t="shared" si="153"/>
        <v>1460.5848888598143</v>
      </c>
      <c r="EZ103" s="3">
        <f t="shared" si="153"/>
        <v>1438.6761155269171</v>
      </c>
      <c r="FA103" s="3">
        <f t="shared" si="153"/>
        <v>1417.0959737940134</v>
      </c>
      <c r="FB103" s="3">
        <f t="shared" si="153"/>
        <v>1395.8395341871033</v>
      </c>
      <c r="FC103" s="3">
        <f t="shared" si="153"/>
        <v>1374.9019411742968</v>
      </c>
      <c r="FD103" s="3">
        <f t="shared" si="153"/>
        <v>1354.2784120566823</v>
      </c>
      <c r="FE103" s="3">
        <f t="shared" si="153"/>
        <v>1333.9642358758322</v>
      </c>
      <c r="FF103" s="3">
        <f t="shared" si="153"/>
        <v>1313.9547723376947</v>
      </c>
      <c r="FG103" s="3">
        <f t="shared" si="153"/>
        <v>1294.2454507526293</v>
      </c>
      <c r="FH103" s="3">
        <f t="shared" si="153"/>
        <v>1274.8317689913399</v>
      </c>
      <c r="FI103" s="3">
        <f t="shared" si="153"/>
        <v>1255.7092924564697</v>
      </c>
      <c r="FJ103" s="3">
        <f t="shared" si="153"/>
        <v>1236.8736530696226</v>
      </c>
      <c r="FK103" s="3">
        <f t="shared" si="153"/>
        <v>1218.3205482735782</v>
      </c>
      <c r="FL103" s="3">
        <f t="shared" si="153"/>
        <v>1200.0457400494745</v>
      </c>
      <c r="FM103" s="3">
        <f t="shared" si="153"/>
        <v>1182.0450539487324</v>
      </c>
      <c r="FN103" s="3">
        <f t="shared" si="153"/>
        <v>1164.3143781395015</v>
      </c>
      <c r="FO103" s="3">
        <f t="shared" si="153"/>
        <v>1146.849662467409</v>
      </c>
      <c r="FP103" s="3">
        <f t="shared" si="153"/>
        <v>1129.6469175303978</v>
      </c>
      <c r="FQ103" s="3">
        <f t="shared" si="153"/>
        <v>1112.7022137674419</v>
      </c>
      <c r="FR103" s="3">
        <f t="shared" si="153"/>
        <v>1096.0116805609302</v>
      </c>
      <c r="FS103" s="3">
        <f t="shared" si="153"/>
        <v>1079.5715053525162</v>
      </c>
      <c r="FT103" s="3">
        <f t="shared" si="153"/>
        <v>1063.3779327722284</v>
      </c>
      <c r="FU103" s="3">
        <f t="shared" si="153"/>
        <v>1047.427263780645</v>
      </c>
      <c r="FV103" s="3">
        <f t="shared" si="153"/>
        <v>1031.7158548239354</v>
      </c>
      <c r="FW103" s="3">
        <f t="shared" si="153"/>
        <v>1016.2401170015763</v>
      </c>
      <c r="FX103" s="3">
        <f t="shared" ref="FX103:II103" si="154">+FW103*(1+$AP$24)</f>
        <v>1000.9965152465527</v>
      </c>
      <c r="FY103" s="3">
        <f t="shared" si="154"/>
        <v>985.98156751785439</v>
      </c>
      <c r="FZ103" s="3">
        <f t="shared" si="154"/>
        <v>971.19184400508652</v>
      </c>
      <c r="GA103" s="3">
        <f t="shared" si="154"/>
        <v>956.62396634501022</v>
      </c>
      <c r="GB103" s="3">
        <f t="shared" si="154"/>
        <v>942.2746068498351</v>
      </c>
      <c r="GC103" s="3">
        <f t="shared" si="154"/>
        <v>928.1404877470876</v>
      </c>
      <c r="GD103" s="3">
        <f t="shared" si="154"/>
        <v>914.21838043088133</v>
      </c>
      <c r="GE103" s="3">
        <f t="shared" si="154"/>
        <v>900.50510472441806</v>
      </c>
      <c r="GF103" s="3">
        <f t="shared" si="154"/>
        <v>886.9975281535518</v>
      </c>
      <c r="GG103" s="3">
        <f t="shared" si="154"/>
        <v>873.69256523124852</v>
      </c>
      <c r="GH103" s="3">
        <f t="shared" si="154"/>
        <v>860.58717675277978</v>
      </c>
      <c r="GI103" s="3">
        <f t="shared" si="154"/>
        <v>847.6783691014881</v>
      </c>
      <c r="GJ103" s="3">
        <f t="shared" si="154"/>
        <v>834.96319356496576</v>
      </c>
      <c r="GK103" s="3">
        <f t="shared" si="154"/>
        <v>822.43874566149123</v>
      </c>
      <c r="GL103" s="3">
        <f t="shared" si="154"/>
        <v>810.10216447656887</v>
      </c>
      <c r="GM103" s="3">
        <f t="shared" si="154"/>
        <v>797.95063200942036</v>
      </c>
      <c r="GN103" s="3">
        <f t="shared" si="154"/>
        <v>785.98137252927904</v>
      </c>
      <c r="GO103" s="3">
        <f t="shared" si="154"/>
        <v>774.19165194133984</v>
      </c>
      <c r="GP103" s="3">
        <f t="shared" si="154"/>
        <v>762.57877716221969</v>
      </c>
      <c r="GQ103" s="3">
        <f t="shared" si="154"/>
        <v>751.14009550478636</v>
      </c>
      <c r="GR103" s="3">
        <f t="shared" si="154"/>
        <v>739.87299407221451</v>
      </c>
      <c r="GS103" s="3">
        <f t="shared" si="154"/>
        <v>728.77489916113132</v>
      </c>
      <c r="GT103" s="3">
        <f t="shared" si="154"/>
        <v>717.84327567371429</v>
      </c>
      <c r="GU103" s="3">
        <f t="shared" si="154"/>
        <v>707.07562653860862</v>
      </c>
      <c r="GV103" s="3">
        <f t="shared" si="154"/>
        <v>696.4694921405295</v>
      </c>
      <c r="GW103" s="3">
        <f t="shared" si="154"/>
        <v>686.02244975842154</v>
      </c>
      <c r="GX103" s="3">
        <f t="shared" si="154"/>
        <v>675.73211301204526</v>
      </c>
      <c r="GY103" s="3">
        <f t="shared" si="154"/>
        <v>665.59613131686456</v>
      </c>
      <c r="GZ103" s="3">
        <f t="shared" si="154"/>
        <v>655.61218934711155</v>
      </c>
      <c r="HA103" s="3">
        <f t="shared" si="154"/>
        <v>645.77800650690483</v>
      </c>
      <c r="HB103" s="3">
        <f t="shared" si="154"/>
        <v>636.09133640930122</v>
      </c>
      <c r="HC103" s="3">
        <f t="shared" si="154"/>
        <v>626.54996636316173</v>
      </c>
      <c r="HD103" s="3">
        <f t="shared" si="154"/>
        <v>617.1517168677143</v>
      </c>
      <c r="HE103" s="3">
        <f t="shared" si="154"/>
        <v>607.89444111469857</v>
      </c>
      <c r="HF103" s="3">
        <f t="shared" si="154"/>
        <v>598.77602449797803</v>
      </c>
      <c r="HG103" s="3">
        <f t="shared" si="154"/>
        <v>589.79438413050832</v>
      </c>
      <c r="HH103" s="3">
        <f t="shared" si="154"/>
        <v>580.94746836855063</v>
      </c>
      <c r="HI103" s="3">
        <f t="shared" si="154"/>
        <v>572.23325634302239</v>
      </c>
      <c r="HJ103" s="3">
        <f t="shared" si="154"/>
        <v>563.64975749787709</v>
      </c>
      <c r="HK103" s="3">
        <f t="shared" si="154"/>
        <v>555.19501113540889</v>
      </c>
      <c r="HL103" s="3">
        <f t="shared" si="154"/>
        <v>546.86708596837775</v>
      </c>
      <c r="HM103" s="3">
        <f t="shared" si="154"/>
        <v>538.66407967885209</v>
      </c>
      <c r="HN103" s="3">
        <f t="shared" si="154"/>
        <v>530.58411848366927</v>
      </c>
      <c r="HO103" s="3">
        <f t="shared" si="154"/>
        <v>522.62535670641421</v>
      </c>
      <c r="HP103" s="3">
        <f t="shared" si="154"/>
        <v>514.78597635581798</v>
      </c>
      <c r="HQ103" s="3">
        <f t="shared" si="154"/>
        <v>507.06418671048073</v>
      </c>
      <c r="HR103" s="3">
        <f t="shared" si="154"/>
        <v>499.45822390982352</v>
      </c>
      <c r="HS103" s="3">
        <f t="shared" si="154"/>
        <v>491.96635055117616</v>
      </c>
      <c r="HT103" s="3">
        <f t="shared" si="154"/>
        <v>484.58685529290852</v>
      </c>
      <c r="HU103" s="3">
        <f t="shared" si="154"/>
        <v>477.3180524635149</v>
      </c>
      <c r="HV103" s="3">
        <f t="shared" si="154"/>
        <v>470.15828167656218</v>
      </c>
      <c r="HW103" s="3">
        <f t="shared" si="154"/>
        <v>463.10590745141377</v>
      </c>
      <c r="HX103" s="3">
        <f t="shared" si="154"/>
        <v>456.15931883964254</v>
      </c>
      <c r="HY103" s="3">
        <f t="shared" si="154"/>
        <v>449.3169290570479</v>
      </c>
      <c r="HZ103" s="3">
        <f t="shared" si="154"/>
        <v>442.57717512119217</v>
      </c>
      <c r="IA103" s="3">
        <f t="shared" si="154"/>
        <v>435.93851749437431</v>
      </c>
      <c r="IB103" s="3">
        <f t="shared" si="154"/>
        <v>429.39943973195869</v>
      </c>
      <c r="IC103" s="3">
        <f t="shared" si="154"/>
        <v>422.95844813597932</v>
      </c>
      <c r="ID103" s="3">
        <f t="shared" si="154"/>
        <v>416.61407141393966</v>
      </c>
      <c r="IE103" s="3">
        <f t="shared" si="154"/>
        <v>410.36486034273054</v>
      </c>
      <c r="IF103" s="3">
        <f t="shared" si="154"/>
        <v>404.20938743758956</v>
      </c>
      <c r="IG103" s="3">
        <f t="shared" si="154"/>
        <v>398.14624662602569</v>
      </c>
      <c r="IH103" s="3">
        <f t="shared" si="154"/>
        <v>392.17405292663528</v>
      </c>
      <c r="II103" s="3">
        <f t="shared" si="154"/>
        <v>386.29144213273577</v>
      </c>
      <c r="IJ103" s="3">
        <f t="shared" ref="IJ103:KU103" si="155">+II103*(1+$AP$24)</f>
        <v>380.49707050074471</v>
      </c>
      <c r="IK103" s="3">
        <f t="shared" si="155"/>
        <v>374.78961444323352</v>
      </c>
      <c r="IL103" s="3">
        <f t="shared" si="155"/>
        <v>369.16777022658499</v>
      </c>
      <c r="IM103" s="3">
        <f t="shared" si="155"/>
        <v>363.63025367318619</v>
      </c>
      <c r="IN103" s="3">
        <f t="shared" si="155"/>
        <v>358.1757998680884</v>
      </c>
      <c r="IO103" s="3">
        <f t="shared" si="155"/>
        <v>352.80316287006707</v>
      </c>
      <c r="IP103" s="3">
        <f t="shared" si="155"/>
        <v>347.51111542701608</v>
      </c>
      <c r="IQ103" s="3">
        <f t="shared" si="155"/>
        <v>342.29844869561083</v>
      </c>
      <c r="IR103" s="3">
        <f t="shared" si="155"/>
        <v>337.16397196517664</v>
      </c>
      <c r="IS103" s="3">
        <f t="shared" si="155"/>
        <v>332.10651238569898</v>
      </c>
      <c r="IT103" s="3">
        <f t="shared" si="155"/>
        <v>327.12491469991346</v>
      </c>
      <c r="IU103" s="3">
        <f t="shared" si="155"/>
        <v>322.21804097941475</v>
      </c>
      <c r="IV103" s="3">
        <f t="shared" si="155"/>
        <v>317.38477036472352</v>
      </c>
      <c r="IW103" s="3">
        <f t="shared" si="155"/>
        <v>312.62399880925267</v>
      </c>
      <c r="IX103" s="3">
        <f t="shared" si="155"/>
        <v>307.93463882711387</v>
      </c>
      <c r="IY103" s="3">
        <f t="shared" si="155"/>
        <v>303.31561924470714</v>
      </c>
      <c r="IZ103" s="3">
        <f t="shared" si="155"/>
        <v>298.76588495603653</v>
      </c>
      <c r="JA103" s="3">
        <f t="shared" si="155"/>
        <v>294.28439668169597</v>
      </c>
      <c r="JB103" s="3">
        <f t="shared" si="155"/>
        <v>289.87013073147051</v>
      </c>
      <c r="JC103" s="3">
        <f t="shared" si="155"/>
        <v>285.52207877049847</v>
      </c>
      <c r="JD103" s="3">
        <f t="shared" si="155"/>
        <v>281.239247588941</v>
      </c>
      <c r="JE103" s="3">
        <f t="shared" si="155"/>
        <v>277.0206588751069</v>
      </c>
      <c r="JF103" s="3">
        <f t="shared" si="155"/>
        <v>272.86534899198028</v>
      </c>
      <c r="JG103" s="3">
        <f t="shared" si="155"/>
        <v>268.77236875710059</v>
      </c>
      <c r="JH103" s="3">
        <f t="shared" si="155"/>
        <v>264.74078322574405</v>
      </c>
      <c r="JI103" s="3">
        <f t="shared" si="155"/>
        <v>260.76967147735786</v>
      </c>
      <c r="JJ103" s="3">
        <f t="shared" si="155"/>
        <v>256.85812640519748</v>
      </c>
      <c r="JK103" s="3">
        <f t="shared" si="155"/>
        <v>253.00525450911951</v>
      </c>
      <c r="JL103" s="3">
        <f t="shared" si="155"/>
        <v>249.2101756914827</v>
      </c>
      <c r="JM103" s="3">
        <f t="shared" si="155"/>
        <v>245.47202305611046</v>
      </c>
      <c r="JN103" s="3">
        <f t="shared" si="155"/>
        <v>241.7899427102688</v>
      </c>
      <c r="JO103" s="3">
        <f t="shared" si="155"/>
        <v>238.16309356961477</v>
      </c>
      <c r="JP103" s="3">
        <f t="shared" si="155"/>
        <v>234.59064716607054</v>
      </c>
      <c r="JQ103" s="3">
        <f t="shared" si="155"/>
        <v>231.07178745857948</v>
      </c>
      <c r="JR103" s="3">
        <f t="shared" si="155"/>
        <v>227.60571064670077</v>
      </c>
      <c r="JS103" s="3">
        <f t="shared" si="155"/>
        <v>224.19162498700027</v>
      </c>
      <c r="JT103" s="3">
        <f t="shared" si="155"/>
        <v>220.82875061219525</v>
      </c>
      <c r="JU103" s="3">
        <f t="shared" si="155"/>
        <v>217.51631935301231</v>
      </c>
      <c r="JV103" s="3">
        <f t="shared" si="155"/>
        <v>214.25357456271712</v>
      </c>
      <c r="JW103" s="3">
        <f t="shared" si="155"/>
        <v>211.03977094427637</v>
      </c>
      <c r="JX103" s="3">
        <f t="shared" si="155"/>
        <v>207.87417438011221</v>
      </c>
      <c r="JY103" s="3">
        <f t="shared" si="155"/>
        <v>204.75606176441053</v>
      </c>
      <c r="JZ103" s="3">
        <f t="shared" si="155"/>
        <v>201.68472083794438</v>
      </c>
      <c r="KA103" s="3">
        <f t="shared" si="155"/>
        <v>198.65945002537521</v>
      </c>
      <c r="KB103" s="3">
        <f t="shared" si="155"/>
        <v>195.67955827499458</v>
      </c>
      <c r="KC103" s="3">
        <f t="shared" si="155"/>
        <v>192.74436490086964</v>
      </c>
      <c r="KD103" s="3">
        <f t="shared" si="155"/>
        <v>189.8531994273566</v>
      </c>
      <c r="KE103" s="3">
        <f t="shared" si="155"/>
        <v>187.00540143594625</v>
      </c>
      <c r="KF103" s="3">
        <f t="shared" si="155"/>
        <v>184.20032041440706</v>
      </c>
      <c r="KG103" s="3">
        <f t="shared" si="155"/>
        <v>181.43731560819094</v>
      </c>
      <c r="KH103" s="3">
        <f t="shared" si="155"/>
        <v>178.71575587406807</v>
      </c>
      <c r="KI103" s="3">
        <f t="shared" si="155"/>
        <v>176.03501953595705</v>
      </c>
      <c r="KJ103" s="3">
        <f t="shared" si="155"/>
        <v>173.39449424291769</v>
      </c>
      <c r="KK103" s="3">
        <f t="shared" si="155"/>
        <v>170.79357682927392</v>
      </c>
      <c r="KL103" s="3">
        <f t="shared" si="155"/>
        <v>168.23167317683482</v>
      </c>
      <c r="KM103" s="3">
        <f t="shared" si="155"/>
        <v>165.7081980791823</v>
      </c>
      <c r="KN103" s="3">
        <f t="shared" si="155"/>
        <v>163.22257510799457</v>
      </c>
      <c r="KO103" s="3">
        <f t="shared" si="155"/>
        <v>160.77423648137466</v>
      </c>
      <c r="KP103" s="3">
        <f t="shared" si="155"/>
        <v>158.36262293415405</v>
      </c>
      <c r="KQ103" s="3">
        <f t="shared" si="155"/>
        <v>155.98718359014174</v>
      </c>
      <c r="KR103" s="3">
        <f t="shared" si="155"/>
        <v>153.6473758362896</v>
      </c>
      <c r="KS103" s="3">
        <f t="shared" si="155"/>
        <v>151.34266519874527</v>
      </c>
      <c r="KT103" s="3">
        <f t="shared" si="155"/>
        <v>149.07252522076408</v>
      </c>
      <c r="KU103" s="3">
        <f t="shared" si="155"/>
        <v>146.83643734245263</v>
      </c>
      <c r="KV103" s="3">
        <f t="shared" ref="KV103:NG103" si="156">+KU103*(1+$AP$24)</f>
        <v>144.63389078231583</v>
      </c>
      <c r="KW103" s="3">
        <f t="shared" si="156"/>
        <v>142.4643824205811</v>
      </c>
      <c r="KX103" s="3">
        <f t="shared" si="156"/>
        <v>140.32741668427238</v>
      </c>
      <c r="KY103" s="3">
        <f t="shared" si="156"/>
        <v>138.2225054340083</v>
      </c>
      <c r="KZ103" s="3">
        <f t="shared" si="156"/>
        <v>136.14916785249818</v>
      </c>
      <c r="LA103" s="3">
        <f t="shared" si="156"/>
        <v>134.10693033471071</v>
      </c>
      <c r="LB103" s="3">
        <f t="shared" si="156"/>
        <v>132.09532637969005</v>
      </c>
      <c r="LC103" s="3">
        <f t="shared" si="156"/>
        <v>130.11389648399469</v>
      </c>
      <c r="LD103" s="3">
        <f t="shared" si="156"/>
        <v>128.16218803673476</v>
      </c>
      <c r="LE103" s="3">
        <f t="shared" si="156"/>
        <v>126.23975521618374</v>
      </c>
      <c r="LF103" s="3">
        <f t="shared" si="156"/>
        <v>124.34615888794099</v>
      </c>
      <c r="LG103" s="3">
        <f t="shared" si="156"/>
        <v>122.48096650462188</v>
      </c>
      <c r="LH103" s="3">
        <f t="shared" si="156"/>
        <v>120.64375200705254</v>
      </c>
      <c r="LI103" s="3">
        <f t="shared" si="156"/>
        <v>118.83409572694676</v>
      </c>
      <c r="LJ103" s="3">
        <f t="shared" si="156"/>
        <v>117.05158429104256</v>
      </c>
      <c r="LK103" s="3">
        <f t="shared" si="156"/>
        <v>115.29581052667692</v>
      </c>
      <c r="LL103" s="3">
        <f t="shared" si="156"/>
        <v>113.56637336877677</v>
      </c>
      <c r="LM103" s="3">
        <f t="shared" si="156"/>
        <v>111.86287776824511</v>
      </c>
      <c r="LN103" s="3">
        <f t="shared" si="156"/>
        <v>110.18493460172144</v>
      </c>
      <c r="LO103" s="3">
        <f t="shared" si="156"/>
        <v>108.53216058269561</v>
      </c>
      <c r="LP103" s="3">
        <f t="shared" si="156"/>
        <v>106.90417817395517</v>
      </c>
      <c r="LQ103" s="3">
        <f t="shared" si="156"/>
        <v>105.30061550134585</v>
      </c>
      <c r="LR103" s="3">
        <f t="shared" si="156"/>
        <v>103.72110626882565</v>
      </c>
      <c r="LS103" s="3">
        <f t="shared" si="156"/>
        <v>102.16528967479326</v>
      </c>
      <c r="LT103" s="3">
        <f t="shared" si="156"/>
        <v>100.63281032967136</v>
      </c>
      <c r="LU103" s="3">
        <f t="shared" si="156"/>
        <v>99.123318174726293</v>
      </c>
      <c r="LV103" s="3">
        <f t="shared" si="156"/>
        <v>97.636468402105393</v>
      </c>
      <c r="LW103" s="3">
        <f t="shared" si="156"/>
        <v>96.171921376073811</v>
      </c>
      <c r="LX103" s="3">
        <f t="shared" si="156"/>
        <v>94.729342555432709</v>
      </c>
      <c r="LY103" s="3">
        <f t="shared" si="156"/>
        <v>93.30840241710122</v>
      </c>
      <c r="LZ103" s="3">
        <f t="shared" si="156"/>
        <v>91.908776380844699</v>
      </c>
      <c r="MA103" s="3">
        <f t="shared" si="156"/>
        <v>90.530144735132026</v>
      </c>
      <c r="MB103" s="3">
        <f t="shared" si="156"/>
        <v>89.172192564105046</v>
      </c>
      <c r="MC103" s="3">
        <f t="shared" si="156"/>
        <v>87.834609675643463</v>
      </c>
      <c r="MD103" s="3">
        <f t="shared" si="156"/>
        <v>86.51709053050881</v>
      </c>
      <c r="ME103" s="3">
        <f t="shared" si="156"/>
        <v>85.219334172551171</v>
      </c>
      <c r="MF103" s="3">
        <f t="shared" si="156"/>
        <v>83.9410441599629</v>
      </c>
      <c r="MG103" s="3">
        <f t="shared" si="156"/>
        <v>82.681928497563462</v>
      </c>
      <c r="MH103" s="3">
        <f t="shared" si="156"/>
        <v>81.441699570100013</v>
      </c>
      <c r="MI103" s="3">
        <f t="shared" si="156"/>
        <v>80.220074076548514</v>
      </c>
      <c r="MJ103" s="3">
        <f t="shared" si="156"/>
        <v>79.016772965400278</v>
      </c>
      <c r="MK103" s="3">
        <f t="shared" si="156"/>
        <v>77.831521370919276</v>
      </c>
      <c r="ML103" s="3">
        <f t="shared" si="156"/>
        <v>76.664048550355488</v>
      </c>
      <c r="MM103" s="3">
        <f t="shared" si="156"/>
        <v>75.514087822100151</v>
      </c>
      <c r="MN103" s="3">
        <f t="shared" si="156"/>
        <v>74.381376504768653</v>
      </c>
      <c r="MO103" s="3">
        <f t="shared" si="156"/>
        <v>73.265655857197117</v>
      </c>
      <c r="MP103" s="3">
        <f t="shared" si="156"/>
        <v>72.166671019339162</v>
      </c>
      <c r="MQ103" s="3">
        <f t="shared" si="156"/>
        <v>71.084170954049071</v>
      </c>
      <c r="MR103" s="3">
        <f t="shared" si="156"/>
        <v>70.017908389738338</v>
      </c>
      <c r="MS103" s="3">
        <f t="shared" si="156"/>
        <v>68.967639763892265</v>
      </c>
      <c r="MT103" s="3">
        <f t="shared" si="156"/>
        <v>67.933125167433886</v>
      </c>
      <c r="MU103" s="3">
        <f t="shared" si="156"/>
        <v>66.914128289922374</v>
      </c>
      <c r="MV103" s="3">
        <f t="shared" si="156"/>
        <v>65.910416365573539</v>
      </c>
      <c r="MW103" s="3">
        <f t="shared" si="156"/>
        <v>64.921760120089928</v>
      </c>
      <c r="MX103" s="3">
        <f t="shared" si="156"/>
        <v>63.947933718288581</v>
      </c>
      <c r="MY103" s="3">
        <f t="shared" si="156"/>
        <v>62.988714712514252</v>
      </c>
      <c r="MZ103" s="3">
        <f t="shared" si="156"/>
        <v>62.04388399182654</v>
      </c>
      <c r="NA103" s="3">
        <f t="shared" si="156"/>
        <v>61.113225731949143</v>
      </c>
      <c r="NB103" s="3">
        <f t="shared" si="156"/>
        <v>60.196527345969905</v>
      </c>
      <c r="NC103" s="3">
        <f t="shared" si="156"/>
        <v>59.293579435780359</v>
      </c>
      <c r="ND103" s="3">
        <f t="shared" si="156"/>
        <v>58.404175744243652</v>
      </c>
      <c r="NE103" s="3">
        <f t="shared" si="156"/>
        <v>57.528113108079999</v>
      </c>
      <c r="NF103" s="3">
        <f t="shared" si="156"/>
        <v>56.6651914114588</v>
      </c>
      <c r="NG103" s="3">
        <f t="shared" si="156"/>
        <v>55.815213540286919</v>
      </c>
      <c r="NH103" s="3">
        <f t="shared" ref="NH103:PS103" si="157">+NG103*(1+$AP$24)</f>
        <v>54.977985337182616</v>
      </c>
      <c r="NI103" s="3">
        <f t="shared" si="157"/>
        <v>54.153315557124877</v>
      </c>
      <c r="NJ103" s="3">
        <f t="shared" si="157"/>
        <v>53.341015823768004</v>
      </c>
      <c r="NK103" s="3">
        <f t="shared" si="157"/>
        <v>52.540900586411482</v>
      </c>
      <c r="NL103" s="3">
        <f t="shared" si="157"/>
        <v>51.752787077615309</v>
      </c>
      <c r="NM103" s="3">
        <f t="shared" si="157"/>
        <v>50.976495271451078</v>
      </c>
      <c r="NN103" s="3">
        <f t="shared" si="157"/>
        <v>50.211847842379314</v>
      </c>
      <c r="NO103" s="3">
        <f t="shared" si="157"/>
        <v>49.458670124743627</v>
      </c>
      <c r="NP103" s="3">
        <f t="shared" si="157"/>
        <v>48.71679007287247</v>
      </c>
      <c r="NQ103" s="3">
        <f t="shared" si="157"/>
        <v>47.986038221779381</v>
      </c>
      <c r="NR103" s="3">
        <f t="shared" si="157"/>
        <v>47.266247648452691</v>
      </c>
      <c r="NS103" s="3">
        <f t="shared" si="157"/>
        <v>46.557253933725903</v>
      </c>
      <c r="NT103" s="3">
        <f t="shared" si="157"/>
        <v>45.858895124720014</v>
      </c>
      <c r="NU103" s="3">
        <f t="shared" si="157"/>
        <v>45.171011697849217</v>
      </c>
      <c r="NV103" s="3">
        <f t="shared" si="157"/>
        <v>44.493446522381475</v>
      </c>
      <c r="NW103" s="3">
        <f t="shared" si="157"/>
        <v>43.826044824545754</v>
      </c>
      <c r="NX103" s="3">
        <f t="shared" si="157"/>
        <v>43.168654152177567</v>
      </c>
      <c r="NY103" s="3">
        <f t="shared" si="157"/>
        <v>42.521124339894904</v>
      </c>
      <c r="NZ103" s="3">
        <f t="shared" si="157"/>
        <v>41.883307474796482</v>
      </c>
      <c r="OA103" s="3">
        <f t="shared" si="157"/>
        <v>41.255057862674533</v>
      </c>
      <c r="OB103" s="3">
        <f t="shared" si="157"/>
        <v>40.636231994734416</v>
      </c>
      <c r="OC103" s="3">
        <f t="shared" si="157"/>
        <v>40.026688514813401</v>
      </c>
      <c r="OD103" s="3">
        <f t="shared" si="157"/>
        <v>39.426288187091203</v>
      </c>
      <c r="OE103" s="3">
        <f t="shared" si="157"/>
        <v>38.834893864284837</v>
      </c>
      <c r="OF103" s="3">
        <f t="shared" si="157"/>
        <v>38.252370456320563</v>
      </c>
      <c r="OG103" s="3">
        <f t="shared" si="157"/>
        <v>37.678584899475752</v>
      </c>
      <c r="OH103" s="3">
        <f t="shared" si="157"/>
        <v>37.113406125983616</v>
      </c>
      <c r="OI103" s="3">
        <f t="shared" si="157"/>
        <v>36.556705034093859</v>
      </c>
      <c r="OJ103" s="3">
        <f t="shared" si="157"/>
        <v>36.008354458582453</v>
      </c>
      <c r="OK103" s="3">
        <f t="shared" si="157"/>
        <v>35.468229141703716</v>
      </c>
      <c r="OL103" s="3">
        <f t="shared" si="157"/>
        <v>34.936205704578157</v>
      </c>
      <c r="OM103" s="3">
        <f t="shared" si="157"/>
        <v>34.412162619009486</v>
      </c>
      <c r="ON103" s="3">
        <f t="shared" si="157"/>
        <v>33.89598017972434</v>
      </c>
      <c r="OO103" s="3">
        <f t="shared" si="157"/>
        <v>33.387540477028473</v>
      </c>
      <c r="OP103" s="3">
        <f t="shared" si="157"/>
        <v>32.886727369873043</v>
      </c>
      <c r="OQ103" s="3">
        <f t="shared" si="157"/>
        <v>32.393426459324949</v>
      </c>
      <c r="OR103" s="3">
        <f t="shared" si="157"/>
        <v>31.907525062435074</v>
      </c>
      <c r="OS103" s="3">
        <f t="shared" si="157"/>
        <v>31.428912186498547</v>
      </c>
      <c r="OT103" s="3">
        <f t="shared" si="157"/>
        <v>30.957478503701068</v>
      </c>
      <c r="OU103" s="3">
        <f t="shared" si="157"/>
        <v>30.493116326145554</v>
      </c>
      <c r="OV103" s="3">
        <f t="shared" si="157"/>
        <v>30.035719581253371</v>
      </c>
      <c r="OW103" s="3">
        <f t="shared" si="157"/>
        <v>29.585183787534572</v>
      </c>
      <c r="OX103" s="3">
        <f t="shared" si="157"/>
        <v>29.141406030721551</v>
      </c>
      <c r="OY103" s="3">
        <f t="shared" si="157"/>
        <v>28.704284940260727</v>
      </c>
      <c r="OZ103" s="3">
        <f t="shared" si="157"/>
        <v>28.273720666156816</v>
      </c>
      <c r="PA103" s="3">
        <f t="shared" si="157"/>
        <v>27.849614856164465</v>
      </c>
      <c r="PB103" s="3">
        <f t="shared" si="157"/>
        <v>27.431870633321996</v>
      </c>
      <c r="PC103" s="3">
        <f t="shared" si="157"/>
        <v>27.020392573822164</v>
      </c>
      <c r="PD103" s="3">
        <f t="shared" si="157"/>
        <v>26.61508668521483</v>
      </c>
      <c r="PE103" s="3">
        <f t="shared" si="157"/>
        <v>26.215860384936608</v>
      </c>
      <c r="PF103" s="3">
        <f t="shared" si="157"/>
        <v>25.822622479162558</v>
      </c>
      <c r="PG103" s="3">
        <f t="shared" si="157"/>
        <v>25.43528314197512</v>
      </c>
      <c r="PH103" s="3">
        <f t="shared" si="157"/>
        <v>25.053753894845492</v>
      </c>
      <c r="PI103" s="3">
        <f t="shared" si="157"/>
        <v>24.67794758642281</v>
      </c>
      <c r="PJ103" s="3">
        <f t="shared" si="157"/>
        <v>24.307778372626469</v>
      </c>
      <c r="PK103" s="3">
        <f t="shared" si="157"/>
        <v>23.943161697037073</v>
      </c>
      <c r="PL103" s="3">
        <f t="shared" si="157"/>
        <v>23.584014271581516</v>
      </c>
      <c r="PM103" s="3">
        <f t="shared" si="157"/>
        <v>23.230254057507793</v>
      </c>
      <c r="PN103" s="3">
        <f t="shared" si="157"/>
        <v>22.881800246645174</v>
      </c>
      <c r="PO103" s="3">
        <f t="shared" si="157"/>
        <v>22.538573242945496</v>
      </c>
      <c r="PP103" s="3">
        <f t="shared" si="157"/>
        <v>22.200494644301312</v>
      </c>
      <c r="PQ103" s="3">
        <f t="shared" si="157"/>
        <v>21.867487224636793</v>
      </c>
      <c r="PR103" s="3">
        <f t="shared" si="157"/>
        <v>21.539474916267242</v>
      </c>
      <c r="PS103" s="3">
        <f t="shared" si="157"/>
        <v>21.216382792523234</v>
      </c>
      <c r="PT103" s="3">
        <f t="shared" ref="PT103:SE103" si="158">+PS103*(1+$AP$24)</f>
        <v>20.898137050635384</v>
      </c>
      <c r="PU103" s="3">
        <f t="shared" si="158"/>
        <v>20.584664994875855</v>
      </c>
      <c r="PV103" s="3">
        <f t="shared" si="158"/>
        <v>20.275895019952717</v>
      </c>
      <c r="PW103" s="3">
        <f t="shared" si="158"/>
        <v>19.971756594653424</v>
      </c>
      <c r="PX103" s="3">
        <f t="shared" si="158"/>
        <v>19.672180245733621</v>
      </c>
      <c r="PY103" s="3">
        <f t="shared" si="158"/>
        <v>19.377097542047615</v>
      </c>
      <c r="PZ103" s="3">
        <f t="shared" si="158"/>
        <v>19.086441078916899</v>
      </c>
      <c r="QA103" s="3">
        <f t="shared" si="158"/>
        <v>18.800144462733144</v>
      </c>
      <c r="QB103" s="3">
        <f t="shared" si="158"/>
        <v>18.518142295792146</v>
      </c>
      <c r="QC103" s="3">
        <f t="shared" si="158"/>
        <v>18.240370161355262</v>
      </c>
      <c r="QD103" s="3">
        <f t="shared" si="158"/>
        <v>17.966764608934934</v>
      </c>
      <c r="QE103" s="3">
        <f t="shared" si="158"/>
        <v>17.69726313980091</v>
      </c>
      <c r="QF103" s="3">
        <f t="shared" si="158"/>
        <v>17.431804192703897</v>
      </c>
      <c r="QG103" s="3">
        <f t="shared" si="158"/>
        <v>17.170327129813337</v>
      </c>
      <c r="QH103" s="3">
        <f t="shared" si="158"/>
        <v>16.912772222866138</v>
      </c>
      <c r="QI103" s="3">
        <f t="shared" si="158"/>
        <v>16.659080639523147</v>
      </c>
      <c r="QJ103" s="3">
        <f t="shared" si="158"/>
        <v>16.409194429930299</v>
      </c>
      <c r="QK103" s="3">
        <f t="shared" si="158"/>
        <v>16.163056513481344</v>
      </c>
      <c r="QL103" s="3">
        <f t="shared" si="158"/>
        <v>15.920610665779124</v>
      </c>
      <c r="QM103" s="3">
        <f t="shared" si="158"/>
        <v>15.681801505792437</v>
      </c>
      <c r="QN103" s="3">
        <f t="shared" si="158"/>
        <v>15.44657448320555</v>
      </c>
      <c r="QO103" s="3">
        <f t="shared" si="158"/>
        <v>15.214875865957467</v>
      </c>
      <c r="QP103" s="3">
        <f t="shared" si="158"/>
        <v>14.986652727968105</v>
      </c>
      <c r="QQ103" s="3">
        <f t="shared" si="158"/>
        <v>14.761852937048584</v>
      </c>
      <c r="QR103" s="3">
        <f t="shared" si="158"/>
        <v>14.540425142992856</v>
      </c>
      <c r="QS103" s="3">
        <f t="shared" si="158"/>
        <v>14.322318765847962</v>
      </c>
      <c r="QT103" s="3">
        <f t="shared" si="158"/>
        <v>14.107483984360242</v>
      </c>
      <c r="QU103" s="3">
        <f t="shared" si="158"/>
        <v>13.895871724594837</v>
      </c>
      <c r="QV103" s="3">
        <f t="shared" si="158"/>
        <v>13.687433648725914</v>
      </c>
      <c r="QW103" s="3">
        <f t="shared" si="158"/>
        <v>13.482122143995026</v>
      </c>
      <c r="QX103" s="3">
        <f t="shared" si="158"/>
        <v>13.2798903118351</v>
      </c>
      <c r="QY103" s="3">
        <f t="shared" si="158"/>
        <v>13.080691957157573</v>
      </c>
      <c r="QZ103" s="3">
        <f t="shared" si="158"/>
        <v>12.884481577800209</v>
      </c>
      <c r="RA103" s="3">
        <f t="shared" si="158"/>
        <v>12.691214354133205</v>
      </c>
      <c r="RB103" s="3">
        <f t="shared" si="158"/>
        <v>12.500846138821206</v>
      </c>
      <c r="RC103" s="3">
        <f t="shared" si="158"/>
        <v>12.313333446738888</v>
      </c>
      <c r="RD103" s="3">
        <f t="shared" si="158"/>
        <v>12.128633445037805</v>
      </c>
      <c r="RE103" s="3">
        <f t="shared" si="158"/>
        <v>11.946703943362238</v>
      </c>
      <c r="RF103" s="3">
        <f t="shared" si="158"/>
        <v>11.767503384211803</v>
      </c>
      <c r="RG103" s="3">
        <f t="shared" si="158"/>
        <v>11.590990833448625</v>
      </c>
      <c r="RH103" s="3">
        <f t="shared" si="158"/>
        <v>11.417125970946897</v>
      </c>
      <c r="RI103" s="3">
        <f t="shared" si="158"/>
        <v>11.245869081382693</v>
      </c>
      <c r="RJ103" s="3">
        <f t="shared" si="158"/>
        <v>11.077181045161954</v>
      </c>
      <c r="RK103" s="3">
        <f t="shared" si="158"/>
        <v>10.911023329484523</v>
      </c>
      <c r="RL103" s="3">
        <f t="shared" si="158"/>
        <v>10.747357979542256</v>
      </c>
      <c r="RM103" s="3">
        <f t="shared" si="158"/>
        <v>10.586147609849123</v>
      </c>
      <c r="RN103" s="3">
        <f t="shared" si="158"/>
        <v>10.427355395701385</v>
      </c>
      <c r="RO103" s="3">
        <f t="shared" si="158"/>
        <v>10.270945064765865</v>
      </c>
      <c r="RP103" s="3">
        <f t="shared" si="158"/>
        <v>10.116880888794377</v>
      </c>
      <c r="RQ103" s="3">
        <f t="shared" si="158"/>
        <v>9.9651276754624618</v>
      </c>
      <c r="RR103" s="3">
        <f t="shared" si="158"/>
        <v>9.8156507603305254</v>
      </c>
      <c r="RS103" s="3">
        <f t="shared" si="158"/>
        <v>9.6684159989255676</v>
      </c>
      <c r="RT103" s="3">
        <f t="shared" si="158"/>
        <v>9.5233897589416845</v>
      </c>
      <c r="RU103" s="3">
        <f t="shared" si="158"/>
        <v>9.3805389125575598</v>
      </c>
      <c r="RV103" s="3">
        <f t="shared" si="158"/>
        <v>9.2398308288691968</v>
      </c>
      <c r="RW103" s="3">
        <f t="shared" si="158"/>
        <v>9.1012333664361584</v>
      </c>
      <c r="RX103" s="3">
        <f t="shared" si="158"/>
        <v>8.9647148659396159</v>
      </c>
      <c r="RY103" s="3">
        <f t="shared" si="158"/>
        <v>8.8302441429505212</v>
      </c>
      <c r="RZ103" s="3">
        <f t="shared" si="158"/>
        <v>8.6977904808062636</v>
      </c>
      <c r="SA103" s="3">
        <f t="shared" si="158"/>
        <v>8.5673236235941701</v>
      </c>
      <c r="SB103" s="3">
        <f t="shared" si="158"/>
        <v>8.4388137692402569</v>
      </c>
      <c r="SC103" s="3">
        <f t="shared" si="158"/>
        <v>8.312231562701653</v>
      </c>
      <c r="SD103" s="3">
        <f t="shared" si="158"/>
        <v>8.1875480892611279</v>
      </c>
      <c r="SE103" s="3">
        <f t="shared" si="158"/>
        <v>8.0647348679222102</v>
      </c>
      <c r="SF103" s="3">
        <f t="shared" ref="SF103:UQ103" si="159">+SE103*(1+$AP$24)</f>
        <v>7.9437638449033772</v>
      </c>
      <c r="SG103" s="3">
        <f t="shared" si="159"/>
        <v>7.8246073872298263</v>
      </c>
      <c r="SH103" s="3">
        <f t="shared" si="159"/>
        <v>7.7072382764213785</v>
      </c>
      <c r="SI103" s="3">
        <f t="shared" si="159"/>
        <v>7.5916297022750578</v>
      </c>
      <c r="SJ103" s="3">
        <f t="shared" si="159"/>
        <v>7.4777552567409318</v>
      </c>
      <c r="SK103" s="3">
        <f t="shared" si="159"/>
        <v>7.3655889278898181</v>
      </c>
      <c r="SL103" s="3">
        <f t="shared" si="159"/>
        <v>7.255105093971471</v>
      </c>
      <c r="SM103" s="3">
        <f t="shared" si="159"/>
        <v>7.1462785175618988</v>
      </c>
      <c r="SN103" s="3">
        <f t="shared" si="159"/>
        <v>7.0390843397984701</v>
      </c>
      <c r="SO103" s="3">
        <f t="shared" si="159"/>
        <v>6.9334980747014932</v>
      </c>
      <c r="SP103" s="3">
        <f t="shared" si="159"/>
        <v>6.8294956035809706</v>
      </c>
      <c r="SQ103" s="3">
        <f t="shared" si="159"/>
        <v>6.727053169527256</v>
      </c>
      <c r="SR103" s="3">
        <f t="shared" si="159"/>
        <v>6.6261473719843469</v>
      </c>
      <c r="SS103" s="3">
        <f t="shared" si="159"/>
        <v>6.5267551614045818</v>
      </c>
      <c r="ST103" s="3">
        <f t="shared" si="159"/>
        <v>6.4288538339835126</v>
      </c>
      <c r="SU103" s="3">
        <f t="shared" si="159"/>
        <v>6.3324210264737602</v>
      </c>
      <c r="SV103" s="3">
        <f t="shared" si="159"/>
        <v>6.2374347110766539</v>
      </c>
      <c r="SW103" s="3">
        <f t="shared" si="159"/>
        <v>6.1438731904105044</v>
      </c>
      <c r="SX103" s="3">
        <f t="shared" si="159"/>
        <v>6.051715092554347</v>
      </c>
      <c r="SY103" s="3">
        <f t="shared" si="159"/>
        <v>5.9609393661660315</v>
      </c>
      <c r="SZ103" s="3">
        <f t="shared" si="159"/>
        <v>5.871525275673541</v>
      </c>
      <c r="TA103" s="3">
        <f t="shared" si="159"/>
        <v>5.7834523965384381</v>
      </c>
      <c r="TB103" s="3">
        <f t="shared" si="159"/>
        <v>5.6967006105903613</v>
      </c>
      <c r="TC103" s="3">
        <f t="shared" si="159"/>
        <v>5.6112501014315059</v>
      </c>
      <c r="TD103" s="3">
        <f t="shared" si="159"/>
        <v>5.5270813499100333</v>
      </c>
      <c r="TE103" s="3">
        <f t="shared" si="159"/>
        <v>5.4441751296613825</v>
      </c>
      <c r="TF103" s="3">
        <f t="shared" si="159"/>
        <v>5.362512502716462</v>
      </c>
      <c r="TG103" s="3">
        <f t="shared" si="159"/>
        <v>5.2820748151757151</v>
      </c>
      <c r="TH103" s="3">
        <f t="shared" si="159"/>
        <v>5.202843692948079</v>
      </c>
      <c r="TI103" s="3">
        <f t="shared" si="159"/>
        <v>5.1248010375538575</v>
      </c>
      <c r="TJ103" s="3">
        <f t="shared" si="159"/>
        <v>5.0479290219905497</v>
      </c>
      <c r="TK103" s="3">
        <f t="shared" si="159"/>
        <v>4.9722100866606915</v>
      </c>
      <c r="TL103" s="3">
        <f t="shared" si="159"/>
        <v>4.8976269353607815</v>
      </c>
      <c r="TM103" s="3">
        <f t="shared" si="159"/>
        <v>4.8241625313303693</v>
      </c>
      <c r="TN103" s="3">
        <f t="shared" si="159"/>
        <v>4.7518000933604139</v>
      </c>
      <c r="TO103" s="3">
        <f t="shared" si="159"/>
        <v>4.6805230919600076</v>
      </c>
      <c r="TP103" s="3">
        <f t="shared" si="159"/>
        <v>4.6103152455806073</v>
      </c>
      <c r="TQ103" s="3">
        <f t="shared" si="159"/>
        <v>4.5411605168968983</v>
      </c>
      <c r="TR103" s="3">
        <f t="shared" si="159"/>
        <v>4.4730431091434451</v>
      </c>
      <c r="TS103" s="3">
        <f t="shared" si="159"/>
        <v>4.4059474625062931</v>
      </c>
      <c r="TT103" s="3">
        <f t="shared" si="159"/>
        <v>4.3398582505686987</v>
      </c>
      <c r="TU103" s="3">
        <f t="shared" si="159"/>
        <v>4.2747603768101685</v>
      </c>
      <c r="TV103" s="3">
        <f t="shared" si="159"/>
        <v>4.2106389711580157</v>
      </c>
      <c r="TW103" s="3">
        <f t="shared" si="159"/>
        <v>4.1474793865906454</v>
      </c>
      <c r="TX103" s="3">
        <f t="shared" si="159"/>
        <v>4.0852671957917854</v>
      </c>
      <c r="TY103" s="3">
        <f t="shared" si="159"/>
        <v>4.0239881878549086</v>
      </c>
      <c r="TZ103" s="3">
        <f t="shared" si="159"/>
        <v>3.9636283650370849</v>
      </c>
      <c r="UA103" s="3">
        <f t="shared" si="159"/>
        <v>3.9041739395615287</v>
      </c>
      <c r="UB103" s="3">
        <f t="shared" si="159"/>
        <v>3.8456113304681057</v>
      </c>
      <c r="UC103" s="3">
        <f t="shared" si="159"/>
        <v>3.7879271605110838</v>
      </c>
      <c r="UD103" s="3">
        <f t="shared" si="159"/>
        <v>3.7311082531034176</v>
      </c>
      <c r="UE103" s="3">
        <f t="shared" si="159"/>
        <v>3.6751416293068662</v>
      </c>
      <c r="UF103" s="3">
        <f t="shared" si="159"/>
        <v>3.6200145048672629</v>
      </c>
      <c r="UG103" s="3">
        <f t="shared" si="159"/>
        <v>3.565714287294254</v>
      </c>
      <c r="UH103" s="3">
        <f t="shared" si="159"/>
        <v>3.5122285729848399</v>
      </c>
      <c r="UI103" s="3">
        <f t="shared" si="159"/>
        <v>3.4595451443900673</v>
      </c>
      <c r="UJ103" s="3">
        <f t="shared" si="159"/>
        <v>3.4076519672242163</v>
      </c>
      <c r="UK103" s="3">
        <f t="shared" si="159"/>
        <v>3.356537187715853</v>
      </c>
      <c r="UL103" s="3">
        <f t="shared" si="159"/>
        <v>3.3061891299001149</v>
      </c>
      <c r="UM103" s="3">
        <f t="shared" si="159"/>
        <v>3.2565962929516132</v>
      </c>
      <c r="UN103" s="3">
        <f t="shared" si="159"/>
        <v>3.2077473485573389</v>
      </c>
      <c r="UO103" s="3">
        <f t="shared" si="159"/>
        <v>3.1596311383289786</v>
      </c>
      <c r="UP103" s="3">
        <f t="shared" si="159"/>
        <v>3.1122366712540437</v>
      </c>
      <c r="UQ103" s="3">
        <f t="shared" si="159"/>
        <v>3.0655531211852329</v>
      </c>
      <c r="UR103" s="3">
        <f t="shared" ref="UR103:XC103" si="160">+UQ103*(1+$AP$24)</f>
        <v>3.0195698243674545</v>
      </c>
      <c r="US103" s="3">
        <f t="shared" si="160"/>
        <v>2.9742762770019424</v>
      </c>
      <c r="UT103" s="3">
        <f t="shared" si="160"/>
        <v>2.9296621328469135</v>
      </c>
      <c r="UU103" s="3">
        <f t="shared" si="160"/>
        <v>2.8857172008542098</v>
      </c>
      <c r="UV103" s="3">
        <f t="shared" si="160"/>
        <v>2.8424314428413968</v>
      </c>
      <c r="UW103" s="3">
        <f t="shared" si="160"/>
        <v>2.799794971198776</v>
      </c>
      <c r="UX103" s="3">
        <f t="shared" si="160"/>
        <v>2.7577980466307941</v>
      </c>
      <c r="UY103" s="3">
        <f t="shared" si="160"/>
        <v>2.7164310759313319</v>
      </c>
      <c r="UZ103" s="3">
        <f t="shared" si="160"/>
        <v>2.6756846097923619</v>
      </c>
      <c r="VA103" s="3">
        <f t="shared" si="160"/>
        <v>2.6355493406454764</v>
      </c>
      <c r="VB103" s="3">
        <f t="shared" si="160"/>
        <v>2.596016100535794</v>
      </c>
      <c r="VC103" s="3">
        <f t="shared" si="160"/>
        <v>2.5570758590277571</v>
      </c>
      <c r="VD103" s="3">
        <f t="shared" si="160"/>
        <v>2.5187197211423409</v>
      </c>
      <c r="VE103" s="3">
        <f t="shared" si="160"/>
        <v>2.4809389253252059</v>
      </c>
      <c r="VF103" s="3">
        <f t="shared" si="160"/>
        <v>2.4437248414453276</v>
      </c>
      <c r="VG103" s="3">
        <f t="shared" si="160"/>
        <v>2.4070689688236477</v>
      </c>
      <c r="VH103" s="3">
        <f t="shared" si="160"/>
        <v>2.3709629342912928</v>
      </c>
      <c r="VI103" s="3">
        <f t="shared" si="160"/>
        <v>2.3353984902769231</v>
      </c>
      <c r="VJ103" s="3">
        <f t="shared" si="160"/>
        <v>2.3003675129227692</v>
      </c>
      <c r="VK103" s="3">
        <f t="shared" si="160"/>
        <v>2.2658620002289278</v>
      </c>
      <c r="VL103" s="3">
        <f t="shared" si="160"/>
        <v>2.2318740702254938</v>
      </c>
      <c r="VM103" s="3">
        <f t="shared" si="160"/>
        <v>2.1983959591721112</v>
      </c>
      <c r="VN103" s="3">
        <f t="shared" si="160"/>
        <v>2.1654200197845297</v>
      </c>
      <c r="VO103" s="3">
        <f t="shared" si="160"/>
        <v>2.1329387194877616</v>
      </c>
      <c r="VP103" s="3">
        <f t="shared" si="160"/>
        <v>2.1009446386954451</v>
      </c>
      <c r="VQ103" s="3">
        <f t="shared" si="160"/>
        <v>2.0694304691150136</v>
      </c>
      <c r="VR103" s="3">
        <f t="shared" si="160"/>
        <v>2.0383890120782882</v>
      </c>
      <c r="VS103" s="3">
        <f t="shared" si="160"/>
        <v>2.0078131768971139</v>
      </c>
      <c r="VT103" s="3">
        <f t="shared" si="160"/>
        <v>1.9776959792436573</v>
      </c>
      <c r="VU103" s="3">
        <f t="shared" si="160"/>
        <v>1.9480305395550024</v>
      </c>
      <c r="VV103" s="3">
        <f t="shared" si="160"/>
        <v>1.9188100814616773</v>
      </c>
      <c r="VW103" s="3">
        <f t="shared" si="160"/>
        <v>1.890027930239752</v>
      </c>
      <c r="VX103" s="3">
        <f t="shared" si="160"/>
        <v>1.8616775112861557</v>
      </c>
      <c r="VY103" s="3">
        <f t="shared" si="160"/>
        <v>1.8337523486168632</v>
      </c>
      <c r="VZ103" s="3">
        <f t="shared" si="160"/>
        <v>1.8062460633876103</v>
      </c>
      <c r="WA103" s="3">
        <f t="shared" si="160"/>
        <v>1.7791523724367961</v>
      </c>
      <c r="WB103" s="3">
        <f t="shared" si="160"/>
        <v>1.7524650868502443</v>
      </c>
      <c r="WC103" s="3">
        <f t="shared" si="160"/>
        <v>1.7261781105474905</v>
      </c>
      <c r="WD103" s="3">
        <f t="shared" si="160"/>
        <v>1.7002854388892781</v>
      </c>
      <c r="WE103" s="3">
        <f t="shared" si="160"/>
        <v>1.6747811573059388</v>
      </c>
      <c r="WF103" s="3">
        <f t="shared" si="160"/>
        <v>1.6496594399463498</v>
      </c>
      <c r="WG103" s="3">
        <f t="shared" si="160"/>
        <v>1.6249145483471545</v>
      </c>
      <c r="WH103" s="3">
        <f t="shared" si="160"/>
        <v>1.6005408301219473</v>
      </c>
      <c r="WI103" s="3">
        <f t="shared" si="160"/>
        <v>1.576532717670118</v>
      </c>
      <c r="WJ103" s="3">
        <f t="shared" si="160"/>
        <v>1.5528847269050663</v>
      </c>
      <c r="WK103" s="3">
        <f t="shared" si="160"/>
        <v>1.5295914560014903</v>
      </c>
      <c r="WL103" s="3">
        <f t="shared" si="160"/>
        <v>1.5066475841614679</v>
      </c>
      <c r="WM103" s="3">
        <f t="shared" si="160"/>
        <v>1.4840478703990458</v>
      </c>
      <c r="WN103" s="3">
        <f t="shared" si="160"/>
        <v>1.4617871523430601</v>
      </c>
      <c r="WO103" s="3">
        <f t="shared" si="160"/>
        <v>1.4398603450579142</v>
      </c>
      <c r="WP103" s="3">
        <f t="shared" si="160"/>
        <v>1.4182624398820454</v>
      </c>
      <c r="WQ103" s="3">
        <f t="shared" si="160"/>
        <v>1.3969885032838147</v>
      </c>
      <c r="WR103" s="3">
        <f t="shared" si="160"/>
        <v>1.3760336757345575</v>
      </c>
      <c r="WS103" s="3">
        <f t="shared" si="160"/>
        <v>1.3553931705985391</v>
      </c>
      <c r="WT103" s="3">
        <f t="shared" si="160"/>
        <v>1.3350622730395609</v>
      </c>
      <c r="WU103" s="3">
        <f t="shared" si="160"/>
        <v>1.3150363389439674</v>
      </c>
      <c r="WV103" s="3">
        <f t="shared" si="160"/>
        <v>1.2953107938598079</v>
      </c>
      <c r="WW103" s="3">
        <f t="shared" si="160"/>
        <v>1.2758811319519108</v>
      </c>
      <c r="WX103" s="3">
        <f t="shared" si="160"/>
        <v>1.2567429149726321</v>
      </c>
      <c r="WY103" s="3">
        <f t="shared" si="160"/>
        <v>1.2378917712480426</v>
      </c>
      <c r="WZ103" s="3">
        <f t="shared" si="160"/>
        <v>1.219323394679322</v>
      </c>
      <c r="XA103" s="3">
        <f t="shared" si="160"/>
        <v>1.2010335437591322</v>
      </c>
      <c r="XB103" s="3">
        <f t="shared" si="160"/>
        <v>1.1830180406027453</v>
      </c>
      <c r="XC103" s="3">
        <f t="shared" si="160"/>
        <v>1.165272769993704</v>
      </c>
      <c r="XD103" s="3">
        <f t="shared" ref="XD103:ZO103" si="161">+XC103*(1+$AP$24)</f>
        <v>1.1477936784437983</v>
      </c>
      <c r="XE103" s="3">
        <f t="shared" si="161"/>
        <v>1.1305767732671412</v>
      </c>
      <c r="XF103" s="3">
        <f t="shared" si="161"/>
        <v>1.113618121668134</v>
      </c>
      <c r="XG103" s="3">
        <f t="shared" si="161"/>
        <v>1.0969138498431119</v>
      </c>
      <c r="XH103" s="3">
        <f t="shared" si="161"/>
        <v>1.0804601420954651</v>
      </c>
      <c r="XI103" s="3">
        <f t="shared" si="161"/>
        <v>1.0642532399640332</v>
      </c>
      <c r="XJ103" s="3">
        <f t="shared" si="161"/>
        <v>1.0482894413645727</v>
      </c>
      <c r="XK103" s="3">
        <f t="shared" si="161"/>
        <v>1.032565099744104</v>
      </c>
      <c r="XL103" s="3">
        <f t="shared" si="161"/>
        <v>1.0170766232479425</v>
      </c>
      <c r="XM103" s="3">
        <f t="shared" si="161"/>
        <v>1.0018204738992234</v>
      </c>
      <c r="XN103" s="3">
        <f t="shared" si="161"/>
        <v>0.98679316679073503</v>
      </c>
      <c r="XO103" s="3">
        <f t="shared" si="161"/>
        <v>0.97199126928887403</v>
      </c>
      <c r="XP103" s="3">
        <f t="shared" si="161"/>
        <v>0.95741140024954086</v>
      </c>
      <c r="XQ103" s="3">
        <f t="shared" si="161"/>
        <v>0.94305022924579773</v>
      </c>
      <c r="XR103" s="3">
        <f t="shared" si="161"/>
        <v>0.92890447580711077</v>
      </c>
      <c r="XS103" s="3">
        <f t="shared" si="161"/>
        <v>0.91497090867000408</v>
      </c>
      <c r="XT103" s="3">
        <f t="shared" si="161"/>
        <v>0.90124634503995404</v>
      </c>
      <c r="XU103" s="3">
        <f t="shared" si="161"/>
        <v>0.88772764986435471</v>
      </c>
      <c r="XV103" s="3">
        <f t="shared" si="161"/>
        <v>0.87441173511638937</v>
      </c>
      <c r="XW103" s="3">
        <f t="shared" si="161"/>
        <v>0.8612955590896435</v>
      </c>
      <c r="XX103" s="3">
        <f t="shared" si="161"/>
        <v>0.84837612570329879</v>
      </c>
      <c r="XY103" s="3">
        <f t="shared" si="161"/>
        <v>0.83565048381774931</v>
      </c>
      <c r="XZ103" s="3">
        <f t="shared" si="161"/>
        <v>0.82311572656048304</v>
      </c>
      <c r="YA103" s="3">
        <f t="shared" si="161"/>
        <v>0.81076899066207575</v>
      </c>
      <c r="YB103" s="3">
        <f t="shared" si="161"/>
        <v>0.79860745580214465</v>
      </c>
      <c r="YC103" s="3">
        <f t="shared" si="161"/>
        <v>0.7866283439651125</v>
      </c>
      <c r="YD103" s="3">
        <f t="shared" si="161"/>
        <v>0.77482891880563576</v>
      </c>
      <c r="YE103" s="3">
        <f t="shared" si="161"/>
        <v>0.76320648502355126</v>
      </c>
      <c r="YF103" s="3">
        <f t="shared" si="161"/>
        <v>0.75175838774819803</v>
      </c>
      <c r="YG103" s="3">
        <f t="shared" si="161"/>
        <v>0.74048201193197505</v>
      </c>
      <c r="YH103" s="3">
        <f t="shared" si="161"/>
        <v>0.72937478175299542</v>
      </c>
      <c r="YI103" s="3">
        <f t="shared" si="161"/>
        <v>0.71843416002670046</v>
      </c>
      <c r="YJ103" s="3">
        <f t="shared" si="161"/>
        <v>0.7076576476262999</v>
      </c>
      <c r="YK103" s="3">
        <f t="shared" si="161"/>
        <v>0.69704278291190536</v>
      </c>
      <c r="YL103" s="3">
        <f t="shared" si="161"/>
        <v>0.68658714116822672</v>
      </c>
      <c r="YM103" s="3">
        <f t="shared" si="161"/>
        <v>0.67628833405070332</v>
      </c>
      <c r="YN103" s="3">
        <f t="shared" si="161"/>
        <v>0.66614400903994275</v>
      </c>
      <c r="YO103" s="3">
        <f t="shared" si="161"/>
        <v>0.65615184890434364</v>
      </c>
      <c r="YP103" s="3">
        <f t="shared" si="161"/>
        <v>0.64630957117077847</v>
      </c>
      <c r="YQ103" s="3">
        <f t="shared" si="161"/>
        <v>0.63661492760321681</v>
      </c>
      <c r="YR103" s="3">
        <f t="shared" si="161"/>
        <v>0.62706570368916859</v>
      </c>
      <c r="YS103" s="3">
        <f t="shared" si="161"/>
        <v>0.61765971813383103</v>
      </c>
      <c r="YT103" s="3">
        <f t="shared" si="161"/>
        <v>0.60839482236182352</v>
      </c>
      <c r="YU103" s="3">
        <f t="shared" si="161"/>
        <v>0.59926890002639621</v>
      </c>
      <c r="YV103" s="3">
        <f t="shared" si="161"/>
        <v>0.59027986652600029</v>
      </c>
      <c r="YW103" s="3">
        <f t="shared" si="161"/>
        <v>0.58142566852811028</v>
      </c>
      <c r="YX103" s="3">
        <f t="shared" si="161"/>
        <v>0.57270428350018865</v>
      </c>
      <c r="YY103" s="3">
        <f t="shared" si="161"/>
        <v>0.56411371924768583</v>
      </c>
      <c r="YZ103" s="3">
        <f t="shared" si="161"/>
        <v>0.55565201345897053</v>
      </c>
      <c r="ZA103" s="3">
        <f t="shared" si="161"/>
        <v>0.54731723325708592</v>
      </c>
      <c r="ZB103" s="3">
        <f t="shared" si="161"/>
        <v>0.53910747475822962</v>
      </c>
      <c r="ZC103" s="3">
        <f t="shared" si="161"/>
        <v>0.53102086263685622</v>
      </c>
      <c r="ZD103" s="3">
        <f t="shared" si="161"/>
        <v>0.52305554969730339</v>
      </c>
      <c r="ZE103" s="3">
        <f t="shared" si="161"/>
        <v>0.51520971645184388</v>
      </c>
      <c r="ZF103" s="3">
        <f t="shared" si="161"/>
        <v>0.50748157070506617</v>
      </c>
      <c r="ZG103" s="3">
        <f t="shared" si="161"/>
        <v>0.49986934714449016</v>
      </c>
      <c r="ZH103" s="3">
        <f t="shared" si="161"/>
        <v>0.49237130693732278</v>
      </c>
      <c r="ZI103" s="3">
        <f t="shared" si="161"/>
        <v>0.48498573733326295</v>
      </c>
      <c r="ZJ103" s="3">
        <f t="shared" si="161"/>
        <v>0.47771095127326402</v>
      </c>
      <c r="ZK103" s="3">
        <f t="shared" si="161"/>
        <v>0.47054528700416504</v>
      </c>
      <c r="ZL103" s="3">
        <f t="shared" si="161"/>
        <v>0.46348710769910256</v>
      </c>
      <c r="ZM103" s="3">
        <f t="shared" si="161"/>
        <v>0.45653480108361599</v>
      </c>
      <c r="ZN103" s="3">
        <f t="shared" si="161"/>
        <v>0.44968677906736176</v>
      </c>
      <c r="ZO103" s="3">
        <f t="shared" si="161"/>
        <v>0.44294147738135131</v>
      </c>
      <c r="ZP103" s="3">
        <f t="shared" ref="ZP103:ACA103" si="162">+ZO103*(1+$AP$24)</f>
        <v>0.43629735522063101</v>
      </c>
      <c r="ZQ103" s="3">
        <f t="shared" si="162"/>
        <v>0.42975289489232155</v>
      </c>
      <c r="ZR103" s="3">
        <f t="shared" si="162"/>
        <v>0.42330660146893673</v>
      </c>
      <c r="ZS103" s="3">
        <f t="shared" si="162"/>
        <v>0.41695700244690265</v>
      </c>
      <c r="ZT103" s="3">
        <f t="shared" si="162"/>
        <v>0.41070264741019913</v>
      </c>
      <c r="ZU103" s="3">
        <f t="shared" si="162"/>
        <v>0.40454210769904614</v>
      </c>
      <c r="ZV103" s="3">
        <f t="shared" si="162"/>
        <v>0.39847397608356044</v>
      </c>
      <c r="ZW103" s="3">
        <f t="shared" si="162"/>
        <v>0.39249686644230702</v>
      </c>
      <c r="ZX103" s="3">
        <f t="shared" si="162"/>
        <v>0.3866094134456724</v>
      </c>
      <c r="ZY103" s="3">
        <f t="shared" si="162"/>
        <v>0.38081027224398734</v>
      </c>
      <c r="ZZ103" s="3">
        <f t="shared" si="162"/>
        <v>0.37509811816032751</v>
      </c>
      <c r="AAA103" s="3">
        <f t="shared" si="162"/>
        <v>0.36947164638792257</v>
      </c>
      <c r="AAB103" s="3">
        <f t="shared" si="162"/>
        <v>0.36392957169210371</v>
      </c>
      <c r="AAC103" s="3">
        <f t="shared" si="162"/>
        <v>0.35847062811672215</v>
      </c>
      <c r="AAD103" s="3">
        <f t="shared" si="162"/>
        <v>0.35309356869497133</v>
      </c>
      <c r="AAE103" s="3">
        <f t="shared" si="162"/>
        <v>0.34779716516454673</v>
      </c>
      <c r="AAF103" s="3">
        <f t="shared" si="162"/>
        <v>0.34258020768707853</v>
      </c>
      <c r="AAG103" s="3">
        <f t="shared" si="162"/>
        <v>0.33744150457177235</v>
      </c>
      <c r="AAH103" s="3">
        <f t="shared" si="162"/>
        <v>0.33237988200319579</v>
      </c>
      <c r="AAI103" s="3">
        <f t="shared" si="162"/>
        <v>0.32739418377314783</v>
      </c>
      <c r="AAJ103" s="3">
        <f t="shared" si="162"/>
        <v>0.32248327101655061</v>
      </c>
      <c r="AAK103" s="3">
        <f t="shared" si="162"/>
        <v>0.31764602195130237</v>
      </c>
      <c r="AAL103" s="3">
        <f t="shared" si="162"/>
        <v>0.31288133162203285</v>
      </c>
      <c r="AAM103" s="3">
        <f t="shared" si="162"/>
        <v>0.30818811164770238</v>
      </c>
      <c r="AAN103" s="3">
        <f t="shared" si="162"/>
        <v>0.30356528997298682</v>
      </c>
      <c r="AAO103" s="3">
        <f t="shared" si="162"/>
        <v>0.29901181062339199</v>
      </c>
      <c r="AAP103" s="3">
        <f t="shared" si="162"/>
        <v>0.29452663346404112</v>
      </c>
      <c r="AAQ103" s="3">
        <f t="shared" si="162"/>
        <v>0.29010873396208048</v>
      </c>
      <c r="AAR103" s="3">
        <f t="shared" si="162"/>
        <v>0.28575710295264928</v>
      </c>
      <c r="AAS103" s="3">
        <f t="shared" si="162"/>
        <v>0.28147074640835956</v>
      </c>
      <c r="AAT103" s="3">
        <f t="shared" si="162"/>
        <v>0.27724868521223417</v>
      </c>
      <c r="AAU103" s="3">
        <f t="shared" si="162"/>
        <v>0.27308995493405064</v>
      </c>
      <c r="AAV103" s="3">
        <f t="shared" si="162"/>
        <v>0.26899360561003988</v>
      </c>
      <c r="AAW103" s="3">
        <f t="shared" si="162"/>
        <v>0.2649587015258893</v>
      </c>
      <c r="AAX103" s="3">
        <f t="shared" si="162"/>
        <v>0.26098432100300095</v>
      </c>
      <c r="AAY103" s="3">
        <f t="shared" si="162"/>
        <v>0.25706955618795596</v>
      </c>
      <c r="AAZ103" s="3">
        <f t="shared" si="162"/>
        <v>0.2532135128451366</v>
      </c>
      <c r="ABA103" s="3">
        <f t="shared" si="162"/>
        <v>0.24941531015245955</v>
      </c>
      <c r="ABB103" s="3">
        <f t="shared" si="162"/>
        <v>0.24567408050017264</v>
      </c>
      <c r="ABC103" s="3">
        <f t="shared" si="162"/>
        <v>0.24198896929267005</v>
      </c>
      <c r="ABD103" s="3">
        <f t="shared" si="162"/>
        <v>0.23835913475327999</v>
      </c>
      <c r="ABE103" s="3">
        <f t="shared" si="162"/>
        <v>0.2347837477319808</v>
      </c>
      <c r="ABF103" s="3">
        <f t="shared" si="162"/>
        <v>0.23126199151600108</v>
      </c>
      <c r="ABG103" s="3">
        <f t="shared" si="162"/>
        <v>0.22779306164326105</v>
      </c>
      <c r="ABH103" s="3">
        <f t="shared" si="162"/>
        <v>0.22437616571861213</v>
      </c>
      <c r="ABI103" s="3">
        <f t="shared" si="162"/>
        <v>0.22101052323283293</v>
      </c>
      <c r="ABJ103" s="3">
        <f t="shared" si="162"/>
        <v>0.21769536538434045</v>
      </c>
      <c r="ABK103" s="3">
        <f t="shared" si="162"/>
        <v>0.21442993490357534</v>
      </c>
      <c r="ABL103" s="3">
        <f t="shared" si="162"/>
        <v>0.2112134858800217</v>
      </c>
      <c r="ABM103" s="3">
        <f t="shared" si="162"/>
        <v>0.20804528359182137</v>
      </c>
      <c r="ABN103" s="3">
        <f t="shared" si="162"/>
        <v>0.20492460433794404</v>
      </c>
      <c r="ABO103" s="3">
        <f t="shared" si="162"/>
        <v>0.20185073527287489</v>
      </c>
      <c r="ABP103" s="3">
        <f t="shared" si="162"/>
        <v>0.19882297424378176</v>
      </c>
      <c r="ABQ103" s="3">
        <f t="shared" si="162"/>
        <v>0.19584062963012502</v>
      </c>
      <c r="ABR103" s="3">
        <f t="shared" si="162"/>
        <v>0.19290302018567315</v>
      </c>
      <c r="ABS103" s="3">
        <f t="shared" si="162"/>
        <v>0.19000947488288805</v>
      </c>
      <c r="ABT103" s="3">
        <f t="shared" si="162"/>
        <v>0.18715933275964472</v>
      </c>
      <c r="ABU103" s="3">
        <f t="shared" si="162"/>
        <v>0.18435194276825004</v>
      </c>
      <c r="ABV103" s="3">
        <f t="shared" si="162"/>
        <v>0.18158666362672629</v>
      </c>
      <c r="ABW103" s="3">
        <f t="shared" si="162"/>
        <v>0.1788628636723254</v>
      </c>
      <c r="ABX103" s="3">
        <f t="shared" si="162"/>
        <v>0.17617992071724051</v>
      </c>
      <c r="ABY103" s="3">
        <f t="shared" si="162"/>
        <v>0.17353722190648191</v>
      </c>
      <c r="ABZ103" s="3">
        <f t="shared" si="162"/>
        <v>0.17093416357788468</v>
      </c>
      <c r="ACA103" s="3">
        <f t="shared" si="162"/>
        <v>0.16837015112421641</v>
      </c>
      <c r="ACB103" s="3">
        <f t="shared" ref="ACB103:ADF103" si="163">+ACA103*(1+$AP$24)</f>
        <v>0.16584459885735317</v>
      </c>
      <c r="ACC103" s="3">
        <f t="shared" si="163"/>
        <v>0.16335692987449288</v>
      </c>
      <c r="ACD103" s="3">
        <f t="shared" si="163"/>
        <v>0.16090657592637547</v>
      </c>
      <c r="ACE103" s="3">
        <f t="shared" si="163"/>
        <v>0.15849297728747982</v>
      </c>
      <c r="ACF103" s="3">
        <f t="shared" si="163"/>
        <v>0.15611558262816763</v>
      </c>
      <c r="ACG103" s="3">
        <f t="shared" si="163"/>
        <v>0.15377384888874512</v>
      </c>
      <c r="ACH103" s="3">
        <f t="shared" si="163"/>
        <v>0.15146724115541393</v>
      </c>
      <c r="ACI103" s="3">
        <f t="shared" si="163"/>
        <v>0.14919523253808273</v>
      </c>
      <c r="ACJ103" s="3">
        <f t="shared" si="163"/>
        <v>0.14695730405001148</v>
      </c>
      <c r="ACK103" s="3">
        <f t="shared" si="163"/>
        <v>0.14475294448926129</v>
      </c>
      <c r="ACL103" s="3">
        <f t="shared" si="163"/>
        <v>0.14258165032192238</v>
      </c>
      <c r="ACM103" s="3">
        <f t="shared" si="163"/>
        <v>0.14044292556709354</v>
      </c>
      <c r="ACN103" s="3">
        <f t="shared" si="163"/>
        <v>0.13833628168358714</v>
      </c>
      <c r="ACO103" s="3">
        <f t="shared" si="163"/>
        <v>0.13626123745833332</v>
      </c>
      <c r="ACP103" s="3">
        <f t="shared" si="163"/>
        <v>0.13421731889645833</v>
      </c>
      <c r="ACQ103" s="3">
        <f t="shared" si="163"/>
        <v>0.13220405911301145</v>
      </c>
      <c r="ACR103" s="3">
        <f t="shared" si="163"/>
        <v>0.13022099822631628</v>
      </c>
      <c r="ACS103" s="3">
        <f t="shared" si="163"/>
        <v>0.12826768325292154</v>
      </c>
      <c r="ACT103" s="3">
        <f t="shared" si="163"/>
        <v>0.12634366800412772</v>
      </c>
      <c r="ACU103" s="3">
        <f t="shared" si="163"/>
        <v>0.1244485129840658</v>
      </c>
      <c r="ACV103" s="3">
        <f t="shared" si="163"/>
        <v>0.12258178528930481</v>
      </c>
      <c r="ACW103" s="3">
        <f t="shared" si="163"/>
        <v>0.12074305850996524</v>
      </c>
      <c r="ACX103" s="3">
        <f t="shared" si="163"/>
        <v>0.11893191263231576</v>
      </c>
      <c r="ACY103" s="3">
        <f t="shared" si="163"/>
        <v>0.11714793394283102</v>
      </c>
      <c r="ACZ103" s="3">
        <f t="shared" si="163"/>
        <v>0.11539071493368855</v>
      </c>
      <c r="ADA103" s="3">
        <f t="shared" si="163"/>
        <v>0.11365985420968322</v>
      </c>
      <c r="ADB103" s="3">
        <f t="shared" si="163"/>
        <v>0.11195495639653796</v>
      </c>
      <c r="ADC103" s="3">
        <f t="shared" si="163"/>
        <v>0.11027563205058989</v>
      </c>
      <c r="ADD103" s="3">
        <f t="shared" si="163"/>
        <v>0.10862149756983104</v>
      </c>
      <c r="ADE103" s="3">
        <f t="shared" si="163"/>
        <v>0.10699217510628357</v>
      </c>
      <c r="ADF103" s="3">
        <f t="shared" si="163"/>
        <v>0.10538729247968932</v>
      </c>
    </row>
    <row r="104" spans="2:786" s="6" customFormat="1" x14ac:dyDescent="0.25">
      <c r="B104" s="6" t="s">
        <v>107</v>
      </c>
      <c r="C104" s="6">
        <f t="shared" ref="C104:N104" si="164">(-C85-C86)/C67</f>
        <v>-7.358529259201177E-2</v>
      </c>
      <c r="D104" s="6">
        <f t="shared" si="164"/>
        <v>-4.7127468581687607E-2</v>
      </c>
      <c r="E104" s="6">
        <f t="shared" si="164"/>
        <v>-7.0506454816285993E-2</v>
      </c>
      <c r="F104" s="6">
        <f t="shared" si="164"/>
        <v>-5.7377049180327863E-2</v>
      </c>
      <c r="G104" s="6">
        <f t="shared" si="164"/>
        <v>-7.1681415929203546E-2</v>
      </c>
      <c r="H104" s="6">
        <f t="shared" si="164"/>
        <v>-6.1592608886933568E-2</v>
      </c>
      <c r="I104" s="6">
        <f t="shared" si="164"/>
        <v>-8.6380996739636701E-2</v>
      </c>
      <c r="J104" s="6">
        <f t="shared" si="164"/>
        <v>-0.11788699234844026</v>
      </c>
      <c r="K104" s="6">
        <f t="shared" si="164"/>
        <v>-7.5204531151667711E-2</v>
      </c>
      <c r="L104" s="6">
        <f t="shared" si="164"/>
        <v>-3.4309096632042811E-2</v>
      </c>
      <c r="M104" s="6">
        <f t="shared" si="164"/>
        <v>-7.1363220494053067E-2</v>
      </c>
      <c r="N104" s="6">
        <f t="shared" si="164"/>
        <v>-5.2809333742708013E-2</v>
      </c>
      <c r="O104" s="6">
        <f>(-O85-O86)/O67</f>
        <v>-0.1044307477613676</v>
      </c>
      <c r="P104" s="6">
        <f t="shared" ref="P104:V104" si="165">(-P85-P86)/P67</f>
        <v>-5.5935958110965661E-2</v>
      </c>
      <c r="Q104" s="6" t="e">
        <f t="shared" si="165"/>
        <v>#DIV/0!</v>
      </c>
      <c r="R104" s="6" t="e">
        <f t="shared" si="165"/>
        <v>#DIV/0!</v>
      </c>
      <c r="S104" s="6" t="e">
        <f t="shared" si="165"/>
        <v>#DIV/0!</v>
      </c>
      <c r="T104" s="6" t="e">
        <f t="shared" si="165"/>
        <v>#DIV/0!</v>
      </c>
      <c r="U104" s="6" t="e">
        <f t="shared" si="165"/>
        <v>#DIV/0!</v>
      </c>
      <c r="V104" s="6" t="e">
        <f t="shared" si="165"/>
        <v>#DIV/0!</v>
      </c>
      <c r="AB104" s="6">
        <f t="shared" ref="AB104:AD104" si="166">(-AB85-AB86)/AB67</f>
        <v>-6.1199356905118421E-2</v>
      </c>
      <c r="AC104" s="6">
        <f t="shared" si="166"/>
        <v>-8.2080200501253142E-2</v>
      </c>
      <c r="AD104" s="6">
        <f t="shared" si="166"/>
        <v>-5.8490419672639821E-2</v>
      </c>
    </row>
    <row r="105" spans="2:786" s="6" customFormat="1" x14ac:dyDescent="0.25">
      <c r="B105" s="6" t="s">
        <v>109</v>
      </c>
      <c r="G105" s="6">
        <f t="shared" ref="G105:N105" si="167">G103/C103-1</f>
        <v>0.6446451792680663</v>
      </c>
      <c r="H105" s="6">
        <f t="shared" si="167"/>
        <v>0.28996074032529462</v>
      </c>
      <c r="I105" s="6">
        <f t="shared" si="167"/>
        <v>0.57485039175766572</v>
      </c>
      <c r="J105" s="6">
        <f t="shared" si="167"/>
        <v>0.57810797665369673</v>
      </c>
      <c r="K105" s="6">
        <f t="shared" si="167"/>
        <v>0.17031062477938597</v>
      </c>
      <c r="L105" s="6">
        <f t="shared" si="167"/>
        <v>-0.14492753623188281</v>
      </c>
      <c r="M105" s="6">
        <f t="shared" si="167"/>
        <v>-0.23493981803402331</v>
      </c>
      <c r="N105" s="6">
        <f t="shared" si="167"/>
        <v>0.28020489491738587</v>
      </c>
      <c r="O105" s="6">
        <f>O103/K103-1</f>
        <v>-0.44672129911415848</v>
      </c>
      <c r="P105" s="6">
        <f t="shared" ref="P105:V105" si="168">P103/L103-1</f>
        <v>-1.302711864406858E-2</v>
      </c>
      <c r="Q105" s="6">
        <f t="shared" si="168"/>
        <v>-1</v>
      </c>
      <c r="R105" s="6">
        <f t="shared" si="168"/>
        <v>-1</v>
      </c>
      <c r="S105" s="6">
        <f t="shared" si="168"/>
        <v>-1</v>
      </c>
      <c r="T105" s="6">
        <f t="shared" si="168"/>
        <v>-1</v>
      </c>
      <c r="U105" s="6" t="e">
        <f t="shared" si="168"/>
        <v>#DIV/0!</v>
      </c>
      <c r="V105" s="6" t="e">
        <f t="shared" si="168"/>
        <v>#DIV/0!</v>
      </c>
      <c r="AC105" s="6">
        <f t="shared" ref="AC105" si="169">AC103/AB103-1</f>
        <v>0.56971836946926757</v>
      </c>
      <c r="AD105" s="6">
        <f>AD103/AC103-1</f>
        <v>0.13503606525384271</v>
      </c>
    </row>
    <row r="106" spans="2:786" s="6" customFormat="1" x14ac:dyDescent="0.25">
      <c r="B106" s="6" t="s">
        <v>110</v>
      </c>
      <c r="C106" s="6">
        <f t="shared" ref="C106:N106" si="170">C103/C3</f>
        <v>0.40789959744257637</v>
      </c>
      <c r="D106" s="6">
        <f t="shared" si="170"/>
        <v>0.10758246178600153</v>
      </c>
      <c r="E106" s="6">
        <f t="shared" si="170"/>
        <v>0.11640215439856373</v>
      </c>
      <c r="F106" s="6">
        <f t="shared" si="170"/>
        <v>0.34906621392190146</v>
      </c>
      <c r="G106" s="6">
        <f t="shared" si="170"/>
        <v>0.45429762668377166</v>
      </c>
      <c r="H106" s="6">
        <f t="shared" si="170"/>
        <v>0.10237388724035602</v>
      </c>
      <c r="I106" s="6">
        <f t="shared" si="170"/>
        <v>0.13909140444081189</v>
      </c>
      <c r="J106" s="6">
        <f t="shared" si="170"/>
        <v>0.41881889763779523</v>
      </c>
      <c r="K106" s="6">
        <f t="shared" si="170"/>
        <v>0.40008326294195729</v>
      </c>
      <c r="L106" s="6">
        <f t="shared" si="170"/>
        <v>6.7909760589318663E-2</v>
      </c>
      <c r="M106" s="6">
        <f t="shared" si="170"/>
        <v>8.2927813163481953E-2</v>
      </c>
      <c r="N106" s="6">
        <f t="shared" si="170"/>
        <v>0.42097294010337494</v>
      </c>
      <c r="O106" s="6">
        <f>O103/O3</f>
        <v>0.17604510556621869</v>
      </c>
      <c r="P106" s="6">
        <f t="shared" ref="P106:V106" si="171">P103/P3</f>
        <v>5.0858494858812768E-2</v>
      </c>
      <c r="Q106" s="6">
        <f t="shared" si="171"/>
        <v>0</v>
      </c>
      <c r="R106" s="6">
        <f t="shared" si="171"/>
        <v>0</v>
      </c>
      <c r="S106" s="6">
        <f t="shared" si="171"/>
        <v>0</v>
      </c>
      <c r="T106" s="6">
        <f t="shared" si="171"/>
        <v>0</v>
      </c>
      <c r="U106" s="6">
        <f t="shared" si="171"/>
        <v>0</v>
      </c>
      <c r="V106" s="6">
        <f t="shared" si="171"/>
        <v>0</v>
      </c>
      <c r="AB106" s="6">
        <f t="shared" ref="AB106:AD106" si="172">AB103/AB3</f>
        <v>0.24021204492641363</v>
      </c>
      <c r="AC106" s="6">
        <f t="shared" si="172"/>
        <v>0.27753206955530224</v>
      </c>
      <c r="AD106" s="6">
        <f t="shared" si="172"/>
        <v>0.24379267552810094</v>
      </c>
      <c r="AE106" s="6">
        <v>0.25</v>
      </c>
      <c r="AF106" s="6">
        <v>0.255</v>
      </c>
      <c r="AG106" s="6">
        <v>0.26</v>
      </c>
      <c r="AH106" s="6">
        <v>0.26500000000000001</v>
      </c>
      <c r="AI106" s="6">
        <v>0.27</v>
      </c>
      <c r="AJ106" s="6">
        <v>0.27500000000000002</v>
      </c>
      <c r="AK106" s="6">
        <v>0.28000000000000003</v>
      </c>
      <c r="AL106" s="6">
        <v>0.28499999999999998</v>
      </c>
      <c r="AM106" s="6">
        <v>0.28999999999999998</v>
      </c>
      <c r="AN106" s="6">
        <v>0.3</v>
      </c>
    </row>
    <row r="109" spans="2:786" s="3" customFormat="1" x14ac:dyDescent="0.25">
      <c r="B109" s="3" t="s">
        <v>112</v>
      </c>
      <c r="C109" s="3">
        <v>394.4</v>
      </c>
      <c r="D109" s="3">
        <v>466.2</v>
      </c>
      <c r="E109" s="3">
        <v>522.70000000000005</v>
      </c>
      <c r="F109" s="3">
        <v>555.29999999999995</v>
      </c>
      <c r="G109" s="3">
        <v>590</v>
      </c>
      <c r="H109" s="3">
        <v>640.20000000000005</v>
      </c>
      <c r="I109" s="3">
        <v>698.47</v>
      </c>
      <c r="J109" s="3">
        <v>738</v>
      </c>
      <c r="K109" s="3">
        <v>789.58</v>
      </c>
      <c r="L109" s="3">
        <v>829.2</v>
      </c>
      <c r="M109" s="3">
        <v>900.2</v>
      </c>
      <c r="N109" s="3">
        <v>943.3</v>
      </c>
      <c r="O109" s="3">
        <v>996.8</v>
      </c>
      <c r="P109" s="3">
        <v>1090.4960000000001</v>
      </c>
      <c r="Q109" s="3">
        <v>1135</v>
      </c>
      <c r="AB109" s="3">
        <f t="shared" ref="AB109:AB110" si="173">C109+D109+E109+F109</f>
        <v>1938.6</v>
      </c>
      <c r="AC109" s="3">
        <f t="shared" ref="AC109:AC110" si="174">+G109+H109+I109+J109</f>
        <v>2666.67</v>
      </c>
      <c r="AD109" s="3">
        <f t="shared" ref="AD109:AD110" si="175">+K109+L109+M109+N109</f>
        <v>3462.2800000000007</v>
      </c>
      <c r="AE109" s="3">
        <v>4395</v>
      </c>
    </row>
    <row r="110" spans="2:786" s="3" customFormat="1" x14ac:dyDescent="0.25">
      <c r="B110" s="3" t="s">
        <v>113</v>
      </c>
      <c r="C110" s="3">
        <v>27.9</v>
      </c>
      <c r="D110" s="3">
        <v>30.9</v>
      </c>
      <c r="E110" s="3">
        <v>34.200000000000003</v>
      </c>
      <c r="F110" s="3">
        <v>33.683</v>
      </c>
      <c r="G110" s="3">
        <v>33.5</v>
      </c>
      <c r="H110" s="3">
        <v>33.799999999999997</v>
      </c>
      <c r="I110" s="3">
        <v>35.69</v>
      </c>
      <c r="J110" s="3">
        <v>36.6</v>
      </c>
      <c r="K110" s="3">
        <v>39.119999999999997</v>
      </c>
      <c r="L110" s="3">
        <v>39.5</v>
      </c>
      <c r="M110" s="3">
        <v>41.8</v>
      </c>
      <c r="N110" s="3">
        <v>43.4</v>
      </c>
      <c r="O110" s="3">
        <v>45.2</v>
      </c>
      <c r="P110" s="3">
        <v>54.472999999999999</v>
      </c>
      <c r="Q110" s="3">
        <f>+M110*1.2</f>
        <v>50.16</v>
      </c>
      <c r="AB110" s="3">
        <f t="shared" si="173"/>
        <v>126.68299999999999</v>
      </c>
      <c r="AC110" s="3">
        <f t="shared" si="174"/>
        <v>139.59</v>
      </c>
      <c r="AD110" s="3">
        <f t="shared" si="175"/>
        <v>163.82</v>
      </c>
      <c r="AE110" s="3">
        <f>+AD110*1.2</f>
        <v>196.58399999999997</v>
      </c>
    </row>
    <row r="111" spans="2:786" s="5" customFormat="1" x14ac:dyDescent="0.25">
      <c r="B111" s="5" t="s">
        <v>111</v>
      </c>
      <c r="C111" s="5">
        <f t="shared" ref="C111:N111" si="176">SUM(C109:C110)</f>
        <v>422.29999999999995</v>
      </c>
      <c r="D111" s="5">
        <f t="shared" si="176"/>
        <v>497.09999999999997</v>
      </c>
      <c r="E111" s="5">
        <f t="shared" si="176"/>
        <v>556.90000000000009</v>
      </c>
      <c r="F111" s="5">
        <f t="shared" si="176"/>
        <v>588.98299999999995</v>
      </c>
      <c r="G111" s="5">
        <f t="shared" si="176"/>
        <v>623.5</v>
      </c>
      <c r="H111" s="5">
        <f t="shared" si="176"/>
        <v>674</v>
      </c>
      <c r="I111" s="5">
        <f t="shared" si="176"/>
        <v>734.16000000000008</v>
      </c>
      <c r="J111" s="5">
        <f t="shared" si="176"/>
        <v>774.6</v>
      </c>
      <c r="K111" s="5">
        <f t="shared" si="176"/>
        <v>828.7</v>
      </c>
      <c r="L111" s="5">
        <f t="shared" si="176"/>
        <v>868.7</v>
      </c>
      <c r="M111" s="5">
        <f t="shared" si="176"/>
        <v>942</v>
      </c>
      <c r="N111" s="5">
        <f t="shared" si="176"/>
        <v>986.69999999999993</v>
      </c>
      <c r="O111" s="5">
        <f>SUM(O109:O110)</f>
        <v>1042</v>
      </c>
      <c r="P111" s="5">
        <f t="shared" ref="P111:V111" si="177">SUM(P109:P110)</f>
        <v>1144.9690000000001</v>
      </c>
      <c r="Q111" s="5">
        <f t="shared" si="177"/>
        <v>1185.1600000000001</v>
      </c>
      <c r="R111" s="5">
        <f t="shared" si="177"/>
        <v>0</v>
      </c>
      <c r="S111" s="5">
        <f t="shared" si="177"/>
        <v>0</v>
      </c>
      <c r="T111" s="5">
        <f t="shared" si="177"/>
        <v>0</v>
      </c>
      <c r="U111" s="5">
        <f t="shared" si="177"/>
        <v>0</v>
      </c>
      <c r="V111" s="5">
        <f t="shared" si="177"/>
        <v>0</v>
      </c>
      <c r="AB111" s="5">
        <f t="shared" ref="AB111:AE111" si="178">SUM(AB109:AB110)</f>
        <v>2065.2829999999999</v>
      </c>
      <c r="AC111" s="5">
        <f t="shared" si="178"/>
        <v>2806.26</v>
      </c>
      <c r="AD111" s="5">
        <f t="shared" si="178"/>
        <v>3626.1000000000008</v>
      </c>
      <c r="AE111" s="5">
        <f t="shared" si="178"/>
        <v>4591.5839999999998</v>
      </c>
    </row>
    <row r="113" spans="2:31" s="6" customFormat="1" x14ac:dyDescent="0.25">
      <c r="B113" s="6" t="s">
        <v>114</v>
      </c>
      <c r="G113" s="6">
        <f t="shared" ref="G113:V114" si="179">G109/C109-1</f>
        <v>0.49594320486815424</v>
      </c>
      <c r="H113" s="6">
        <f t="shared" si="179"/>
        <v>0.37323037323037345</v>
      </c>
      <c r="I113" s="6">
        <f t="shared" si="179"/>
        <v>0.33627319686244483</v>
      </c>
      <c r="J113" s="6">
        <f t="shared" si="179"/>
        <v>0.32901134521880082</v>
      </c>
      <c r="K113" s="6">
        <f t="shared" si="179"/>
        <v>0.338271186440678</v>
      </c>
      <c r="L113" s="6">
        <f t="shared" si="179"/>
        <v>0.2952202436738518</v>
      </c>
      <c r="M113" s="6">
        <f t="shared" si="179"/>
        <v>0.28881698569730996</v>
      </c>
      <c r="N113" s="6">
        <f t="shared" si="179"/>
        <v>0.2781842818428184</v>
      </c>
      <c r="O113" s="6">
        <f t="shared" si="179"/>
        <v>0.26244332429899431</v>
      </c>
      <c r="P113" s="6">
        <f t="shared" si="179"/>
        <v>0.31511818620356968</v>
      </c>
      <c r="Q113" s="6">
        <f t="shared" si="179"/>
        <v>0.26083092646078643</v>
      </c>
      <c r="R113" s="6">
        <f t="shared" si="179"/>
        <v>-1</v>
      </c>
      <c r="S113" s="6">
        <f t="shared" si="179"/>
        <v>-1</v>
      </c>
      <c r="T113" s="6">
        <f t="shared" si="179"/>
        <v>-1</v>
      </c>
      <c r="U113" s="6">
        <f t="shared" si="179"/>
        <v>-1</v>
      </c>
      <c r="V113" s="6" t="e">
        <f t="shared" si="179"/>
        <v>#DIV/0!</v>
      </c>
      <c r="AC113" s="6">
        <f t="shared" ref="AC113" si="180">AC109/AB109-1</f>
        <v>0.37556484060662343</v>
      </c>
      <c r="AD113" s="6">
        <f>AD109/AC109-1</f>
        <v>0.29835337705827891</v>
      </c>
      <c r="AE113" s="6">
        <f t="shared" ref="AE113:AE114" si="181">AE109/AD109-1</f>
        <v>0.26939473410584913</v>
      </c>
    </row>
    <row r="114" spans="2:31" s="6" customFormat="1" x14ac:dyDescent="0.25">
      <c r="B114" s="6" t="s">
        <v>115</v>
      </c>
      <c r="G114" s="6">
        <f t="shared" si="179"/>
        <v>0.20071684587813632</v>
      </c>
      <c r="H114" s="6">
        <f t="shared" si="179"/>
        <v>9.3851132686084027E-2</v>
      </c>
      <c r="I114" s="6">
        <f t="shared" si="179"/>
        <v>4.3567251461988254E-2</v>
      </c>
      <c r="J114" s="6">
        <f t="shared" si="179"/>
        <v>8.6601549743194006E-2</v>
      </c>
      <c r="K114" s="6">
        <f t="shared" si="179"/>
        <v>0.16776119402985068</v>
      </c>
      <c r="L114" s="6">
        <f t="shared" si="179"/>
        <v>0.16863905325443795</v>
      </c>
      <c r="M114" s="6">
        <f t="shared" si="179"/>
        <v>0.17119641356122162</v>
      </c>
      <c r="N114" s="6">
        <f t="shared" si="179"/>
        <v>0.18579234972677594</v>
      </c>
      <c r="O114" s="6">
        <f t="shared" si="179"/>
        <v>0.15541922290388555</v>
      </c>
      <c r="P114" s="6">
        <f t="shared" si="179"/>
        <v>0.37906329113924042</v>
      </c>
      <c r="Q114" s="6">
        <f t="shared" si="179"/>
        <v>0.19999999999999996</v>
      </c>
      <c r="R114" s="6">
        <f t="shared" si="179"/>
        <v>-1</v>
      </c>
      <c r="S114" s="6">
        <f t="shared" si="179"/>
        <v>-1</v>
      </c>
      <c r="T114" s="6">
        <f t="shared" si="179"/>
        <v>-1</v>
      </c>
      <c r="U114" s="6">
        <f t="shared" si="179"/>
        <v>-1</v>
      </c>
      <c r="V114" s="6" t="e">
        <f t="shared" si="179"/>
        <v>#DIV/0!</v>
      </c>
      <c r="AC114" s="6">
        <f t="shared" ref="AC114:AD114" si="182">AC110/AB110-1</f>
        <v>0.10188423071761799</v>
      </c>
      <c r="AD114" s="6">
        <f t="shared" si="182"/>
        <v>0.17357976932445007</v>
      </c>
      <c r="AE114" s="6">
        <f t="shared" si="181"/>
        <v>0.19999999999999996</v>
      </c>
    </row>
    <row r="117" spans="2:31" s="3" customFormat="1" x14ac:dyDescent="0.25">
      <c r="B117" s="3" t="s">
        <v>116</v>
      </c>
      <c r="C117" s="3">
        <v>335.9</v>
      </c>
      <c r="D117" s="3">
        <v>394.2</v>
      </c>
      <c r="E117" s="3">
        <v>441.4</v>
      </c>
      <c r="F117" s="3">
        <v>462.20000000000005</v>
      </c>
      <c r="G117" s="3">
        <v>482.98899999999998</v>
      </c>
      <c r="H117" s="3">
        <v>516.29999999999995</v>
      </c>
      <c r="I117" s="3">
        <v>569.74</v>
      </c>
      <c r="J117" s="3">
        <v>597.30000000000018</v>
      </c>
      <c r="K117" s="3">
        <v>632</v>
      </c>
      <c r="L117" s="3">
        <v>663.6</v>
      </c>
      <c r="M117" s="3">
        <v>719.3</v>
      </c>
      <c r="N117" s="3">
        <v>746.69999999999982</v>
      </c>
      <c r="O117" s="3">
        <v>784.5</v>
      </c>
      <c r="AA117" s="3">
        <v>977</v>
      </c>
      <c r="AB117" s="3">
        <v>1633.8</v>
      </c>
      <c r="AC117" s="3">
        <v>2166.4</v>
      </c>
      <c r="AD117" s="3">
        <v>2761.6</v>
      </c>
    </row>
    <row r="118" spans="2:31" s="3" customFormat="1" x14ac:dyDescent="0.25">
      <c r="B118" s="3" t="s">
        <v>117</v>
      </c>
      <c r="C118" s="3">
        <v>9.1</v>
      </c>
      <c r="D118" s="3">
        <v>10.5</v>
      </c>
      <c r="E118" s="3">
        <v>11.6</v>
      </c>
      <c r="F118" s="3">
        <v>15.2</v>
      </c>
      <c r="G118" s="3">
        <v>16.856000000000002</v>
      </c>
      <c r="H118" s="3">
        <v>17.8</v>
      </c>
      <c r="I118" s="3">
        <v>18</v>
      </c>
      <c r="J118" s="3">
        <v>20.079999999999998</v>
      </c>
      <c r="K118" s="3">
        <v>23.7</v>
      </c>
      <c r="L118" s="3">
        <v>22.7</v>
      </c>
      <c r="M118" s="3">
        <v>26.26</v>
      </c>
      <c r="N118" s="3">
        <v>29.120000000000005</v>
      </c>
      <c r="O118" s="3">
        <v>29.6</v>
      </c>
      <c r="AA118" s="3">
        <v>26.3</v>
      </c>
      <c r="AB118" s="3">
        <v>46.5</v>
      </c>
      <c r="AC118" s="3">
        <v>72.78</v>
      </c>
      <c r="AD118" s="3">
        <v>101.9</v>
      </c>
    </row>
    <row r="119" spans="2:31" s="3" customFormat="1" x14ac:dyDescent="0.25">
      <c r="B119" s="3" t="s">
        <v>118</v>
      </c>
      <c r="C119" s="3">
        <v>58</v>
      </c>
      <c r="D119" s="3">
        <v>69.599999999999994</v>
      </c>
      <c r="E119" s="3">
        <v>79.3</v>
      </c>
      <c r="F119" s="3">
        <v>85.600000000000023</v>
      </c>
      <c r="G119" s="3">
        <v>94.89</v>
      </c>
      <c r="H119" s="3">
        <v>106.2</v>
      </c>
      <c r="I119" s="3">
        <v>110.4</v>
      </c>
      <c r="J119" s="3">
        <v>121.10000000000002</v>
      </c>
      <c r="K119" s="3">
        <v>131.65700000000001</v>
      </c>
      <c r="L119" s="3">
        <v>137.80000000000001</v>
      </c>
      <c r="M119" s="3">
        <v>147.19999999999999</v>
      </c>
      <c r="N119" s="3">
        <v>158.00600000000003</v>
      </c>
      <c r="O119" s="3">
        <v>168.8</v>
      </c>
      <c r="AA119" s="3">
        <v>169.2</v>
      </c>
      <c r="AB119" s="3">
        <v>292.60000000000002</v>
      </c>
      <c r="AC119" s="3">
        <v>432.6</v>
      </c>
      <c r="AD119" s="3">
        <v>574.74</v>
      </c>
    </row>
    <row r="120" spans="2:31" s="3" customFormat="1" x14ac:dyDescent="0.25">
      <c r="B120" s="3" t="s">
        <v>119</v>
      </c>
      <c r="C120" s="3">
        <v>19.3</v>
      </c>
      <c r="D120" s="3">
        <v>22.7</v>
      </c>
      <c r="E120" s="3">
        <v>24.6</v>
      </c>
      <c r="F120" s="3">
        <v>25.97</v>
      </c>
      <c r="G120" s="3">
        <v>28.864000000000001</v>
      </c>
      <c r="H120" s="3">
        <v>33.5</v>
      </c>
      <c r="I120" s="3">
        <v>35.9</v>
      </c>
      <c r="J120" s="3">
        <v>36.299999999999997</v>
      </c>
      <c r="K120" s="3">
        <v>41.2</v>
      </c>
      <c r="L120" s="3">
        <v>44.5</v>
      </c>
      <c r="M120" s="3">
        <v>49.29</v>
      </c>
      <c r="N120" s="3">
        <v>52.884999999999991</v>
      </c>
      <c r="O120" s="3">
        <v>59</v>
      </c>
      <c r="AA120" s="3">
        <v>46.6</v>
      </c>
      <c r="AB120" s="3">
        <v>92.57</v>
      </c>
      <c r="AC120" s="3">
        <v>134.6</v>
      </c>
      <c r="AD120" s="3">
        <v>188</v>
      </c>
    </row>
    <row r="121" spans="2:31" s="5" customFormat="1" x14ac:dyDescent="0.25">
      <c r="B121" s="5" t="s">
        <v>111</v>
      </c>
      <c r="C121" s="5">
        <f t="shared" ref="C121:N121" si="183">SUM(C117:C120)</f>
        <v>422.3</v>
      </c>
      <c r="D121" s="5">
        <f t="shared" si="183"/>
        <v>496.99999999999994</v>
      </c>
      <c r="E121" s="5">
        <f t="shared" si="183"/>
        <v>556.9</v>
      </c>
      <c r="F121" s="5">
        <f t="shared" si="183"/>
        <v>588.97</v>
      </c>
      <c r="G121" s="5">
        <f t="shared" si="183"/>
        <v>623.59900000000005</v>
      </c>
      <c r="H121" s="5">
        <f t="shared" si="183"/>
        <v>673.8</v>
      </c>
      <c r="I121" s="5">
        <f t="shared" si="183"/>
        <v>734.04</v>
      </c>
      <c r="J121" s="5">
        <f t="shared" si="183"/>
        <v>774.7800000000002</v>
      </c>
      <c r="K121" s="5">
        <f t="shared" si="183"/>
        <v>828.55700000000013</v>
      </c>
      <c r="L121" s="5">
        <f t="shared" si="183"/>
        <v>868.60000000000014</v>
      </c>
      <c r="M121" s="5">
        <f t="shared" si="183"/>
        <v>942.05</v>
      </c>
      <c r="N121" s="5">
        <f t="shared" si="183"/>
        <v>986.71099999999979</v>
      </c>
      <c r="O121" s="5">
        <f>SUM(O117:O120)</f>
        <v>1041.9000000000001</v>
      </c>
      <c r="P121" s="5">
        <f t="shared" ref="P121:V121" si="184">SUM(P117:P120)</f>
        <v>0</v>
      </c>
      <c r="Q121" s="5">
        <f t="shared" si="184"/>
        <v>0</v>
      </c>
      <c r="R121" s="5">
        <f t="shared" si="184"/>
        <v>0</v>
      </c>
      <c r="S121" s="5">
        <f t="shared" si="184"/>
        <v>0</v>
      </c>
      <c r="T121" s="5">
        <f t="shared" si="184"/>
        <v>0</v>
      </c>
      <c r="U121" s="5">
        <f t="shared" si="184"/>
        <v>0</v>
      </c>
      <c r="V121" s="5">
        <f t="shared" si="184"/>
        <v>0</v>
      </c>
      <c r="AA121" s="5">
        <f t="shared" ref="AA121:AE121" si="185">SUM(AA117:AA120)</f>
        <v>1219.0999999999999</v>
      </c>
      <c r="AB121" s="5">
        <f t="shared" si="185"/>
        <v>2065.4700000000003</v>
      </c>
      <c r="AC121" s="5">
        <f t="shared" si="185"/>
        <v>2806.38</v>
      </c>
      <c r="AD121" s="5">
        <f t="shared" si="185"/>
        <v>3626.24</v>
      </c>
      <c r="AE121" s="5">
        <f t="shared" si="185"/>
        <v>0</v>
      </c>
    </row>
    <row r="123" spans="2:31" s="6" customFormat="1" x14ac:dyDescent="0.25">
      <c r="B123" s="6" t="s">
        <v>120</v>
      </c>
      <c r="G123" s="6">
        <f t="shared" ref="G123:N126" si="186">G117/C117-1</f>
        <v>0.4378952069068176</v>
      </c>
      <c r="H123" s="6">
        <f t="shared" si="186"/>
        <v>0.30974124809741244</v>
      </c>
      <c r="I123" s="6">
        <f t="shared" si="186"/>
        <v>0.29075668328047133</v>
      </c>
      <c r="J123" s="6">
        <f t="shared" si="186"/>
        <v>0.2922977066205108</v>
      </c>
      <c r="K123" s="6">
        <f t="shared" si="186"/>
        <v>0.30851841346283249</v>
      </c>
      <c r="L123" s="6">
        <f t="shared" si="186"/>
        <v>0.28529924462521805</v>
      </c>
      <c r="M123" s="6">
        <f t="shared" si="186"/>
        <v>0.26250570435637299</v>
      </c>
      <c r="N123" s="6">
        <f t="shared" si="186"/>
        <v>0.25012556504269146</v>
      </c>
      <c r="O123" s="6">
        <f>O117/K117-1</f>
        <v>0.24129746835443044</v>
      </c>
      <c r="P123" s="6">
        <f t="shared" ref="P123:V126" si="187">P117/L117-1</f>
        <v>-1</v>
      </c>
      <c r="Q123" s="6">
        <f t="shared" si="187"/>
        <v>-1</v>
      </c>
      <c r="R123" s="6">
        <f t="shared" si="187"/>
        <v>-1</v>
      </c>
      <c r="S123" s="6">
        <f t="shared" si="187"/>
        <v>-1</v>
      </c>
      <c r="T123" s="6" t="e">
        <f t="shared" si="187"/>
        <v>#DIV/0!</v>
      </c>
      <c r="U123" s="6" t="e">
        <f t="shared" si="187"/>
        <v>#DIV/0!</v>
      </c>
      <c r="V123" s="6" t="e">
        <f t="shared" si="187"/>
        <v>#DIV/0!</v>
      </c>
      <c r="AB123" s="6">
        <f t="shared" ref="AB123" si="188">AB117/AA117-1</f>
        <v>0.67226202661207779</v>
      </c>
      <c r="AC123" s="6">
        <f t="shared" ref="AC123" si="189">AC117/AB117-1</f>
        <v>0.32598849308360878</v>
      </c>
      <c r="AD123" s="6">
        <f>AD117/AC117-1</f>
        <v>0.27474150664697183</v>
      </c>
    </row>
    <row r="124" spans="2:31" s="6" customFormat="1" x14ac:dyDescent="0.25">
      <c r="B124" s="6" t="s">
        <v>121</v>
      </c>
      <c r="G124" s="6">
        <f t="shared" si="186"/>
        <v>0.85230769230769265</v>
      </c>
      <c r="H124" s="6">
        <f t="shared" si="186"/>
        <v>0.69523809523809521</v>
      </c>
      <c r="I124" s="6">
        <f t="shared" si="186"/>
        <v>0.55172413793103448</v>
      </c>
      <c r="J124" s="6">
        <f t="shared" si="186"/>
        <v>0.32105263157894726</v>
      </c>
      <c r="K124" s="6">
        <f t="shared" si="186"/>
        <v>0.40602752728998559</v>
      </c>
      <c r="L124" s="6">
        <f t="shared" si="186"/>
        <v>0.27528089887640439</v>
      </c>
      <c r="M124" s="6">
        <f t="shared" si="186"/>
        <v>0.4588888888888889</v>
      </c>
      <c r="N124" s="6">
        <f t="shared" si="186"/>
        <v>0.45019920318725126</v>
      </c>
      <c r="O124" s="6">
        <f t="shared" ref="O124:O126" si="190">O118/K118-1</f>
        <v>0.24894514767932496</v>
      </c>
      <c r="P124" s="6">
        <f t="shared" si="187"/>
        <v>-1</v>
      </c>
      <c r="Q124" s="6">
        <f t="shared" si="187"/>
        <v>-1</v>
      </c>
      <c r="R124" s="6">
        <f t="shared" si="187"/>
        <v>-1</v>
      </c>
      <c r="S124" s="6">
        <f t="shared" si="187"/>
        <v>-1</v>
      </c>
      <c r="T124" s="6" t="e">
        <f t="shared" si="187"/>
        <v>#DIV/0!</v>
      </c>
      <c r="U124" s="6" t="e">
        <f t="shared" si="187"/>
        <v>#DIV/0!</v>
      </c>
      <c r="V124" s="6" t="e">
        <f t="shared" si="187"/>
        <v>#DIV/0!</v>
      </c>
      <c r="AB124" s="6">
        <f t="shared" ref="AB124" si="191">AB118/AA118-1</f>
        <v>0.76806083650190105</v>
      </c>
      <c r="AC124" s="6">
        <f t="shared" ref="AC124:AD124" si="192">AC118/AB118-1</f>
        <v>0.56516129032258067</v>
      </c>
      <c r="AD124" s="6">
        <f t="shared" si="192"/>
        <v>0.40010992030777692</v>
      </c>
    </row>
    <row r="125" spans="2:31" s="6" customFormat="1" x14ac:dyDescent="0.25">
      <c r="B125" s="6" t="s">
        <v>122</v>
      </c>
      <c r="G125" s="6">
        <f t="shared" si="186"/>
        <v>0.63603448275862062</v>
      </c>
      <c r="H125" s="6">
        <f t="shared" si="186"/>
        <v>0.52586206896551735</v>
      </c>
      <c r="I125" s="6">
        <f t="shared" si="186"/>
        <v>0.39218158890290056</v>
      </c>
      <c r="J125" s="6">
        <f t="shared" si="186"/>
        <v>0.41471962616822422</v>
      </c>
      <c r="K125" s="6">
        <f t="shared" si="186"/>
        <v>0.38746970175993267</v>
      </c>
      <c r="L125" s="6">
        <f t="shared" si="186"/>
        <v>0.2975517890772128</v>
      </c>
      <c r="M125" s="6">
        <f t="shared" si="186"/>
        <v>0.33333333333333326</v>
      </c>
      <c r="N125" s="6">
        <f t="shared" si="186"/>
        <v>0.30475639966969448</v>
      </c>
      <c r="O125" s="6">
        <f t="shared" si="190"/>
        <v>0.28211944674419143</v>
      </c>
      <c r="P125" s="6">
        <f t="shared" si="187"/>
        <v>-1</v>
      </c>
      <c r="Q125" s="6">
        <f t="shared" si="187"/>
        <v>-1</v>
      </c>
      <c r="R125" s="6">
        <f t="shared" si="187"/>
        <v>-1</v>
      </c>
      <c r="S125" s="6">
        <f t="shared" si="187"/>
        <v>-1</v>
      </c>
      <c r="T125" s="6" t="e">
        <f t="shared" si="187"/>
        <v>#DIV/0!</v>
      </c>
      <c r="U125" s="6" t="e">
        <f t="shared" si="187"/>
        <v>#DIV/0!</v>
      </c>
      <c r="V125" s="6" t="e">
        <f t="shared" si="187"/>
        <v>#DIV/0!</v>
      </c>
      <c r="AB125" s="6">
        <f t="shared" ref="AB125" si="193">AB119/AA119-1</f>
        <v>0.72931442080378273</v>
      </c>
      <c r="AC125" s="6">
        <f t="shared" ref="AC125:AD125" si="194">AC119/AB119-1</f>
        <v>0.47846889952153115</v>
      </c>
      <c r="AD125" s="6">
        <f t="shared" si="194"/>
        <v>0.32857142857142851</v>
      </c>
    </row>
    <row r="126" spans="2:31" s="6" customFormat="1" x14ac:dyDescent="0.25">
      <c r="B126" s="6" t="s">
        <v>123</v>
      </c>
      <c r="G126" s="6">
        <f t="shared" si="186"/>
        <v>0.49554404145077724</v>
      </c>
      <c r="H126" s="6">
        <f t="shared" si="186"/>
        <v>0.4757709251101323</v>
      </c>
      <c r="I126" s="6">
        <f t="shared" si="186"/>
        <v>0.45934959349593485</v>
      </c>
      <c r="J126" s="6">
        <f t="shared" si="186"/>
        <v>0.3977666538313438</v>
      </c>
      <c r="K126" s="6">
        <f t="shared" si="186"/>
        <v>0.42738359201773846</v>
      </c>
      <c r="L126" s="6">
        <f t="shared" si="186"/>
        <v>0.32835820895522394</v>
      </c>
      <c r="M126" s="6">
        <f t="shared" si="186"/>
        <v>0.37298050139275762</v>
      </c>
      <c r="N126" s="6">
        <f t="shared" si="186"/>
        <v>0.45688705234159777</v>
      </c>
      <c r="O126" s="6">
        <f t="shared" si="190"/>
        <v>0.43203883495145612</v>
      </c>
      <c r="P126" s="6">
        <f t="shared" si="187"/>
        <v>-1</v>
      </c>
      <c r="Q126" s="6">
        <f t="shared" si="187"/>
        <v>-1</v>
      </c>
      <c r="R126" s="6">
        <f t="shared" si="187"/>
        <v>-1</v>
      </c>
      <c r="S126" s="6">
        <f t="shared" si="187"/>
        <v>-1</v>
      </c>
      <c r="T126" s="6" t="e">
        <f t="shared" si="187"/>
        <v>#DIV/0!</v>
      </c>
      <c r="U126" s="6" t="e">
        <f t="shared" si="187"/>
        <v>#DIV/0!</v>
      </c>
      <c r="V126" s="6" t="e">
        <f t="shared" si="187"/>
        <v>#DIV/0!</v>
      </c>
      <c r="AB126" s="6">
        <f t="shared" ref="AB126" si="195">AB120/AA120-1</f>
        <v>0.98648068669527866</v>
      </c>
      <c r="AC126" s="6">
        <f t="shared" ref="AC126:AD126" si="196">AC120/AB120-1</f>
        <v>0.45403478448741508</v>
      </c>
      <c r="AD126" s="6">
        <f t="shared" si="196"/>
        <v>0.39673105497771188</v>
      </c>
    </row>
    <row r="127" spans="2:31" s="6" customFormat="1" x14ac:dyDescent="0.25"/>
    <row r="128" spans="2:31" s="6" customFormat="1" x14ac:dyDescent="0.25">
      <c r="B128" s="6" t="s">
        <v>124</v>
      </c>
      <c r="C128" s="6">
        <f t="shared" ref="C128:N131" si="197">C117/C$121</f>
        <v>0.79540610940089973</v>
      </c>
      <c r="D128" s="6">
        <f t="shared" si="197"/>
        <v>0.79315895372233403</v>
      </c>
      <c r="E128" s="6">
        <f t="shared" si="197"/>
        <v>0.792601903393787</v>
      </c>
      <c r="F128" s="6">
        <f t="shared" si="197"/>
        <v>0.78475983496612733</v>
      </c>
      <c r="G128" s="6">
        <f t="shared" si="197"/>
        <v>0.77451856080590242</v>
      </c>
      <c r="H128" s="6">
        <f t="shared" si="197"/>
        <v>0.76625111308993765</v>
      </c>
      <c r="I128" s="6">
        <f t="shared" si="197"/>
        <v>0.7761702359544439</v>
      </c>
      <c r="J128" s="6">
        <f t="shared" si="197"/>
        <v>0.77092852164485404</v>
      </c>
      <c r="K128" s="6">
        <f t="shared" si="197"/>
        <v>0.76277190344176671</v>
      </c>
      <c r="L128" s="6">
        <f t="shared" si="197"/>
        <v>0.76398802670964761</v>
      </c>
      <c r="M128" s="6">
        <f t="shared" si="197"/>
        <v>0.76354758240008491</v>
      </c>
      <c r="N128" s="6">
        <f t="shared" si="197"/>
        <v>0.75675653762854578</v>
      </c>
      <c r="O128" s="6">
        <f>O117/O$121</f>
        <v>0.75295133890008636</v>
      </c>
      <c r="P128" s="6" t="e">
        <f t="shared" ref="P128:V128" si="198">P117/P$121</f>
        <v>#DIV/0!</v>
      </c>
      <c r="Q128" s="6" t="e">
        <f t="shared" si="198"/>
        <v>#DIV/0!</v>
      </c>
      <c r="R128" s="6" t="e">
        <f t="shared" si="198"/>
        <v>#DIV/0!</v>
      </c>
      <c r="S128" s="6" t="e">
        <f t="shared" si="198"/>
        <v>#DIV/0!</v>
      </c>
      <c r="T128" s="6" t="e">
        <f t="shared" si="198"/>
        <v>#DIV/0!</v>
      </c>
      <c r="U128" s="6" t="e">
        <f t="shared" si="198"/>
        <v>#DIV/0!</v>
      </c>
      <c r="V128" s="6" t="e">
        <f t="shared" si="198"/>
        <v>#DIV/0!</v>
      </c>
      <c r="AA128" s="6">
        <f t="shared" ref="AA128" si="199">AA117/AA$121</f>
        <v>0.80141087687638424</v>
      </c>
      <c r="AB128" s="6">
        <f t="shared" ref="AB128:AE128" si="200">AB117/AB$121</f>
        <v>0.79100640532179101</v>
      </c>
      <c r="AC128" s="6">
        <f t="shared" si="200"/>
        <v>0.77195533035440678</v>
      </c>
      <c r="AD128" s="6">
        <f t="shared" si="200"/>
        <v>0.76156018355100608</v>
      </c>
      <c r="AE128" s="6" t="e">
        <f t="shared" si="200"/>
        <v>#DIV/0!</v>
      </c>
    </row>
    <row r="129" spans="2:40" s="6" customFormat="1" x14ac:dyDescent="0.25">
      <c r="B129" s="6" t="s">
        <v>125</v>
      </c>
      <c r="C129" s="6">
        <f t="shared" si="197"/>
        <v>2.1548662088562633E-2</v>
      </c>
      <c r="D129" s="6">
        <f t="shared" si="197"/>
        <v>2.1126760563380285E-2</v>
      </c>
      <c r="E129" s="6">
        <f t="shared" si="197"/>
        <v>2.0829592386424851E-2</v>
      </c>
      <c r="F129" s="6">
        <f t="shared" si="197"/>
        <v>2.5807766100140923E-2</v>
      </c>
      <c r="G129" s="6">
        <f t="shared" si="197"/>
        <v>2.7030190875867346E-2</v>
      </c>
      <c r="H129" s="6">
        <f t="shared" si="197"/>
        <v>2.641733452062927E-2</v>
      </c>
      <c r="I129" s="6">
        <f t="shared" si="197"/>
        <v>2.4521824423737126E-2</v>
      </c>
      <c r="J129" s="6">
        <f t="shared" si="197"/>
        <v>2.5917034513023043E-2</v>
      </c>
      <c r="K129" s="6">
        <f t="shared" si="197"/>
        <v>2.8603946379066252E-2</v>
      </c>
      <c r="L129" s="6">
        <f t="shared" si="197"/>
        <v>2.6134008749712175E-2</v>
      </c>
      <c r="M129" s="6">
        <f t="shared" si="197"/>
        <v>2.7875378164640946E-2</v>
      </c>
      <c r="N129" s="6">
        <f t="shared" si="197"/>
        <v>2.9512187459144582E-2</v>
      </c>
      <c r="O129" s="6">
        <f t="shared" ref="O129:V131" si="201">O118/O$121</f>
        <v>2.8409636241481906E-2</v>
      </c>
      <c r="P129" s="6" t="e">
        <f t="shared" si="201"/>
        <v>#DIV/0!</v>
      </c>
      <c r="Q129" s="6" t="e">
        <f t="shared" si="201"/>
        <v>#DIV/0!</v>
      </c>
      <c r="R129" s="6" t="e">
        <f t="shared" si="201"/>
        <v>#DIV/0!</v>
      </c>
      <c r="S129" s="6" t="e">
        <f t="shared" si="201"/>
        <v>#DIV/0!</v>
      </c>
      <c r="T129" s="6" t="e">
        <f t="shared" si="201"/>
        <v>#DIV/0!</v>
      </c>
      <c r="U129" s="6" t="e">
        <f t="shared" si="201"/>
        <v>#DIV/0!</v>
      </c>
      <c r="V129" s="6" t="e">
        <f t="shared" si="201"/>
        <v>#DIV/0!</v>
      </c>
      <c r="AA129" s="6">
        <f t="shared" ref="AA129" si="202">AA118/AA$121</f>
        <v>2.1573291772619147E-2</v>
      </c>
      <c r="AB129" s="6">
        <f t="shared" ref="AB129:AE129" si="203">AB118/AB$121</f>
        <v>2.2513035773940069E-2</v>
      </c>
      <c r="AC129" s="6">
        <f t="shared" si="203"/>
        <v>2.5933765206422509E-2</v>
      </c>
      <c r="AD129" s="6">
        <f t="shared" si="203"/>
        <v>2.8100732439110487E-2</v>
      </c>
      <c r="AE129" s="6" t="e">
        <f t="shared" si="203"/>
        <v>#DIV/0!</v>
      </c>
    </row>
    <row r="130" spans="2:40" s="6" customFormat="1" x14ac:dyDescent="0.25">
      <c r="B130" s="6" t="s">
        <v>126</v>
      </c>
      <c r="C130" s="6">
        <f t="shared" si="197"/>
        <v>0.13734312100402557</v>
      </c>
      <c r="D130" s="6">
        <f t="shared" si="197"/>
        <v>0.14004024144869215</v>
      </c>
      <c r="E130" s="6">
        <f t="shared" si="197"/>
        <v>0.14239540312443885</v>
      </c>
      <c r="F130" s="6">
        <f t="shared" si="197"/>
        <v>0.14533847224816207</v>
      </c>
      <c r="G130" s="6">
        <f t="shared" si="197"/>
        <v>0.15216509327308092</v>
      </c>
      <c r="H130" s="6">
        <f t="shared" si="197"/>
        <v>0.15761353517364204</v>
      </c>
      <c r="I130" s="6">
        <f t="shared" si="197"/>
        <v>0.15040052313225438</v>
      </c>
      <c r="J130" s="6">
        <f t="shared" si="197"/>
        <v>0.15630243423939699</v>
      </c>
      <c r="K130" s="6">
        <f t="shared" si="197"/>
        <v>0.15889914634720362</v>
      </c>
      <c r="L130" s="6">
        <f t="shared" si="197"/>
        <v>0.1586460971678563</v>
      </c>
      <c r="M130" s="6">
        <f t="shared" si="197"/>
        <v>0.15625497585053871</v>
      </c>
      <c r="N130" s="6">
        <f t="shared" si="197"/>
        <v>0.16013402100513732</v>
      </c>
      <c r="O130" s="6">
        <f t="shared" si="201"/>
        <v>0.16201170937709952</v>
      </c>
      <c r="P130" s="6" t="e">
        <f t="shared" si="201"/>
        <v>#DIV/0!</v>
      </c>
      <c r="Q130" s="6" t="e">
        <f t="shared" si="201"/>
        <v>#DIV/0!</v>
      </c>
      <c r="R130" s="6" t="e">
        <f t="shared" si="201"/>
        <v>#DIV/0!</v>
      </c>
      <c r="S130" s="6" t="e">
        <f t="shared" si="201"/>
        <v>#DIV/0!</v>
      </c>
      <c r="T130" s="6" t="e">
        <f t="shared" si="201"/>
        <v>#DIV/0!</v>
      </c>
      <c r="U130" s="6" t="e">
        <f t="shared" si="201"/>
        <v>#DIV/0!</v>
      </c>
      <c r="V130" s="6" t="e">
        <f t="shared" si="201"/>
        <v>#DIV/0!</v>
      </c>
      <c r="AA130" s="6">
        <f t="shared" ref="AA130" si="204">AA119/AA$121</f>
        <v>0.13879091132802887</v>
      </c>
      <c r="AB130" s="6">
        <f t="shared" ref="AB130:AE130" si="205">AB119/AB$121</f>
        <v>0.14166267241838418</v>
      </c>
      <c r="AC130" s="6">
        <f t="shared" si="205"/>
        <v>0.15414876103735062</v>
      </c>
      <c r="AD130" s="6">
        <f t="shared" si="205"/>
        <v>0.15849474938228028</v>
      </c>
      <c r="AE130" s="6" t="e">
        <f t="shared" si="205"/>
        <v>#DIV/0!</v>
      </c>
    </row>
    <row r="131" spans="2:40" s="6" customFormat="1" x14ac:dyDescent="0.25">
      <c r="B131" s="6" t="s">
        <v>127</v>
      </c>
      <c r="C131" s="6">
        <f t="shared" si="197"/>
        <v>4.5702107506511956E-2</v>
      </c>
      <c r="D131" s="6">
        <f t="shared" si="197"/>
        <v>4.5674044265593565E-2</v>
      </c>
      <c r="E131" s="6">
        <f t="shared" si="197"/>
        <v>4.4173101095349263E-2</v>
      </c>
      <c r="F131" s="6">
        <f t="shared" si="197"/>
        <v>4.4093926685569718E-2</v>
      </c>
      <c r="G131" s="6">
        <f t="shared" si="197"/>
        <v>4.6286155045149206E-2</v>
      </c>
      <c r="H131" s="6">
        <f t="shared" si="197"/>
        <v>4.9718017215791041E-2</v>
      </c>
      <c r="I131" s="6">
        <f t="shared" si="197"/>
        <v>4.8907416489564599E-2</v>
      </c>
      <c r="J131" s="6">
        <f t="shared" si="197"/>
        <v>4.6852009602725918E-2</v>
      </c>
      <c r="K131" s="6">
        <f t="shared" si="197"/>
        <v>4.972500383196328E-2</v>
      </c>
      <c r="L131" s="6">
        <f t="shared" si="197"/>
        <v>5.1231867372783783E-2</v>
      </c>
      <c r="M131" s="6">
        <f t="shared" si="197"/>
        <v>5.2322063584735422E-2</v>
      </c>
      <c r="N131" s="6">
        <f t="shared" si="197"/>
        <v>5.3597253907172418E-2</v>
      </c>
      <c r="O131" s="6">
        <f t="shared" si="201"/>
        <v>5.662731548133218E-2</v>
      </c>
      <c r="P131" s="6" t="e">
        <f t="shared" si="201"/>
        <v>#DIV/0!</v>
      </c>
      <c r="Q131" s="6" t="e">
        <f t="shared" si="201"/>
        <v>#DIV/0!</v>
      </c>
      <c r="R131" s="6" t="e">
        <f t="shared" si="201"/>
        <v>#DIV/0!</v>
      </c>
      <c r="S131" s="6" t="e">
        <f t="shared" si="201"/>
        <v>#DIV/0!</v>
      </c>
      <c r="T131" s="6" t="e">
        <f t="shared" si="201"/>
        <v>#DIV/0!</v>
      </c>
      <c r="U131" s="6" t="e">
        <f t="shared" si="201"/>
        <v>#DIV/0!</v>
      </c>
      <c r="V131" s="6" t="e">
        <f t="shared" si="201"/>
        <v>#DIV/0!</v>
      </c>
      <c r="AA131" s="6">
        <f t="shared" ref="AA131" si="206">AA120/AA$121</f>
        <v>3.8224920022967769E-2</v>
      </c>
      <c r="AB131" s="6">
        <f t="shared" ref="AB131:AE131" si="207">AB120/AB$121</f>
        <v>4.4817886485884563E-2</v>
      </c>
      <c r="AC131" s="6">
        <f t="shared" si="207"/>
        <v>4.7962143401820131E-2</v>
      </c>
      <c r="AD131" s="6">
        <f t="shared" si="207"/>
        <v>5.1844334627603253E-2</v>
      </c>
      <c r="AE131" s="6" t="e">
        <f t="shared" si="207"/>
        <v>#DIV/0!</v>
      </c>
    </row>
    <row r="135" spans="2:40" s="7" customFormat="1" x14ac:dyDescent="0.25">
      <c r="B135" s="7" t="s">
        <v>129</v>
      </c>
      <c r="C135" s="7">
        <v>1.74</v>
      </c>
      <c r="D135" s="7">
        <v>1.71</v>
      </c>
      <c r="E135" s="7">
        <v>1.66</v>
      </c>
      <c r="F135" s="7">
        <v>1.58</v>
      </c>
      <c r="G135" s="7">
        <v>1.51</v>
      </c>
      <c r="H135" s="7">
        <v>1.42</v>
      </c>
      <c r="I135" s="7">
        <v>1.35</v>
      </c>
      <c r="J135" s="7">
        <v>1.31</v>
      </c>
      <c r="K135" s="7">
        <v>1.29</v>
      </c>
      <c r="L135" s="7">
        <v>1.28</v>
      </c>
      <c r="M135" s="7">
        <v>1.27</v>
      </c>
      <c r="N135" s="7">
        <v>1.26</v>
      </c>
      <c r="O135" s="7">
        <v>1.24</v>
      </c>
      <c r="P135" s="7">
        <v>1.25</v>
      </c>
    </row>
    <row r="136" spans="2:40" s="3" customFormat="1" x14ac:dyDescent="0.25">
      <c r="B136" s="3" t="s">
        <v>130</v>
      </c>
      <c r="C136" s="3">
        <v>207</v>
      </c>
      <c r="D136" s="3">
        <v>247</v>
      </c>
      <c r="E136" s="3">
        <v>287</v>
      </c>
      <c r="F136" s="3">
        <v>331</v>
      </c>
      <c r="G136" s="3">
        <v>373</v>
      </c>
      <c r="H136" s="3">
        <v>399</v>
      </c>
      <c r="I136" s="3">
        <v>432</v>
      </c>
      <c r="J136" s="3">
        <v>457</v>
      </c>
      <c r="K136" s="3">
        <v>479</v>
      </c>
      <c r="L136" s="3">
        <v>507</v>
      </c>
      <c r="M136" s="3">
        <v>540</v>
      </c>
      <c r="N136" s="3">
        <v>579</v>
      </c>
      <c r="O136" s="3">
        <v>606</v>
      </c>
      <c r="P136" s="3">
        <v>654</v>
      </c>
      <c r="AB136" s="3">
        <v>331</v>
      </c>
      <c r="AC136" s="3">
        <v>457</v>
      </c>
      <c r="AD136" s="3">
        <v>579</v>
      </c>
      <c r="AE136" s="3">
        <f>+AD136*(1+AE140)</f>
        <v>732.40721719706585</v>
      </c>
      <c r="AF136" s="3">
        <f t="shared" ref="AF136:AG136" si="208">+AE136*(1+AF140)</f>
        <v>886.17561083227622</v>
      </c>
      <c r="AG136" s="3">
        <f t="shared" si="208"/>
        <v>1107.7195135403454</v>
      </c>
      <c r="AH136" s="3">
        <f>+AG136*(1+AH140)</f>
        <v>1351.4178065192214</v>
      </c>
      <c r="AI136" s="3">
        <f t="shared" ref="AI136:AN136" si="209">+AH136*(1+AI140)</f>
        <v>1621.7013678230655</v>
      </c>
      <c r="AJ136" s="3">
        <f t="shared" si="209"/>
        <v>1913.6076140312173</v>
      </c>
      <c r="AK136" s="3">
        <f t="shared" si="209"/>
        <v>2219.784832276212</v>
      </c>
      <c r="AL136" s="3">
        <f t="shared" si="209"/>
        <v>2530.5547087948821</v>
      </c>
      <c r="AM136" s="3">
        <f t="shared" si="209"/>
        <v>2834.2212738502681</v>
      </c>
      <c r="AN136" s="3">
        <f t="shared" si="209"/>
        <v>3117.6434012352952</v>
      </c>
    </row>
    <row r="137" spans="2:40" s="3" customFormat="1" x14ac:dyDescent="0.25">
      <c r="B137" s="3" t="s">
        <v>131</v>
      </c>
      <c r="C137" s="3">
        <v>513</v>
      </c>
      <c r="D137" s="3">
        <v>528</v>
      </c>
      <c r="E137" s="3">
        <v>586</v>
      </c>
      <c r="F137" s="3">
        <v>642</v>
      </c>
      <c r="G137" s="3">
        <v>657</v>
      </c>
      <c r="H137" s="3">
        <v>698</v>
      </c>
      <c r="I137" s="3">
        <v>699</v>
      </c>
      <c r="J137" s="3">
        <v>720</v>
      </c>
      <c r="K137" s="3">
        <v>727</v>
      </c>
      <c r="L137" s="3">
        <v>734</v>
      </c>
      <c r="M137" s="3">
        <v>749</v>
      </c>
      <c r="N137" s="3">
        <v>751</v>
      </c>
      <c r="O137" s="3">
        <v>754</v>
      </c>
      <c r="P137" s="3">
        <v>751</v>
      </c>
    </row>
    <row r="138" spans="2:40" s="3" customFormat="1" x14ac:dyDescent="0.25">
      <c r="B138" s="3" t="s">
        <v>128</v>
      </c>
      <c r="C138" s="3">
        <v>2610</v>
      </c>
      <c r="D138" s="3">
        <v>2715.7</v>
      </c>
      <c r="E138" s="3">
        <v>3003.1</v>
      </c>
      <c r="F138" s="3">
        <v>3660.5</v>
      </c>
      <c r="G138" s="3">
        <v>3409</v>
      </c>
      <c r="H138" s="3">
        <v>3540.2</v>
      </c>
      <c r="I138" s="3">
        <v>3698.7</v>
      </c>
      <c r="J138" s="3">
        <v>5174.7</v>
      </c>
      <c r="K138" s="3">
        <v>4987.7</v>
      </c>
      <c r="L138" s="3">
        <v>5230.8</v>
      </c>
      <c r="M138" s="3">
        <v>5732.3</v>
      </c>
      <c r="N138" s="3">
        <v>6867.5</v>
      </c>
      <c r="O138" s="3">
        <v>6686.8</v>
      </c>
    </row>
    <row r="140" spans="2:40" s="6" customFormat="1" x14ac:dyDescent="0.25">
      <c r="B140" s="6" t="s">
        <v>132</v>
      </c>
      <c r="G140" s="6">
        <f>G136/C136-1</f>
        <v>0.80193236714975846</v>
      </c>
      <c r="H140" s="6">
        <f t="shared" ref="G140:N142" si="210">H136/D136-1</f>
        <v>0.61538461538461542</v>
      </c>
      <c r="I140" s="6">
        <f t="shared" si="210"/>
        <v>0.505226480836237</v>
      </c>
      <c r="J140" s="6">
        <f t="shared" si="210"/>
        <v>0.38066465256797577</v>
      </c>
      <c r="K140" s="6">
        <f t="shared" si="210"/>
        <v>0.28418230563002678</v>
      </c>
      <c r="L140" s="6">
        <f t="shared" si="210"/>
        <v>0.27067669172932329</v>
      </c>
      <c r="M140" s="6">
        <f t="shared" si="210"/>
        <v>0.25</v>
      </c>
      <c r="N140" s="6">
        <f t="shared" si="210"/>
        <v>0.26695842450765861</v>
      </c>
      <c r="O140" s="6">
        <f>O136/K136-1</f>
        <v>0.2651356993736953</v>
      </c>
      <c r="P140" s="6">
        <f t="shared" ref="P140:V142" si="211">P136/L136-1</f>
        <v>0.28994082840236679</v>
      </c>
      <c r="Q140" s="6">
        <f t="shared" si="211"/>
        <v>-1</v>
      </c>
      <c r="R140" s="6">
        <f t="shared" si="211"/>
        <v>-1</v>
      </c>
      <c r="S140" s="6">
        <f t="shared" si="211"/>
        <v>-1</v>
      </c>
      <c r="T140" s="6">
        <f t="shared" si="211"/>
        <v>-1</v>
      </c>
      <c r="U140" s="6" t="e">
        <f t="shared" si="211"/>
        <v>#DIV/0!</v>
      </c>
      <c r="V140" s="6" t="e">
        <f t="shared" si="211"/>
        <v>#DIV/0!</v>
      </c>
      <c r="AC140" s="6">
        <f t="shared" ref="AC140" si="212">AC136/AB136-1</f>
        <v>0.38066465256797577</v>
      </c>
      <c r="AD140" s="6">
        <f>AD136/AC136-1</f>
        <v>0.26695842450765861</v>
      </c>
      <c r="AE140" s="6">
        <f>+AE34</f>
        <v>0.26495201588439699</v>
      </c>
      <c r="AF140" s="6">
        <f t="shared" ref="AF140" si="213">+AF34</f>
        <v>0.20994931511418535</v>
      </c>
      <c r="AG140" s="6">
        <v>0.25</v>
      </c>
      <c r="AH140" s="6">
        <v>0.22</v>
      </c>
      <c r="AI140" s="6">
        <v>0.2</v>
      </c>
      <c r="AJ140" s="6">
        <v>0.18</v>
      </c>
      <c r="AK140" s="6">
        <v>0.16</v>
      </c>
      <c r="AL140" s="6">
        <v>0.14000000000000001</v>
      </c>
      <c r="AM140" s="6">
        <v>0.12</v>
      </c>
      <c r="AN140" s="6">
        <v>0.1</v>
      </c>
    </row>
    <row r="141" spans="2:40" s="6" customFormat="1" x14ac:dyDescent="0.25">
      <c r="B141" s="6" t="s">
        <v>133</v>
      </c>
      <c r="G141" s="6">
        <f t="shared" si="210"/>
        <v>0.2807017543859649</v>
      </c>
      <c r="H141" s="6">
        <f t="shared" si="210"/>
        <v>0.32196969696969702</v>
      </c>
      <c r="I141" s="6">
        <f t="shared" si="210"/>
        <v>0.19283276450511955</v>
      </c>
      <c r="J141" s="6">
        <f t="shared" si="210"/>
        <v>0.12149532710280364</v>
      </c>
      <c r="K141" s="6">
        <f t="shared" si="210"/>
        <v>0.10654490106544912</v>
      </c>
      <c r="L141" s="6">
        <f t="shared" si="210"/>
        <v>5.1575931232091587E-2</v>
      </c>
      <c r="M141" s="6">
        <f t="shared" si="210"/>
        <v>7.1530758226037161E-2</v>
      </c>
      <c r="N141" s="6">
        <f t="shared" si="210"/>
        <v>4.3055555555555625E-2</v>
      </c>
      <c r="O141" s="6">
        <f t="shared" ref="O141:O142" si="214">O137/K137-1</f>
        <v>3.7138927097661645E-2</v>
      </c>
      <c r="P141" s="6">
        <f t="shared" si="211"/>
        <v>2.3160762942779245E-2</v>
      </c>
      <c r="Q141" s="6">
        <f t="shared" si="211"/>
        <v>-1</v>
      </c>
      <c r="R141" s="6">
        <f t="shared" si="211"/>
        <v>-1</v>
      </c>
      <c r="S141" s="6">
        <f t="shared" si="211"/>
        <v>-1</v>
      </c>
      <c r="T141" s="6">
        <f t="shared" si="211"/>
        <v>-1</v>
      </c>
      <c r="U141" s="6" t="e">
        <f t="shared" si="211"/>
        <v>#DIV/0!</v>
      </c>
      <c r="V141" s="6" t="e">
        <f t="shared" si="211"/>
        <v>#DIV/0!</v>
      </c>
    </row>
    <row r="142" spans="2:40" s="6" customFormat="1" x14ac:dyDescent="0.25">
      <c r="B142" s="6" t="s">
        <v>134</v>
      </c>
      <c r="G142" s="6">
        <f t="shared" si="210"/>
        <v>0.30613026819923372</v>
      </c>
      <c r="H142" s="6">
        <f t="shared" si="210"/>
        <v>0.30360496372942514</v>
      </c>
      <c r="I142" s="6">
        <f t="shared" si="210"/>
        <v>0.23162731843761453</v>
      </c>
      <c r="J142" s="6">
        <f t="shared" si="210"/>
        <v>0.41365933615626282</v>
      </c>
      <c r="K142" s="6">
        <f t="shared" si="210"/>
        <v>0.46309768260486939</v>
      </c>
      <c r="L142" s="6">
        <f t="shared" si="210"/>
        <v>0.47754364160216944</v>
      </c>
      <c r="M142" s="6">
        <f t="shared" si="210"/>
        <v>0.54981479979452264</v>
      </c>
      <c r="N142" s="6">
        <f t="shared" si="210"/>
        <v>0.32713007517344006</v>
      </c>
      <c r="O142" s="6">
        <f t="shared" si="214"/>
        <v>0.34065801872606616</v>
      </c>
      <c r="P142" s="6">
        <f t="shared" si="211"/>
        <v>-1</v>
      </c>
      <c r="Q142" s="6">
        <f t="shared" si="211"/>
        <v>-1</v>
      </c>
      <c r="R142" s="6">
        <f t="shared" si="211"/>
        <v>-1</v>
      </c>
      <c r="S142" s="6">
        <f t="shared" si="211"/>
        <v>-1</v>
      </c>
      <c r="T142" s="6" t="e">
        <f t="shared" si="211"/>
        <v>#DIV/0!</v>
      </c>
      <c r="U142" s="6" t="e">
        <f t="shared" si="211"/>
        <v>#DIV/0!</v>
      </c>
      <c r="V142" s="6" t="e">
        <f t="shared" si="211"/>
        <v>#DIV/0!</v>
      </c>
    </row>
    <row r="144" spans="2:40" x14ac:dyDescent="0.25">
      <c r="B144" s="1" t="s">
        <v>135</v>
      </c>
      <c r="G144" s="6">
        <f t="shared" ref="G144:N145" si="215">G136/F136-1</f>
        <v>0.12688821752265866</v>
      </c>
      <c r="H144" s="6">
        <f t="shared" si="215"/>
        <v>6.9705093833780207E-2</v>
      </c>
      <c r="I144" s="6">
        <f t="shared" si="215"/>
        <v>8.2706766917293173E-2</v>
      </c>
      <c r="J144" s="6">
        <f t="shared" si="215"/>
        <v>5.7870370370370461E-2</v>
      </c>
      <c r="K144" s="6">
        <f t="shared" si="215"/>
        <v>4.8140043763676088E-2</v>
      </c>
      <c r="L144" s="6">
        <f t="shared" si="215"/>
        <v>5.845511482254695E-2</v>
      </c>
      <c r="M144" s="6">
        <f t="shared" si="215"/>
        <v>6.5088757396449815E-2</v>
      </c>
      <c r="N144" s="6">
        <f t="shared" si="215"/>
        <v>7.2222222222222188E-2</v>
      </c>
      <c r="O144" s="6">
        <f>O136/N136-1</f>
        <v>4.663212435233155E-2</v>
      </c>
      <c r="P144" s="6">
        <f t="shared" ref="P144:V144" si="216">P136/O136-1</f>
        <v>7.9207920792079278E-2</v>
      </c>
      <c r="Q144" s="6">
        <f t="shared" si="216"/>
        <v>-1</v>
      </c>
      <c r="R144" s="6" t="e">
        <f t="shared" si="216"/>
        <v>#DIV/0!</v>
      </c>
      <c r="S144" s="6" t="e">
        <f t="shared" si="216"/>
        <v>#DIV/0!</v>
      </c>
      <c r="T144" s="6" t="e">
        <f t="shared" si="216"/>
        <v>#DIV/0!</v>
      </c>
      <c r="U144" s="6" t="e">
        <f t="shared" si="216"/>
        <v>#DIV/0!</v>
      </c>
      <c r="V144" s="6" t="e">
        <f t="shared" si="216"/>
        <v>#DIV/0!</v>
      </c>
      <c r="W144" s="6"/>
      <c r="X144" s="6"/>
    </row>
    <row r="145" spans="2:34" x14ac:dyDescent="0.25">
      <c r="B145" s="1" t="s">
        <v>136</v>
      </c>
      <c r="G145" s="6">
        <f t="shared" si="215"/>
        <v>2.3364485981308469E-2</v>
      </c>
      <c r="H145" s="6">
        <f t="shared" si="215"/>
        <v>6.2404870624048758E-2</v>
      </c>
      <c r="I145" s="6">
        <f t="shared" si="215"/>
        <v>1.4326647564470996E-3</v>
      </c>
      <c r="J145" s="6">
        <f t="shared" si="215"/>
        <v>3.0042918454935563E-2</v>
      </c>
      <c r="K145" s="6">
        <f t="shared" si="215"/>
        <v>9.7222222222221877E-3</v>
      </c>
      <c r="L145" s="6">
        <f t="shared" si="215"/>
        <v>9.6286107290233236E-3</v>
      </c>
      <c r="M145" s="6">
        <f t="shared" si="215"/>
        <v>2.043596730245234E-2</v>
      </c>
      <c r="N145" s="6">
        <f t="shared" si="215"/>
        <v>2.6702269692924219E-3</v>
      </c>
      <c r="O145" s="6">
        <f t="shared" ref="O145:V145" si="217">O137/N137-1</f>
        <v>3.9946737683089761E-3</v>
      </c>
      <c r="P145" s="6">
        <f t="shared" si="217"/>
        <v>-3.9787798408488229E-3</v>
      </c>
      <c r="Q145" s="6">
        <f t="shared" si="217"/>
        <v>-1</v>
      </c>
      <c r="R145" s="6" t="e">
        <f t="shared" si="217"/>
        <v>#DIV/0!</v>
      </c>
      <c r="S145" s="6" t="e">
        <f t="shared" si="217"/>
        <v>#DIV/0!</v>
      </c>
      <c r="T145" s="6" t="e">
        <f t="shared" si="217"/>
        <v>#DIV/0!</v>
      </c>
      <c r="U145" s="6" t="e">
        <f t="shared" si="217"/>
        <v>#DIV/0!</v>
      </c>
      <c r="V145" s="6" t="e">
        <f t="shared" si="217"/>
        <v>#DIV/0!</v>
      </c>
      <c r="W145" s="6"/>
      <c r="X145" s="6"/>
    </row>
    <row r="146" spans="2:34" x14ac:dyDescent="0.25"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2:34" x14ac:dyDescent="0.25">
      <c r="B147" s="8" t="s">
        <v>167</v>
      </c>
      <c r="AB147" s="12">
        <f>AB3/AB136</f>
        <v>6.2404833836858007</v>
      </c>
      <c r="AC147" s="12">
        <f t="shared" ref="AC147:AH147" si="218">AC3/AC136</f>
        <v>6.140919037199124</v>
      </c>
      <c r="AD147" s="12">
        <f t="shared" si="218"/>
        <v>6.26286701208981</v>
      </c>
      <c r="AE147" s="12">
        <f t="shared" si="218"/>
        <v>6.26286701208981</v>
      </c>
      <c r="AF147" s="12">
        <f t="shared" si="218"/>
        <v>6.26286701208981</v>
      </c>
      <c r="AG147" s="12">
        <f t="shared" si="218"/>
        <v>6.2628670120898091</v>
      </c>
      <c r="AH147" s="12">
        <f t="shared" si="218"/>
        <v>6.2628670120898091</v>
      </c>
    </row>
    <row r="148" spans="2:34" x14ac:dyDescent="0.25">
      <c r="J148" s="3"/>
    </row>
    <row r="149" spans="2:34" s="3" customFormat="1" x14ac:dyDescent="0.25">
      <c r="B149" s="9" t="s">
        <v>138</v>
      </c>
      <c r="C149" s="3">
        <v>-1.5</v>
      </c>
      <c r="D149" s="3">
        <v>4.6130000000000004</v>
      </c>
      <c r="E149" s="3">
        <v>38.579000000000001</v>
      </c>
      <c r="F149" s="3">
        <v>48.4</v>
      </c>
      <c r="G149" s="3">
        <v>54.149000000000001</v>
      </c>
      <c r="H149" s="3">
        <v>80.3</v>
      </c>
      <c r="I149" s="3">
        <v>89.730999999999995</v>
      </c>
      <c r="J149" s="3">
        <v>127.4</v>
      </c>
      <c r="K149" s="3">
        <v>52.16</v>
      </c>
      <c r="L149" s="3">
        <v>63.095999999999997</v>
      </c>
      <c r="M149" s="3">
        <v>73.311999999999998</v>
      </c>
      <c r="N149" s="3">
        <v>112.13800000000001</v>
      </c>
      <c r="O149" s="3">
        <v>87.572000000000003</v>
      </c>
      <c r="P149" s="3">
        <v>128.98599999999999</v>
      </c>
      <c r="AB149" s="3">
        <f t="shared" ref="AB149" si="219">C149+D149+E149+F149</f>
        <v>90.091999999999999</v>
      </c>
      <c r="AC149" s="3">
        <f t="shared" ref="AC149" si="220">+G149+H149+I149+J149</f>
        <v>351.58000000000004</v>
      </c>
      <c r="AD149" s="3">
        <f t="shared" ref="AD149" si="221">+K149+L149+M149+N149</f>
        <v>300.70600000000002</v>
      </c>
    </row>
    <row r="150" spans="2:34" s="12" customFormat="1" x14ac:dyDescent="0.25">
      <c r="B150" s="11" t="s">
        <v>141</v>
      </c>
      <c r="C150" s="12">
        <f t="shared" ref="C150:F150" si="222">C149/C19</f>
        <v>-4.7715842614064726E-3</v>
      </c>
      <c r="D150" s="12">
        <f t="shared" si="222"/>
        <v>1.4490067722926537E-2</v>
      </c>
      <c r="E150" s="12">
        <f t="shared" si="222"/>
        <v>0.12050853546160215</v>
      </c>
      <c r="F150" s="12">
        <f t="shared" si="222"/>
        <v>0.15034604440799693</v>
      </c>
      <c r="G150" s="12">
        <f t="shared" ref="G150:N150" si="223">G149/G19</f>
        <v>0.16704559827491</v>
      </c>
      <c r="H150" s="12">
        <f t="shared" si="223"/>
        <v>0.24531443322590007</v>
      </c>
      <c r="I150" s="12">
        <f t="shared" si="223"/>
        <v>0.27248185600194341</v>
      </c>
      <c r="J150" s="12">
        <f t="shared" si="223"/>
        <v>0.38480241875806076</v>
      </c>
      <c r="K150" s="12">
        <f t="shared" si="223"/>
        <v>0.15636241546357138</v>
      </c>
      <c r="L150" s="12">
        <f t="shared" si="223"/>
        <v>0.18887003062223298</v>
      </c>
      <c r="M150" s="12">
        <f t="shared" si="223"/>
        <v>0.22097835490006357</v>
      </c>
      <c r="N150" s="12">
        <f t="shared" si="223"/>
        <v>0.33834391368365152</v>
      </c>
      <c r="O150" s="12">
        <f t="shared" ref="O150:V150" si="224">O149/O19</f>
        <v>0.2632501345229471</v>
      </c>
      <c r="P150" s="12">
        <f t="shared" si="224"/>
        <v>0.38478588368658923</v>
      </c>
      <c r="Q150" s="12" t="e">
        <f t="shared" si="224"/>
        <v>#DIV/0!</v>
      </c>
      <c r="R150" s="12" t="e">
        <f t="shared" si="224"/>
        <v>#DIV/0!</v>
      </c>
      <c r="S150" s="12" t="e">
        <f t="shared" si="224"/>
        <v>#DIV/0!</v>
      </c>
      <c r="T150" s="12" t="e">
        <f t="shared" si="224"/>
        <v>#DIV/0!</v>
      </c>
      <c r="U150" s="12" t="e">
        <f t="shared" si="224"/>
        <v>#DIV/0!</v>
      </c>
      <c r="V150" s="12" t="e">
        <f t="shared" si="224"/>
        <v>#DIV/0!</v>
      </c>
      <c r="AB150" s="12">
        <f t="shared" ref="AB150" si="225">AB149/AB19</f>
        <v>0.28265930411319923</v>
      </c>
      <c r="AC150" s="12">
        <f t="shared" ref="AC150" si="226">AC149/AC19</f>
        <v>1.0619217769777003</v>
      </c>
      <c r="AD150" s="12">
        <f t="shared" ref="AD150" si="227">AD149/AD19</f>
        <v>0.90729320041516814</v>
      </c>
    </row>
    <row r="152" spans="2:34" s="6" customFormat="1" x14ac:dyDescent="0.25">
      <c r="B152" s="10" t="s">
        <v>139</v>
      </c>
      <c r="C152" s="6">
        <f t="shared" ref="C152:G152" si="228">C149/C3</f>
        <v>-3.5519772673454891E-3</v>
      </c>
      <c r="D152" s="6">
        <f t="shared" si="228"/>
        <v>9.2779565567176203E-3</v>
      </c>
      <c r="E152" s="6">
        <f t="shared" si="228"/>
        <v>6.9262118491921001E-2</v>
      </c>
      <c r="F152" s="6">
        <f t="shared" si="228"/>
        <v>8.2173174872665539E-2</v>
      </c>
      <c r="G152" s="6">
        <f t="shared" si="228"/>
        <v>8.6832905708787683E-2</v>
      </c>
      <c r="H152" s="6">
        <f t="shared" ref="H152:N152" si="229">H149/H3</f>
        <v>0.11913946587537091</v>
      </c>
      <c r="I152" s="6">
        <f t="shared" si="229"/>
        <v>0.12223266584933931</v>
      </c>
      <c r="J152" s="6">
        <f t="shared" si="229"/>
        <v>0.16445075513101845</v>
      </c>
      <c r="K152" s="6">
        <f t="shared" si="229"/>
        <v>6.2941957282490635E-2</v>
      </c>
      <c r="L152" s="6">
        <f t="shared" si="229"/>
        <v>7.2624309392265191E-2</v>
      </c>
      <c r="M152" s="6">
        <f t="shared" si="229"/>
        <v>7.7825902335456471E-2</v>
      </c>
      <c r="N152" s="6">
        <f t="shared" si="229"/>
        <v>0.11364953886693017</v>
      </c>
      <c r="O152" s="6">
        <f t="shared" ref="O152:V152" si="230">O149/O3</f>
        <v>8.4042226487523991E-2</v>
      </c>
      <c r="P152" s="6">
        <f t="shared" si="230"/>
        <v>0.11265457842090046</v>
      </c>
      <c r="Q152" s="6">
        <f t="shared" si="230"/>
        <v>0</v>
      </c>
      <c r="R152" s="6">
        <f t="shared" si="230"/>
        <v>0</v>
      </c>
      <c r="S152" s="6">
        <f t="shared" si="230"/>
        <v>0</v>
      </c>
      <c r="T152" s="6">
        <f t="shared" si="230"/>
        <v>0</v>
      </c>
      <c r="U152" s="6">
        <f t="shared" si="230"/>
        <v>0</v>
      </c>
      <c r="V152" s="6">
        <f t="shared" si="230"/>
        <v>0</v>
      </c>
      <c r="AB152" s="6">
        <f t="shared" ref="AB152:AD152" si="231">AB149/AB3</f>
        <v>4.3615414407436097E-2</v>
      </c>
      <c r="AC152" s="6">
        <f t="shared" si="231"/>
        <v>0.12527793614595215</v>
      </c>
      <c r="AD152" s="6">
        <f t="shared" si="231"/>
        <v>8.2925927968672444E-2</v>
      </c>
    </row>
    <row r="153" spans="2:34" s="6" customFormat="1" x14ac:dyDescent="0.25">
      <c r="B153" s="10" t="s">
        <v>140</v>
      </c>
      <c r="G153" s="6">
        <f t="shared" ref="G153" si="232">G149/C149-1</f>
        <v>-37.099333333333334</v>
      </c>
      <c r="H153" s="6">
        <f t="shared" ref="H153:Q153" si="233">H149/D149-1</f>
        <v>16.407327119011487</v>
      </c>
      <c r="I153" s="6">
        <f t="shared" si="233"/>
        <v>1.3259026931750433</v>
      </c>
      <c r="J153" s="6">
        <f t="shared" si="233"/>
        <v>1.6322314049586777</v>
      </c>
      <c r="K153" s="6">
        <f t="shared" si="233"/>
        <v>-3.6731980276644149E-2</v>
      </c>
      <c r="L153" s="6">
        <f t="shared" si="233"/>
        <v>-0.21424657534246572</v>
      </c>
      <c r="M153" s="6">
        <f t="shared" si="233"/>
        <v>-0.1829802409423722</v>
      </c>
      <c r="N153" s="6">
        <f t="shared" si="233"/>
        <v>-0.11979591836734693</v>
      </c>
      <c r="O153" s="6">
        <f t="shared" si="233"/>
        <v>0.67891104294478555</v>
      </c>
      <c r="P153" s="6">
        <f t="shared" si="233"/>
        <v>1.0442817294281728</v>
      </c>
      <c r="Q153" s="6">
        <f t="shared" si="233"/>
        <v>-1</v>
      </c>
      <c r="R153" s="6">
        <f t="shared" ref="R153:V153" si="234">R149/N149-1</f>
        <v>-1</v>
      </c>
      <c r="S153" s="6">
        <f t="shared" si="234"/>
        <v>-1</v>
      </c>
      <c r="T153" s="6">
        <f t="shared" si="234"/>
        <v>-1</v>
      </c>
      <c r="U153" s="6" t="e">
        <f t="shared" si="234"/>
        <v>#DIV/0!</v>
      </c>
      <c r="V153" s="6" t="e">
        <f t="shared" si="234"/>
        <v>#DIV/0!</v>
      </c>
      <c r="AC153" s="6">
        <f t="shared" ref="AC153" si="235">AC149/AB149-1</f>
        <v>2.9024552679483202</v>
      </c>
      <c r="AD153" s="6">
        <f>AD149/AC149-1</f>
        <v>-0.14470106376927017</v>
      </c>
    </row>
  </sheetData>
  <phoneticPr fontId="8" type="noConversion"/>
  <hyperlinks>
    <hyperlink ref="A1" location="Main!A1" display="Main" xr:uid="{A3EE3E66-7D6B-4015-A152-E26186422197}"/>
  </hyperlinks>
  <pageMargins left="0.7" right="0.7" top="0.75" bottom="0.75" header="0.3" footer="0.3"/>
  <pageSetup orientation="portrait" r:id="rId1"/>
  <ignoredErrors>
    <ignoredError sqref="AC5:AD16 AB84:AD97 AB17:AD1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2025-08-28T17:35:05Z</dcterms:modified>
</cp:coreProperties>
</file>