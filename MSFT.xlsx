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9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8C1CF34A-EBBF-47E1-8930-F604424049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" sheetId="2" r:id="rId1"/>
    <sheet name="Segments" sheetId="7" r:id="rId2"/>
    <sheet name="Forecast" sheetId="9" r:id="rId3"/>
    <sheet name="DCF" sheetId="8" r:id="rId4"/>
    <sheet name="Model2" sheetId="1" r:id="rId5"/>
    <sheet name="WACC" sheetId="3" r:id="rId6"/>
    <sheet name="META" sheetId="4" r:id="rId7"/>
    <sheet name="CRM" sheetId="5" r:id="rId8"/>
    <sheet name="GOOG" sheetId="6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4" i="2" l="1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C104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F44" i="8"/>
  <c r="F45" i="8"/>
  <c r="F46" i="8"/>
  <c r="F38" i="8"/>
  <c r="F39" i="8"/>
  <c r="F40" i="8"/>
  <c r="N24" i="7"/>
  <c r="H20" i="9"/>
  <c r="H23" i="9"/>
  <c r="H31" i="9"/>
  <c r="H32" i="9"/>
  <c r="H35" i="9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F21" i="9"/>
  <c r="H21" i="9" s="1"/>
  <c r="F22" i="9"/>
  <c r="H22" i="9" s="1"/>
  <c r="F23" i="9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F32" i="9"/>
  <c r="F33" i="9"/>
  <c r="H33" i="9" s="1"/>
  <c r="F34" i="9"/>
  <c r="H34" i="9" s="1"/>
  <c r="F35" i="9"/>
  <c r="F36" i="9"/>
  <c r="H36" i="9" s="1"/>
  <c r="F12" i="9"/>
  <c r="H12" i="9" s="1"/>
  <c r="T91" i="8"/>
  <c r="U91" i="8" s="1"/>
  <c r="V91" i="8" s="1"/>
  <c r="W91" i="8" s="1"/>
  <c r="X91" i="8" s="1"/>
  <c r="Y91" i="8" s="1"/>
  <c r="Z91" i="8" s="1"/>
  <c r="AA91" i="8" s="1"/>
  <c r="AB91" i="8" s="1"/>
  <c r="AC91" i="8" s="1"/>
  <c r="AD91" i="8" s="1"/>
  <c r="AE91" i="8" s="1"/>
  <c r="AF91" i="8" s="1"/>
  <c r="AG91" i="8" s="1"/>
  <c r="AH91" i="8" s="1"/>
  <c r="AI91" i="8" s="1"/>
  <c r="AJ91" i="8" s="1"/>
  <c r="AK91" i="8" s="1"/>
  <c r="AL91" i="8" s="1"/>
  <c r="AM91" i="8" s="1"/>
  <c r="AN91" i="8" s="1"/>
  <c r="AO91" i="8" s="1"/>
  <c r="AP91" i="8" s="1"/>
  <c r="AQ91" i="8" s="1"/>
  <c r="AR91" i="8" s="1"/>
  <c r="AS91" i="8" s="1"/>
  <c r="AT91" i="8" s="1"/>
  <c r="AU91" i="8" s="1"/>
  <c r="AV91" i="8" s="1"/>
  <c r="AW91" i="8" s="1"/>
  <c r="AX91" i="8" s="1"/>
  <c r="AY91" i="8" s="1"/>
  <c r="AZ91" i="8" s="1"/>
  <c r="BA91" i="8" s="1"/>
  <c r="BB91" i="8" s="1"/>
  <c r="BC91" i="8" s="1"/>
  <c r="BD91" i="8" s="1"/>
  <c r="BE91" i="8" s="1"/>
  <c r="BF91" i="8" s="1"/>
  <c r="BG91" i="8" s="1"/>
  <c r="BH91" i="8" s="1"/>
  <c r="BI91" i="8" s="1"/>
  <c r="BJ91" i="8" s="1"/>
  <c r="BK91" i="8" s="1"/>
  <c r="BL91" i="8" s="1"/>
  <c r="BM91" i="8" s="1"/>
  <c r="BN91" i="8" s="1"/>
  <c r="BO91" i="8" s="1"/>
  <c r="BP91" i="8" s="1"/>
  <c r="BQ91" i="8" s="1"/>
  <c r="BR91" i="8" s="1"/>
  <c r="BS91" i="8" s="1"/>
  <c r="BT91" i="8" s="1"/>
  <c r="BU91" i="8" s="1"/>
  <c r="BV91" i="8" s="1"/>
  <c r="BW91" i="8" s="1"/>
  <c r="BX91" i="8" s="1"/>
  <c r="BY91" i="8" s="1"/>
  <c r="BZ91" i="8" s="1"/>
  <c r="CA91" i="8" s="1"/>
  <c r="CB91" i="8" s="1"/>
  <c r="CC91" i="8" s="1"/>
  <c r="CD91" i="8" s="1"/>
  <c r="CE91" i="8" s="1"/>
  <c r="CF91" i="8" s="1"/>
  <c r="CG91" i="8" s="1"/>
  <c r="CH91" i="8" s="1"/>
  <c r="CI91" i="8" s="1"/>
  <c r="M90" i="8"/>
  <c r="M88" i="8"/>
  <c r="O116" i="8"/>
  <c r="O112" i="8"/>
  <c r="M87" i="8"/>
  <c r="N87" i="8" s="1"/>
  <c r="O87" i="8" s="1"/>
  <c r="P87" i="8" s="1"/>
  <c r="Q87" i="8" s="1"/>
  <c r="R87" i="8" s="1"/>
  <c r="S87" i="8" s="1"/>
  <c r="T87" i="8" s="1"/>
  <c r="U87" i="8" s="1"/>
  <c r="V87" i="8" s="1"/>
  <c r="L98" i="8"/>
  <c r="L107" i="8" s="1"/>
  <c r="K98" i="8"/>
  <c r="K107" i="8" s="1"/>
  <c r="J98" i="8"/>
  <c r="I98" i="8"/>
  <c r="I107" i="8" s="1"/>
  <c r="H98" i="8"/>
  <c r="H107" i="8" s="1"/>
  <c r="G98" i="8"/>
  <c r="G109" i="8" s="1"/>
  <c r="F98" i="8"/>
  <c r="E98" i="8"/>
  <c r="D98" i="8"/>
  <c r="C98" i="8"/>
  <c r="O74" i="8"/>
  <c r="O78" i="8"/>
  <c r="O36" i="8"/>
  <c r="M49" i="8"/>
  <c r="N49" i="8" s="1"/>
  <c r="O49" i="8" s="1"/>
  <c r="P49" i="8" s="1"/>
  <c r="Q49" i="8" s="1"/>
  <c r="R49" i="8" s="1"/>
  <c r="S49" i="8" s="1"/>
  <c r="T49" i="8" s="1"/>
  <c r="U49" i="8" s="1"/>
  <c r="V49" i="8" s="1"/>
  <c r="L60" i="8"/>
  <c r="K60" i="8"/>
  <c r="K71" i="8" s="1"/>
  <c r="J60" i="8"/>
  <c r="J69" i="8" s="1"/>
  <c r="I60" i="8"/>
  <c r="H60" i="8"/>
  <c r="H69" i="8" s="1"/>
  <c r="G60" i="8"/>
  <c r="G69" i="8" s="1"/>
  <c r="F60" i="8"/>
  <c r="F71" i="8" s="1"/>
  <c r="E60" i="8"/>
  <c r="E71" i="8" s="1"/>
  <c r="D60" i="8"/>
  <c r="C60" i="8"/>
  <c r="O29" i="8"/>
  <c r="BV76" i="7"/>
  <c r="BV72" i="7"/>
  <c r="BU72" i="7"/>
  <c r="BW71" i="7"/>
  <c r="BW84" i="7" s="1"/>
  <c r="BV71" i="7"/>
  <c r="BU71" i="7"/>
  <c r="BV70" i="7"/>
  <c r="BU70" i="7"/>
  <c r="BU68" i="7"/>
  <c r="BV67" i="7"/>
  <c r="BU67" i="7"/>
  <c r="BV66" i="7"/>
  <c r="BU66" i="7"/>
  <c r="BV65" i="7"/>
  <c r="BU65" i="7"/>
  <c r="BV64" i="7"/>
  <c r="BU64" i="7"/>
  <c r="BW63" i="7"/>
  <c r="BV63" i="7"/>
  <c r="BV69" i="7" s="1"/>
  <c r="BV81" i="7" s="1"/>
  <c r="BU63" i="7"/>
  <c r="BU69" i="7" s="1"/>
  <c r="M12" i="8"/>
  <c r="N12" i="8" s="1"/>
  <c r="O12" i="8" s="1"/>
  <c r="P12" i="8" s="1"/>
  <c r="Q12" i="8" s="1"/>
  <c r="R12" i="8" s="1"/>
  <c r="S12" i="8" s="1"/>
  <c r="T12" i="8" s="1"/>
  <c r="U12" i="8" s="1"/>
  <c r="M7" i="8"/>
  <c r="N7" i="8" s="1"/>
  <c r="O7" i="8" s="1"/>
  <c r="P7" i="8" s="1"/>
  <c r="Q7" i="8" s="1"/>
  <c r="R7" i="8" s="1"/>
  <c r="S7" i="8" s="1"/>
  <c r="T7" i="8" s="1"/>
  <c r="U7" i="8" s="1"/>
  <c r="V90" i="8" s="1"/>
  <c r="M5" i="8"/>
  <c r="N5" i="8" s="1"/>
  <c r="O88" i="8" s="1"/>
  <c r="M4" i="8"/>
  <c r="N4" i="8" s="1"/>
  <c r="O4" i="8" s="1"/>
  <c r="P4" i="8" s="1"/>
  <c r="Q4" i="8" s="1"/>
  <c r="R4" i="8" s="1"/>
  <c r="S4" i="8" s="1"/>
  <c r="T4" i="8" s="1"/>
  <c r="U4" i="8" s="1"/>
  <c r="BS85" i="7"/>
  <c r="BR85" i="7"/>
  <c r="BQ85" i="7"/>
  <c r="BP85" i="7"/>
  <c r="BO85" i="7"/>
  <c r="BN85" i="7"/>
  <c r="BM85" i="7"/>
  <c r="BL85" i="7"/>
  <c r="BK85" i="7"/>
  <c r="BJ85" i="7"/>
  <c r="BI85" i="7"/>
  <c r="BH85" i="7"/>
  <c r="BG85" i="7"/>
  <c r="BF85" i="7"/>
  <c r="BE85" i="7"/>
  <c r="BD85" i="7"/>
  <c r="BC85" i="7"/>
  <c r="BB85" i="7"/>
  <c r="BA85" i="7"/>
  <c r="AZ85" i="7"/>
  <c r="AY85" i="7"/>
  <c r="AX85" i="7"/>
  <c r="AW85" i="7"/>
  <c r="AV85" i="7"/>
  <c r="AU85" i="7"/>
  <c r="AT85" i="7"/>
  <c r="AS85" i="7"/>
  <c r="AR85" i="7"/>
  <c r="AQ85" i="7"/>
  <c r="BS84" i="7"/>
  <c r="BR84" i="7"/>
  <c r="BQ84" i="7"/>
  <c r="BP84" i="7"/>
  <c r="BO84" i="7"/>
  <c r="BN84" i="7"/>
  <c r="BM84" i="7"/>
  <c r="BL84" i="7"/>
  <c r="BK84" i="7"/>
  <c r="BJ84" i="7"/>
  <c r="BI84" i="7"/>
  <c r="BH84" i="7"/>
  <c r="BG84" i="7"/>
  <c r="BF84" i="7"/>
  <c r="BE84" i="7"/>
  <c r="BD84" i="7"/>
  <c r="BC84" i="7"/>
  <c r="BB84" i="7"/>
  <c r="BA84" i="7"/>
  <c r="AZ84" i="7"/>
  <c r="AY84" i="7"/>
  <c r="AX84" i="7"/>
  <c r="AW84" i="7"/>
  <c r="AV84" i="7"/>
  <c r="AU84" i="7"/>
  <c r="AT84" i="7"/>
  <c r="AS84" i="7"/>
  <c r="AR84" i="7"/>
  <c r="AQ84" i="7"/>
  <c r="BS82" i="7"/>
  <c r="BR82" i="7"/>
  <c r="BQ82" i="7"/>
  <c r="BP82" i="7"/>
  <c r="BO82" i="7"/>
  <c r="BN82" i="7"/>
  <c r="BM82" i="7"/>
  <c r="BL82" i="7"/>
  <c r="BK82" i="7"/>
  <c r="BJ82" i="7"/>
  <c r="BI82" i="7"/>
  <c r="BH82" i="7"/>
  <c r="BG82" i="7"/>
  <c r="BF82" i="7"/>
  <c r="BE82" i="7"/>
  <c r="BD82" i="7"/>
  <c r="BC82" i="7"/>
  <c r="BB82" i="7"/>
  <c r="BA82" i="7"/>
  <c r="AZ82" i="7"/>
  <c r="AY82" i="7"/>
  <c r="AX82" i="7"/>
  <c r="AW82" i="7"/>
  <c r="AV82" i="7"/>
  <c r="AU82" i="7"/>
  <c r="AT82" i="7"/>
  <c r="AS82" i="7"/>
  <c r="AR82" i="7"/>
  <c r="AQ82" i="7"/>
  <c r="BS81" i="7"/>
  <c r="BR81" i="7"/>
  <c r="BQ81" i="7"/>
  <c r="BP81" i="7"/>
  <c r="BO81" i="7"/>
  <c r="BN81" i="7"/>
  <c r="BM81" i="7"/>
  <c r="BL81" i="7"/>
  <c r="BK81" i="7"/>
  <c r="BJ81" i="7"/>
  <c r="BI81" i="7"/>
  <c r="BH81" i="7"/>
  <c r="BG81" i="7"/>
  <c r="BF81" i="7"/>
  <c r="BE81" i="7"/>
  <c r="BD81" i="7"/>
  <c r="BC81" i="7"/>
  <c r="BB81" i="7"/>
  <c r="BA81" i="7"/>
  <c r="AZ81" i="7"/>
  <c r="AY81" i="7"/>
  <c r="AX81" i="7"/>
  <c r="AW81" i="7"/>
  <c r="AV81" i="7"/>
  <c r="AU81" i="7"/>
  <c r="AT81" i="7"/>
  <c r="AS81" i="7"/>
  <c r="AR81" i="7"/>
  <c r="AQ81" i="7"/>
  <c r="BS80" i="7"/>
  <c r="BR80" i="7"/>
  <c r="BQ80" i="7"/>
  <c r="BP80" i="7"/>
  <c r="BO80" i="7"/>
  <c r="BN80" i="7"/>
  <c r="BM80" i="7"/>
  <c r="BL80" i="7"/>
  <c r="BK80" i="7"/>
  <c r="BJ80" i="7"/>
  <c r="BI80" i="7"/>
  <c r="BH80" i="7"/>
  <c r="BG80" i="7"/>
  <c r="BF80" i="7"/>
  <c r="BE80" i="7"/>
  <c r="BD80" i="7"/>
  <c r="BC80" i="7"/>
  <c r="BB80" i="7"/>
  <c r="BA80" i="7"/>
  <c r="AZ80" i="7"/>
  <c r="AY80" i="7"/>
  <c r="AX80" i="7"/>
  <c r="AW80" i="7"/>
  <c r="AV80" i="7"/>
  <c r="AU80" i="7"/>
  <c r="AT80" i="7"/>
  <c r="AS80" i="7"/>
  <c r="AR80" i="7"/>
  <c r="AQ80" i="7"/>
  <c r="BS79" i="7"/>
  <c r="BR79" i="7"/>
  <c r="BQ79" i="7"/>
  <c r="BP79" i="7"/>
  <c r="BO79" i="7"/>
  <c r="BN79" i="7"/>
  <c r="BM79" i="7"/>
  <c r="BL79" i="7"/>
  <c r="BK79" i="7"/>
  <c r="BJ79" i="7"/>
  <c r="BI79" i="7"/>
  <c r="BH79" i="7"/>
  <c r="BG79" i="7"/>
  <c r="BF79" i="7"/>
  <c r="BE79" i="7"/>
  <c r="BD79" i="7"/>
  <c r="BC79" i="7"/>
  <c r="BB79" i="7"/>
  <c r="BA79" i="7"/>
  <c r="AZ79" i="7"/>
  <c r="AY79" i="7"/>
  <c r="AX79" i="7"/>
  <c r="AW79" i="7"/>
  <c r="AV79" i="7"/>
  <c r="AU79" i="7"/>
  <c r="AT79" i="7"/>
  <c r="AS79" i="7"/>
  <c r="AR79" i="7"/>
  <c r="AQ79" i="7"/>
  <c r="BS78" i="7"/>
  <c r="BR78" i="7"/>
  <c r="BQ78" i="7"/>
  <c r="BP78" i="7"/>
  <c r="BO78" i="7"/>
  <c r="BN78" i="7"/>
  <c r="BM78" i="7"/>
  <c r="BL78" i="7"/>
  <c r="BK78" i="7"/>
  <c r="BJ78" i="7"/>
  <c r="BI78" i="7"/>
  <c r="BH78" i="7"/>
  <c r="BG78" i="7"/>
  <c r="BF78" i="7"/>
  <c r="BE78" i="7"/>
  <c r="BD78" i="7"/>
  <c r="BC78" i="7"/>
  <c r="BB78" i="7"/>
  <c r="BA78" i="7"/>
  <c r="AZ78" i="7"/>
  <c r="AY78" i="7"/>
  <c r="AX78" i="7"/>
  <c r="AW78" i="7"/>
  <c r="AV78" i="7"/>
  <c r="AU78" i="7"/>
  <c r="AT78" i="7"/>
  <c r="AS78" i="7"/>
  <c r="AR78" i="7"/>
  <c r="AQ78" i="7"/>
  <c r="BS77" i="7"/>
  <c r="BR77" i="7"/>
  <c r="BQ77" i="7"/>
  <c r="BP77" i="7"/>
  <c r="BO77" i="7"/>
  <c r="BN77" i="7"/>
  <c r="BM77" i="7"/>
  <c r="BL77" i="7"/>
  <c r="BK77" i="7"/>
  <c r="BJ77" i="7"/>
  <c r="BI77" i="7"/>
  <c r="BH77" i="7"/>
  <c r="BG77" i="7"/>
  <c r="BF77" i="7"/>
  <c r="BE77" i="7"/>
  <c r="BD77" i="7"/>
  <c r="BC77" i="7"/>
  <c r="BB77" i="7"/>
  <c r="BA77" i="7"/>
  <c r="AZ77" i="7"/>
  <c r="AY77" i="7"/>
  <c r="AX77" i="7"/>
  <c r="AW77" i="7"/>
  <c r="AV77" i="7"/>
  <c r="AU77" i="7"/>
  <c r="AT77" i="7"/>
  <c r="AS77" i="7"/>
  <c r="AR77" i="7"/>
  <c r="AQ77" i="7"/>
  <c r="BS76" i="7"/>
  <c r="BR76" i="7"/>
  <c r="BQ76" i="7"/>
  <c r="BP76" i="7"/>
  <c r="BO76" i="7"/>
  <c r="BN76" i="7"/>
  <c r="BM76" i="7"/>
  <c r="BL76" i="7"/>
  <c r="BK76" i="7"/>
  <c r="BJ76" i="7"/>
  <c r="BI76" i="7"/>
  <c r="BH76" i="7"/>
  <c r="BG76" i="7"/>
  <c r="BF76" i="7"/>
  <c r="BE76" i="7"/>
  <c r="BD76" i="7"/>
  <c r="BC76" i="7"/>
  <c r="BB76" i="7"/>
  <c r="BA76" i="7"/>
  <c r="AZ76" i="7"/>
  <c r="AY76" i="7"/>
  <c r="AX76" i="7"/>
  <c r="AW76" i="7"/>
  <c r="AV76" i="7"/>
  <c r="AU76" i="7"/>
  <c r="AT76" i="7"/>
  <c r="AS76" i="7"/>
  <c r="AR76" i="7"/>
  <c r="AQ76" i="7"/>
  <c r="BS68" i="7"/>
  <c r="BS67" i="7"/>
  <c r="BS66" i="7"/>
  <c r="BS63" i="7"/>
  <c r="BS72" i="7" s="1"/>
  <c r="BR72" i="7"/>
  <c r="BQ72" i="7"/>
  <c r="BP72" i="7"/>
  <c r="BO72" i="7"/>
  <c r="BN72" i="7"/>
  <c r="BM72" i="7"/>
  <c r="BL72" i="7"/>
  <c r="BK72" i="7"/>
  <c r="BJ72" i="7"/>
  <c r="BI72" i="7"/>
  <c r="BH72" i="7"/>
  <c r="BG72" i="7"/>
  <c r="BF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BR71" i="7"/>
  <c r="BQ71" i="7"/>
  <c r="BP71" i="7"/>
  <c r="BO71" i="7"/>
  <c r="BN71" i="7"/>
  <c r="BM71" i="7"/>
  <c r="BL71" i="7"/>
  <c r="BK71" i="7"/>
  <c r="BJ71" i="7"/>
  <c r="BI71" i="7"/>
  <c r="BH71" i="7"/>
  <c r="BG71" i="7"/>
  <c r="BF71" i="7"/>
  <c r="BE71" i="7"/>
  <c r="BD71" i="7"/>
  <c r="BC71" i="7"/>
  <c r="BB71" i="7"/>
  <c r="BA71" i="7"/>
  <c r="AZ71" i="7"/>
  <c r="AY71" i="7"/>
  <c r="AX71" i="7"/>
  <c r="AW71" i="7"/>
  <c r="AV71" i="7"/>
  <c r="AU71" i="7"/>
  <c r="AT71" i="7"/>
  <c r="AS71" i="7"/>
  <c r="AR71" i="7"/>
  <c r="AQ71" i="7"/>
  <c r="BR70" i="7"/>
  <c r="BQ70" i="7"/>
  <c r="BP70" i="7"/>
  <c r="BO70" i="7"/>
  <c r="BN70" i="7"/>
  <c r="BM70" i="7"/>
  <c r="BL70" i="7"/>
  <c r="BK70" i="7"/>
  <c r="BJ70" i="7"/>
  <c r="BI70" i="7"/>
  <c r="BH70" i="7"/>
  <c r="BG70" i="7"/>
  <c r="BF70" i="7"/>
  <c r="BE70" i="7"/>
  <c r="BD70" i="7"/>
  <c r="BC70" i="7"/>
  <c r="BB70" i="7"/>
  <c r="BA70" i="7"/>
  <c r="AZ70" i="7"/>
  <c r="AY70" i="7"/>
  <c r="AX70" i="7"/>
  <c r="AW70" i="7"/>
  <c r="AV70" i="7"/>
  <c r="AU70" i="7"/>
  <c r="AT70" i="7"/>
  <c r="AS70" i="7"/>
  <c r="AR70" i="7"/>
  <c r="AQ70" i="7"/>
  <c r="BR69" i="7"/>
  <c r="BQ69" i="7"/>
  <c r="BP69" i="7"/>
  <c r="BO69" i="7"/>
  <c r="BN69" i="7"/>
  <c r="BM69" i="7"/>
  <c r="BL69" i="7"/>
  <c r="BK69" i="7"/>
  <c r="BJ69" i="7"/>
  <c r="BI69" i="7"/>
  <c r="BH69" i="7"/>
  <c r="BG69" i="7"/>
  <c r="BF69" i="7"/>
  <c r="BE69" i="7"/>
  <c r="BD69" i="7"/>
  <c r="BC69" i="7"/>
  <c r="BB69" i="7"/>
  <c r="BA69" i="7"/>
  <c r="AZ69" i="7"/>
  <c r="AY69" i="7"/>
  <c r="AX69" i="7"/>
  <c r="AW69" i="7"/>
  <c r="AV69" i="7"/>
  <c r="AU69" i="7"/>
  <c r="AT69" i="7"/>
  <c r="AS69" i="7"/>
  <c r="AR69" i="7"/>
  <c r="AQ69" i="7"/>
  <c r="BR68" i="7"/>
  <c r="BQ68" i="7"/>
  <c r="BP68" i="7"/>
  <c r="BO68" i="7"/>
  <c r="BN68" i="7"/>
  <c r="BM68" i="7"/>
  <c r="BL68" i="7"/>
  <c r="BK68" i="7"/>
  <c r="BJ68" i="7"/>
  <c r="BI68" i="7"/>
  <c r="BH68" i="7"/>
  <c r="BG68" i="7"/>
  <c r="BF68" i="7"/>
  <c r="BE68" i="7"/>
  <c r="BD68" i="7"/>
  <c r="BC68" i="7"/>
  <c r="BB68" i="7"/>
  <c r="BA68" i="7"/>
  <c r="AZ68" i="7"/>
  <c r="AY68" i="7"/>
  <c r="AX68" i="7"/>
  <c r="AW68" i="7"/>
  <c r="AV68" i="7"/>
  <c r="AU68" i="7"/>
  <c r="AT68" i="7"/>
  <c r="AS68" i="7"/>
  <c r="AR68" i="7"/>
  <c r="AQ68" i="7"/>
  <c r="BR67" i="7"/>
  <c r="BQ67" i="7"/>
  <c r="BP67" i="7"/>
  <c r="BO67" i="7"/>
  <c r="BN67" i="7"/>
  <c r="BM67" i="7"/>
  <c r="BL67" i="7"/>
  <c r="BK67" i="7"/>
  <c r="BJ67" i="7"/>
  <c r="BI67" i="7"/>
  <c r="BH67" i="7"/>
  <c r="BG67" i="7"/>
  <c r="BF67" i="7"/>
  <c r="BE67" i="7"/>
  <c r="BD67" i="7"/>
  <c r="BC67" i="7"/>
  <c r="BB67" i="7"/>
  <c r="BA67" i="7"/>
  <c r="AZ67" i="7"/>
  <c r="AY67" i="7"/>
  <c r="AX67" i="7"/>
  <c r="AW67" i="7"/>
  <c r="AV67" i="7"/>
  <c r="AU67" i="7"/>
  <c r="AT67" i="7"/>
  <c r="AS67" i="7"/>
  <c r="AR67" i="7"/>
  <c r="AQ67" i="7"/>
  <c r="BR66" i="7"/>
  <c r="BQ66" i="7"/>
  <c r="BP66" i="7"/>
  <c r="BO66" i="7"/>
  <c r="BN66" i="7"/>
  <c r="BM66" i="7"/>
  <c r="BL66" i="7"/>
  <c r="BK66" i="7"/>
  <c r="BJ66" i="7"/>
  <c r="BI66" i="7"/>
  <c r="BH66" i="7"/>
  <c r="BG66" i="7"/>
  <c r="BF66" i="7"/>
  <c r="BE66" i="7"/>
  <c r="BD66" i="7"/>
  <c r="BC66" i="7"/>
  <c r="BB66" i="7"/>
  <c r="BA66" i="7"/>
  <c r="AZ66" i="7"/>
  <c r="AY66" i="7"/>
  <c r="AX66" i="7"/>
  <c r="AW66" i="7"/>
  <c r="AV66" i="7"/>
  <c r="AU66" i="7"/>
  <c r="AT66" i="7"/>
  <c r="AS66" i="7"/>
  <c r="AR66" i="7"/>
  <c r="AQ66" i="7"/>
  <c r="BR65" i="7"/>
  <c r="BQ65" i="7"/>
  <c r="BP65" i="7"/>
  <c r="BO65" i="7"/>
  <c r="BN65" i="7"/>
  <c r="BM65" i="7"/>
  <c r="BL65" i="7"/>
  <c r="BK65" i="7"/>
  <c r="BJ65" i="7"/>
  <c r="BI65" i="7"/>
  <c r="BH65" i="7"/>
  <c r="BG65" i="7"/>
  <c r="BF65" i="7"/>
  <c r="BE65" i="7"/>
  <c r="BD65" i="7"/>
  <c r="BC65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BR64" i="7"/>
  <c r="BQ64" i="7"/>
  <c r="BP64" i="7"/>
  <c r="BO64" i="7"/>
  <c r="BN64" i="7"/>
  <c r="BM64" i="7"/>
  <c r="BL64" i="7"/>
  <c r="BK64" i="7"/>
  <c r="BJ64" i="7"/>
  <c r="BI64" i="7"/>
  <c r="BH64" i="7"/>
  <c r="BG64" i="7"/>
  <c r="BF64" i="7"/>
  <c r="BE64" i="7"/>
  <c r="BD64" i="7"/>
  <c r="BC64" i="7"/>
  <c r="BB64" i="7"/>
  <c r="BA64" i="7"/>
  <c r="AZ64" i="7"/>
  <c r="AY64" i="7"/>
  <c r="AX64" i="7"/>
  <c r="AW64" i="7"/>
  <c r="AV64" i="7"/>
  <c r="AU64" i="7"/>
  <c r="AT64" i="7"/>
  <c r="AS64" i="7"/>
  <c r="AR64" i="7"/>
  <c r="AQ64" i="7"/>
  <c r="M14" i="8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AH14" i="8" s="1"/>
  <c r="AI14" i="8" s="1"/>
  <c r="AJ14" i="8" s="1"/>
  <c r="AK14" i="8" s="1"/>
  <c r="AL14" i="8" s="1"/>
  <c r="AM14" i="8" s="1"/>
  <c r="AN14" i="8" s="1"/>
  <c r="AO14" i="8" s="1"/>
  <c r="AP14" i="8" s="1"/>
  <c r="AQ14" i="8" s="1"/>
  <c r="AR14" i="8" s="1"/>
  <c r="AS14" i="8" s="1"/>
  <c r="AT14" i="8" s="1"/>
  <c r="AU14" i="8" s="1"/>
  <c r="AV14" i="8" s="1"/>
  <c r="AW14" i="8" s="1"/>
  <c r="AX14" i="8" s="1"/>
  <c r="AY14" i="8" s="1"/>
  <c r="AZ14" i="8" s="1"/>
  <c r="BA14" i="8" s="1"/>
  <c r="BB14" i="8" s="1"/>
  <c r="BC14" i="8" s="1"/>
  <c r="BD14" i="8" s="1"/>
  <c r="BE14" i="8" s="1"/>
  <c r="BF14" i="8" s="1"/>
  <c r="BG14" i="8" s="1"/>
  <c r="BH14" i="8" s="1"/>
  <c r="BI14" i="8" s="1"/>
  <c r="BJ14" i="8" s="1"/>
  <c r="BK14" i="8" s="1"/>
  <c r="BL14" i="8" s="1"/>
  <c r="BM14" i="8" s="1"/>
  <c r="BN14" i="8" s="1"/>
  <c r="BO14" i="8" s="1"/>
  <c r="BP14" i="8" s="1"/>
  <c r="BQ14" i="8" s="1"/>
  <c r="BR14" i="8" s="1"/>
  <c r="BS14" i="8" s="1"/>
  <c r="BT14" i="8" s="1"/>
  <c r="BU14" i="8" s="1"/>
  <c r="BV14" i="8" s="1"/>
  <c r="BW14" i="8" s="1"/>
  <c r="BX14" i="8" s="1"/>
  <c r="BY14" i="8" s="1"/>
  <c r="BZ14" i="8" s="1"/>
  <c r="CA14" i="8" s="1"/>
  <c r="CB14" i="8" s="1"/>
  <c r="CC14" i="8" s="1"/>
  <c r="CD14" i="8" s="1"/>
  <c r="CE14" i="8" s="1"/>
  <c r="CF14" i="8" s="1"/>
  <c r="CG14" i="8" s="1"/>
  <c r="CH14" i="8" s="1"/>
  <c r="CI14" i="8" s="1"/>
  <c r="M13" i="8"/>
  <c r="N13" i="8" s="1"/>
  <c r="O13" i="8" s="1"/>
  <c r="P13" i="8" s="1"/>
  <c r="Q13" i="8" s="1"/>
  <c r="R13" i="8" s="1"/>
  <c r="S13" i="8" s="1"/>
  <c r="T13" i="8" s="1"/>
  <c r="U13" i="8" s="1"/>
  <c r="M11" i="8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AH11" i="8" s="1"/>
  <c r="AI11" i="8" s="1"/>
  <c r="AJ11" i="8" s="1"/>
  <c r="AK11" i="8" s="1"/>
  <c r="AL11" i="8" s="1"/>
  <c r="AM11" i="8" s="1"/>
  <c r="AN11" i="8" s="1"/>
  <c r="AO11" i="8" s="1"/>
  <c r="AP11" i="8" s="1"/>
  <c r="AQ11" i="8" s="1"/>
  <c r="AR11" i="8" s="1"/>
  <c r="AS11" i="8" s="1"/>
  <c r="AT11" i="8" s="1"/>
  <c r="AU11" i="8" s="1"/>
  <c r="AV11" i="8" s="1"/>
  <c r="AW11" i="8" s="1"/>
  <c r="AX11" i="8" s="1"/>
  <c r="AY11" i="8" s="1"/>
  <c r="AZ11" i="8" s="1"/>
  <c r="BA11" i="8" s="1"/>
  <c r="BB11" i="8" s="1"/>
  <c r="BC11" i="8" s="1"/>
  <c r="BD11" i="8" s="1"/>
  <c r="BE11" i="8" s="1"/>
  <c r="BF11" i="8" s="1"/>
  <c r="BG11" i="8" s="1"/>
  <c r="BH11" i="8" s="1"/>
  <c r="BI11" i="8" s="1"/>
  <c r="BJ11" i="8" s="1"/>
  <c r="BK11" i="8" s="1"/>
  <c r="BL11" i="8" s="1"/>
  <c r="BM11" i="8" s="1"/>
  <c r="BN11" i="8" s="1"/>
  <c r="BO11" i="8" s="1"/>
  <c r="BP11" i="8" s="1"/>
  <c r="BQ11" i="8" s="1"/>
  <c r="BR11" i="8" s="1"/>
  <c r="BS11" i="8" s="1"/>
  <c r="BT11" i="8" s="1"/>
  <c r="BU11" i="8" s="1"/>
  <c r="BV11" i="8" s="1"/>
  <c r="BW11" i="8" s="1"/>
  <c r="BX11" i="8" s="1"/>
  <c r="BY11" i="8" s="1"/>
  <c r="BZ11" i="8" s="1"/>
  <c r="CA11" i="8" s="1"/>
  <c r="CB11" i="8" s="1"/>
  <c r="CC11" i="8" s="1"/>
  <c r="CD11" i="8" s="1"/>
  <c r="CE11" i="8" s="1"/>
  <c r="CF11" i="8" s="1"/>
  <c r="CG11" i="8" s="1"/>
  <c r="CH11" i="8" s="1"/>
  <c r="CI11" i="8" s="1"/>
  <c r="M10" i="8"/>
  <c r="N10" i="8" s="1"/>
  <c r="O10" i="8" s="1"/>
  <c r="P10" i="8" s="1"/>
  <c r="Q10" i="8" s="1"/>
  <c r="R10" i="8" s="1"/>
  <c r="S10" i="8" s="1"/>
  <c r="T10" i="8" s="1"/>
  <c r="U10" i="8" s="1"/>
  <c r="M9" i="8"/>
  <c r="N9" i="8" s="1"/>
  <c r="O9" i="8" s="1"/>
  <c r="P9" i="8" s="1"/>
  <c r="Q9" i="8" s="1"/>
  <c r="R9" i="8" s="1"/>
  <c r="S9" i="8" s="1"/>
  <c r="T9" i="8" s="1"/>
  <c r="U9" i="8" s="1"/>
  <c r="M8" i="8"/>
  <c r="N8" i="8" s="1"/>
  <c r="O8" i="8" s="1"/>
  <c r="P8" i="8" s="1"/>
  <c r="Q8" i="8" s="1"/>
  <c r="R8" i="8" s="1"/>
  <c r="S8" i="8" s="1"/>
  <c r="T8" i="8" s="1"/>
  <c r="U8" i="8" s="1"/>
  <c r="M6" i="8"/>
  <c r="N6" i="8" s="1"/>
  <c r="O6" i="8" s="1"/>
  <c r="P6" i="8" s="1"/>
  <c r="Q6" i="8" s="1"/>
  <c r="R6" i="8" s="1"/>
  <c r="S6" i="8" s="1"/>
  <c r="T6" i="8" s="1"/>
  <c r="U6" i="8" s="1"/>
  <c r="X70" i="7"/>
  <c r="W71" i="7"/>
  <c r="W72" i="7"/>
  <c r="W70" i="7"/>
  <c r="W69" i="7"/>
  <c r="W68" i="7"/>
  <c r="W67" i="7"/>
  <c r="W66" i="7"/>
  <c r="X65" i="7"/>
  <c r="W65" i="7"/>
  <c r="X63" i="7"/>
  <c r="W64" i="7"/>
  <c r="L15" i="8"/>
  <c r="L67" i="8" s="1"/>
  <c r="K15" i="8"/>
  <c r="K65" i="8" s="1"/>
  <c r="J15" i="8"/>
  <c r="J65" i="8" s="1"/>
  <c r="I15" i="8"/>
  <c r="I105" i="8" s="1"/>
  <c r="H15" i="8"/>
  <c r="G15" i="8"/>
  <c r="G65" i="8" s="1"/>
  <c r="F15" i="8"/>
  <c r="F101" i="8" s="1"/>
  <c r="E15" i="8"/>
  <c r="E20" i="8" s="1"/>
  <c r="D15" i="8"/>
  <c r="D67" i="8" s="1"/>
  <c r="C15" i="8"/>
  <c r="C63" i="8" s="1"/>
  <c r="N19" i="7"/>
  <c r="K46" i="7"/>
  <c r="H46" i="7"/>
  <c r="E46" i="7"/>
  <c r="C46" i="7"/>
  <c r="K45" i="7"/>
  <c r="J45" i="7"/>
  <c r="I45" i="7"/>
  <c r="H45" i="7"/>
  <c r="E45" i="7"/>
  <c r="I44" i="7"/>
  <c r="H44" i="7"/>
  <c r="G44" i="7"/>
  <c r="F44" i="7"/>
  <c r="E44" i="7"/>
  <c r="H43" i="7"/>
  <c r="F43" i="7"/>
  <c r="E43" i="7"/>
  <c r="C43" i="7"/>
  <c r="H42" i="7"/>
  <c r="E42" i="7"/>
  <c r="C42" i="7"/>
  <c r="K41" i="7"/>
  <c r="J41" i="7"/>
  <c r="I41" i="7"/>
  <c r="H41" i="7"/>
  <c r="E41" i="7"/>
  <c r="I40" i="7"/>
  <c r="H40" i="7"/>
  <c r="G40" i="7"/>
  <c r="E40" i="7"/>
  <c r="H39" i="7"/>
  <c r="E39" i="7"/>
  <c r="C39" i="7"/>
  <c r="K38" i="7"/>
  <c r="H38" i="7"/>
  <c r="E38" i="7"/>
  <c r="C38" i="7"/>
  <c r="K37" i="7"/>
  <c r="I37" i="7"/>
  <c r="H37" i="7"/>
  <c r="E37" i="7"/>
  <c r="L44" i="7"/>
  <c r="L43" i="7"/>
  <c r="L42" i="7"/>
  <c r="L41" i="7"/>
  <c r="L40" i="7"/>
  <c r="N32" i="7"/>
  <c r="N31" i="7"/>
  <c r="N30" i="7"/>
  <c r="N29" i="7"/>
  <c r="N28" i="7"/>
  <c r="N27" i="7"/>
  <c r="N26" i="7"/>
  <c r="N25" i="7"/>
  <c r="L32" i="7"/>
  <c r="K32" i="7"/>
  <c r="J32" i="7"/>
  <c r="I32" i="7"/>
  <c r="H32" i="7"/>
  <c r="G32" i="7"/>
  <c r="F32" i="7"/>
  <c r="E32" i="7"/>
  <c r="L31" i="7"/>
  <c r="K31" i="7"/>
  <c r="J31" i="7"/>
  <c r="I31" i="7"/>
  <c r="H31" i="7"/>
  <c r="G31" i="7"/>
  <c r="F31" i="7"/>
  <c r="E31" i="7"/>
  <c r="L30" i="7"/>
  <c r="K30" i="7"/>
  <c r="J30" i="7"/>
  <c r="I30" i="7"/>
  <c r="H30" i="7"/>
  <c r="G30" i="7"/>
  <c r="F30" i="7"/>
  <c r="E30" i="7"/>
  <c r="L29" i="7"/>
  <c r="K29" i="7"/>
  <c r="J29" i="7"/>
  <c r="I29" i="7"/>
  <c r="H29" i="7"/>
  <c r="G29" i="7"/>
  <c r="F29" i="7"/>
  <c r="E29" i="7"/>
  <c r="L28" i="7"/>
  <c r="K28" i="7"/>
  <c r="J28" i="7"/>
  <c r="I28" i="7"/>
  <c r="H28" i="7"/>
  <c r="G28" i="7"/>
  <c r="F28" i="7"/>
  <c r="E28" i="7"/>
  <c r="L27" i="7"/>
  <c r="K27" i="7"/>
  <c r="J27" i="7"/>
  <c r="I27" i="7"/>
  <c r="H27" i="7"/>
  <c r="G27" i="7"/>
  <c r="F27" i="7"/>
  <c r="E27" i="7"/>
  <c r="L26" i="7"/>
  <c r="K26" i="7"/>
  <c r="J26" i="7"/>
  <c r="I26" i="7"/>
  <c r="H26" i="7"/>
  <c r="G26" i="7"/>
  <c r="F26" i="7"/>
  <c r="E26" i="7"/>
  <c r="L25" i="7"/>
  <c r="K25" i="7"/>
  <c r="J25" i="7"/>
  <c r="I25" i="7"/>
  <c r="H25" i="7"/>
  <c r="G25" i="7"/>
  <c r="F25" i="7"/>
  <c r="E25" i="7"/>
  <c r="L24" i="7"/>
  <c r="K24" i="7"/>
  <c r="J24" i="7"/>
  <c r="I24" i="7"/>
  <c r="H24" i="7"/>
  <c r="G24" i="7"/>
  <c r="F24" i="7"/>
  <c r="E24" i="7"/>
  <c r="D32" i="7"/>
  <c r="D31" i="7"/>
  <c r="D30" i="7"/>
  <c r="D29" i="7"/>
  <c r="D28" i="7"/>
  <c r="D27" i="7"/>
  <c r="D26" i="7"/>
  <c r="D25" i="7"/>
  <c r="D24" i="7"/>
  <c r="L21" i="7"/>
  <c r="L46" i="7" s="1"/>
  <c r="K21" i="7"/>
  <c r="J21" i="7"/>
  <c r="J46" i="7" s="1"/>
  <c r="I21" i="7"/>
  <c r="I19" i="7" s="1"/>
  <c r="I42" i="7" s="1"/>
  <c r="H21" i="7"/>
  <c r="H19" i="7" s="1"/>
  <c r="G21" i="7"/>
  <c r="F21" i="7"/>
  <c r="F46" i="7" s="1"/>
  <c r="E21" i="7"/>
  <c r="E19" i="7" s="1"/>
  <c r="C21" i="7"/>
  <c r="C19" i="7" s="1"/>
  <c r="C44" i="7" s="1"/>
  <c r="L14" i="7"/>
  <c r="L19" i="7" s="1"/>
  <c r="L39" i="7" s="1"/>
  <c r="K19" i="7"/>
  <c r="J19" i="7"/>
  <c r="G19" i="7"/>
  <c r="F19" i="7"/>
  <c r="L48" i="6"/>
  <c r="K48" i="6"/>
  <c r="J48" i="6"/>
  <c r="S46" i="6"/>
  <c r="R46" i="6"/>
  <c r="Q46" i="6"/>
  <c r="P46" i="6"/>
  <c r="O46" i="6"/>
  <c r="G46" i="6"/>
  <c r="F46" i="6"/>
  <c r="E46" i="6"/>
  <c r="U45" i="6"/>
  <c r="U46" i="6" s="1"/>
  <c r="T45" i="6"/>
  <c r="T46" i="6" s="1"/>
  <c r="S45" i="6"/>
  <c r="R45" i="6"/>
  <c r="Q45" i="6"/>
  <c r="P45" i="6"/>
  <c r="O45" i="6"/>
  <c r="N45" i="6"/>
  <c r="M45" i="6"/>
  <c r="L45" i="6"/>
  <c r="L46" i="6" s="1"/>
  <c r="K45" i="6"/>
  <c r="K46" i="6" s="1"/>
  <c r="J45" i="6"/>
  <c r="J46" i="6" s="1"/>
  <c r="I45" i="6"/>
  <c r="I46" i="6" s="1"/>
  <c r="H45" i="6"/>
  <c r="H46" i="6" s="1"/>
  <c r="G45" i="6"/>
  <c r="F45" i="6"/>
  <c r="E45" i="6"/>
  <c r="U44" i="6"/>
  <c r="U48" i="6" s="1"/>
  <c r="T44" i="6"/>
  <c r="T48" i="6" s="1"/>
  <c r="S44" i="6"/>
  <c r="S48" i="6" s="1"/>
  <c r="R44" i="6"/>
  <c r="R48" i="6" s="1"/>
  <c r="Q44" i="6"/>
  <c r="Q48" i="6" s="1"/>
  <c r="P44" i="6"/>
  <c r="P48" i="6" s="1"/>
  <c r="O44" i="6"/>
  <c r="O48" i="6" s="1"/>
  <c r="N44" i="6"/>
  <c r="N46" i="6" s="1"/>
  <c r="M44" i="6"/>
  <c r="M46" i="6" s="1"/>
  <c r="L44" i="6"/>
  <c r="K44" i="6"/>
  <c r="J44" i="6"/>
  <c r="I44" i="6"/>
  <c r="I48" i="6" s="1"/>
  <c r="H44" i="6"/>
  <c r="H48" i="6" s="1"/>
  <c r="G44" i="6"/>
  <c r="G48" i="6" s="1"/>
  <c r="F44" i="6"/>
  <c r="F48" i="6" s="1"/>
  <c r="E44" i="6"/>
  <c r="E48" i="6" s="1"/>
  <c r="D48" i="6"/>
  <c r="D46" i="6"/>
  <c r="D45" i="6"/>
  <c r="D44" i="6"/>
  <c r="U42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O45" i="5"/>
  <c r="N45" i="5"/>
  <c r="M45" i="5"/>
  <c r="L45" i="5"/>
  <c r="T44" i="5"/>
  <c r="S44" i="5"/>
  <c r="S45" i="5" s="1"/>
  <c r="R44" i="5"/>
  <c r="R45" i="5" s="1"/>
  <c r="Q44" i="5"/>
  <c r="Q45" i="5" s="1"/>
  <c r="P44" i="5"/>
  <c r="P45" i="5" s="1"/>
  <c r="O44" i="5"/>
  <c r="N44" i="5"/>
  <c r="M44" i="5"/>
  <c r="L44" i="5"/>
  <c r="K44" i="5"/>
  <c r="J44" i="5"/>
  <c r="I44" i="5"/>
  <c r="H44" i="5"/>
  <c r="G44" i="5"/>
  <c r="G45" i="5" s="1"/>
  <c r="F44" i="5"/>
  <c r="F45" i="5" s="1"/>
  <c r="E44" i="5"/>
  <c r="E45" i="5" s="1"/>
  <c r="T43" i="5"/>
  <c r="T45" i="5" s="1"/>
  <c r="S43" i="5"/>
  <c r="S47" i="5" s="1"/>
  <c r="R43" i="5"/>
  <c r="R47" i="5" s="1"/>
  <c r="Q43" i="5"/>
  <c r="Q47" i="5" s="1"/>
  <c r="P43" i="5"/>
  <c r="P47" i="5" s="1"/>
  <c r="O43" i="5"/>
  <c r="O47" i="5" s="1"/>
  <c r="N43" i="5"/>
  <c r="N47" i="5" s="1"/>
  <c r="M43" i="5"/>
  <c r="M47" i="5" s="1"/>
  <c r="L43" i="5"/>
  <c r="L47" i="5" s="1"/>
  <c r="K43" i="5"/>
  <c r="K45" i="5" s="1"/>
  <c r="J43" i="5"/>
  <c r="J47" i="5" s="1"/>
  <c r="I43" i="5"/>
  <c r="I45" i="5" s="1"/>
  <c r="H43" i="5"/>
  <c r="H45" i="5" s="1"/>
  <c r="G43" i="5"/>
  <c r="G47" i="5" s="1"/>
  <c r="F43" i="5"/>
  <c r="F47" i="5" s="1"/>
  <c r="E43" i="5"/>
  <c r="E47" i="5" s="1"/>
  <c r="D47" i="5"/>
  <c r="D45" i="5"/>
  <c r="D44" i="5"/>
  <c r="D43" i="5"/>
  <c r="I15" i="5"/>
  <c r="T15" i="5"/>
  <c r="S15" i="5"/>
  <c r="R15" i="5"/>
  <c r="Q15" i="5"/>
  <c r="P15" i="5"/>
  <c r="O15" i="5"/>
  <c r="N15" i="5"/>
  <c r="M15" i="5"/>
  <c r="L15" i="5"/>
  <c r="K15" i="5"/>
  <c r="J15" i="5"/>
  <c r="H15" i="5"/>
  <c r="G15" i="5"/>
  <c r="F15" i="5"/>
  <c r="E15" i="5"/>
  <c r="D15" i="5"/>
  <c r="C15" i="5"/>
  <c r="C102" i="2"/>
  <c r="C103" i="2" s="1"/>
  <c r="D103" i="2" s="1"/>
  <c r="R43" i="4"/>
  <c r="Q44" i="4" s="1"/>
  <c r="R44" i="4"/>
  <c r="R46" i="4" s="1"/>
  <c r="P44" i="4"/>
  <c r="O44" i="4"/>
  <c r="N44" i="4"/>
  <c r="M44" i="4"/>
  <c r="M46" i="4" s="1"/>
  <c r="L44" i="4"/>
  <c r="L48" i="4" s="1"/>
  <c r="K44" i="4"/>
  <c r="K48" i="4" s="1"/>
  <c r="J44" i="4"/>
  <c r="I44" i="4"/>
  <c r="H44" i="4"/>
  <c r="G44" i="4"/>
  <c r="G46" i="4" s="1"/>
  <c r="F44" i="4"/>
  <c r="D44" i="4"/>
  <c r="M48" i="4"/>
  <c r="F46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R48" i="4"/>
  <c r="F48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T102" i="2"/>
  <c r="L102" i="2"/>
  <c r="M102" i="2"/>
  <c r="N102" i="2"/>
  <c r="O102" i="2"/>
  <c r="P102" i="2"/>
  <c r="Q102" i="2"/>
  <c r="R102" i="2"/>
  <c r="S102" i="2"/>
  <c r="K102" i="2"/>
  <c r="J102" i="2"/>
  <c r="I102" i="2"/>
  <c r="H102" i="2"/>
  <c r="G102" i="2"/>
  <c r="F102" i="2"/>
  <c r="E102" i="2"/>
  <c r="D102" i="2"/>
  <c r="T86" i="2"/>
  <c r="T74" i="2" s="1"/>
  <c r="T75" i="2"/>
  <c r="C78" i="2"/>
  <c r="C79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9" i="2"/>
  <c r="C88" i="2"/>
  <c r="I61" i="8" l="1"/>
  <c r="E67" i="8"/>
  <c r="K101" i="8"/>
  <c r="T90" i="8"/>
  <c r="H109" i="8"/>
  <c r="G22" i="8"/>
  <c r="K61" i="8"/>
  <c r="F67" i="8"/>
  <c r="R90" i="8"/>
  <c r="Q90" i="8"/>
  <c r="G101" i="8"/>
  <c r="S90" i="8"/>
  <c r="J67" i="8"/>
  <c r="L109" i="8"/>
  <c r="K67" i="8"/>
  <c r="D63" i="8"/>
  <c r="E103" i="8"/>
  <c r="E63" i="8"/>
  <c r="F103" i="8"/>
  <c r="F63" i="8"/>
  <c r="E69" i="8"/>
  <c r="J103" i="8"/>
  <c r="E65" i="8"/>
  <c r="K69" i="8"/>
  <c r="K103" i="8"/>
  <c r="J105" i="8"/>
  <c r="C101" i="8"/>
  <c r="N90" i="8"/>
  <c r="H71" i="8"/>
  <c r="L99" i="8"/>
  <c r="F20" i="8"/>
  <c r="K105" i="8"/>
  <c r="G20" i="8"/>
  <c r="D101" i="8"/>
  <c r="G107" i="8"/>
  <c r="O90" i="8"/>
  <c r="D103" i="8"/>
  <c r="F65" i="8"/>
  <c r="G105" i="8"/>
  <c r="J71" i="8"/>
  <c r="F22" i="8"/>
  <c r="L61" i="8"/>
  <c r="P90" i="8"/>
  <c r="F43" i="8"/>
  <c r="W87" i="8"/>
  <c r="X87" i="8" s="1"/>
  <c r="Y87" i="8" s="1"/>
  <c r="Z87" i="8" s="1"/>
  <c r="AA87" i="8" s="1"/>
  <c r="AB87" i="8" s="1"/>
  <c r="AC87" i="8" s="1"/>
  <c r="AD87" i="8" s="1"/>
  <c r="AE87" i="8" s="1"/>
  <c r="AF87" i="8" s="1"/>
  <c r="AG87" i="8" s="1"/>
  <c r="AH87" i="8" s="1"/>
  <c r="AI87" i="8" s="1"/>
  <c r="AJ87" i="8" s="1"/>
  <c r="AK87" i="8" s="1"/>
  <c r="AL87" i="8" s="1"/>
  <c r="AM87" i="8" s="1"/>
  <c r="AN87" i="8" s="1"/>
  <c r="AO87" i="8" s="1"/>
  <c r="AP87" i="8" s="1"/>
  <c r="AQ87" i="8" s="1"/>
  <c r="AR87" i="8" s="1"/>
  <c r="AS87" i="8" s="1"/>
  <c r="AT87" i="8" s="1"/>
  <c r="AU87" i="8" s="1"/>
  <c r="AV87" i="8" s="1"/>
  <c r="AW87" i="8" s="1"/>
  <c r="AX87" i="8" s="1"/>
  <c r="AY87" i="8" s="1"/>
  <c r="AZ87" i="8" s="1"/>
  <c r="BA87" i="8" s="1"/>
  <c r="BB87" i="8" s="1"/>
  <c r="BC87" i="8" s="1"/>
  <c r="BD87" i="8" s="1"/>
  <c r="BE87" i="8" s="1"/>
  <c r="BF87" i="8" s="1"/>
  <c r="BG87" i="8" s="1"/>
  <c r="BH87" i="8" s="1"/>
  <c r="BI87" i="8" s="1"/>
  <c r="BJ87" i="8" s="1"/>
  <c r="BK87" i="8" s="1"/>
  <c r="BL87" i="8" s="1"/>
  <c r="BM87" i="8" s="1"/>
  <c r="BN87" i="8" s="1"/>
  <c r="BO87" i="8" s="1"/>
  <c r="BP87" i="8" s="1"/>
  <c r="BQ87" i="8" s="1"/>
  <c r="BR87" i="8" s="1"/>
  <c r="BS87" i="8" s="1"/>
  <c r="BT87" i="8" s="1"/>
  <c r="BU87" i="8" s="1"/>
  <c r="BV87" i="8" s="1"/>
  <c r="BW87" i="8" s="1"/>
  <c r="BX87" i="8" s="1"/>
  <c r="BY87" i="8" s="1"/>
  <c r="BZ87" i="8" s="1"/>
  <c r="CA87" i="8" s="1"/>
  <c r="CB87" i="8" s="1"/>
  <c r="CC87" i="8" s="1"/>
  <c r="CD87" i="8" s="1"/>
  <c r="CE87" i="8" s="1"/>
  <c r="CF87" i="8" s="1"/>
  <c r="CG87" i="8" s="1"/>
  <c r="CH87" i="8" s="1"/>
  <c r="CI87" i="8" s="1"/>
  <c r="F37" i="8"/>
  <c r="W49" i="8"/>
  <c r="X49" i="8" s="1"/>
  <c r="Y49" i="8" s="1"/>
  <c r="Z49" i="8" s="1"/>
  <c r="AA49" i="8" s="1"/>
  <c r="AB49" i="8" s="1"/>
  <c r="AC49" i="8" s="1"/>
  <c r="AD49" i="8" s="1"/>
  <c r="AE49" i="8" s="1"/>
  <c r="AF49" i="8" s="1"/>
  <c r="AG49" i="8" s="1"/>
  <c r="AH49" i="8" s="1"/>
  <c r="AI49" i="8" s="1"/>
  <c r="AJ49" i="8" s="1"/>
  <c r="AK49" i="8" s="1"/>
  <c r="AL49" i="8" s="1"/>
  <c r="AM49" i="8" s="1"/>
  <c r="AN49" i="8" s="1"/>
  <c r="AO49" i="8" s="1"/>
  <c r="AP49" i="8" s="1"/>
  <c r="AQ49" i="8" s="1"/>
  <c r="AR49" i="8" s="1"/>
  <c r="AS49" i="8" s="1"/>
  <c r="AT49" i="8" s="1"/>
  <c r="AU49" i="8" s="1"/>
  <c r="AV49" i="8" s="1"/>
  <c r="AW49" i="8" s="1"/>
  <c r="AX49" i="8" s="1"/>
  <c r="AY49" i="8" s="1"/>
  <c r="AZ49" i="8" s="1"/>
  <c r="BA49" i="8" s="1"/>
  <c r="BB49" i="8" s="1"/>
  <c r="BC49" i="8" s="1"/>
  <c r="BD49" i="8" s="1"/>
  <c r="BE49" i="8" s="1"/>
  <c r="BF49" i="8" s="1"/>
  <c r="BG49" i="8" s="1"/>
  <c r="BH49" i="8" s="1"/>
  <c r="BI49" i="8" s="1"/>
  <c r="BJ49" i="8" s="1"/>
  <c r="BK49" i="8" s="1"/>
  <c r="BL49" i="8" s="1"/>
  <c r="BM49" i="8" s="1"/>
  <c r="BN49" i="8" s="1"/>
  <c r="BO49" i="8" s="1"/>
  <c r="BP49" i="8" s="1"/>
  <c r="BQ49" i="8" s="1"/>
  <c r="BR49" i="8" s="1"/>
  <c r="BS49" i="8" s="1"/>
  <c r="BT49" i="8" s="1"/>
  <c r="BU49" i="8" s="1"/>
  <c r="BV49" i="8" s="1"/>
  <c r="BW49" i="8" s="1"/>
  <c r="BX49" i="8" s="1"/>
  <c r="BY49" i="8" s="1"/>
  <c r="BZ49" i="8" s="1"/>
  <c r="CA49" i="8" s="1"/>
  <c r="CB49" i="8" s="1"/>
  <c r="CC49" i="8" s="1"/>
  <c r="CD49" i="8" s="1"/>
  <c r="CE49" i="8" s="1"/>
  <c r="CF49" i="8" s="1"/>
  <c r="CG49" i="8" s="1"/>
  <c r="CH49" i="8" s="1"/>
  <c r="CI49" i="8" s="1"/>
  <c r="CI60" i="8" s="1"/>
  <c r="I65" i="8"/>
  <c r="G26" i="8"/>
  <c r="G67" i="8"/>
  <c r="N88" i="8"/>
  <c r="I24" i="8"/>
  <c r="I22" i="8"/>
  <c r="I101" i="8"/>
  <c r="I103" i="8"/>
  <c r="L26" i="8"/>
  <c r="L22" i="8"/>
  <c r="L101" i="8"/>
  <c r="L65" i="8"/>
  <c r="L103" i="8"/>
  <c r="L105" i="8"/>
  <c r="H24" i="8"/>
  <c r="H67" i="8"/>
  <c r="H26" i="8"/>
  <c r="H101" i="8"/>
  <c r="H22" i="8"/>
  <c r="I26" i="8"/>
  <c r="H105" i="8"/>
  <c r="H65" i="8"/>
  <c r="F61" i="8"/>
  <c r="F69" i="8"/>
  <c r="C103" i="8"/>
  <c r="C67" i="8"/>
  <c r="C18" i="8"/>
  <c r="C105" i="8"/>
  <c r="C65" i="8"/>
  <c r="H20" i="8"/>
  <c r="G63" i="8"/>
  <c r="D18" i="8"/>
  <c r="D105" i="8"/>
  <c r="D65" i="8"/>
  <c r="I20" i="8"/>
  <c r="H63" i="8"/>
  <c r="J107" i="8"/>
  <c r="J99" i="8"/>
  <c r="J109" i="8"/>
  <c r="G103" i="8"/>
  <c r="E105" i="8"/>
  <c r="E101" i="8"/>
  <c r="L20" i="8"/>
  <c r="I63" i="8"/>
  <c r="I67" i="8"/>
  <c r="K99" i="8"/>
  <c r="H103" i="8"/>
  <c r="F18" i="8"/>
  <c r="F105" i="8"/>
  <c r="F16" i="8"/>
  <c r="E22" i="8"/>
  <c r="L63" i="8"/>
  <c r="K109" i="8"/>
  <c r="J18" i="8"/>
  <c r="J63" i="8"/>
  <c r="K24" i="8"/>
  <c r="K63" i="8"/>
  <c r="H99" i="8"/>
  <c r="I109" i="8"/>
  <c r="J101" i="8"/>
  <c r="U90" i="8"/>
  <c r="M98" i="8"/>
  <c r="D107" i="8"/>
  <c r="D109" i="8"/>
  <c r="D99" i="8"/>
  <c r="E109" i="8"/>
  <c r="E99" i="8"/>
  <c r="E107" i="8"/>
  <c r="F109" i="8"/>
  <c r="F99" i="8"/>
  <c r="F107" i="8"/>
  <c r="G99" i="8"/>
  <c r="C109" i="8"/>
  <c r="C107" i="8"/>
  <c r="I99" i="8"/>
  <c r="N60" i="8"/>
  <c r="N62" i="8" s="1"/>
  <c r="N63" i="8" s="1"/>
  <c r="M60" i="8"/>
  <c r="L69" i="8"/>
  <c r="L71" i="8"/>
  <c r="C71" i="8"/>
  <c r="C69" i="8"/>
  <c r="D69" i="8"/>
  <c r="D71" i="8"/>
  <c r="I69" i="8"/>
  <c r="I71" i="8"/>
  <c r="D61" i="8"/>
  <c r="G71" i="8"/>
  <c r="E61" i="8"/>
  <c r="G61" i="8"/>
  <c r="H61" i="8"/>
  <c r="J61" i="8"/>
  <c r="C22" i="8"/>
  <c r="C20" i="8"/>
  <c r="C26" i="8"/>
  <c r="D22" i="8"/>
  <c r="D20" i="8"/>
  <c r="D16" i="8"/>
  <c r="D26" i="8"/>
  <c r="D24" i="8"/>
  <c r="C24" i="8"/>
  <c r="E16" i="8"/>
  <c r="E18" i="8"/>
  <c r="E24" i="8"/>
  <c r="E26" i="8"/>
  <c r="F24" i="8"/>
  <c r="H16" i="8"/>
  <c r="G18" i="8"/>
  <c r="G24" i="8"/>
  <c r="H18" i="8"/>
  <c r="F26" i="8"/>
  <c r="G16" i="8"/>
  <c r="I16" i="8"/>
  <c r="J20" i="8"/>
  <c r="J22" i="8"/>
  <c r="J16" i="8"/>
  <c r="I18" i="8"/>
  <c r="K20" i="8"/>
  <c r="K22" i="8"/>
  <c r="L18" i="8"/>
  <c r="L24" i="8"/>
  <c r="J26" i="8"/>
  <c r="J24" i="8"/>
  <c r="L16" i="8"/>
  <c r="K18" i="8"/>
  <c r="O5" i="8"/>
  <c r="K26" i="8"/>
  <c r="K16" i="8"/>
  <c r="BV79" i="7"/>
  <c r="BV82" i="7"/>
  <c r="BW68" i="7"/>
  <c r="BW65" i="7"/>
  <c r="BW77" i="7" s="1"/>
  <c r="BW66" i="7"/>
  <c r="BW78" i="7" s="1"/>
  <c r="BW67" i="7"/>
  <c r="BW79" i="7" s="1"/>
  <c r="BW69" i="7"/>
  <c r="BW81" i="7" s="1"/>
  <c r="BW70" i="7"/>
  <c r="BW82" i="7" s="1"/>
  <c r="BX63" i="7"/>
  <c r="BW64" i="7"/>
  <c r="BW76" i="7" s="1"/>
  <c r="BW72" i="7"/>
  <c r="BW85" i="7" s="1"/>
  <c r="BV84" i="7"/>
  <c r="BV78" i="7"/>
  <c r="BV77" i="7"/>
  <c r="BV85" i="7"/>
  <c r="BV68" i="7"/>
  <c r="BV80" i="7" s="1"/>
  <c r="M15" i="8"/>
  <c r="N15" i="8"/>
  <c r="BS69" i="7"/>
  <c r="BT63" i="7"/>
  <c r="BS64" i="7"/>
  <c r="BS70" i="7"/>
  <c r="BS65" i="7"/>
  <c r="BS71" i="7"/>
  <c r="F45" i="7"/>
  <c r="F41" i="7"/>
  <c r="F37" i="7"/>
  <c r="F42" i="7"/>
  <c r="F38" i="7"/>
  <c r="X68" i="7"/>
  <c r="X72" i="7"/>
  <c r="X66" i="7"/>
  <c r="X71" i="7"/>
  <c r="X69" i="7"/>
  <c r="G45" i="7"/>
  <c r="G41" i="7"/>
  <c r="G37" i="7"/>
  <c r="G42" i="7"/>
  <c r="G46" i="7"/>
  <c r="G38" i="7"/>
  <c r="G43" i="7"/>
  <c r="G39" i="7"/>
  <c r="F39" i="7"/>
  <c r="Y63" i="7"/>
  <c r="X67" i="7"/>
  <c r="J42" i="7"/>
  <c r="J38" i="7"/>
  <c r="J39" i="7"/>
  <c r="J40" i="7"/>
  <c r="J43" i="7"/>
  <c r="J44" i="7"/>
  <c r="X64" i="7"/>
  <c r="K43" i="7"/>
  <c r="K39" i="7"/>
  <c r="K44" i="7"/>
  <c r="K40" i="7"/>
  <c r="J37" i="7"/>
  <c r="F40" i="7"/>
  <c r="K42" i="7"/>
  <c r="C37" i="7"/>
  <c r="I39" i="7"/>
  <c r="C41" i="7"/>
  <c r="I43" i="7"/>
  <c r="C45" i="7"/>
  <c r="L37" i="7"/>
  <c r="L38" i="7"/>
  <c r="I38" i="7"/>
  <c r="C40" i="7"/>
  <c r="I46" i="7"/>
  <c r="L45" i="7"/>
  <c r="G33" i="7"/>
  <c r="J33" i="7"/>
  <c r="H33" i="7"/>
  <c r="I33" i="7"/>
  <c r="K33" i="7"/>
  <c r="F33" i="7"/>
  <c r="L33" i="7"/>
  <c r="N33" i="7"/>
  <c r="D21" i="7"/>
  <c r="M48" i="6"/>
  <c r="N48" i="6"/>
  <c r="T47" i="5"/>
  <c r="I47" i="5"/>
  <c r="H47" i="5"/>
  <c r="K47" i="5"/>
  <c r="J45" i="5"/>
  <c r="T41" i="5"/>
  <c r="E44" i="4"/>
  <c r="G48" i="4"/>
  <c r="H48" i="4"/>
  <c r="O46" i="4"/>
  <c r="O48" i="4"/>
  <c r="D46" i="4"/>
  <c r="D48" i="4"/>
  <c r="P46" i="4"/>
  <c r="P48" i="4"/>
  <c r="E48" i="4"/>
  <c r="E46" i="4"/>
  <c r="Q46" i="4"/>
  <c r="Q48" i="4"/>
  <c r="I48" i="4"/>
  <c r="I46" i="4"/>
  <c r="J48" i="4"/>
  <c r="J46" i="4"/>
  <c r="N46" i="4"/>
  <c r="N48" i="4"/>
  <c r="K46" i="4"/>
  <c r="H46" i="4"/>
  <c r="L46" i="4"/>
  <c r="E103" i="2"/>
  <c r="F103" i="2" s="1"/>
  <c r="G103" i="2" s="1"/>
  <c r="H103" i="2" s="1"/>
  <c r="I103" i="2" s="1"/>
  <c r="J103" i="2" s="1"/>
  <c r="K103" i="2" s="1"/>
  <c r="L103" i="2" s="1"/>
  <c r="M103" i="2" s="1"/>
  <c r="N103" i="2" s="1"/>
  <c r="O103" i="2" s="1"/>
  <c r="P103" i="2" s="1"/>
  <c r="Q103" i="2" s="1"/>
  <c r="R103" i="2" s="1"/>
  <c r="S103" i="2" s="1"/>
  <c r="T103" i="2" s="1"/>
  <c r="T68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T54" i="2"/>
  <c r="D7" i="3"/>
  <c r="E7" i="3"/>
  <c r="D13" i="3"/>
  <c r="E13" i="3"/>
  <c r="C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G44" i="2"/>
  <c r="J44" i="2"/>
  <c r="K44" i="2"/>
  <c r="L44" i="2"/>
  <c r="N44" i="2"/>
  <c r="Q44" i="2"/>
  <c r="T44" i="2"/>
  <c r="S44" i="2"/>
  <c r="R44" i="2"/>
  <c r="O44" i="2"/>
  <c r="M44" i="2"/>
  <c r="I44" i="2"/>
  <c r="D44" i="2"/>
  <c r="E44" i="2"/>
  <c r="P44" i="2"/>
  <c r="H44" i="2"/>
  <c r="F44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P48" i="2"/>
  <c r="O48" i="2"/>
  <c r="T48" i="2"/>
  <c r="S48" i="2"/>
  <c r="R48" i="2"/>
  <c r="Q48" i="2"/>
  <c r="N48" i="2"/>
  <c r="M48" i="2"/>
  <c r="L48" i="2"/>
  <c r="K48" i="2"/>
  <c r="J48" i="2"/>
  <c r="I48" i="2"/>
  <c r="H48" i="2"/>
  <c r="G48" i="2"/>
  <c r="F48" i="2"/>
  <c r="E48" i="2"/>
  <c r="D48" i="2"/>
  <c r="C48" i="2"/>
  <c r="C44" i="2"/>
  <c r="C36" i="2"/>
  <c r="D36" i="2"/>
  <c r="C30" i="2"/>
  <c r="O30" i="2"/>
  <c r="N30" i="2"/>
  <c r="M30" i="2"/>
  <c r="L30" i="2"/>
  <c r="K30" i="2"/>
  <c r="J30" i="2"/>
  <c r="I30" i="2"/>
  <c r="S30" i="2"/>
  <c r="R30" i="2"/>
  <c r="Q30" i="2"/>
  <c r="P30" i="2"/>
  <c r="H30" i="2"/>
  <c r="G30" i="2"/>
  <c r="F30" i="2"/>
  <c r="E30" i="2"/>
  <c r="D30" i="2"/>
  <c r="T30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T9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Q120" i="1"/>
  <c r="AP120" i="1"/>
  <c r="AN120" i="1"/>
  <c r="AM120" i="1"/>
  <c r="AL120" i="1"/>
  <c r="AK120" i="1"/>
  <c r="AJ120" i="1"/>
  <c r="AI120" i="1"/>
  <c r="AH120" i="1"/>
  <c r="AG120" i="1"/>
  <c r="BE116" i="1"/>
  <c r="AP116" i="1"/>
  <c r="AL116" i="1"/>
  <c r="AK116" i="1"/>
  <c r="AJ116" i="1"/>
  <c r="AI116" i="1"/>
  <c r="AJ117" i="1" s="1"/>
  <c r="AH116" i="1"/>
  <c r="AG116" i="1"/>
  <c r="AL114" i="1"/>
  <c r="AN113" i="1"/>
  <c r="AM113" i="1"/>
  <c r="AL113" i="1"/>
  <c r="AH113" i="1"/>
  <c r="AO112" i="1"/>
  <c r="AM112" i="1"/>
  <c r="AL112" i="1"/>
  <c r="AK112" i="1"/>
  <c r="AI112" i="1"/>
  <c r="BD112" i="1" s="1"/>
  <c r="AH112" i="1"/>
  <c r="AG112" i="1"/>
  <c r="BE111" i="1"/>
  <c r="AQ111" i="1"/>
  <c r="AQ113" i="1" s="1"/>
  <c r="AP111" i="1"/>
  <c r="AP113" i="1" s="1"/>
  <c r="AN111" i="1"/>
  <c r="AM111" i="1"/>
  <c r="AL111" i="1"/>
  <c r="AK111" i="1"/>
  <c r="AK113" i="1" s="1"/>
  <c r="AJ111" i="1"/>
  <c r="AJ113" i="1" s="1"/>
  <c r="AI111" i="1"/>
  <c r="AH111" i="1"/>
  <c r="AG111" i="1"/>
  <c r="AG113" i="1" s="1"/>
  <c r="AG114" i="1" s="1"/>
  <c r="BD110" i="1"/>
  <c r="AO110" i="1"/>
  <c r="BD109" i="1"/>
  <c r="AO109" i="1"/>
  <c r="AL108" i="1"/>
  <c r="AK108" i="1"/>
  <c r="AJ108" i="1"/>
  <c r="BE107" i="1"/>
  <c r="BD107" i="1"/>
  <c r="AP107" i="1"/>
  <c r="AP108" i="1" s="1"/>
  <c r="AO107" i="1"/>
  <c r="BE106" i="1"/>
  <c r="AQ106" i="1"/>
  <c r="AQ108" i="1" s="1"/>
  <c r="AP106" i="1"/>
  <c r="AN106" i="1"/>
  <c r="AN108" i="1" s="1"/>
  <c r="AM106" i="1"/>
  <c r="AM108" i="1" s="1"/>
  <c r="AL106" i="1"/>
  <c r="AK106" i="1"/>
  <c r="AJ106" i="1"/>
  <c r="AI106" i="1"/>
  <c r="AH106" i="1"/>
  <c r="AH108" i="1" s="1"/>
  <c r="AH114" i="1" s="1"/>
  <c r="AG106" i="1"/>
  <c r="AG108" i="1" s="1"/>
  <c r="BE105" i="1"/>
  <c r="BE108" i="1" s="1"/>
  <c r="BD105" i="1"/>
  <c r="AM105" i="1"/>
  <c r="AO105" i="1" s="1"/>
  <c r="AL105" i="1"/>
  <c r="AK105" i="1"/>
  <c r="AJ105" i="1"/>
  <c r="AI105" i="1"/>
  <c r="BE104" i="1"/>
  <c r="AQ104" i="1"/>
  <c r="AP104" i="1"/>
  <c r="AN104" i="1"/>
  <c r="AM104" i="1"/>
  <c r="AM116" i="1" s="1"/>
  <c r="AL104" i="1"/>
  <c r="AK104" i="1"/>
  <c r="AK114" i="1" s="1"/>
  <c r="AJ104" i="1"/>
  <c r="AI104" i="1"/>
  <c r="AH104" i="1"/>
  <c r="AG104" i="1"/>
  <c r="BD103" i="1"/>
  <c r="AO103" i="1"/>
  <c r="BD102" i="1"/>
  <c r="AO102" i="1"/>
  <c r="BD101" i="1"/>
  <c r="AO101" i="1"/>
  <c r="BD100" i="1"/>
  <c r="AO100" i="1"/>
  <c r="BD99" i="1"/>
  <c r="AO99" i="1"/>
  <c r="BD98" i="1"/>
  <c r="AO98" i="1"/>
  <c r="BD97" i="1"/>
  <c r="AO97" i="1"/>
  <c r="BD96" i="1"/>
  <c r="AO96" i="1"/>
  <c r="BD95" i="1"/>
  <c r="BD104" i="1" s="1"/>
  <c r="AO95" i="1"/>
  <c r="BD94" i="1"/>
  <c r="AO94" i="1"/>
  <c r="BD93" i="1"/>
  <c r="AO93" i="1"/>
  <c r="BD92" i="1"/>
  <c r="AO92" i="1"/>
  <c r="BD91" i="1"/>
  <c r="AO91" i="1"/>
  <c r="BD90" i="1"/>
  <c r="AO90" i="1"/>
  <c r="BD87" i="1"/>
  <c r="BD86" i="1"/>
  <c r="AS84" i="1"/>
  <c r="AS82" i="1"/>
  <c r="AL82" i="1"/>
  <c r="AL84" i="1" s="1"/>
  <c r="AR81" i="1"/>
  <c r="BE78" i="1"/>
  <c r="BD78" i="1"/>
  <c r="BC78" i="1"/>
  <c r="AR78" i="1"/>
  <c r="AR82" i="1" s="1"/>
  <c r="AR84" i="1" s="1"/>
  <c r="AQ78" i="1"/>
  <c r="AQ82" i="1" s="1"/>
  <c r="AQ84" i="1" s="1"/>
  <c r="AP78" i="1"/>
  <c r="AP82" i="1" s="1"/>
  <c r="AP84" i="1" s="1"/>
  <c r="AN78" i="1"/>
  <c r="AN82" i="1" s="1"/>
  <c r="AN84" i="1" s="1"/>
  <c r="AM78" i="1"/>
  <c r="AM82" i="1" s="1"/>
  <c r="AM84" i="1" s="1"/>
  <c r="AL78" i="1"/>
  <c r="AK78" i="1"/>
  <c r="AH78" i="1"/>
  <c r="BE77" i="1"/>
  <c r="BD77" i="1"/>
  <c r="BC77" i="1"/>
  <c r="AR77" i="1"/>
  <c r="AQ77" i="1"/>
  <c r="AP77" i="1"/>
  <c r="AN77" i="1"/>
  <c r="AM77" i="1"/>
  <c r="AL77" i="1"/>
  <c r="AK77" i="1"/>
  <c r="AH77" i="1"/>
  <c r="BE75" i="1"/>
  <c r="BD75" i="1"/>
  <c r="BD82" i="1" s="1"/>
  <c r="BD84" i="1" s="1"/>
  <c r="BC75" i="1"/>
  <c r="AR75" i="1"/>
  <c r="AR63" i="1" s="1"/>
  <c r="AQ75" i="1"/>
  <c r="AQ63" i="1" s="1"/>
  <c r="AP75" i="1"/>
  <c r="AP63" i="1" s="1"/>
  <c r="AN75" i="1"/>
  <c r="AM75" i="1"/>
  <c r="AL75" i="1"/>
  <c r="AK75" i="1"/>
  <c r="AH75" i="1"/>
  <c r="AH82" i="1" s="1"/>
  <c r="AH84" i="1" s="1"/>
  <c r="BD73" i="1"/>
  <c r="AS73" i="1"/>
  <c r="AR73" i="1"/>
  <c r="AQ73" i="1"/>
  <c r="AP73" i="1"/>
  <c r="AN73" i="1"/>
  <c r="AM73" i="1"/>
  <c r="AL73" i="1"/>
  <c r="AK73" i="1"/>
  <c r="AH73" i="1"/>
  <c r="BE64" i="1"/>
  <c r="BD64" i="1"/>
  <c r="BC64" i="1"/>
  <c r="BC73" i="1" s="1"/>
  <c r="AR64" i="1"/>
  <c r="AQ64" i="1"/>
  <c r="AP64" i="1"/>
  <c r="AN64" i="1"/>
  <c r="AM64" i="1"/>
  <c r="AL64" i="1"/>
  <c r="AK64" i="1"/>
  <c r="AH64" i="1"/>
  <c r="BD63" i="1"/>
  <c r="BC63" i="1"/>
  <c r="AS63" i="1"/>
  <c r="AO63" i="1"/>
  <c r="BD61" i="1"/>
  <c r="BC61" i="1"/>
  <c r="BB61" i="1"/>
  <c r="BA61" i="1"/>
  <c r="AZ61" i="1"/>
  <c r="AY61" i="1"/>
  <c r="AX61" i="1"/>
  <c r="AW61" i="1"/>
  <c r="AQ59" i="1"/>
  <c r="AE59" i="1"/>
  <c r="X59" i="1"/>
  <c r="AK58" i="1"/>
  <c r="L58" i="1"/>
  <c r="C58" i="1"/>
  <c r="BD54" i="1"/>
  <c r="BC54" i="1"/>
  <c r="BB54" i="1"/>
  <c r="BA54" i="1"/>
  <c r="AZ54" i="1"/>
  <c r="AY54" i="1"/>
  <c r="AX54" i="1"/>
  <c r="AW54" i="1"/>
  <c r="AV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D53" i="1"/>
  <c r="BC53" i="1"/>
  <c r="BB53" i="1"/>
  <c r="BA53" i="1"/>
  <c r="AZ53" i="1"/>
  <c r="AY53" i="1"/>
  <c r="AX53" i="1"/>
  <c r="AW53" i="1"/>
  <c r="AV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M52" i="1"/>
  <c r="L52" i="1"/>
  <c r="BD50" i="1"/>
  <c r="BC50" i="1"/>
  <c r="BB50" i="1"/>
  <c r="BA50" i="1"/>
  <c r="AZ50" i="1"/>
  <c r="AY50" i="1"/>
  <c r="AW50" i="1"/>
  <c r="BD49" i="1"/>
  <c r="BC49" i="1"/>
  <c r="BB49" i="1"/>
  <c r="BA49" i="1"/>
  <c r="AZ49" i="1"/>
  <c r="AY49" i="1"/>
  <c r="AX49" i="1"/>
  <c r="AW49" i="1"/>
  <c r="BD48" i="1"/>
  <c r="BC48" i="1"/>
  <c r="BB48" i="1"/>
  <c r="BA48" i="1"/>
  <c r="AZ48" i="1"/>
  <c r="AY48" i="1"/>
  <c r="AX48" i="1"/>
  <c r="AW48" i="1"/>
  <c r="AZ47" i="1"/>
  <c r="AK47" i="1"/>
  <c r="AJ47" i="1"/>
  <c r="Z47" i="1"/>
  <c r="L47" i="1"/>
  <c r="BD46" i="1"/>
  <c r="BC46" i="1"/>
  <c r="BB46" i="1"/>
  <c r="BA46" i="1"/>
  <c r="AZ46" i="1"/>
  <c r="AY46" i="1"/>
  <c r="AX46" i="1"/>
  <c r="AW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BD45" i="1"/>
  <c r="BC45" i="1"/>
  <c r="BB45" i="1"/>
  <c r="BA45" i="1"/>
  <c r="AZ45" i="1"/>
  <c r="AY45" i="1"/>
  <c r="AX45" i="1"/>
  <c r="AW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BE42" i="1"/>
  <c r="BF42" i="1" s="1"/>
  <c r="BE40" i="1"/>
  <c r="W39" i="1"/>
  <c r="BH38" i="1"/>
  <c r="BG38" i="1"/>
  <c r="BF38" i="1"/>
  <c r="BE38" i="1"/>
  <c r="W37" i="1"/>
  <c r="V37" i="1"/>
  <c r="S37" i="1"/>
  <c r="BE36" i="1"/>
  <c r="BF36" i="1" s="1"/>
  <c r="BG36" i="1" s="1"/>
  <c r="BH36" i="1" s="1"/>
  <c r="BD36" i="1"/>
  <c r="BC36" i="1"/>
  <c r="BB36" i="1"/>
  <c r="BA36" i="1"/>
  <c r="AZ36" i="1"/>
  <c r="AY36" i="1"/>
  <c r="AX36" i="1"/>
  <c r="AW36" i="1"/>
  <c r="AV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E35" i="1"/>
  <c r="BE50" i="1" s="1"/>
  <c r="AW35" i="1"/>
  <c r="AV35" i="1"/>
  <c r="J35" i="1"/>
  <c r="F35" i="1"/>
  <c r="BE34" i="1"/>
  <c r="BE49" i="1" s="1"/>
  <c r="BE33" i="1"/>
  <c r="AX32" i="1"/>
  <c r="AV32" i="1"/>
  <c r="AQ32" i="1"/>
  <c r="AE32" i="1"/>
  <c r="AD32" i="1"/>
  <c r="AC32" i="1"/>
  <c r="AB32" i="1"/>
  <c r="R32" i="1"/>
  <c r="M32" i="1"/>
  <c r="M59" i="1" s="1"/>
  <c r="J32" i="1"/>
  <c r="I32" i="1"/>
  <c r="D32" i="1"/>
  <c r="BD31" i="1"/>
  <c r="BC31" i="1"/>
  <c r="BB31" i="1"/>
  <c r="BA31" i="1"/>
  <c r="AZ31" i="1"/>
  <c r="AY31" i="1"/>
  <c r="AX31" i="1"/>
  <c r="AW31" i="1"/>
  <c r="AV31" i="1"/>
  <c r="AR31" i="1"/>
  <c r="AR32" i="1" s="1"/>
  <c r="AQ31" i="1"/>
  <c r="AP31" i="1"/>
  <c r="AO31" i="1"/>
  <c r="AN31" i="1"/>
  <c r="AM31" i="1"/>
  <c r="AL31" i="1"/>
  <c r="AK31" i="1"/>
  <c r="AK32" i="1" s="1"/>
  <c r="AK59" i="1" s="1"/>
  <c r="AJ31" i="1"/>
  <c r="AI31" i="1"/>
  <c r="AH31" i="1"/>
  <c r="AG31" i="1"/>
  <c r="AG32" i="1" s="1"/>
  <c r="AF31" i="1"/>
  <c r="AF32" i="1" s="1"/>
  <c r="AE31" i="1"/>
  <c r="AD31" i="1"/>
  <c r="AC31" i="1"/>
  <c r="AB31" i="1"/>
  <c r="AA31" i="1"/>
  <c r="Z31" i="1"/>
  <c r="Y31" i="1"/>
  <c r="Y32" i="1" s="1"/>
  <c r="X31" i="1"/>
  <c r="W31" i="1"/>
  <c r="V31" i="1"/>
  <c r="U31" i="1"/>
  <c r="U32" i="1" s="1"/>
  <c r="T31" i="1"/>
  <c r="T32" i="1" s="1"/>
  <c r="S31" i="1"/>
  <c r="S32" i="1" s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E30" i="1"/>
  <c r="BE29" i="1"/>
  <c r="BE31" i="1" s="1"/>
  <c r="BD28" i="1"/>
  <c r="BC28" i="1"/>
  <c r="BB28" i="1"/>
  <c r="BB32" i="1" s="1"/>
  <c r="BA28" i="1"/>
  <c r="AZ28" i="1"/>
  <c r="AZ32" i="1" s="1"/>
  <c r="AY28" i="1"/>
  <c r="AX28" i="1"/>
  <c r="AW28" i="1"/>
  <c r="AW47" i="1" s="1"/>
  <c r="AV28" i="1"/>
  <c r="AR28" i="1"/>
  <c r="AQ28" i="1"/>
  <c r="AP28" i="1"/>
  <c r="AO28" i="1"/>
  <c r="AO47" i="1" s="1"/>
  <c r="AN28" i="1"/>
  <c r="AN32" i="1" s="1"/>
  <c r="AM28" i="1"/>
  <c r="BE28" i="1" s="1"/>
  <c r="AL28" i="1"/>
  <c r="AK28" i="1"/>
  <c r="AJ28" i="1"/>
  <c r="AJ32" i="1" s="1"/>
  <c r="AJ37" i="1" s="1"/>
  <c r="AI28" i="1"/>
  <c r="AH28" i="1"/>
  <c r="AG28" i="1"/>
  <c r="AF28" i="1"/>
  <c r="AE28" i="1"/>
  <c r="AD28" i="1"/>
  <c r="AC28" i="1"/>
  <c r="AB28" i="1"/>
  <c r="AB47" i="1" s="1"/>
  <c r="AA28" i="1"/>
  <c r="AA47" i="1" s="1"/>
  <c r="Z28" i="1"/>
  <c r="Z32" i="1" s="1"/>
  <c r="Y28" i="1"/>
  <c r="Y47" i="1" s="1"/>
  <c r="X28" i="1"/>
  <c r="X32" i="1" s="1"/>
  <c r="W28" i="1"/>
  <c r="W32" i="1" s="1"/>
  <c r="V28" i="1"/>
  <c r="V32" i="1" s="1"/>
  <c r="V59" i="1" s="1"/>
  <c r="U28" i="1"/>
  <c r="T28" i="1"/>
  <c r="S28" i="1"/>
  <c r="R28" i="1"/>
  <c r="Q28" i="1"/>
  <c r="Q47" i="1" s="1"/>
  <c r="P28" i="1"/>
  <c r="P47" i="1" s="1"/>
  <c r="O28" i="1"/>
  <c r="O47" i="1" s="1"/>
  <c r="N28" i="1"/>
  <c r="M28" i="1"/>
  <c r="L28" i="1"/>
  <c r="L32" i="1" s="1"/>
  <c r="K28" i="1"/>
  <c r="J28" i="1"/>
  <c r="J47" i="1" s="1"/>
  <c r="I28" i="1"/>
  <c r="H28" i="1"/>
  <c r="G28" i="1"/>
  <c r="F28" i="1"/>
  <c r="F32" i="1" s="1"/>
  <c r="F52" i="1" s="1"/>
  <c r="E28" i="1"/>
  <c r="D28" i="1"/>
  <c r="C28" i="1"/>
  <c r="C32" i="1" s="1"/>
  <c r="BE27" i="1"/>
  <c r="BE26" i="1"/>
  <c r="BE45" i="1" s="1"/>
  <c r="BD23" i="1"/>
  <c r="AR23" i="1"/>
  <c r="AQ23" i="1"/>
  <c r="AP23" i="1"/>
  <c r="AO23" i="1"/>
  <c r="AN23" i="1"/>
  <c r="AM23" i="1"/>
  <c r="AL23" i="1"/>
  <c r="AK23" i="1"/>
  <c r="AJ23" i="1"/>
  <c r="AI23" i="1"/>
  <c r="BD22" i="1"/>
  <c r="AR22" i="1"/>
  <c r="AQ22" i="1"/>
  <c r="AP22" i="1"/>
  <c r="AO22" i="1"/>
  <c r="AN22" i="1"/>
  <c r="AM22" i="1"/>
  <c r="AL22" i="1"/>
  <c r="AK22" i="1"/>
  <c r="AJ22" i="1"/>
  <c r="AI22" i="1"/>
  <c r="BE21" i="1"/>
  <c r="BD21" i="1"/>
  <c r="AR21" i="1"/>
  <c r="AQ21" i="1"/>
  <c r="AP21" i="1"/>
  <c r="AO21" i="1"/>
  <c r="AN21" i="1"/>
  <c r="AM21" i="1"/>
  <c r="AL21" i="1"/>
  <c r="AK21" i="1"/>
  <c r="AJ21" i="1"/>
  <c r="AI21" i="1"/>
  <c r="BD20" i="1"/>
  <c r="AR20" i="1"/>
  <c r="AQ20" i="1"/>
  <c r="AP20" i="1"/>
  <c r="AO20" i="1"/>
  <c r="AN20" i="1"/>
  <c r="AM20" i="1"/>
  <c r="AL20" i="1"/>
  <c r="AK20" i="1"/>
  <c r="AJ20" i="1"/>
  <c r="AI20" i="1"/>
  <c r="BD19" i="1"/>
  <c r="AR19" i="1"/>
  <c r="AQ19" i="1"/>
  <c r="AP19" i="1"/>
  <c r="AO19" i="1"/>
  <c r="AN19" i="1"/>
  <c r="AM19" i="1"/>
  <c r="AL19" i="1"/>
  <c r="AK19" i="1"/>
  <c r="AJ19" i="1"/>
  <c r="AI19" i="1"/>
  <c r="BD18" i="1"/>
  <c r="AR18" i="1"/>
  <c r="AQ18" i="1"/>
  <c r="AP18" i="1"/>
  <c r="AO18" i="1"/>
  <c r="AN18" i="1"/>
  <c r="AM18" i="1"/>
  <c r="AL18" i="1"/>
  <c r="AK18" i="1"/>
  <c r="AJ18" i="1"/>
  <c r="AI18" i="1"/>
  <c r="BD17" i="1"/>
  <c r="AR17" i="1"/>
  <c r="AQ17" i="1"/>
  <c r="AP17" i="1"/>
  <c r="AO17" i="1"/>
  <c r="AN17" i="1"/>
  <c r="AM17" i="1"/>
  <c r="AL17" i="1"/>
  <c r="AK17" i="1"/>
  <c r="AJ17" i="1"/>
  <c r="AI17" i="1"/>
  <c r="BD16" i="1"/>
  <c r="AR16" i="1"/>
  <c r="AQ16" i="1"/>
  <c r="AP16" i="1"/>
  <c r="AO16" i="1"/>
  <c r="AN16" i="1"/>
  <c r="AM16" i="1"/>
  <c r="AL16" i="1"/>
  <c r="AK16" i="1"/>
  <c r="AJ16" i="1"/>
  <c r="AI16" i="1"/>
  <c r="BD15" i="1"/>
  <c r="AR15" i="1"/>
  <c r="AQ15" i="1"/>
  <c r="AP15" i="1"/>
  <c r="AO15" i="1"/>
  <c r="AN15" i="1"/>
  <c r="AM15" i="1"/>
  <c r="AL15" i="1"/>
  <c r="AK15" i="1"/>
  <c r="AJ15" i="1"/>
  <c r="AI15" i="1"/>
  <c r="BD13" i="1"/>
  <c r="BC13" i="1"/>
  <c r="BB13" i="1"/>
  <c r="BA13" i="1"/>
  <c r="AZ13" i="1"/>
  <c r="AY13" i="1"/>
  <c r="AX13" i="1"/>
  <c r="BE12" i="1"/>
  <c r="BE11" i="1"/>
  <c r="BE23" i="1" s="1"/>
  <c r="BE10" i="1"/>
  <c r="BE22" i="1" s="1"/>
  <c r="BE9" i="1"/>
  <c r="BE8" i="1"/>
  <c r="BE20" i="1" s="1"/>
  <c r="BE7" i="1"/>
  <c r="BE19" i="1" s="1"/>
  <c r="BB7" i="1"/>
  <c r="BE6" i="1"/>
  <c r="BE18" i="1" s="1"/>
  <c r="BE5" i="1"/>
  <c r="BE17" i="1" s="1"/>
  <c r="BE4" i="1"/>
  <c r="BE16" i="1" s="1"/>
  <c r="BE3" i="1"/>
  <c r="O31" i="8" l="1"/>
  <c r="O76" i="8"/>
  <c r="O114" i="8"/>
  <c r="M100" i="8"/>
  <c r="M101" i="8" s="1"/>
  <c r="M62" i="8"/>
  <c r="M63" i="8" s="1"/>
  <c r="M66" i="8"/>
  <c r="M67" i="8" s="1"/>
  <c r="N66" i="8" s="1"/>
  <c r="N67" i="8" s="1"/>
  <c r="P5" i="8"/>
  <c r="P88" i="8"/>
  <c r="CI62" i="8"/>
  <c r="CI63" i="8" s="1"/>
  <c r="BY107" i="8"/>
  <c r="BM107" i="8"/>
  <c r="BA107" i="8"/>
  <c r="AO107" i="8"/>
  <c r="AC107" i="8"/>
  <c r="Q107" i="8"/>
  <c r="BX107" i="8"/>
  <c r="BL107" i="8"/>
  <c r="AZ107" i="8"/>
  <c r="AN107" i="8"/>
  <c r="AB107" i="8"/>
  <c r="P107" i="8"/>
  <c r="CI107" i="8"/>
  <c r="BW107" i="8"/>
  <c r="BK107" i="8"/>
  <c r="AY107" i="8"/>
  <c r="CG107" i="8"/>
  <c r="BR107" i="8"/>
  <c r="BC107" i="8"/>
  <c r="AL107" i="8"/>
  <c r="X107" i="8"/>
  <c r="CF107" i="8"/>
  <c r="BQ107" i="8"/>
  <c r="BB107" i="8"/>
  <c r="AK107" i="8"/>
  <c r="W107" i="8"/>
  <c r="CE107" i="8"/>
  <c r="BP107" i="8"/>
  <c r="AX107" i="8"/>
  <c r="AJ107" i="8"/>
  <c r="V107" i="8"/>
  <c r="CD107" i="8"/>
  <c r="BO107" i="8"/>
  <c r="AW107" i="8"/>
  <c r="AI107" i="8"/>
  <c r="U107" i="8"/>
  <c r="CB107" i="8"/>
  <c r="BJ107" i="8"/>
  <c r="AU107" i="8"/>
  <c r="AG107" i="8"/>
  <c r="S107" i="8"/>
  <c r="BU107" i="8"/>
  <c r="AS107" i="8"/>
  <c r="T107" i="8"/>
  <c r="BT107" i="8"/>
  <c r="AR107" i="8"/>
  <c r="R107" i="8"/>
  <c r="Z107" i="8"/>
  <c r="AQ107" i="8"/>
  <c r="O107" i="8"/>
  <c r="AP107" i="8"/>
  <c r="N107" i="8"/>
  <c r="AM107" i="8"/>
  <c r="AE107" i="8"/>
  <c r="BD107" i="8"/>
  <c r="AV107" i="8"/>
  <c r="BS107" i="8"/>
  <c r="BN107" i="8"/>
  <c r="BI107" i="8"/>
  <c r="BH107" i="8"/>
  <c r="AH107" i="8"/>
  <c r="AF107" i="8"/>
  <c r="BG107" i="8"/>
  <c r="AA107" i="8"/>
  <c r="CH107" i="8"/>
  <c r="CC107" i="8"/>
  <c r="BE107" i="8"/>
  <c r="AD107" i="8"/>
  <c r="CA107" i="8"/>
  <c r="BZ107" i="8"/>
  <c r="BV107" i="8"/>
  <c r="AT107" i="8"/>
  <c r="Y107" i="8"/>
  <c r="M107" i="8"/>
  <c r="BF107" i="8"/>
  <c r="M104" i="8"/>
  <c r="M99" i="8"/>
  <c r="M102" i="8"/>
  <c r="M103" i="8" s="1"/>
  <c r="N98" i="8"/>
  <c r="N100" i="8" s="1"/>
  <c r="O60" i="8"/>
  <c r="O62" i="8" s="1"/>
  <c r="O63" i="8" s="1"/>
  <c r="M64" i="8"/>
  <c r="M65" i="8" s="1"/>
  <c r="N64" i="8" s="1"/>
  <c r="N65" i="8" s="1"/>
  <c r="M61" i="8"/>
  <c r="N61" i="8"/>
  <c r="M16" i="8"/>
  <c r="M19" i="8"/>
  <c r="M20" i="8" s="1"/>
  <c r="N19" i="8" s="1"/>
  <c r="N20" i="8" s="1"/>
  <c r="M21" i="8"/>
  <c r="M22" i="8" s="1"/>
  <c r="M17" i="8"/>
  <c r="M18" i="8" s="1"/>
  <c r="N17" i="8" s="1"/>
  <c r="O15" i="8"/>
  <c r="N21" i="8"/>
  <c r="N22" i="8" s="1"/>
  <c r="N16" i="8"/>
  <c r="BW80" i="7"/>
  <c r="BX68" i="7"/>
  <c r="BX80" i="7" s="1"/>
  <c r="BX71" i="7"/>
  <c r="BX84" i="7" s="1"/>
  <c r="BX64" i="7"/>
  <c r="BX76" i="7" s="1"/>
  <c r="BX66" i="7"/>
  <c r="BX78" i="7" s="1"/>
  <c r="BX67" i="7"/>
  <c r="BX79" i="7" s="1"/>
  <c r="BX70" i="7"/>
  <c r="BX82" i="7" s="1"/>
  <c r="BX72" i="7"/>
  <c r="BX85" i="7" s="1"/>
  <c r="BX65" i="7"/>
  <c r="BX77" i="7" s="1"/>
  <c r="BX69" i="7"/>
  <c r="BX81" i="7" s="1"/>
  <c r="BY63" i="7"/>
  <c r="BT72" i="7"/>
  <c r="BT66" i="7"/>
  <c r="BT71" i="7"/>
  <c r="BT65" i="7"/>
  <c r="BT70" i="7"/>
  <c r="BT64" i="7"/>
  <c r="BT69" i="7"/>
  <c r="BT68" i="7"/>
  <c r="BT67" i="7"/>
  <c r="BU79" i="7" s="1"/>
  <c r="Z63" i="7"/>
  <c r="Y68" i="7"/>
  <c r="Y72" i="7"/>
  <c r="Y66" i="7"/>
  <c r="Y71" i="7"/>
  <c r="Y65" i="7"/>
  <c r="Y69" i="7"/>
  <c r="Y64" i="7"/>
  <c r="Y67" i="7"/>
  <c r="Y70" i="7"/>
  <c r="D19" i="7"/>
  <c r="D46" i="7"/>
  <c r="Q71" i="2"/>
  <c r="H71" i="2"/>
  <c r="N77" i="2"/>
  <c r="I71" i="2"/>
  <c r="E71" i="2"/>
  <c r="J71" i="2"/>
  <c r="S71" i="2"/>
  <c r="C77" i="2"/>
  <c r="D77" i="2"/>
  <c r="P77" i="2"/>
  <c r="K71" i="2"/>
  <c r="F77" i="2"/>
  <c r="M71" i="2"/>
  <c r="G77" i="2"/>
  <c r="S77" i="2"/>
  <c r="N71" i="2"/>
  <c r="J77" i="2"/>
  <c r="K77" i="2"/>
  <c r="F71" i="2"/>
  <c r="R71" i="2"/>
  <c r="L77" i="2"/>
  <c r="G71" i="2"/>
  <c r="M77" i="2"/>
  <c r="T71" i="2"/>
  <c r="O77" i="2"/>
  <c r="E77" i="2"/>
  <c r="Q77" i="2"/>
  <c r="L71" i="2"/>
  <c r="R77" i="2"/>
  <c r="H77" i="2"/>
  <c r="T77" i="2"/>
  <c r="O71" i="2"/>
  <c r="I77" i="2"/>
  <c r="D71" i="2"/>
  <c r="P71" i="2"/>
  <c r="C71" i="2"/>
  <c r="J37" i="2"/>
  <c r="D16" i="3"/>
  <c r="L37" i="2"/>
  <c r="H37" i="2"/>
  <c r="P37" i="2"/>
  <c r="E37" i="2"/>
  <c r="F37" i="2"/>
  <c r="R37" i="2"/>
  <c r="G37" i="2"/>
  <c r="S37" i="2"/>
  <c r="Q37" i="2"/>
  <c r="K37" i="2"/>
  <c r="T37" i="2"/>
  <c r="I37" i="2"/>
  <c r="M37" i="2"/>
  <c r="N37" i="2"/>
  <c r="O37" i="2"/>
  <c r="F49" i="2"/>
  <c r="F51" i="2" s="1"/>
  <c r="G49" i="2"/>
  <c r="G51" i="2" s="1"/>
  <c r="H49" i="2"/>
  <c r="H51" i="2" s="1"/>
  <c r="R49" i="2"/>
  <c r="R51" i="2" s="1"/>
  <c r="T49" i="2"/>
  <c r="T51" i="2" s="1"/>
  <c r="S49" i="2"/>
  <c r="S51" i="2" s="1"/>
  <c r="E49" i="2"/>
  <c r="E51" i="2" s="1"/>
  <c r="Q49" i="2"/>
  <c r="Q51" i="2" s="1"/>
  <c r="J49" i="2"/>
  <c r="J51" i="2" s="1"/>
  <c r="N49" i="2"/>
  <c r="N51" i="2" s="1"/>
  <c r="K49" i="2"/>
  <c r="K51" i="2" s="1"/>
  <c r="O49" i="2"/>
  <c r="O51" i="2" s="1"/>
  <c r="I49" i="2"/>
  <c r="I51" i="2" s="1"/>
  <c r="M49" i="2"/>
  <c r="M51" i="2" s="1"/>
  <c r="L49" i="2"/>
  <c r="L51" i="2" s="1"/>
  <c r="P49" i="2"/>
  <c r="P51" i="2" s="1"/>
  <c r="C49" i="2"/>
  <c r="C51" i="2" s="1"/>
  <c r="D49" i="2"/>
  <c r="D51" i="2" s="1"/>
  <c r="D37" i="2"/>
  <c r="T10" i="2"/>
  <c r="C10" i="2"/>
  <c r="O10" i="2"/>
  <c r="C37" i="2"/>
  <c r="D10" i="2"/>
  <c r="P10" i="2"/>
  <c r="I10" i="2"/>
  <c r="M10" i="2"/>
  <c r="N10" i="2"/>
  <c r="E10" i="2"/>
  <c r="Q10" i="2"/>
  <c r="R10" i="2"/>
  <c r="F10" i="2"/>
  <c r="G10" i="2"/>
  <c r="S10" i="2"/>
  <c r="H10" i="2"/>
  <c r="J10" i="2"/>
  <c r="L10" i="2"/>
  <c r="K10" i="2"/>
  <c r="AX58" i="1"/>
  <c r="AX52" i="1"/>
  <c r="AX59" i="1"/>
  <c r="AX37" i="1"/>
  <c r="D59" i="1"/>
  <c r="D37" i="1"/>
  <c r="D58" i="1"/>
  <c r="D52" i="1"/>
  <c r="W57" i="1"/>
  <c r="W41" i="1"/>
  <c r="W56" i="1" s="1"/>
  <c r="S55" i="1"/>
  <c r="S60" i="1"/>
  <c r="S39" i="1"/>
  <c r="T58" i="1"/>
  <c r="T52" i="1"/>
  <c r="T59" i="1"/>
  <c r="T37" i="1"/>
  <c r="AF58" i="1"/>
  <c r="AF52" i="1"/>
  <c r="AF37" i="1"/>
  <c r="AF59" i="1"/>
  <c r="AL32" i="1"/>
  <c r="AL47" i="1"/>
  <c r="C59" i="1"/>
  <c r="C52" i="1"/>
  <c r="C37" i="1"/>
  <c r="AJ60" i="1"/>
  <c r="AJ55" i="1"/>
  <c r="AJ39" i="1"/>
  <c r="I58" i="1"/>
  <c r="I37" i="1"/>
  <c r="I52" i="1"/>
  <c r="I59" i="1"/>
  <c r="AZ58" i="1"/>
  <c r="AZ59" i="1"/>
  <c r="AZ37" i="1"/>
  <c r="AR58" i="1"/>
  <c r="AR59" i="1"/>
  <c r="AR37" i="1"/>
  <c r="AR52" i="1"/>
  <c r="BD108" i="1"/>
  <c r="BE54" i="1"/>
  <c r="BE46" i="1"/>
  <c r="N47" i="1"/>
  <c r="N32" i="1"/>
  <c r="Z59" i="1"/>
  <c r="Z52" i="1"/>
  <c r="Z58" i="1"/>
  <c r="Z37" i="1"/>
  <c r="BA32" i="1"/>
  <c r="BA47" i="1"/>
  <c r="U58" i="1"/>
  <c r="U52" i="1"/>
  <c r="U37" i="1"/>
  <c r="U59" i="1"/>
  <c r="AG58" i="1"/>
  <c r="AG37" i="1"/>
  <c r="AG59" i="1"/>
  <c r="AG52" i="1"/>
  <c r="BF43" i="1"/>
  <c r="BG42" i="1"/>
  <c r="BE73" i="1"/>
  <c r="BE86" i="1" s="1"/>
  <c r="BE63" i="1"/>
  <c r="AK82" i="1"/>
  <c r="AK84" i="1" s="1"/>
  <c r="AN59" i="1"/>
  <c r="AN58" i="1"/>
  <c r="AN37" i="1"/>
  <c r="AN52" i="1"/>
  <c r="AB59" i="1"/>
  <c r="AB58" i="1"/>
  <c r="AB52" i="1"/>
  <c r="AB37" i="1"/>
  <c r="AC59" i="1"/>
  <c r="AC52" i="1"/>
  <c r="AC37" i="1"/>
  <c r="AC58" i="1"/>
  <c r="Y52" i="1"/>
  <c r="Y37" i="1"/>
  <c r="Y58" i="1"/>
  <c r="Y59" i="1"/>
  <c r="AZ52" i="1"/>
  <c r="AN47" i="1"/>
  <c r="U47" i="1"/>
  <c r="BD116" i="1"/>
  <c r="AI113" i="1"/>
  <c r="K32" i="1"/>
  <c r="K47" i="1"/>
  <c r="W58" i="1"/>
  <c r="W52" i="1"/>
  <c r="AI32" i="1"/>
  <c r="AI47" i="1"/>
  <c r="AX47" i="1"/>
  <c r="AV59" i="1"/>
  <c r="AV37" i="1"/>
  <c r="AV52" i="1"/>
  <c r="V47" i="1"/>
  <c r="AK52" i="1"/>
  <c r="BE82" i="1"/>
  <c r="BE84" i="1" s="1"/>
  <c r="BE87" i="1"/>
  <c r="AJ114" i="1"/>
  <c r="BD111" i="1"/>
  <c r="BD113" i="1" s="1"/>
  <c r="BE15" i="1"/>
  <c r="BE13" i="1"/>
  <c r="BE32" i="1"/>
  <c r="BE59" i="1" s="1"/>
  <c r="BF28" i="1"/>
  <c r="BE47" i="1"/>
  <c r="BB59" i="1"/>
  <c r="BB52" i="1"/>
  <c r="J37" i="1"/>
  <c r="J59" i="1"/>
  <c r="AD52" i="1"/>
  <c r="AD59" i="1"/>
  <c r="AD58" i="1"/>
  <c r="AD37" i="1"/>
  <c r="BB58" i="1"/>
  <c r="AH63" i="1"/>
  <c r="AN116" i="1"/>
  <c r="AQ117" i="1" s="1"/>
  <c r="AN114" i="1"/>
  <c r="BC32" i="1"/>
  <c r="BC47" i="1"/>
  <c r="AE52" i="1"/>
  <c r="AE58" i="1"/>
  <c r="AE37" i="1"/>
  <c r="V39" i="1"/>
  <c r="V60" i="1"/>
  <c r="V55" i="1"/>
  <c r="AK63" i="1"/>
  <c r="AO104" i="1"/>
  <c r="AM114" i="1"/>
  <c r="I47" i="1"/>
  <c r="E32" i="1"/>
  <c r="AC47" i="1"/>
  <c r="AG47" i="1"/>
  <c r="BD32" i="1"/>
  <c r="BD47" i="1"/>
  <c r="W60" i="1"/>
  <c r="W55" i="1"/>
  <c r="AM47" i="1"/>
  <c r="AL63" i="1"/>
  <c r="AQ114" i="1"/>
  <c r="AQ116" i="1"/>
  <c r="BD106" i="1"/>
  <c r="AI108" i="1"/>
  <c r="AI114" i="1" s="1"/>
  <c r="O32" i="1"/>
  <c r="AM32" i="1"/>
  <c r="BE48" i="1"/>
  <c r="M58" i="1"/>
  <c r="P32" i="1"/>
  <c r="F58" i="1"/>
  <c r="BB37" i="1"/>
  <c r="F59" i="1"/>
  <c r="Q32" i="1"/>
  <c r="AO32" i="1"/>
  <c r="J58" i="1"/>
  <c r="F37" i="1"/>
  <c r="R52" i="1"/>
  <c r="R37" i="1"/>
  <c r="R59" i="1"/>
  <c r="R58" i="1"/>
  <c r="AQ52" i="1"/>
  <c r="AQ58" i="1"/>
  <c r="AQ37" i="1"/>
  <c r="BB47" i="1"/>
  <c r="V58" i="1"/>
  <c r="V52" i="1"/>
  <c r="AH32" i="1"/>
  <c r="AH47" i="1"/>
  <c r="M37" i="1"/>
  <c r="L59" i="1"/>
  <c r="L37" i="1"/>
  <c r="X58" i="1"/>
  <c r="X52" i="1"/>
  <c r="X37" i="1"/>
  <c r="AJ52" i="1"/>
  <c r="AJ59" i="1"/>
  <c r="S52" i="1"/>
  <c r="S58" i="1"/>
  <c r="S59" i="1"/>
  <c r="AA32" i="1"/>
  <c r="AW32" i="1"/>
  <c r="AK37" i="1"/>
  <c r="W47" i="1"/>
  <c r="J52" i="1"/>
  <c r="AJ58" i="1"/>
  <c r="W59" i="1"/>
  <c r="AO108" i="1"/>
  <c r="BE113" i="1"/>
  <c r="BE114" i="1" s="1"/>
  <c r="AO111" i="1"/>
  <c r="AO113" i="1" s="1"/>
  <c r="AM63" i="1"/>
  <c r="R47" i="1"/>
  <c r="AX50" i="1"/>
  <c r="AN63" i="1"/>
  <c r="BL49" i="1" s="1"/>
  <c r="G47" i="1"/>
  <c r="AE47" i="1"/>
  <c r="H47" i="1"/>
  <c r="T47" i="1"/>
  <c r="AF47" i="1"/>
  <c r="AR47" i="1"/>
  <c r="G32" i="1"/>
  <c r="AO106" i="1"/>
  <c r="AD47" i="1"/>
  <c r="AP47" i="1"/>
  <c r="AP32" i="1"/>
  <c r="S47" i="1"/>
  <c r="AQ47" i="1"/>
  <c r="H32" i="1"/>
  <c r="AO116" i="1"/>
  <c r="AO120" i="1"/>
  <c r="AY47" i="1"/>
  <c r="AY32" i="1"/>
  <c r="X47" i="1"/>
  <c r="BE53" i="1"/>
  <c r="M47" i="1"/>
  <c r="AV58" i="1"/>
  <c r="BC82" i="1"/>
  <c r="BC84" i="1" s="1"/>
  <c r="AP114" i="1"/>
  <c r="M68" i="8" l="1"/>
  <c r="M70" i="8" s="1"/>
  <c r="M71" i="8" s="1"/>
  <c r="M106" i="8"/>
  <c r="M108" i="8" s="1"/>
  <c r="M109" i="8" s="1"/>
  <c r="Q5" i="8"/>
  <c r="Q88" i="8"/>
  <c r="N23" i="8"/>
  <c r="N25" i="8" s="1"/>
  <c r="N26" i="8" s="1"/>
  <c r="O66" i="8"/>
  <c r="O67" i="8" s="1"/>
  <c r="P15" i="8"/>
  <c r="P16" i="8" s="1"/>
  <c r="O98" i="8"/>
  <c r="O100" i="8" s="1"/>
  <c r="N99" i="8"/>
  <c r="N102" i="8"/>
  <c r="N103" i="8" s="1"/>
  <c r="N104" i="8"/>
  <c r="N101" i="8"/>
  <c r="N68" i="8"/>
  <c r="N70" i="8" s="1"/>
  <c r="O64" i="8"/>
  <c r="O65" i="8" s="1"/>
  <c r="O61" i="8"/>
  <c r="P60" i="8"/>
  <c r="P62" i="8" s="1"/>
  <c r="P63" i="8" s="1"/>
  <c r="O21" i="8"/>
  <c r="O22" i="8" s="1"/>
  <c r="O16" i="8"/>
  <c r="N18" i="8"/>
  <c r="O17" i="8" s="1"/>
  <c r="O19" i="8"/>
  <c r="O20" i="8" s="1"/>
  <c r="M23" i="8"/>
  <c r="M25" i="8" s="1"/>
  <c r="BT80" i="7"/>
  <c r="BU80" i="7"/>
  <c r="BT81" i="7"/>
  <c r="BU81" i="7"/>
  <c r="BY67" i="7"/>
  <c r="BY79" i="7" s="1"/>
  <c r="BZ63" i="7"/>
  <c r="BY72" i="7"/>
  <c r="BY85" i="7" s="1"/>
  <c r="BY71" i="7"/>
  <c r="BY84" i="7" s="1"/>
  <c r="BY66" i="7"/>
  <c r="BY78" i="7" s="1"/>
  <c r="BY65" i="7"/>
  <c r="BY77" i="7" s="1"/>
  <c r="BY68" i="7"/>
  <c r="BY80" i="7" s="1"/>
  <c r="BY70" i="7"/>
  <c r="BY82" i="7" s="1"/>
  <c r="BY64" i="7"/>
  <c r="BY76" i="7" s="1"/>
  <c r="BY69" i="7"/>
  <c r="BY81" i="7" s="1"/>
  <c r="BT76" i="7"/>
  <c r="BU76" i="7"/>
  <c r="BT82" i="7"/>
  <c r="BU82" i="7"/>
  <c r="BT77" i="7"/>
  <c r="BU77" i="7"/>
  <c r="BT84" i="7"/>
  <c r="BU84" i="7"/>
  <c r="BT78" i="7"/>
  <c r="BU78" i="7"/>
  <c r="BT85" i="7"/>
  <c r="BU85" i="7"/>
  <c r="BT79" i="7"/>
  <c r="D33" i="7"/>
  <c r="D44" i="7"/>
  <c r="D40" i="7"/>
  <c r="D45" i="7"/>
  <c r="D37" i="7"/>
  <c r="D41" i="7"/>
  <c r="D42" i="7"/>
  <c r="D38" i="7"/>
  <c r="D43" i="7"/>
  <c r="D39" i="7"/>
  <c r="E33" i="7"/>
  <c r="AA63" i="7"/>
  <c r="Z64" i="7"/>
  <c r="Z66" i="7"/>
  <c r="Z71" i="7"/>
  <c r="Z69" i="7"/>
  <c r="Z72" i="7"/>
  <c r="Z65" i="7"/>
  <c r="Z67" i="7"/>
  <c r="Z70" i="7"/>
  <c r="Z68" i="7"/>
  <c r="R12" i="2"/>
  <c r="R14" i="2" s="1"/>
  <c r="R16" i="2" s="1"/>
  <c r="Q12" i="2"/>
  <c r="Q14" i="2" s="1"/>
  <c r="Q16" i="2" s="1"/>
  <c r="E12" i="2"/>
  <c r="E14" i="2" s="1"/>
  <c r="E16" i="2" s="1"/>
  <c r="N12" i="2"/>
  <c r="N18" i="2" s="1"/>
  <c r="M12" i="2"/>
  <c r="M14" i="2" s="1"/>
  <c r="M16" i="2" s="1"/>
  <c r="K12" i="2"/>
  <c r="K14" i="2" s="1"/>
  <c r="K16" i="2" s="1"/>
  <c r="I12" i="2"/>
  <c r="I14" i="2" s="1"/>
  <c r="I16" i="2" s="1"/>
  <c r="L12" i="2"/>
  <c r="L18" i="2" s="1"/>
  <c r="P12" i="2"/>
  <c r="P14" i="2" s="1"/>
  <c r="P16" i="2" s="1"/>
  <c r="J12" i="2"/>
  <c r="J14" i="2" s="1"/>
  <c r="J16" i="2" s="1"/>
  <c r="D12" i="2"/>
  <c r="D14" i="2" s="1"/>
  <c r="D16" i="2" s="1"/>
  <c r="H12" i="2"/>
  <c r="H14" i="2" s="1"/>
  <c r="H16" i="2" s="1"/>
  <c r="S12" i="2"/>
  <c r="S14" i="2" s="1"/>
  <c r="S16" i="2" s="1"/>
  <c r="O12" i="2"/>
  <c r="O14" i="2" s="1"/>
  <c r="O16" i="2" s="1"/>
  <c r="G12" i="2"/>
  <c r="G14" i="2" s="1"/>
  <c r="G16" i="2" s="1"/>
  <c r="C12" i="2"/>
  <c r="C18" i="2" s="1"/>
  <c r="F12" i="2"/>
  <c r="F14" i="2" s="1"/>
  <c r="F16" i="2" s="1"/>
  <c r="T12" i="2"/>
  <c r="T14" i="2" s="1"/>
  <c r="T16" i="2" s="1"/>
  <c r="BD114" i="1"/>
  <c r="BF56" i="1"/>
  <c r="BF47" i="1"/>
  <c r="BG28" i="1"/>
  <c r="BF32" i="1"/>
  <c r="AQ39" i="1"/>
  <c r="AQ55" i="1"/>
  <c r="AQ60" i="1"/>
  <c r="BB55" i="1"/>
  <c r="BB39" i="1"/>
  <c r="BB60" i="1"/>
  <c r="AL59" i="1"/>
  <c r="AL52" i="1"/>
  <c r="AL58" i="1"/>
  <c r="AL37" i="1"/>
  <c r="AD39" i="1"/>
  <c r="AD60" i="1"/>
  <c r="AD55" i="1"/>
  <c r="N59" i="1"/>
  <c r="N58" i="1"/>
  <c r="N52" i="1"/>
  <c r="N37" i="1"/>
  <c r="BE58" i="1"/>
  <c r="AF60" i="1"/>
  <c r="AF39" i="1"/>
  <c r="AF55" i="1"/>
  <c r="AN60" i="1"/>
  <c r="AN55" i="1"/>
  <c r="AN39" i="1"/>
  <c r="I60" i="1"/>
  <c r="I39" i="1"/>
  <c r="I55" i="1"/>
  <c r="AW52" i="1"/>
  <c r="AW59" i="1"/>
  <c r="AW37" i="1"/>
  <c r="D55" i="1"/>
  <c r="D39" i="1"/>
  <c r="D60" i="1"/>
  <c r="AM59" i="1"/>
  <c r="AM37" i="1"/>
  <c r="AM52" i="1"/>
  <c r="AM58" i="1"/>
  <c r="T55" i="1"/>
  <c r="T39" i="1"/>
  <c r="T60" i="1"/>
  <c r="AO117" i="1"/>
  <c r="AH58" i="1"/>
  <c r="AH59" i="1"/>
  <c r="AH37" i="1"/>
  <c r="AH52" i="1"/>
  <c r="F60" i="1"/>
  <c r="F55" i="1"/>
  <c r="F39" i="1"/>
  <c r="J39" i="1"/>
  <c r="J60" i="1"/>
  <c r="J55" i="1"/>
  <c r="K59" i="1"/>
  <c r="K37" i="1"/>
  <c r="K58" i="1"/>
  <c r="K52" i="1"/>
  <c r="AY58" i="1"/>
  <c r="AY52" i="1"/>
  <c r="AY59" i="1"/>
  <c r="AY37" i="1"/>
  <c r="G52" i="1"/>
  <c r="G58" i="1"/>
  <c r="G37" i="1"/>
  <c r="G59" i="1"/>
  <c r="C55" i="1"/>
  <c r="C60" i="1"/>
  <c r="C39" i="1"/>
  <c r="AV39" i="1"/>
  <c r="AV55" i="1"/>
  <c r="AV60" i="1"/>
  <c r="AB39" i="1"/>
  <c r="AB55" i="1"/>
  <c r="AB60" i="1"/>
  <c r="AZ60" i="1"/>
  <c r="AZ55" i="1"/>
  <c r="AZ39" i="1"/>
  <c r="X60" i="1"/>
  <c r="X39" i="1"/>
  <c r="X55" i="1"/>
  <c r="AO114" i="1"/>
  <c r="BE52" i="1"/>
  <c r="BE37" i="1"/>
  <c r="H58" i="1"/>
  <c r="H52" i="1"/>
  <c r="H37" i="1"/>
  <c r="H59" i="1"/>
  <c r="P59" i="1"/>
  <c r="P58" i="1"/>
  <c r="P52" i="1"/>
  <c r="P37" i="1"/>
  <c r="AG55" i="1"/>
  <c r="AG60" i="1"/>
  <c r="AG39" i="1"/>
  <c r="L60" i="1"/>
  <c r="L39" i="1"/>
  <c r="L55" i="1"/>
  <c r="AP117" i="1"/>
  <c r="AI52" i="1"/>
  <c r="AI59" i="1"/>
  <c r="AI37" i="1"/>
  <c r="AI58" i="1"/>
  <c r="AP52" i="1"/>
  <c r="AP59" i="1"/>
  <c r="AP37" i="1"/>
  <c r="AP58" i="1"/>
  <c r="AK60" i="1"/>
  <c r="AK55" i="1"/>
  <c r="AK39" i="1"/>
  <c r="V57" i="1"/>
  <c r="V41" i="1"/>
  <c r="V56" i="1" s="1"/>
  <c r="Y60" i="1"/>
  <c r="Y55" i="1"/>
  <c r="Y39" i="1"/>
  <c r="AW58" i="1"/>
  <c r="M60" i="1"/>
  <c r="M55" i="1"/>
  <c r="M39" i="1"/>
  <c r="R55" i="1"/>
  <c r="R60" i="1"/>
  <c r="R39" i="1"/>
  <c r="AE60" i="1"/>
  <c r="AE39" i="1"/>
  <c r="AE55" i="1"/>
  <c r="U55" i="1"/>
  <c r="U60" i="1"/>
  <c r="U39" i="1"/>
  <c r="AA59" i="1"/>
  <c r="AA58" i="1"/>
  <c r="AA37" i="1"/>
  <c r="AA52" i="1"/>
  <c r="BD59" i="1"/>
  <c r="BD52" i="1"/>
  <c r="BD37" i="1"/>
  <c r="BD58" i="1"/>
  <c r="AJ57" i="1"/>
  <c r="AJ41" i="1"/>
  <c r="O59" i="1"/>
  <c r="O58" i="1"/>
  <c r="O37" i="1"/>
  <c r="O52" i="1"/>
  <c r="AC39" i="1"/>
  <c r="AC60" i="1"/>
  <c r="AC55" i="1"/>
  <c r="AX60" i="1"/>
  <c r="AX39" i="1"/>
  <c r="AX55" i="1"/>
  <c r="AR55" i="1"/>
  <c r="AR39" i="1"/>
  <c r="AR60" i="1"/>
  <c r="AO59" i="1"/>
  <c r="AO52" i="1"/>
  <c r="AO37" i="1"/>
  <c r="AO58" i="1"/>
  <c r="E59" i="1"/>
  <c r="E52" i="1"/>
  <c r="E37" i="1"/>
  <c r="E58" i="1"/>
  <c r="BC59" i="1"/>
  <c r="BC37" i="1"/>
  <c r="BC58" i="1"/>
  <c r="BC52" i="1"/>
  <c r="BA52" i="1"/>
  <c r="BA59" i="1"/>
  <c r="BA58" i="1"/>
  <c r="BA37" i="1"/>
  <c r="AN117" i="1"/>
  <c r="Q59" i="1"/>
  <c r="Q52" i="1"/>
  <c r="Q37" i="1"/>
  <c r="Q58" i="1"/>
  <c r="BG43" i="1"/>
  <c r="BH42" i="1"/>
  <c r="Z55" i="1"/>
  <c r="Z60" i="1"/>
  <c r="Z39" i="1"/>
  <c r="S57" i="1"/>
  <c r="S41" i="1"/>
  <c r="S56" i="1" s="1"/>
  <c r="P21" i="8" l="1"/>
  <c r="P22" i="8" s="1"/>
  <c r="P19" i="8"/>
  <c r="P20" i="8" s="1"/>
  <c r="P66" i="8"/>
  <c r="P67" i="8" s="1"/>
  <c r="Q15" i="8"/>
  <c r="R88" i="8"/>
  <c r="R5" i="8"/>
  <c r="N106" i="8"/>
  <c r="N108" i="8" s="1"/>
  <c r="P98" i="8"/>
  <c r="P100" i="8" s="1"/>
  <c r="O99" i="8"/>
  <c r="O102" i="8"/>
  <c r="O103" i="8" s="1"/>
  <c r="O104" i="8"/>
  <c r="O101" i="8"/>
  <c r="N71" i="8"/>
  <c r="O68" i="8"/>
  <c r="O70" i="8" s="1"/>
  <c r="O71" i="8" s="1"/>
  <c r="P61" i="8"/>
  <c r="P64" i="8"/>
  <c r="P65" i="8" s="1"/>
  <c r="Q60" i="8"/>
  <c r="Q62" i="8" s="1"/>
  <c r="Q63" i="8" s="1"/>
  <c r="O23" i="8"/>
  <c r="O25" i="8" s="1"/>
  <c r="O18" i="8"/>
  <c r="P17" i="8" s="1"/>
  <c r="M26" i="8"/>
  <c r="BZ67" i="7"/>
  <c r="BZ79" i="7" s="1"/>
  <c r="BZ72" i="7"/>
  <c r="BZ85" i="7" s="1"/>
  <c r="BZ66" i="7"/>
  <c r="BZ78" i="7" s="1"/>
  <c r="BZ70" i="7"/>
  <c r="BZ82" i="7" s="1"/>
  <c r="BZ68" i="7"/>
  <c r="BZ80" i="7" s="1"/>
  <c r="BZ71" i="7"/>
  <c r="BZ84" i="7" s="1"/>
  <c r="BZ65" i="7"/>
  <c r="BZ77" i="7" s="1"/>
  <c r="BZ69" i="7"/>
  <c r="BZ81" i="7" s="1"/>
  <c r="BZ64" i="7"/>
  <c r="BZ76" i="7" s="1"/>
  <c r="CA63" i="7"/>
  <c r="AB63" i="7"/>
  <c r="AA66" i="7"/>
  <c r="AA69" i="7"/>
  <c r="AA71" i="7"/>
  <c r="AA65" i="7"/>
  <c r="AA67" i="7"/>
  <c r="AA72" i="7"/>
  <c r="AA64" i="7"/>
  <c r="AA70" i="7"/>
  <c r="AA68" i="7"/>
  <c r="I18" i="2"/>
  <c r="J18" i="2"/>
  <c r="C14" i="2"/>
  <c r="C16" i="2" s="1"/>
  <c r="G18" i="2"/>
  <c r="O18" i="2"/>
  <c r="L14" i="2"/>
  <c r="L16" i="2" s="1"/>
  <c r="N14" i="2"/>
  <c r="N16" i="2" s="1"/>
  <c r="S18" i="2"/>
  <c r="E18" i="2"/>
  <c r="Q18" i="2"/>
  <c r="P18" i="2"/>
  <c r="R18" i="2"/>
  <c r="H18" i="2"/>
  <c r="K18" i="2"/>
  <c r="T18" i="2"/>
  <c r="D18" i="2"/>
  <c r="M18" i="2"/>
  <c r="F18" i="2"/>
  <c r="H60" i="1"/>
  <c r="H39" i="1"/>
  <c r="H55" i="1"/>
  <c r="AN57" i="1"/>
  <c r="AN41" i="1"/>
  <c r="BF52" i="1"/>
  <c r="BF37" i="1"/>
  <c r="E55" i="1"/>
  <c r="E60" i="1"/>
  <c r="E39" i="1"/>
  <c r="AK57" i="1"/>
  <c r="AK41" i="1"/>
  <c r="AY60" i="1"/>
  <c r="AY55" i="1"/>
  <c r="AY39" i="1"/>
  <c r="AD57" i="1"/>
  <c r="AD41" i="1"/>
  <c r="AD56" i="1" s="1"/>
  <c r="BE60" i="1"/>
  <c r="BE39" i="1"/>
  <c r="BE55" i="1"/>
  <c r="AO60" i="1"/>
  <c r="AO39" i="1"/>
  <c r="AO55" i="1"/>
  <c r="AP39" i="1"/>
  <c r="AP55" i="1"/>
  <c r="AP60" i="1"/>
  <c r="AV41" i="1"/>
  <c r="AV56" i="1" s="1"/>
  <c r="AV57" i="1"/>
  <c r="Z41" i="1"/>
  <c r="Z56" i="1" s="1"/>
  <c r="Z57" i="1"/>
  <c r="O55" i="1"/>
  <c r="O39" i="1"/>
  <c r="O60" i="1"/>
  <c r="C57" i="1"/>
  <c r="C41" i="1"/>
  <c r="C56" i="1" s="1"/>
  <c r="AW39" i="1"/>
  <c r="AW55" i="1"/>
  <c r="AW60" i="1"/>
  <c r="U57" i="1"/>
  <c r="U41" i="1"/>
  <c r="U56" i="1" s="1"/>
  <c r="P55" i="1"/>
  <c r="P39" i="1"/>
  <c r="P60" i="1"/>
  <c r="X57" i="1"/>
  <c r="X41" i="1"/>
  <c r="X56" i="1" s="1"/>
  <c r="K60" i="1"/>
  <c r="K39" i="1"/>
  <c r="K55" i="1"/>
  <c r="N55" i="1"/>
  <c r="N60" i="1"/>
  <c r="N39" i="1"/>
  <c r="BB41" i="1"/>
  <c r="BB56" i="1" s="1"/>
  <c r="BB57" i="1"/>
  <c r="Y57" i="1"/>
  <c r="Y41" i="1"/>
  <c r="Y56" i="1" s="1"/>
  <c r="AR57" i="1"/>
  <c r="AR41" i="1"/>
  <c r="AJ43" i="1"/>
  <c r="AJ89" i="1"/>
  <c r="AJ56" i="1"/>
  <c r="AI60" i="1"/>
  <c r="AI55" i="1"/>
  <c r="AI39" i="1"/>
  <c r="AZ57" i="1"/>
  <c r="AZ41" i="1"/>
  <c r="AZ56" i="1" s="1"/>
  <c r="T57" i="1"/>
  <c r="T41" i="1"/>
  <c r="T56" i="1" s="1"/>
  <c r="BC55" i="1"/>
  <c r="BC60" i="1"/>
  <c r="BC39" i="1"/>
  <c r="G60" i="1"/>
  <c r="G39" i="1"/>
  <c r="G55" i="1"/>
  <c r="I57" i="1"/>
  <c r="I41" i="1"/>
  <c r="I56" i="1" s="1"/>
  <c r="AE41" i="1"/>
  <c r="AE56" i="1" s="1"/>
  <c r="AE57" i="1"/>
  <c r="J57" i="1"/>
  <c r="J41" i="1"/>
  <c r="J56" i="1" s="1"/>
  <c r="AQ41" i="1"/>
  <c r="AQ57" i="1"/>
  <c r="Q55" i="1"/>
  <c r="Q39" i="1"/>
  <c r="Q60" i="1"/>
  <c r="AX57" i="1"/>
  <c r="AX41" i="1"/>
  <c r="AX56" i="1" s="1"/>
  <c r="BD60" i="1"/>
  <c r="BD39" i="1"/>
  <c r="BD55" i="1"/>
  <c r="F41" i="1"/>
  <c r="F56" i="1" s="1"/>
  <c r="F57" i="1"/>
  <c r="R41" i="1"/>
  <c r="R56" i="1" s="1"/>
  <c r="R57" i="1"/>
  <c r="AM55" i="1"/>
  <c r="AM60" i="1"/>
  <c r="AM39" i="1"/>
  <c r="BG56" i="1"/>
  <c r="BG47" i="1"/>
  <c r="BH28" i="1"/>
  <c r="BG32" i="1"/>
  <c r="L57" i="1"/>
  <c r="L41" i="1"/>
  <c r="L56" i="1" s="1"/>
  <c r="AB57" i="1"/>
  <c r="AB41" i="1"/>
  <c r="AB56" i="1" s="1"/>
  <c r="AL55" i="1"/>
  <c r="AL39" i="1"/>
  <c r="AL60" i="1"/>
  <c r="BA55" i="1"/>
  <c r="BA39" i="1"/>
  <c r="BA60" i="1"/>
  <c r="AC57" i="1"/>
  <c r="AC41" i="1"/>
  <c r="AC56" i="1" s="1"/>
  <c r="AA55" i="1"/>
  <c r="AA39" i="1"/>
  <c r="AA60" i="1"/>
  <c r="M57" i="1"/>
  <c r="M41" i="1"/>
  <c r="M56" i="1" s="1"/>
  <c r="AG41" i="1"/>
  <c r="AG57" i="1"/>
  <c r="AH55" i="1"/>
  <c r="AH39" i="1"/>
  <c r="AH60" i="1"/>
  <c r="D57" i="1"/>
  <c r="D41" i="1"/>
  <c r="D56" i="1" s="1"/>
  <c r="AF41" i="1"/>
  <c r="AF56" i="1" s="1"/>
  <c r="AF57" i="1"/>
  <c r="S88" i="8" l="1"/>
  <c r="S5" i="8"/>
  <c r="R15" i="8"/>
  <c r="Q21" i="8"/>
  <c r="Q22" i="8" s="1"/>
  <c r="Q16" i="8"/>
  <c r="Q66" i="8"/>
  <c r="Q67" i="8" s="1"/>
  <c r="Q19" i="8"/>
  <c r="Q20" i="8" s="1"/>
  <c r="N109" i="8"/>
  <c r="O106" i="8"/>
  <c r="O108" i="8" s="1"/>
  <c r="O109" i="8" s="1"/>
  <c r="Q98" i="8"/>
  <c r="Q100" i="8" s="1"/>
  <c r="P101" i="8"/>
  <c r="P104" i="8"/>
  <c r="P102" i="8"/>
  <c r="P103" i="8" s="1"/>
  <c r="P99" i="8"/>
  <c r="Q64" i="8"/>
  <c r="Q65" i="8" s="1"/>
  <c r="Q61" i="8"/>
  <c r="P68" i="8"/>
  <c r="P70" i="8" s="1"/>
  <c r="P71" i="8" s="1"/>
  <c r="R60" i="8"/>
  <c r="O26" i="8"/>
  <c r="P18" i="8"/>
  <c r="Q17" i="8" s="1"/>
  <c r="P23" i="8"/>
  <c r="P25" i="8" s="1"/>
  <c r="T65" i="2"/>
  <c r="CA72" i="7"/>
  <c r="CA85" i="7" s="1"/>
  <c r="CA66" i="7"/>
  <c r="CA78" i="7" s="1"/>
  <c r="CA67" i="7"/>
  <c r="CA79" i="7" s="1"/>
  <c r="CA68" i="7"/>
  <c r="CA80" i="7" s="1"/>
  <c r="CA69" i="7"/>
  <c r="CA81" i="7" s="1"/>
  <c r="CB63" i="7"/>
  <c r="CA65" i="7"/>
  <c r="CA77" i="7" s="1"/>
  <c r="CA64" i="7"/>
  <c r="CA76" i="7" s="1"/>
  <c r="CA70" i="7"/>
  <c r="CA82" i="7" s="1"/>
  <c r="CA71" i="7"/>
  <c r="CA84" i="7" s="1"/>
  <c r="AC63" i="7"/>
  <c r="AB71" i="7"/>
  <c r="AB72" i="7"/>
  <c r="AB69" i="7"/>
  <c r="AB65" i="7"/>
  <c r="AB67" i="7"/>
  <c r="AB64" i="7"/>
  <c r="AB70" i="7"/>
  <c r="AB68" i="7"/>
  <c r="AB66" i="7"/>
  <c r="AM57" i="1"/>
  <c r="AM41" i="1"/>
  <c r="AK56" i="1"/>
  <c r="AK89" i="1"/>
  <c r="AK43" i="1"/>
  <c r="Q41" i="1"/>
  <c r="Q56" i="1" s="1"/>
  <c r="Q57" i="1"/>
  <c r="AL57" i="1"/>
  <c r="AL41" i="1"/>
  <c r="E57" i="1"/>
  <c r="E41" i="1"/>
  <c r="E56" i="1" s="1"/>
  <c r="AR56" i="1"/>
  <c r="AR43" i="1"/>
  <c r="AA57" i="1"/>
  <c r="AA41" i="1"/>
  <c r="AA56" i="1" s="1"/>
  <c r="H57" i="1"/>
  <c r="H41" i="1"/>
  <c r="H56" i="1" s="1"/>
  <c r="G41" i="1"/>
  <c r="G56" i="1" s="1"/>
  <c r="G57" i="1"/>
  <c r="AW41" i="1"/>
  <c r="AW56" i="1" s="1"/>
  <c r="AW57" i="1"/>
  <c r="AP57" i="1"/>
  <c r="AP41" i="1"/>
  <c r="K57" i="1"/>
  <c r="K41" i="1"/>
  <c r="K56" i="1" s="1"/>
  <c r="AG43" i="1"/>
  <c r="AG56" i="1"/>
  <c r="AG89" i="1"/>
  <c r="BC57" i="1"/>
  <c r="BC41" i="1"/>
  <c r="BC56" i="1" s="1"/>
  <c r="AO57" i="1"/>
  <c r="AO41" i="1"/>
  <c r="AQ56" i="1"/>
  <c r="AQ89" i="1"/>
  <c r="AQ43" i="1"/>
  <c r="O41" i="1"/>
  <c r="O56" i="1" s="1"/>
  <c r="O57" i="1"/>
  <c r="BE57" i="1"/>
  <c r="BE41" i="1"/>
  <c r="BF55" i="1"/>
  <c r="BF39" i="1"/>
  <c r="P41" i="1"/>
  <c r="P56" i="1" s="1"/>
  <c r="P57" i="1"/>
  <c r="AN89" i="1"/>
  <c r="AN43" i="1"/>
  <c r="AN56" i="1"/>
  <c r="BG37" i="1"/>
  <c r="BG52" i="1"/>
  <c r="BD57" i="1"/>
  <c r="BD41" i="1"/>
  <c r="BD56" i="1" s="1"/>
  <c r="BH47" i="1"/>
  <c r="BH32" i="1"/>
  <c r="AI57" i="1"/>
  <c r="AI41" i="1"/>
  <c r="N41" i="1"/>
  <c r="N56" i="1" s="1"/>
  <c r="N57" i="1"/>
  <c r="AY57" i="1"/>
  <c r="AY41" i="1"/>
  <c r="AY56" i="1" s="1"/>
  <c r="AH57" i="1"/>
  <c r="AH41" i="1"/>
  <c r="BA41" i="1"/>
  <c r="BA56" i="1" s="1"/>
  <c r="BA57" i="1"/>
  <c r="L80" i="2" l="1"/>
  <c r="G105" i="2"/>
  <c r="G108" i="2" s="1"/>
  <c r="L105" i="2"/>
  <c r="H105" i="2"/>
  <c r="M105" i="2"/>
  <c r="T105" i="2"/>
  <c r="N105" i="2"/>
  <c r="N107" i="2" s="1"/>
  <c r="N109" i="2" s="1"/>
  <c r="I105" i="2"/>
  <c r="C105" i="2"/>
  <c r="C107" i="2" s="1"/>
  <c r="C109" i="2" s="1"/>
  <c r="J105" i="2"/>
  <c r="O105" i="2"/>
  <c r="D105" i="2"/>
  <c r="D108" i="2" s="1"/>
  <c r="P105" i="2"/>
  <c r="Q105" i="2"/>
  <c r="F105" i="2"/>
  <c r="R105" i="2"/>
  <c r="S105" i="2"/>
  <c r="S108" i="2" s="1"/>
  <c r="E105" i="2"/>
  <c r="K105" i="2"/>
  <c r="C59" i="2"/>
  <c r="M59" i="2"/>
  <c r="M70" i="2" s="1"/>
  <c r="K59" i="2"/>
  <c r="K70" i="2" s="1"/>
  <c r="H80" i="2"/>
  <c r="L107" i="2"/>
  <c r="L109" i="2" s="1"/>
  <c r="D80" i="2"/>
  <c r="D59" i="2"/>
  <c r="D70" i="2" s="1"/>
  <c r="Q59" i="2"/>
  <c r="Q61" i="2" s="1"/>
  <c r="E80" i="2"/>
  <c r="P59" i="2"/>
  <c r="P61" i="2" s="1"/>
  <c r="K80" i="2"/>
  <c r="C80" i="2"/>
  <c r="I59" i="2"/>
  <c r="I70" i="2" s="1"/>
  <c r="P80" i="2"/>
  <c r="Q80" i="2"/>
  <c r="T59" i="2"/>
  <c r="T70" i="2" s="1"/>
  <c r="N80" i="2"/>
  <c r="J80" i="2"/>
  <c r="F108" i="2"/>
  <c r="G80" i="2"/>
  <c r="F80" i="2"/>
  <c r="R80" i="2"/>
  <c r="T80" i="2"/>
  <c r="N59" i="2"/>
  <c r="N70" i="2" s="1"/>
  <c r="T108" i="2"/>
  <c r="H59" i="2"/>
  <c r="H70" i="2" s="1"/>
  <c r="C70" i="2"/>
  <c r="O80" i="2"/>
  <c r="O59" i="2"/>
  <c r="O63" i="2" s="1"/>
  <c r="G59" i="2"/>
  <c r="G63" i="2" s="1"/>
  <c r="F59" i="2"/>
  <c r="F70" i="2" s="1"/>
  <c r="I80" i="2"/>
  <c r="S59" i="2"/>
  <c r="S61" i="2" s="1"/>
  <c r="R59" i="2"/>
  <c r="R70" i="2" s="1"/>
  <c r="S80" i="2"/>
  <c r="E59" i="2"/>
  <c r="E61" i="2" s="1"/>
  <c r="L59" i="2"/>
  <c r="J59" i="2"/>
  <c r="J63" i="2" s="1"/>
  <c r="M80" i="2"/>
  <c r="R19" i="8"/>
  <c r="R20" i="8" s="1"/>
  <c r="R61" i="8"/>
  <c r="R62" i="8"/>
  <c r="R63" i="8" s="1"/>
  <c r="R66" i="8"/>
  <c r="R67" i="8" s="1"/>
  <c r="R21" i="8"/>
  <c r="R22" i="8" s="1"/>
  <c r="R16" i="8"/>
  <c r="T88" i="8"/>
  <c r="T5" i="8"/>
  <c r="S15" i="8"/>
  <c r="Q101" i="8"/>
  <c r="Q104" i="8"/>
  <c r="Q102" i="8"/>
  <c r="Q103" i="8" s="1"/>
  <c r="Q99" i="8"/>
  <c r="P106" i="8"/>
  <c r="P108" i="8" s="1"/>
  <c r="P109" i="8" s="1"/>
  <c r="R98" i="8"/>
  <c r="R100" i="8" s="1"/>
  <c r="S60" i="8"/>
  <c r="S62" i="8" s="1"/>
  <c r="S63" i="8" s="1"/>
  <c r="R64" i="8"/>
  <c r="R65" i="8" s="1"/>
  <c r="Q68" i="8"/>
  <c r="Q70" i="8" s="1"/>
  <c r="P26" i="8"/>
  <c r="Q18" i="8"/>
  <c r="R17" i="8" s="1"/>
  <c r="Q23" i="8"/>
  <c r="Q25" i="8" s="1"/>
  <c r="Q26" i="8" s="1"/>
  <c r="CB72" i="7"/>
  <c r="CB85" i="7" s="1"/>
  <c r="CB66" i="7"/>
  <c r="CB78" i="7" s="1"/>
  <c r="CB71" i="7"/>
  <c r="CB84" i="7" s="1"/>
  <c r="CB65" i="7"/>
  <c r="CB77" i="7" s="1"/>
  <c r="CB69" i="7"/>
  <c r="CB81" i="7" s="1"/>
  <c r="CB68" i="7"/>
  <c r="CB80" i="7" s="1"/>
  <c r="CB64" i="7"/>
  <c r="CB76" i="7" s="1"/>
  <c r="CB67" i="7"/>
  <c r="CB79" i="7" s="1"/>
  <c r="CC63" i="7"/>
  <c r="CB70" i="7"/>
  <c r="CB82" i="7" s="1"/>
  <c r="AD63" i="7"/>
  <c r="AC65" i="7"/>
  <c r="AC69" i="7"/>
  <c r="AC67" i="7"/>
  <c r="AC64" i="7"/>
  <c r="AC72" i="7"/>
  <c r="AC70" i="7"/>
  <c r="AC71" i="7"/>
  <c r="AC68" i="7"/>
  <c r="AC66" i="7"/>
  <c r="M63" i="2"/>
  <c r="F63" i="2"/>
  <c r="M61" i="2"/>
  <c r="O61" i="2"/>
  <c r="G70" i="2"/>
  <c r="BG55" i="1"/>
  <c r="BG39" i="1"/>
  <c r="AL89" i="1"/>
  <c r="AL56" i="1"/>
  <c r="AL43" i="1"/>
  <c r="AO56" i="1"/>
  <c r="AO43" i="1"/>
  <c r="AO89" i="1"/>
  <c r="AQ118" i="1" s="1"/>
  <c r="AM89" i="1"/>
  <c r="AP118" i="1" s="1"/>
  <c r="AM56" i="1"/>
  <c r="AM43" i="1"/>
  <c r="AH43" i="1"/>
  <c r="AH89" i="1"/>
  <c r="AH56" i="1"/>
  <c r="AP56" i="1"/>
  <c r="AP43" i="1"/>
  <c r="AP89" i="1"/>
  <c r="AI43" i="1"/>
  <c r="AI89" i="1"/>
  <c r="BD89" i="1" s="1"/>
  <c r="AI56" i="1"/>
  <c r="BH37" i="1"/>
  <c r="BH52" i="1"/>
  <c r="BE56" i="1"/>
  <c r="BE43" i="1"/>
  <c r="BE61" i="1" s="1"/>
  <c r="BE89" i="1"/>
  <c r="K63" i="2" l="1"/>
  <c r="K61" i="2"/>
  <c r="O70" i="2"/>
  <c r="R61" i="2"/>
  <c r="I63" i="2"/>
  <c r="N63" i="2"/>
  <c r="L108" i="2"/>
  <c r="J70" i="2"/>
  <c r="G61" i="2"/>
  <c r="J61" i="2"/>
  <c r="C108" i="2"/>
  <c r="P70" i="2"/>
  <c r="N108" i="2"/>
  <c r="D107" i="2"/>
  <c r="D109" i="2" s="1"/>
  <c r="C63" i="2"/>
  <c r="E70" i="2"/>
  <c r="C61" i="2"/>
  <c r="Q107" i="2"/>
  <c r="Q109" i="2" s="1"/>
  <c r="Q108" i="2"/>
  <c r="P107" i="2"/>
  <c r="P109" i="2" s="1"/>
  <c r="P108" i="2"/>
  <c r="H107" i="2"/>
  <c r="H109" i="2" s="1"/>
  <c r="H108" i="2"/>
  <c r="E63" i="2"/>
  <c r="R63" i="2"/>
  <c r="I107" i="2"/>
  <c r="I109" i="2" s="1"/>
  <c r="I108" i="2"/>
  <c r="D61" i="2"/>
  <c r="Q63" i="2"/>
  <c r="J108" i="2"/>
  <c r="J107" i="2"/>
  <c r="J109" i="2" s="1"/>
  <c r="D63" i="2"/>
  <c r="H61" i="2"/>
  <c r="G107" i="2"/>
  <c r="G109" i="2" s="1"/>
  <c r="K108" i="2"/>
  <c r="K107" i="2"/>
  <c r="K109" i="2" s="1"/>
  <c r="T61" i="2"/>
  <c r="H63" i="2"/>
  <c r="F61" i="2"/>
  <c r="S107" i="2"/>
  <c r="S109" i="2" s="1"/>
  <c r="T107" i="2"/>
  <c r="T109" i="2" s="1"/>
  <c r="O107" i="2"/>
  <c r="O109" i="2" s="1"/>
  <c r="O108" i="2"/>
  <c r="Q70" i="2"/>
  <c r="P63" i="2"/>
  <c r="N61" i="2"/>
  <c r="L70" i="2"/>
  <c r="L61" i="2"/>
  <c r="L63" i="2"/>
  <c r="M107" i="2"/>
  <c r="M109" i="2" s="1"/>
  <c r="M108" i="2"/>
  <c r="S63" i="2"/>
  <c r="S70" i="2"/>
  <c r="T63" i="2"/>
  <c r="I61" i="2"/>
  <c r="F107" i="2"/>
  <c r="F109" i="2" s="1"/>
  <c r="R107" i="2"/>
  <c r="R109" i="2" s="1"/>
  <c r="R108" i="2"/>
  <c r="E108" i="2"/>
  <c r="E107" i="2"/>
  <c r="E109" i="2" s="1"/>
  <c r="S19" i="8"/>
  <c r="S20" i="8" s="1"/>
  <c r="U88" i="8"/>
  <c r="U5" i="8"/>
  <c r="T15" i="8"/>
  <c r="S21" i="8"/>
  <c r="S22" i="8" s="1"/>
  <c r="S16" i="8"/>
  <c r="S66" i="8"/>
  <c r="S67" i="8" s="1"/>
  <c r="Q71" i="8"/>
  <c r="R104" i="8"/>
  <c r="R99" i="8"/>
  <c r="R102" i="8"/>
  <c r="R103" i="8" s="1"/>
  <c r="R101" i="8"/>
  <c r="S98" i="8"/>
  <c r="S100" i="8" s="1"/>
  <c r="Q106" i="8"/>
  <c r="Q108" i="8" s="1"/>
  <c r="R68" i="8"/>
  <c r="R70" i="8" s="1"/>
  <c r="R71" i="8" s="1"/>
  <c r="S64" i="8"/>
  <c r="S65" i="8" s="1"/>
  <c r="S61" i="8"/>
  <c r="T60" i="8"/>
  <c r="T62" i="8" s="1"/>
  <c r="T63" i="8" s="1"/>
  <c r="R18" i="8"/>
  <c r="S17" i="8" s="1"/>
  <c r="R23" i="8"/>
  <c r="R25" i="8"/>
  <c r="R26" i="8" s="1"/>
  <c r="CC71" i="7"/>
  <c r="CC84" i="7" s="1"/>
  <c r="CC65" i="7"/>
  <c r="CC77" i="7" s="1"/>
  <c r="CC69" i="7"/>
  <c r="CC81" i="7" s="1"/>
  <c r="CC70" i="7"/>
  <c r="CC82" i="7" s="1"/>
  <c r="CC72" i="7"/>
  <c r="CC85" i="7" s="1"/>
  <c r="CC64" i="7"/>
  <c r="CC76" i="7" s="1"/>
  <c r="CC67" i="7"/>
  <c r="CC79" i="7" s="1"/>
  <c r="CC66" i="7"/>
  <c r="CC78" i="7" s="1"/>
  <c r="CD63" i="7"/>
  <c r="CC68" i="7"/>
  <c r="CC80" i="7" s="1"/>
  <c r="AE63" i="7"/>
  <c r="AD69" i="7"/>
  <c r="AD65" i="7"/>
  <c r="AD67" i="7"/>
  <c r="AD64" i="7"/>
  <c r="AD72" i="7"/>
  <c r="AD70" i="7"/>
  <c r="AD68" i="7"/>
  <c r="AD71" i="7"/>
  <c r="AD66" i="7"/>
  <c r="BH39" i="1"/>
  <c r="BH41" i="1" s="1"/>
  <c r="BH55" i="1"/>
  <c r="AJ118" i="1"/>
  <c r="AO118" i="1"/>
  <c r="AN118" i="1"/>
  <c r="T66" i="8" l="1"/>
  <c r="T67" i="8" s="1"/>
  <c r="T21" i="8"/>
  <c r="T22" i="8" s="1"/>
  <c r="T16" i="8"/>
  <c r="U15" i="8"/>
  <c r="V88" i="8"/>
  <c r="T19" i="8"/>
  <c r="T20" i="8" s="1"/>
  <c r="U19" i="8" s="1"/>
  <c r="U20" i="8" s="1"/>
  <c r="Q109" i="8"/>
  <c r="T98" i="8"/>
  <c r="T100" i="8" s="1"/>
  <c r="R106" i="8"/>
  <c r="R108" i="8" s="1"/>
  <c r="R109" i="8" s="1"/>
  <c r="S99" i="8"/>
  <c r="S104" i="8"/>
  <c r="S102" i="8"/>
  <c r="S103" i="8" s="1"/>
  <c r="S101" i="8"/>
  <c r="U60" i="8"/>
  <c r="U62" i="8" s="1"/>
  <c r="U63" i="8" s="1"/>
  <c r="T61" i="8"/>
  <c r="T64" i="8"/>
  <c r="T65" i="8" s="1"/>
  <c r="S68" i="8"/>
  <c r="S70" i="8" s="1"/>
  <c r="S18" i="8"/>
  <c r="T17" i="8" s="1"/>
  <c r="S23" i="8"/>
  <c r="S25" i="8" s="1"/>
  <c r="CD71" i="7"/>
  <c r="CD84" i="7" s="1"/>
  <c r="CD65" i="7"/>
  <c r="CD77" i="7" s="1"/>
  <c r="CD70" i="7"/>
  <c r="CD82" i="7" s="1"/>
  <c r="CD64" i="7"/>
  <c r="CD76" i="7" s="1"/>
  <c r="CD68" i="7"/>
  <c r="CD80" i="7" s="1"/>
  <c r="CD69" i="7"/>
  <c r="CD81" i="7" s="1"/>
  <c r="CD67" i="7"/>
  <c r="CD79" i="7" s="1"/>
  <c r="CD66" i="7"/>
  <c r="CD78" i="7" s="1"/>
  <c r="CE63" i="7"/>
  <c r="CD72" i="7"/>
  <c r="CD85" i="7" s="1"/>
  <c r="AF63" i="7"/>
  <c r="AE65" i="7"/>
  <c r="AE67" i="7"/>
  <c r="AE64" i="7"/>
  <c r="AE70" i="7"/>
  <c r="AE68" i="7"/>
  <c r="AE72" i="7"/>
  <c r="AE71" i="7"/>
  <c r="AE66" i="7"/>
  <c r="AE69" i="7"/>
  <c r="BH43" i="1"/>
  <c r="BH56" i="1"/>
  <c r="BI41" i="1"/>
  <c r="BJ41" i="1" s="1"/>
  <c r="BK41" i="1" s="1"/>
  <c r="BL41" i="1" s="1"/>
  <c r="BM41" i="1" s="1"/>
  <c r="BN41" i="1" s="1"/>
  <c r="BO41" i="1" s="1"/>
  <c r="BP41" i="1" s="1"/>
  <c r="BQ41" i="1" s="1"/>
  <c r="BR41" i="1" s="1"/>
  <c r="BS41" i="1" s="1"/>
  <c r="BT41" i="1" s="1"/>
  <c r="BU41" i="1" s="1"/>
  <c r="BV41" i="1" s="1"/>
  <c r="BW41" i="1" s="1"/>
  <c r="BX41" i="1" s="1"/>
  <c r="BY41" i="1" s="1"/>
  <c r="BZ41" i="1" s="1"/>
  <c r="CA41" i="1" s="1"/>
  <c r="CB41" i="1" s="1"/>
  <c r="CC41" i="1" s="1"/>
  <c r="CD41" i="1" s="1"/>
  <c r="CE41" i="1" s="1"/>
  <c r="CF41" i="1" s="1"/>
  <c r="CG41" i="1" s="1"/>
  <c r="CH41" i="1" s="1"/>
  <c r="CI41" i="1" s="1"/>
  <c r="CJ41" i="1" s="1"/>
  <c r="CK41" i="1" s="1"/>
  <c r="CL41" i="1" s="1"/>
  <c r="CM41" i="1" s="1"/>
  <c r="CN41" i="1" s="1"/>
  <c r="CO41" i="1" s="1"/>
  <c r="CP41" i="1" s="1"/>
  <c r="CQ41" i="1" s="1"/>
  <c r="CR41" i="1" s="1"/>
  <c r="CS41" i="1" s="1"/>
  <c r="CT41" i="1" s="1"/>
  <c r="CU41" i="1" s="1"/>
  <c r="CV41" i="1" s="1"/>
  <c r="CW41" i="1" s="1"/>
  <c r="CX41" i="1" s="1"/>
  <c r="CY41" i="1" s="1"/>
  <c r="CZ41" i="1" s="1"/>
  <c r="DA41" i="1" s="1"/>
  <c r="DB41" i="1" s="1"/>
  <c r="DC41" i="1" s="1"/>
  <c r="DD41" i="1" s="1"/>
  <c r="DE41" i="1" s="1"/>
  <c r="DF41" i="1" s="1"/>
  <c r="DG41" i="1" s="1"/>
  <c r="DH41" i="1" s="1"/>
  <c r="DI41" i="1" s="1"/>
  <c r="DJ41" i="1" s="1"/>
  <c r="DK41" i="1" s="1"/>
  <c r="DL41" i="1" s="1"/>
  <c r="DM41" i="1" s="1"/>
  <c r="DN41" i="1" s="1"/>
  <c r="DO41" i="1" s="1"/>
  <c r="DP41" i="1" s="1"/>
  <c r="DQ41" i="1" s="1"/>
  <c r="DR41" i="1" s="1"/>
  <c r="DS41" i="1" s="1"/>
  <c r="DT41" i="1" s="1"/>
  <c r="DU41" i="1" s="1"/>
  <c r="DV41" i="1" s="1"/>
  <c r="DW41" i="1" s="1"/>
  <c r="DX41" i="1" s="1"/>
  <c r="DY41" i="1" s="1"/>
  <c r="DZ41" i="1" s="1"/>
  <c r="EA41" i="1" s="1"/>
  <c r="EB41" i="1" s="1"/>
  <c r="EC41" i="1" s="1"/>
  <c r="ED41" i="1" s="1"/>
  <c r="EE41" i="1" s="1"/>
  <c r="EF41" i="1" s="1"/>
  <c r="EG41" i="1" s="1"/>
  <c r="EH41" i="1" s="1"/>
  <c r="EI41" i="1" s="1"/>
  <c r="EJ41" i="1" s="1"/>
  <c r="EK41" i="1" s="1"/>
  <c r="EL41" i="1" s="1"/>
  <c r="EM41" i="1" s="1"/>
  <c r="EN41" i="1" s="1"/>
  <c r="EO41" i="1" s="1"/>
  <c r="EP41" i="1" s="1"/>
  <c r="EQ41" i="1" s="1"/>
  <c r="ER41" i="1" s="1"/>
  <c r="ES41" i="1" s="1"/>
  <c r="ET41" i="1" s="1"/>
  <c r="EU41" i="1" s="1"/>
  <c r="EV41" i="1" s="1"/>
  <c r="EW41" i="1" s="1"/>
  <c r="EX41" i="1" s="1"/>
  <c r="EY41" i="1" s="1"/>
  <c r="EZ41" i="1" s="1"/>
  <c r="FA41" i="1" s="1"/>
  <c r="FB41" i="1" s="1"/>
  <c r="FC41" i="1" s="1"/>
  <c r="FD41" i="1" s="1"/>
  <c r="FE41" i="1" s="1"/>
  <c r="FF41" i="1" s="1"/>
  <c r="FG41" i="1" s="1"/>
  <c r="FH41" i="1" s="1"/>
  <c r="FI41" i="1" s="1"/>
  <c r="FJ41" i="1" s="1"/>
  <c r="FK41" i="1" s="1"/>
  <c r="FL41" i="1" s="1"/>
  <c r="FM41" i="1" s="1"/>
  <c r="FN41" i="1" s="1"/>
  <c r="FO41" i="1" s="1"/>
  <c r="FP41" i="1" s="1"/>
  <c r="FQ41" i="1" s="1"/>
  <c r="FR41" i="1" s="1"/>
  <c r="FS41" i="1" s="1"/>
  <c r="FT41" i="1" s="1"/>
  <c r="FU41" i="1" s="1"/>
  <c r="FV41" i="1" s="1"/>
  <c r="FW41" i="1" s="1"/>
  <c r="FX41" i="1" s="1"/>
  <c r="FY41" i="1" s="1"/>
  <c r="FZ41" i="1" s="1"/>
  <c r="GA41" i="1" s="1"/>
  <c r="GB41" i="1" s="1"/>
  <c r="GC41" i="1" s="1"/>
  <c r="GD41" i="1" s="1"/>
  <c r="GE41" i="1" s="1"/>
  <c r="GF41" i="1" s="1"/>
  <c r="GG41" i="1" s="1"/>
  <c r="GH41" i="1" s="1"/>
  <c r="GI41" i="1" s="1"/>
  <c r="GJ41" i="1" s="1"/>
  <c r="GK41" i="1" s="1"/>
  <c r="GL41" i="1" s="1"/>
  <c r="GM41" i="1" s="1"/>
  <c r="GN41" i="1" s="1"/>
  <c r="GO41" i="1" s="1"/>
  <c r="GP41" i="1" s="1"/>
  <c r="GQ41" i="1" s="1"/>
  <c r="GR41" i="1" s="1"/>
  <c r="GS41" i="1" s="1"/>
  <c r="GT41" i="1" s="1"/>
  <c r="GU41" i="1" s="1"/>
  <c r="GV41" i="1" s="1"/>
  <c r="GW41" i="1" s="1"/>
  <c r="GX41" i="1" s="1"/>
  <c r="GY41" i="1" s="1"/>
  <c r="GZ41" i="1" s="1"/>
  <c r="HA41" i="1" s="1"/>
  <c r="HB41" i="1" s="1"/>
  <c r="HC41" i="1" s="1"/>
  <c r="HD41" i="1" s="1"/>
  <c r="HE41" i="1" s="1"/>
  <c r="HF41" i="1" s="1"/>
  <c r="HG41" i="1" s="1"/>
  <c r="HH41" i="1" s="1"/>
  <c r="HI41" i="1" s="1"/>
  <c r="HJ41" i="1" s="1"/>
  <c r="HK41" i="1" s="1"/>
  <c r="HL41" i="1" s="1"/>
  <c r="HM41" i="1" s="1"/>
  <c r="HN41" i="1" s="1"/>
  <c r="HO41" i="1" s="1"/>
  <c r="HP41" i="1" s="1"/>
  <c r="HQ41" i="1" s="1"/>
  <c r="HR41" i="1" s="1"/>
  <c r="HS41" i="1" s="1"/>
  <c r="HT41" i="1" s="1"/>
  <c r="HU41" i="1" s="1"/>
  <c r="HV41" i="1" s="1"/>
  <c r="HW41" i="1" s="1"/>
  <c r="HX41" i="1" s="1"/>
  <c r="HY41" i="1" s="1"/>
  <c r="HZ41" i="1" s="1"/>
  <c r="IA41" i="1" s="1"/>
  <c r="IB41" i="1" s="1"/>
  <c r="IC41" i="1" s="1"/>
  <c r="ID41" i="1" s="1"/>
  <c r="IE41" i="1" s="1"/>
  <c r="IF41" i="1" s="1"/>
  <c r="IG41" i="1" s="1"/>
  <c r="IH41" i="1" s="1"/>
  <c r="II41" i="1" s="1"/>
  <c r="IJ41" i="1" s="1"/>
  <c r="IK41" i="1" s="1"/>
  <c r="IL41" i="1" s="1"/>
  <c r="IM41" i="1" s="1"/>
  <c r="IN41" i="1" s="1"/>
  <c r="IO41" i="1" s="1"/>
  <c r="IP41" i="1" s="1"/>
  <c r="IQ41" i="1" s="1"/>
  <c r="IR41" i="1" s="1"/>
  <c r="IS41" i="1" s="1"/>
  <c r="IT41" i="1" s="1"/>
  <c r="IU41" i="1" s="1"/>
  <c r="IV41" i="1" s="1"/>
  <c r="IW41" i="1" s="1"/>
  <c r="IX41" i="1" s="1"/>
  <c r="IY41" i="1" s="1"/>
  <c r="IZ41" i="1" s="1"/>
  <c r="JA41" i="1" s="1"/>
  <c r="JB41" i="1" s="1"/>
  <c r="JC41" i="1" s="1"/>
  <c r="JD41" i="1" s="1"/>
  <c r="JE41" i="1" s="1"/>
  <c r="JF41" i="1" s="1"/>
  <c r="JG41" i="1" s="1"/>
  <c r="JH41" i="1" s="1"/>
  <c r="JI41" i="1" s="1"/>
  <c r="JJ41" i="1" s="1"/>
  <c r="JK41" i="1" s="1"/>
  <c r="JL41" i="1" s="1"/>
  <c r="JM41" i="1" s="1"/>
  <c r="JN41" i="1" s="1"/>
  <c r="JO41" i="1" s="1"/>
  <c r="JP41" i="1" s="1"/>
  <c r="JQ41" i="1" s="1"/>
  <c r="JR41" i="1" s="1"/>
  <c r="JS41" i="1" s="1"/>
  <c r="JT41" i="1" s="1"/>
  <c r="JU41" i="1" s="1"/>
  <c r="JV41" i="1" s="1"/>
  <c r="JW41" i="1" s="1"/>
  <c r="JX41" i="1" s="1"/>
  <c r="JY41" i="1" s="1"/>
  <c r="JZ41" i="1" s="1"/>
  <c r="KA41" i="1" s="1"/>
  <c r="KB41" i="1" s="1"/>
  <c r="KC41" i="1" s="1"/>
  <c r="KD41" i="1" s="1"/>
  <c r="KE41" i="1" s="1"/>
  <c r="KF41" i="1" s="1"/>
  <c r="KG41" i="1" s="1"/>
  <c r="KH41" i="1" s="1"/>
  <c r="KI41" i="1" s="1"/>
  <c r="KJ41" i="1" s="1"/>
  <c r="KK41" i="1" s="1"/>
  <c r="KL41" i="1" s="1"/>
  <c r="KM41" i="1" s="1"/>
  <c r="KN41" i="1" s="1"/>
  <c r="KO41" i="1" s="1"/>
  <c r="KP41" i="1" s="1"/>
  <c r="KQ41" i="1" s="1"/>
  <c r="KR41" i="1" s="1"/>
  <c r="KS41" i="1" s="1"/>
  <c r="KT41" i="1" s="1"/>
  <c r="KU41" i="1" s="1"/>
  <c r="KV41" i="1" s="1"/>
  <c r="KW41" i="1" s="1"/>
  <c r="KX41" i="1" s="1"/>
  <c r="KY41" i="1" s="1"/>
  <c r="KZ41" i="1" s="1"/>
  <c r="LA41" i="1" s="1"/>
  <c r="LB41" i="1" s="1"/>
  <c r="LC41" i="1" s="1"/>
  <c r="LD41" i="1" s="1"/>
  <c r="LE41" i="1" s="1"/>
  <c r="LF41" i="1" s="1"/>
  <c r="LG41" i="1" s="1"/>
  <c r="LH41" i="1" s="1"/>
  <c r="LI41" i="1" s="1"/>
  <c r="LJ41" i="1" s="1"/>
  <c r="LK41" i="1" s="1"/>
  <c r="LL41" i="1" s="1"/>
  <c r="LM41" i="1" s="1"/>
  <c r="LN41" i="1" s="1"/>
  <c r="LO41" i="1" s="1"/>
  <c r="LP41" i="1" s="1"/>
  <c r="LQ41" i="1" s="1"/>
  <c r="LR41" i="1" s="1"/>
  <c r="LS41" i="1" s="1"/>
  <c r="LT41" i="1" s="1"/>
  <c r="LU41" i="1" s="1"/>
  <c r="LV41" i="1" s="1"/>
  <c r="LW41" i="1" s="1"/>
  <c r="LX41" i="1" s="1"/>
  <c r="LY41" i="1" s="1"/>
  <c r="LZ41" i="1" s="1"/>
  <c r="MA41" i="1" s="1"/>
  <c r="MB41" i="1" s="1"/>
  <c r="MC41" i="1" s="1"/>
  <c r="MD41" i="1" s="1"/>
  <c r="ME41" i="1" s="1"/>
  <c r="MF41" i="1" s="1"/>
  <c r="MG41" i="1" s="1"/>
  <c r="MH41" i="1" s="1"/>
  <c r="MI41" i="1" s="1"/>
  <c r="MJ41" i="1" s="1"/>
  <c r="MK41" i="1" s="1"/>
  <c r="ML41" i="1" s="1"/>
  <c r="MM41" i="1" s="1"/>
  <c r="MN41" i="1" s="1"/>
  <c r="MO41" i="1" s="1"/>
  <c r="MP41" i="1" s="1"/>
  <c r="MQ41" i="1" s="1"/>
  <c r="MR41" i="1" s="1"/>
  <c r="MS41" i="1" s="1"/>
  <c r="MT41" i="1" s="1"/>
  <c r="MU41" i="1" s="1"/>
  <c r="MV41" i="1" s="1"/>
  <c r="MW41" i="1" s="1"/>
  <c r="MX41" i="1" s="1"/>
  <c r="MY41" i="1" s="1"/>
  <c r="MZ41" i="1" s="1"/>
  <c r="NA41" i="1" s="1"/>
  <c r="NB41" i="1" s="1"/>
  <c r="NC41" i="1" s="1"/>
  <c r="ND41" i="1" s="1"/>
  <c r="NE41" i="1" s="1"/>
  <c r="NF41" i="1" s="1"/>
  <c r="NG41" i="1" s="1"/>
  <c r="NH41" i="1" s="1"/>
  <c r="NI41" i="1" s="1"/>
  <c r="NJ41" i="1" s="1"/>
  <c r="NK41" i="1" s="1"/>
  <c r="NL41" i="1" s="1"/>
  <c r="NM41" i="1" s="1"/>
  <c r="NN41" i="1" s="1"/>
  <c r="NO41" i="1" s="1"/>
  <c r="NP41" i="1" s="1"/>
  <c r="NQ41" i="1" s="1"/>
  <c r="NR41" i="1" s="1"/>
  <c r="NS41" i="1" s="1"/>
  <c r="NT41" i="1" s="1"/>
  <c r="NU41" i="1" s="1"/>
  <c r="NV41" i="1" s="1"/>
  <c r="NW41" i="1" s="1"/>
  <c r="NX41" i="1" s="1"/>
  <c r="NY41" i="1" s="1"/>
  <c r="NZ41" i="1" s="1"/>
  <c r="OA41" i="1" s="1"/>
  <c r="OB41" i="1" s="1"/>
  <c r="OC41" i="1" s="1"/>
  <c r="OD41" i="1" s="1"/>
  <c r="OE41" i="1" s="1"/>
  <c r="OF41" i="1" s="1"/>
  <c r="OG41" i="1" s="1"/>
  <c r="OH41" i="1" s="1"/>
  <c r="OI41" i="1" s="1"/>
  <c r="OJ41" i="1" s="1"/>
  <c r="OK41" i="1" s="1"/>
  <c r="OL41" i="1" s="1"/>
  <c r="OM41" i="1" s="1"/>
  <c r="ON41" i="1" s="1"/>
  <c r="OO41" i="1" s="1"/>
  <c r="OP41" i="1" s="1"/>
  <c r="OQ41" i="1" s="1"/>
  <c r="OR41" i="1" s="1"/>
  <c r="OS41" i="1" s="1"/>
  <c r="OT41" i="1" s="1"/>
  <c r="OU41" i="1" s="1"/>
  <c r="OV41" i="1" s="1"/>
  <c r="OW41" i="1" s="1"/>
  <c r="OX41" i="1" s="1"/>
  <c r="OY41" i="1" s="1"/>
  <c r="OZ41" i="1" s="1"/>
  <c r="PA41" i="1" s="1"/>
  <c r="PB41" i="1" s="1"/>
  <c r="PC41" i="1" s="1"/>
  <c r="PD41" i="1" s="1"/>
  <c r="PE41" i="1" s="1"/>
  <c r="PF41" i="1" s="1"/>
  <c r="PG41" i="1" s="1"/>
  <c r="PH41" i="1" s="1"/>
  <c r="PI41" i="1" s="1"/>
  <c r="PJ41" i="1" s="1"/>
  <c r="PK41" i="1" s="1"/>
  <c r="PL41" i="1" s="1"/>
  <c r="PM41" i="1" s="1"/>
  <c r="PN41" i="1" s="1"/>
  <c r="PO41" i="1" s="1"/>
  <c r="PP41" i="1" s="1"/>
  <c r="PQ41" i="1" s="1"/>
  <c r="PR41" i="1" s="1"/>
  <c r="PS41" i="1" s="1"/>
  <c r="PT41" i="1" s="1"/>
  <c r="PU41" i="1" s="1"/>
  <c r="PV41" i="1" s="1"/>
  <c r="PW41" i="1" s="1"/>
  <c r="PX41" i="1" s="1"/>
  <c r="PY41" i="1" s="1"/>
  <c r="PZ41" i="1" s="1"/>
  <c r="QA41" i="1" s="1"/>
  <c r="QB41" i="1" s="1"/>
  <c r="QC41" i="1" s="1"/>
  <c r="QD41" i="1" s="1"/>
  <c r="QE41" i="1" s="1"/>
  <c r="QF41" i="1" s="1"/>
  <c r="QG41" i="1" s="1"/>
  <c r="QH41" i="1" s="1"/>
  <c r="QI41" i="1" s="1"/>
  <c r="QJ41" i="1" s="1"/>
  <c r="QK41" i="1" s="1"/>
  <c r="QL41" i="1" s="1"/>
  <c r="QM41" i="1" s="1"/>
  <c r="QN41" i="1" s="1"/>
  <c r="QO41" i="1" s="1"/>
  <c r="QP41" i="1" s="1"/>
  <c r="QQ41" i="1" s="1"/>
  <c r="QR41" i="1" s="1"/>
  <c r="QS41" i="1" s="1"/>
  <c r="QT41" i="1" s="1"/>
  <c r="QU41" i="1" s="1"/>
  <c r="QV41" i="1" s="1"/>
  <c r="QW41" i="1" s="1"/>
  <c r="QX41" i="1" s="1"/>
  <c r="QY41" i="1" s="1"/>
  <c r="QZ41" i="1" s="1"/>
  <c r="RA41" i="1" s="1"/>
  <c r="RB41" i="1" s="1"/>
  <c r="RC41" i="1" s="1"/>
  <c r="RD41" i="1" s="1"/>
  <c r="RE41" i="1" s="1"/>
  <c r="RF41" i="1" s="1"/>
  <c r="RG41" i="1" s="1"/>
  <c r="RH41" i="1" s="1"/>
  <c r="RI41" i="1" s="1"/>
  <c r="RJ41" i="1" s="1"/>
  <c r="RK41" i="1" s="1"/>
  <c r="RL41" i="1" s="1"/>
  <c r="RM41" i="1" s="1"/>
  <c r="RN41" i="1" s="1"/>
  <c r="RO41" i="1" s="1"/>
  <c r="RP41" i="1" s="1"/>
  <c r="RQ41" i="1" s="1"/>
  <c r="RR41" i="1" s="1"/>
  <c r="RS41" i="1" s="1"/>
  <c r="RT41" i="1" s="1"/>
  <c r="RU41" i="1" s="1"/>
  <c r="RV41" i="1" s="1"/>
  <c r="RW41" i="1" s="1"/>
  <c r="RX41" i="1" s="1"/>
  <c r="RY41" i="1" s="1"/>
  <c r="RZ41" i="1" s="1"/>
  <c r="SA41" i="1" s="1"/>
  <c r="SB41" i="1" s="1"/>
  <c r="SC41" i="1" s="1"/>
  <c r="SD41" i="1" s="1"/>
  <c r="SE41" i="1" s="1"/>
  <c r="SF41" i="1" s="1"/>
  <c r="SG41" i="1" s="1"/>
  <c r="SH41" i="1" s="1"/>
  <c r="SI41" i="1" s="1"/>
  <c r="SJ41" i="1" s="1"/>
  <c r="SK41" i="1" s="1"/>
  <c r="SL41" i="1" s="1"/>
  <c r="SM41" i="1" s="1"/>
  <c r="SN41" i="1" s="1"/>
  <c r="SO41" i="1" s="1"/>
  <c r="SP41" i="1" s="1"/>
  <c r="SQ41" i="1" s="1"/>
  <c r="SR41" i="1" s="1"/>
  <c r="SS41" i="1" s="1"/>
  <c r="ST41" i="1" s="1"/>
  <c r="SU41" i="1" s="1"/>
  <c r="SV41" i="1" s="1"/>
  <c r="SW41" i="1" s="1"/>
  <c r="SX41" i="1" s="1"/>
  <c r="SY41" i="1" s="1"/>
  <c r="SZ41" i="1" s="1"/>
  <c r="TA41" i="1" s="1"/>
  <c r="U16" i="8" l="1"/>
  <c r="U21" i="8"/>
  <c r="U22" i="8" s="1"/>
  <c r="U66" i="8"/>
  <c r="U67" i="8" s="1"/>
  <c r="S71" i="8"/>
  <c r="S106" i="8"/>
  <c r="S108" i="8" s="1"/>
  <c r="U98" i="8"/>
  <c r="U100" i="8" s="1"/>
  <c r="T99" i="8"/>
  <c r="T104" i="8"/>
  <c r="T102" i="8"/>
  <c r="T103" i="8" s="1"/>
  <c r="T101" i="8"/>
  <c r="T68" i="8"/>
  <c r="T70" i="8" s="1"/>
  <c r="T71" i="8" s="1"/>
  <c r="U64" i="8"/>
  <c r="U65" i="8" s="1"/>
  <c r="U61" i="8"/>
  <c r="V60" i="8"/>
  <c r="S26" i="8"/>
  <c r="T18" i="8"/>
  <c r="U17" i="8" s="1"/>
  <c r="T23" i="8"/>
  <c r="T25" i="8" s="1"/>
  <c r="T26" i="8" s="1"/>
  <c r="CE70" i="7"/>
  <c r="CE82" i="7" s="1"/>
  <c r="CE64" i="7"/>
  <c r="CE76" i="7" s="1"/>
  <c r="CF63" i="7"/>
  <c r="CE72" i="7"/>
  <c r="CE85" i="7" s="1"/>
  <c r="CE68" i="7"/>
  <c r="CE80" i="7" s="1"/>
  <c r="CE69" i="7"/>
  <c r="CE81" i="7" s="1"/>
  <c r="CE71" i="7"/>
  <c r="CE84" i="7" s="1"/>
  <c r="CE66" i="7"/>
  <c r="CE78" i="7" s="1"/>
  <c r="CE67" i="7"/>
  <c r="CE79" i="7" s="1"/>
  <c r="CE65" i="7"/>
  <c r="CE77" i="7" s="1"/>
  <c r="AG63" i="7"/>
  <c r="AF67" i="7"/>
  <c r="AF64" i="7"/>
  <c r="AF70" i="7"/>
  <c r="AF68" i="7"/>
  <c r="AF72" i="7"/>
  <c r="AF71" i="7"/>
  <c r="AF65" i="7"/>
  <c r="AF66" i="7"/>
  <c r="AF69" i="7"/>
  <c r="BL48" i="1"/>
  <c r="BL50" i="1" s="1"/>
  <c r="BL51" i="1" s="1"/>
  <c r="BL52" i="1" s="1"/>
  <c r="V66" i="8" l="1"/>
  <c r="V67" i="8" s="1"/>
  <c r="F36" i="8"/>
  <c r="V62" i="8"/>
  <c r="V63" i="8" s="1"/>
  <c r="S109" i="8"/>
  <c r="T106" i="8"/>
  <c r="T108" i="8" s="1"/>
  <c r="T109" i="8" s="1"/>
  <c r="U104" i="8"/>
  <c r="U102" i="8"/>
  <c r="U103" i="8" s="1"/>
  <c r="U101" i="8"/>
  <c r="U99" i="8"/>
  <c r="V98" i="8"/>
  <c r="V64" i="8"/>
  <c r="V65" i="8" s="1"/>
  <c r="V61" i="8"/>
  <c r="U68" i="8"/>
  <c r="U70" i="8" s="1"/>
  <c r="U71" i="8" s="1"/>
  <c r="W60" i="8"/>
  <c r="W62" i="8" s="1"/>
  <c r="W63" i="8" s="1"/>
  <c r="U18" i="8"/>
  <c r="U23" i="8"/>
  <c r="U25" i="8" s="1"/>
  <c r="U26" i="8" s="1"/>
  <c r="CF70" i="7"/>
  <c r="CF82" i="7" s="1"/>
  <c r="CF64" i="7"/>
  <c r="CF76" i="7" s="1"/>
  <c r="CG63" i="7"/>
  <c r="CF69" i="7"/>
  <c r="CF81" i="7" s="1"/>
  <c r="CF67" i="7"/>
  <c r="CF79" i="7" s="1"/>
  <c r="CF65" i="7"/>
  <c r="CF77" i="7" s="1"/>
  <c r="CF68" i="7"/>
  <c r="CF80" i="7" s="1"/>
  <c r="CF71" i="7"/>
  <c r="CF84" i="7" s="1"/>
  <c r="CF66" i="7"/>
  <c r="CF78" i="7" s="1"/>
  <c r="CF72" i="7"/>
  <c r="CF85" i="7" s="1"/>
  <c r="AH63" i="7"/>
  <c r="AG64" i="7"/>
  <c r="AG76" i="7" s="1"/>
  <c r="AG70" i="7"/>
  <c r="AG82" i="7" s="1"/>
  <c r="AG68" i="7"/>
  <c r="AG80" i="7" s="1"/>
  <c r="AG66" i="7"/>
  <c r="AG78" i="7" s="1"/>
  <c r="AG67" i="7"/>
  <c r="AG79" i="7" s="1"/>
  <c r="AG71" i="7"/>
  <c r="AG84" i="7" s="1"/>
  <c r="AG72" i="7"/>
  <c r="AG85" i="7" s="1"/>
  <c r="AG65" i="7"/>
  <c r="AG77" i="7" s="1"/>
  <c r="AG69" i="7"/>
  <c r="AG81" i="7" s="1"/>
  <c r="V100" i="8" l="1"/>
  <c r="V101" i="8" s="1"/>
  <c r="F42" i="8"/>
  <c r="W66" i="8"/>
  <c r="W67" i="8" s="1"/>
  <c r="U106" i="8"/>
  <c r="U108" i="8" s="1"/>
  <c r="U109" i="8" s="1"/>
  <c r="V102" i="8"/>
  <c r="V103" i="8" s="1"/>
  <c r="V104" i="8"/>
  <c r="V99" i="8"/>
  <c r="X60" i="8"/>
  <c r="X62" i="8" s="1"/>
  <c r="X63" i="8" s="1"/>
  <c r="W64" i="8"/>
  <c r="W65" i="8" s="1"/>
  <c r="W61" i="8"/>
  <c r="V68" i="8"/>
  <c r="V70" i="8" s="1"/>
  <c r="V71" i="8" s="1"/>
  <c r="CH63" i="7"/>
  <c r="CG69" i="7"/>
  <c r="CG81" i="7" s="1"/>
  <c r="CG70" i="7"/>
  <c r="CG82" i="7" s="1"/>
  <c r="CG72" i="7"/>
  <c r="CG85" i="7" s="1"/>
  <c r="CG71" i="7"/>
  <c r="CG84" i="7" s="1"/>
  <c r="CG66" i="7"/>
  <c r="CG78" i="7" s="1"/>
  <c r="CG64" i="7"/>
  <c r="CG76" i="7" s="1"/>
  <c r="CG67" i="7"/>
  <c r="CG79" i="7" s="1"/>
  <c r="CG65" i="7"/>
  <c r="CG77" i="7" s="1"/>
  <c r="CG68" i="7"/>
  <c r="CG80" i="7" s="1"/>
  <c r="AI63" i="7"/>
  <c r="AH70" i="7"/>
  <c r="AH82" i="7" s="1"/>
  <c r="AH68" i="7"/>
  <c r="AH80" i="7" s="1"/>
  <c r="AH66" i="7"/>
  <c r="AH78" i="7" s="1"/>
  <c r="AH71" i="7"/>
  <c r="AH84" i="7" s="1"/>
  <c r="AH67" i="7"/>
  <c r="AH79" i="7" s="1"/>
  <c r="AH64" i="7"/>
  <c r="AH76" i="7" s="1"/>
  <c r="AH65" i="7"/>
  <c r="AH77" i="7" s="1"/>
  <c r="AH72" i="7"/>
  <c r="AH85" i="7" s="1"/>
  <c r="AH69" i="7"/>
  <c r="AH81" i="7" s="1"/>
  <c r="X66" i="8" l="1"/>
  <c r="X67" i="8" s="1"/>
  <c r="V106" i="8"/>
  <c r="V108" i="8" s="1"/>
  <c r="W68" i="8"/>
  <c r="W70" i="8" s="1"/>
  <c r="W71" i="8" s="1"/>
  <c r="Y60" i="8"/>
  <c r="Y62" i="8" s="1"/>
  <c r="Y63" i="8" s="1"/>
  <c r="X64" i="8"/>
  <c r="X65" i="8" s="1"/>
  <c r="X61" i="8"/>
  <c r="CH69" i="7"/>
  <c r="CH81" i="7" s="1"/>
  <c r="CH68" i="7"/>
  <c r="CH80" i="7" s="1"/>
  <c r="CH70" i="7"/>
  <c r="CH82" i="7" s="1"/>
  <c r="CH72" i="7"/>
  <c r="CH85" i="7" s="1"/>
  <c r="CH71" i="7"/>
  <c r="CH84" i="7" s="1"/>
  <c r="CI63" i="7"/>
  <c r="CH67" i="7"/>
  <c r="CH79" i="7" s="1"/>
  <c r="CH65" i="7"/>
  <c r="CH77" i="7" s="1"/>
  <c r="CH66" i="7"/>
  <c r="CH78" i="7" s="1"/>
  <c r="CH64" i="7"/>
  <c r="CH76" i="7" s="1"/>
  <c r="AJ63" i="7"/>
  <c r="AI70" i="7"/>
  <c r="AI82" i="7" s="1"/>
  <c r="AI68" i="7"/>
  <c r="AI80" i="7" s="1"/>
  <c r="AI66" i="7"/>
  <c r="AI78" i="7" s="1"/>
  <c r="AI71" i="7"/>
  <c r="AI84" i="7" s="1"/>
  <c r="AI65" i="7"/>
  <c r="AI77" i="7" s="1"/>
  <c r="AI72" i="7"/>
  <c r="AI85" i="7" s="1"/>
  <c r="AI69" i="7"/>
  <c r="AI81" i="7" s="1"/>
  <c r="AI67" i="7"/>
  <c r="AI79" i="7" s="1"/>
  <c r="AI64" i="7"/>
  <c r="AI76" i="7" s="1"/>
  <c r="Y66" i="8" l="1"/>
  <c r="Y67" i="8" s="1"/>
  <c r="V109" i="8"/>
  <c r="X68" i="8"/>
  <c r="X70" i="8" s="1"/>
  <c r="X71" i="8" s="1"/>
  <c r="Z60" i="8"/>
  <c r="Z62" i="8" s="1"/>
  <c r="Z63" i="8" s="1"/>
  <c r="Y64" i="8"/>
  <c r="Y65" i="8" s="1"/>
  <c r="Y61" i="8"/>
  <c r="CI68" i="7"/>
  <c r="CI80" i="7" s="1"/>
  <c r="CI66" i="7"/>
  <c r="CI78" i="7" s="1"/>
  <c r="CI72" i="7"/>
  <c r="CI85" i="7" s="1"/>
  <c r="CI71" i="7"/>
  <c r="CI84" i="7" s="1"/>
  <c r="CJ63" i="7"/>
  <c r="CI69" i="7"/>
  <c r="CI81" i="7" s="1"/>
  <c r="CI70" i="7"/>
  <c r="CI82" i="7" s="1"/>
  <c r="CI65" i="7"/>
  <c r="CI77" i="7" s="1"/>
  <c r="CI67" i="7"/>
  <c r="CI79" i="7" s="1"/>
  <c r="CI64" i="7"/>
  <c r="CI76" i="7" s="1"/>
  <c r="AK63" i="7"/>
  <c r="AJ72" i="7"/>
  <c r="AJ85" i="7" s="1"/>
  <c r="AJ66" i="7"/>
  <c r="AJ78" i="7" s="1"/>
  <c r="AJ68" i="7"/>
  <c r="AJ80" i="7" s="1"/>
  <c r="AJ71" i="7"/>
  <c r="AJ84" i="7" s="1"/>
  <c r="AJ69" i="7"/>
  <c r="AJ81" i="7" s="1"/>
  <c r="AJ70" i="7"/>
  <c r="AJ82" i="7" s="1"/>
  <c r="AJ65" i="7"/>
  <c r="AJ77" i="7" s="1"/>
  <c r="AJ67" i="7"/>
  <c r="AJ79" i="7" s="1"/>
  <c r="AJ64" i="7"/>
  <c r="AJ76" i="7" s="1"/>
  <c r="Z66" i="8" l="1"/>
  <c r="Z67" i="8" s="1"/>
  <c r="AA60" i="8"/>
  <c r="AA62" i="8" s="1"/>
  <c r="AA63" i="8" s="1"/>
  <c r="Z61" i="8"/>
  <c r="Z64" i="8"/>
  <c r="Z65" i="8" s="1"/>
  <c r="Y68" i="8"/>
  <c r="Y70" i="8" s="1"/>
  <c r="Y71" i="8" s="1"/>
  <c r="CJ68" i="7"/>
  <c r="CJ80" i="7" s="1"/>
  <c r="CJ67" i="7"/>
  <c r="CJ79" i="7" s="1"/>
  <c r="CJ72" i="7"/>
  <c r="CJ85" i="7" s="1"/>
  <c r="CK63" i="7"/>
  <c r="CJ65" i="7"/>
  <c r="CJ77" i="7" s="1"/>
  <c r="CJ64" i="7"/>
  <c r="CJ76" i="7" s="1"/>
  <c r="CJ69" i="7"/>
  <c r="CJ81" i="7" s="1"/>
  <c r="CJ70" i="7"/>
  <c r="CJ82" i="7" s="1"/>
  <c r="CJ71" i="7"/>
  <c r="CJ84" i="7" s="1"/>
  <c r="CJ66" i="7"/>
  <c r="CJ78" i="7" s="1"/>
  <c r="AL63" i="7"/>
  <c r="AK68" i="7"/>
  <c r="AK80" i="7" s="1"/>
  <c r="AK71" i="7"/>
  <c r="AK84" i="7" s="1"/>
  <c r="AK72" i="7"/>
  <c r="AK85" i="7" s="1"/>
  <c r="AK66" i="7"/>
  <c r="AK78" i="7" s="1"/>
  <c r="AK69" i="7"/>
  <c r="AK81" i="7" s="1"/>
  <c r="AK65" i="7"/>
  <c r="AK77" i="7" s="1"/>
  <c r="AK64" i="7"/>
  <c r="AK76" i="7" s="1"/>
  <c r="AK70" i="7"/>
  <c r="AK82" i="7" s="1"/>
  <c r="AK67" i="7"/>
  <c r="AK79" i="7" s="1"/>
  <c r="AA66" i="8" l="1"/>
  <c r="AA67" i="8" s="1"/>
  <c r="Z68" i="8"/>
  <c r="Z70" i="8" s="1"/>
  <c r="Z71" i="8" s="1"/>
  <c r="AB60" i="8"/>
  <c r="AB62" i="8" s="1"/>
  <c r="AB63" i="8" s="1"/>
  <c r="AA61" i="8"/>
  <c r="AA64" i="8"/>
  <c r="AA65" i="8" s="1"/>
  <c r="CK67" i="7"/>
  <c r="CK79" i="7" s="1"/>
  <c r="CK72" i="7"/>
  <c r="CK85" i="7" s="1"/>
  <c r="CK65" i="7"/>
  <c r="CK77" i="7" s="1"/>
  <c r="CK64" i="7"/>
  <c r="CK76" i="7" s="1"/>
  <c r="CK70" i="7"/>
  <c r="CK82" i="7" s="1"/>
  <c r="CK71" i="7"/>
  <c r="CK84" i="7" s="1"/>
  <c r="CK66" i="7"/>
  <c r="CK78" i="7" s="1"/>
  <c r="CK68" i="7"/>
  <c r="CK80" i="7" s="1"/>
  <c r="CL63" i="7"/>
  <c r="CK69" i="7"/>
  <c r="CK81" i="7" s="1"/>
  <c r="AM63" i="7"/>
  <c r="AL66" i="7"/>
  <c r="AL78" i="7" s="1"/>
  <c r="AL71" i="7"/>
  <c r="AL84" i="7" s="1"/>
  <c r="AL67" i="7"/>
  <c r="AL79" i="7" s="1"/>
  <c r="AL69" i="7"/>
  <c r="AL81" i="7" s="1"/>
  <c r="AL65" i="7"/>
  <c r="AL77" i="7" s="1"/>
  <c r="AL72" i="7"/>
  <c r="AL85" i="7" s="1"/>
  <c r="AL68" i="7"/>
  <c r="AL80" i="7" s="1"/>
  <c r="AL64" i="7"/>
  <c r="AL76" i="7" s="1"/>
  <c r="AL70" i="7"/>
  <c r="AL82" i="7" s="1"/>
  <c r="AB66" i="8" l="1"/>
  <c r="AB67" i="8" s="1"/>
  <c r="AA68" i="8"/>
  <c r="AA70" i="8" s="1"/>
  <c r="AA71" i="8" s="1"/>
  <c r="AC60" i="8"/>
  <c r="AC62" i="8" s="1"/>
  <c r="AC63" i="8" s="1"/>
  <c r="AB61" i="8"/>
  <c r="AB64" i="8"/>
  <c r="AB65" i="8" s="1"/>
  <c r="CL67" i="7"/>
  <c r="CL79" i="7" s="1"/>
  <c r="CL72" i="7"/>
  <c r="CL85" i="7" s="1"/>
  <c r="CL66" i="7"/>
  <c r="CL78" i="7" s="1"/>
  <c r="CL64" i="7"/>
  <c r="CL76" i="7" s="1"/>
  <c r="CL65" i="7"/>
  <c r="CL77" i="7" s="1"/>
  <c r="CL68" i="7"/>
  <c r="CL80" i="7" s="1"/>
  <c r="CL70" i="7"/>
  <c r="CL82" i="7" s="1"/>
  <c r="CL71" i="7"/>
  <c r="CL84" i="7" s="1"/>
  <c r="CM63" i="7"/>
  <c r="CL69" i="7"/>
  <c r="CL81" i="7" s="1"/>
  <c r="AN63" i="7"/>
  <c r="AM66" i="7"/>
  <c r="AM78" i="7" s="1"/>
  <c r="AM71" i="7"/>
  <c r="AM84" i="7" s="1"/>
  <c r="AM69" i="7"/>
  <c r="AM81" i="7" s="1"/>
  <c r="AM64" i="7"/>
  <c r="AM76" i="7" s="1"/>
  <c r="AM65" i="7"/>
  <c r="AM77" i="7" s="1"/>
  <c r="AM67" i="7"/>
  <c r="AM79" i="7" s="1"/>
  <c r="AM72" i="7"/>
  <c r="AM85" i="7" s="1"/>
  <c r="AM68" i="7"/>
  <c r="AM80" i="7" s="1"/>
  <c r="AM70" i="7"/>
  <c r="AM82" i="7" s="1"/>
  <c r="AC66" i="8" l="1"/>
  <c r="AC67" i="8" s="1"/>
  <c r="AB68" i="8"/>
  <c r="AB70" i="8" s="1"/>
  <c r="AB71" i="8" s="1"/>
  <c r="AC64" i="8"/>
  <c r="AC65" i="8" s="1"/>
  <c r="AC61" i="8"/>
  <c r="AD60" i="8"/>
  <c r="AD62" i="8" s="1"/>
  <c r="AD63" i="8" s="1"/>
  <c r="CM72" i="7"/>
  <c r="CM85" i="7" s="1"/>
  <c r="CM66" i="7"/>
  <c r="CM78" i="7" s="1"/>
  <c r="CM71" i="7"/>
  <c r="CM84" i="7" s="1"/>
  <c r="CM64" i="7"/>
  <c r="CM76" i="7" s="1"/>
  <c r="CM65" i="7"/>
  <c r="CM77" i="7" s="1"/>
  <c r="CM69" i="7"/>
  <c r="CM81" i="7" s="1"/>
  <c r="CM70" i="7"/>
  <c r="CM82" i="7" s="1"/>
  <c r="CM67" i="7"/>
  <c r="CM79" i="7" s="1"/>
  <c r="CM68" i="7"/>
  <c r="CM80" i="7" s="1"/>
  <c r="CN63" i="7"/>
  <c r="AO63" i="7"/>
  <c r="AN71" i="7"/>
  <c r="AN84" i="7" s="1"/>
  <c r="AN69" i="7"/>
  <c r="AN81" i="7" s="1"/>
  <c r="AN65" i="7"/>
  <c r="AN77" i="7" s="1"/>
  <c r="AN67" i="7"/>
  <c r="AN79" i="7" s="1"/>
  <c r="AN64" i="7"/>
  <c r="AN76" i="7" s="1"/>
  <c r="AN68" i="7"/>
  <c r="AN80" i="7" s="1"/>
  <c r="AN66" i="7"/>
  <c r="AN78" i="7" s="1"/>
  <c r="AN70" i="7"/>
  <c r="AN82" i="7" s="1"/>
  <c r="AN72" i="7"/>
  <c r="AN85" i="7" s="1"/>
  <c r="AD66" i="8" l="1"/>
  <c r="AD67" i="8" s="1"/>
  <c r="AD61" i="8"/>
  <c r="AD64" i="8"/>
  <c r="AD65" i="8" s="1"/>
  <c r="AC68" i="8"/>
  <c r="AC70" i="8" s="1"/>
  <c r="AC71" i="8" s="1"/>
  <c r="AE60" i="8"/>
  <c r="AE62" i="8" s="1"/>
  <c r="AE63" i="8" s="1"/>
  <c r="CN72" i="7"/>
  <c r="CN85" i="7" s="1"/>
  <c r="CN66" i="7"/>
  <c r="CN78" i="7" s="1"/>
  <c r="CN71" i="7"/>
  <c r="CN84" i="7" s="1"/>
  <c r="CN65" i="7"/>
  <c r="CN77" i="7" s="1"/>
  <c r="CO63" i="7"/>
  <c r="CN70" i="7"/>
  <c r="CN82" i="7" s="1"/>
  <c r="CN67" i="7"/>
  <c r="CN79" i="7" s="1"/>
  <c r="CN68" i="7"/>
  <c r="CN80" i="7" s="1"/>
  <c r="CN64" i="7"/>
  <c r="CN76" i="7" s="1"/>
  <c r="CN69" i="7"/>
  <c r="CN81" i="7" s="1"/>
  <c r="AP63" i="7"/>
  <c r="AO71" i="7"/>
  <c r="AO84" i="7" s="1"/>
  <c r="AO67" i="7"/>
  <c r="AO79" i="7" s="1"/>
  <c r="AO69" i="7"/>
  <c r="AO81" i="7" s="1"/>
  <c r="AO65" i="7"/>
  <c r="AO77" i="7" s="1"/>
  <c r="AO64" i="7"/>
  <c r="AO76" i="7" s="1"/>
  <c r="AO72" i="7"/>
  <c r="AO85" i="7" s="1"/>
  <c r="AO70" i="7"/>
  <c r="AO82" i="7" s="1"/>
  <c r="AO68" i="7"/>
  <c r="AO80" i="7" s="1"/>
  <c r="AO66" i="7"/>
  <c r="AO78" i="7" s="1"/>
  <c r="AE66" i="8" l="1"/>
  <c r="AE67" i="8" s="1"/>
  <c r="AE61" i="8"/>
  <c r="AE64" i="8"/>
  <c r="AE65" i="8" s="1"/>
  <c r="AF60" i="8"/>
  <c r="AF62" i="8" s="1"/>
  <c r="AF63" i="8" s="1"/>
  <c r="AD68" i="8"/>
  <c r="AD70" i="8" s="1"/>
  <c r="AD71" i="8" s="1"/>
  <c r="CO71" i="7"/>
  <c r="CO84" i="7" s="1"/>
  <c r="CO65" i="7"/>
  <c r="CO77" i="7" s="1"/>
  <c r="CO70" i="7"/>
  <c r="CO82" i="7" s="1"/>
  <c r="CO67" i="7"/>
  <c r="CO79" i="7" s="1"/>
  <c r="CO66" i="7"/>
  <c r="CO78" i="7" s="1"/>
  <c r="CO68" i="7"/>
  <c r="CO80" i="7" s="1"/>
  <c r="CO64" i="7"/>
  <c r="CO76" i="7" s="1"/>
  <c r="CP63" i="7"/>
  <c r="CO72" i="7"/>
  <c r="CO85" i="7" s="1"/>
  <c r="CO69" i="7"/>
  <c r="CO81" i="7" s="1"/>
  <c r="AP69" i="7"/>
  <c r="AP81" i="7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AH9" i="8" s="1"/>
  <c r="AI9" i="8" s="1"/>
  <c r="AJ9" i="8" s="1"/>
  <c r="AK9" i="8" s="1"/>
  <c r="AL9" i="8" s="1"/>
  <c r="AM9" i="8" s="1"/>
  <c r="AN9" i="8" s="1"/>
  <c r="AO9" i="8" s="1"/>
  <c r="AP9" i="8" s="1"/>
  <c r="AQ9" i="8" s="1"/>
  <c r="AR9" i="8" s="1"/>
  <c r="AS9" i="8" s="1"/>
  <c r="AT9" i="8" s="1"/>
  <c r="AU9" i="8" s="1"/>
  <c r="AV9" i="8" s="1"/>
  <c r="AW9" i="8" s="1"/>
  <c r="AX9" i="8" s="1"/>
  <c r="AY9" i="8" s="1"/>
  <c r="AZ9" i="8" s="1"/>
  <c r="BA9" i="8" s="1"/>
  <c r="BB9" i="8" s="1"/>
  <c r="BC9" i="8" s="1"/>
  <c r="BD9" i="8" s="1"/>
  <c r="BE9" i="8" s="1"/>
  <c r="BF9" i="8" s="1"/>
  <c r="BG9" i="8" s="1"/>
  <c r="BH9" i="8" s="1"/>
  <c r="BI9" i="8" s="1"/>
  <c r="BJ9" i="8" s="1"/>
  <c r="BK9" i="8" s="1"/>
  <c r="BL9" i="8" s="1"/>
  <c r="BM9" i="8" s="1"/>
  <c r="BN9" i="8" s="1"/>
  <c r="BO9" i="8" s="1"/>
  <c r="BP9" i="8" s="1"/>
  <c r="BQ9" i="8" s="1"/>
  <c r="BR9" i="8" s="1"/>
  <c r="BS9" i="8" s="1"/>
  <c r="BT9" i="8" s="1"/>
  <c r="BU9" i="8" s="1"/>
  <c r="BV9" i="8" s="1"/>
  <c r="BW9" i="8" s="1"/>
  <c r="BX9" i="8" s="1"/>
  <c r="BY9" i="8" s="1"/>
  <c r="BZ9" i="8" s="1"/>
  <c r="CA9" i="8" s="1"/>
  <c r="CB9" i="8" s="1"/>
  <c r="CC9" i="8" s="1"/>
  <c r="CD9" i="8" s="1"/>
  <c r="CE9" i="8" s="1"/>
  <c r="CF9" i="8" s="1"/>
  <c r="CG9" i="8" s="1"/>
  <c r="CH9" i="8" s="1"/>
  <c r="CI9" i="8" s="1"/>
  <c r="AP64" i="7"/>
  <c r="AP76" i="7" s="1"/>
  <c r="V4" i="8" s="1"/>
  <c r="F31" i="8" s="1"/>
  <c r="AP65" i="7"/>
  <c r="AP77" i="7" s="1"/>
  <c r="V5" i="8" s="1"/>
  <c r="F32" i="8" s="1"/>
  <c r="AQ63" i="7"/>
  <c r="AP67" i="7"/>
  <c r="AP79" i="7" s="1"/>
  <c r="V7" i="8" s="1"/>
  <c r="F34" i="8" s="1"/>
  <c r="AP72" i="7"/>
  <c r="AP85" i="7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AH13" i="8" s="1"/>
  <c r="AI13" i="8" s="1"/>
  <c r="AJ13" i="8" s="1"/>
  <c r="AK13" i="8" s="1"/>
  <c r="AL13" i="8" s="1"/>
  <c r="AM13" i="8" s="1"/>
  <c r="AN13" i="8" s="1"/>
  <c r="AO13" i="8" s="1"/>
  <c r="AP13" i="8" s="1"/>
  <c r="AQ13" i="8" s="1"/>
  <c r="AR13" i="8" s="1"/>
  <c r="AS13" i="8" s="1"/>
  <c r="AT13" i="8" s="1"/>
  <c r="AU13" i="8" s="1"/>
  <c r="AV13" i="8" s="1"/>
  <c r="AW13" i="8" s="1"/>
  <c r="AX13" i="8" s="1"/>
  <c r="AY13" i="8" s="1"/>
  <c r="AZ13" i="8" s="1"/>
  <c r="BA13" i="8" s="1"/>
  <c r="BB13" i="8" s="1"/>
  <c r="BC13" i="8" s="1"/>
  <c r="BD13" i="8" s="1"/>
  <c r="BE13" i="8" s="1"/>
  <c r="BF13" i="8" s="1"/>
  <c r="BG13" i="8" s="1"/>
  <c r="BH13" i="8" s="1"/>
  <c r="BI13" i="8" s="1"/>
  <c r="BJ13" i="8" s="1"/>
  <c r="BK13" i="8" s="1"/>
  <c r="BL13" i="8" s="1"/>
  <c r="BM13" i="8" s="1"/>
  <c r="BN13" i="8" s="1"/>
  <c r="BO13" i="8" s="1"/>
  <c r="BP13" i="8" s="1"/>
  <c r="BQ13" i="8" s="1"/>
  <c r="BR13" i="8" s="1"/>
  <c r="BS13" i="8" s="1"/>
  <c r="BT13" i="8" s="1"/>
  <c r="BU13" i="8" s="1"/>
  <c r="BV13" i="8" s="1"/>
  <c r="BW13" i="8" s="1"/>
  <c r="BX13" i="8" s="1"/>
  <c r="BY13" i="8" s="1"/>
  <c r="BZ13" i="8" s="1"/>
  <c r="CA13" i="8" s="1"/>
  <c r="CB13" i="8" s="1"/>
  <c r="CC13" i="8" s="1"/>
  <c r="CD13" i="8" s="1"/>
  <c r="CE13" i="8" s="1"/>
  <c r="CF13" i="8" s="1"/>
  <c r="CG13" i="8" s="1"/>
  <c r="CH13" i="8" s="1"/>
  <c r="CI13" i="8" s="1"/>
  <c r="AP70" i="7"/>
  <c r="AP82" i="7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AH10" i="8" s="1"/>
  <c r="AI10" i="8" s="1"/>
  <c r="AJ10" i="8" s="1"/>
  <c r="AK10" i="8" s="1"/>
  <c r="AL10" i="8" s="1"/>
  <c r="AM10" i="8" s="1"/>
  <c r="AN10" i="8" s="1"/>
  <c r="AO10" i="8" s="1"/>
  <c r="AP10" i="8" s="1"/>
  <c r="AQ10" i="8" s="1"/>
  <c r="AR10" i="8" s="1"/>
  <c r="AS10" i="8" s="1"/>
  <c r="AT10" i="8" s="1"/>
  <c r="AU10" i="8" s="1"/>
  <c r="AV10" i="8" s="1"/>
  <c r="AW10" i="8" s="1"/>
  <c r="AX10" i="8" s="1"/>
  <c r="AY10" i="8" s="1"/>
  <c r="AZ10" i="8" s="1"/>
  <c r="BA10" i="8" s="1"/>
  <c r="BB10" i="8" s="1"/>
  <c r="BC10" i="8" s="1"/>
  <c r="BD10" i="8" s="1"/>
  <c r="BE10" i="8" s="1"/>
  <c r="BF10" i="8" s="1"/>
  <c r="BG10" i="8" s="1"/>
  <c r="BH10" i="8" s="1"/>
  <c r="BI10" i="8" s="1"/>
  <c r="BJ10" i="8" s="1"/>
  <c r="BK10" i="8" s="1"/>
  <c r="BL10" i="8" s="1"/>
  <c r="BM10" i="8" s="1"/>
  <c r="BN10" i="8" s="1"/>
  <c r="BO10" i="8" s="1"/>
  <c r="BP10" i="8" s="1"/>
  <c r="BQ10" i="8" s="1"/>
  <c r="BR10" i="8" s="1"/>
  <c r="BS10" i="8" s="1"/>
  <c r="BT10" i="8" s="1"/>
  <c r="BU10" i="8" s="1"/>
  <c r="BV10" i="8" s="1"/>
  <c r="BW10" i="8" s="1"/>
  <c r="BX10" i="8" s="1"/>
  <c r="BY10" i="8" s="1"/>
  <c r="BZ10" i="8" s="1"/>
  <c r="CA10" i="8" s="1"/>
  <c r="CB10" i="8" s="1"/>
  <c r="CC10" i="8" s="1"/>
  <c r="CD10" i="8" s="1"/>
  <c r="CE10" i="8" s="1"/>
  <c r="CF10" i="8" s="1"/>
  <c r="CG10" i="8" s="1"/>
  <c r="CH10" i="8" s="1"/>
  <c r="CI10" i="8" s="1"/>
  <c r="AP71" i="7"/>
  <c r="AP84" i="7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AH12" i="8" s="1"/>
  <c r="AI12" i="8" s="1"/>
  <c r="AJ12" i="8" s="1"/>
  <c r="AK12" i="8" s="1"/>
  <c r="AL12" i="8" s="1"/>
  <c r="AM12" i="8" s="1"/>
  <c r="AN12" i="8" s="1"/>
  <c r="AO12" i="8" s="1"/>
  <c r="AP12" i="8" s="1"/>
  <c r="AQ12" i="8" s="1"/>
  <c r="AR12" i="8" s="1"/>
  <c r="AS12" i="8" s="1"/>
  <c r="AT12" i="8" s="1"/>
  <c r="AU12" i="8" s="1"/>
  <c r="AV12" i="8" s="1"/>
  <c r="AW12" i="8" s="1"/>
  <c r="AX12" i="8" s="1"/>
  <c r="AY12" i="8" s="1"/>
  <c r="AZ12" i="8" s="1"/>
  <c r="BA12" i="8" s="1"/>
  <c r="BB12" i="8" s="1"/>
  <c r="BC12" i="8" s="1"/>
  <c r="BD12" i="8" s="1"/>
  <c r="BE12" i="8" s="1"/>
  <c r="BF12" i="8" s="1"/>
  <c r="BG12" i="8" s="1"/>
  <c r="BH12" i="8" s="1"/>
  <c r="BI12" i="8" s="1"/>
  <c r="BJ12" i="8" s="1"/>
  <c r="BK12" i="8" s="1"/>
  <c r="BL12" i="8" s="1"/>
  <c r="BM12" i="8" s="1"/>
  <c r="BN12" i="8" s="1"/>
  <c r="BO12" i="8" s="1"/>
  <c r="BP12" i="8" s="1"/>
  <c r="BQ12" i="8" s="1"/>
  <c r="BR12" i="8" s="1"/>
  <c r="BS12" i="8" s="1"/>
  <c r="BT12" i="8" s="1"/>
  <c r="BU12" i="8" s="1"/>
  <c r="BV12" i="8" s="1"/>
  <c r="BW12" i="8" s="1"/>
  <c r="BX12" i="8" s="1"/>
  <c r="BY12" i="8" s="1"/>
  <c r="BZ12" i="8" s="1"/>
  <c r="CA12" i="8" s="1"/>
  <c r="CB12" i="8" s="1"/>
  <c r="CC12" i="8" s="1"/>
  <c r="CD12" i="8" s="1"/>
  <c r="CE12" i="8" s="1"/>
  <c r="CF12" i="8" s="1"/>
  <c r="CG12" i="8" s="1"/>
  <c r="CH12" i="8" s="1"/>
  <c r="CI12" i="8" s="1"/>
  <c r="AP66" i="7"/>
  <c r="AP78" i="7" s="1"/>
  <c r="V6" i="8" s="1"/>
  <c r="AP68" i="7"/>
  <c r="AP80" i="7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AH8" i="8" s="1"/>
  <c r="AI8" i="8" s="1"/>
  <c r="AJ8" i="8" s="1"/>
  <c r="AK8" i="8" s="1"/>
  <c r="AL8" i="8" s="1"/>
  <c r="AM8" i="8" s="1"/>
  <c r="AN8" i="8" s="1"/>
  <c r="AO8" i="8" s="1"/>
  <c r="AP8" i="8" s="1"/>
  <c r="AQ8" i="8" s="1"/>
  <c r="AR8" i="8" s="1"/>
  <c r="AS8" i="8" s="1"/>
  <c r="AT8" i="8" s="1"/>
  <c r="AU8" i="8" s="1"/>
  <c r="AV8" i="8" s="1"/>
  <c r="AW8" i="8" s="1"/>
  <c r="AX8" i="8" s="1"/>
  <c r="AY8" i="8" s="1"/>
  <c r="AZ8" i="8" s="1"/>
  <c r="BA8" i="8" s="1"/>
  <c r="BB8" i="8" s="1"/>
  <c r="BC8" i="8" s="1"/>
  <c r="BD8" i="8" s="1"/>
  <c r="BE8" i="8" s="1"/>
  <c r="BF8" i="8" s="1"/>
  <c r="BG8" i="8" s="1"/>
  <c r="BH8" i="8" s="1"/>
  <c r="BI8" i="8" s="1"/>
  <c r="BJ8" i="8" s="1"/>
  <c r="BK8" i="8" s="1"/>
  <c r="BL8" i="8" s="1"/>
  <c r="BM8" i="8" s="1"/>
  <c r="BN8" i="8" s="1"/>
  <c r="BO8" i="8" s="1"/>
  <c r="BP8" i="8" s="1"/>
  <c r="BQ8" i="8" s="1"/>
  <c r="BR8" i="8" s="1"/>
  <c r="BS8" i="8" s="1"/>
  <c r="BT8" i="8" s="1"/>
  <c r="BU8" i="8" s="1"/>
  <c r="BV8" i="8" s="1"/>
  <c r="BW8" i="8" s="1"/>
  <c r="BX8" i="8" s="1"/>
  <c r="BY8" i="8" s="1"/>
  <c r="BZ8" i="8" s="1"/>
  <c r="CA8" i="8" s="1"/>
  <c r="CB8" i="8" s="1"/>
  <c r="CC8" i="8" s="1"/>
  <c r="CD8" i="8" s="1"/>
  <c r="CE8" i="8" s="1"/>
  <c r="CF8" i="8" s="1"/>
  <c r="CG8" i="8" s="1"/>
  <c r="CH8" i="8" s="1"/>
  <c r="CI8" i="8" s="1"/>
  <c r="W6" i="8" l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AH6" i="8" s="1"/>
  <c r="AI6" i="8" s="1"/>
  <c r="AJ6" i="8" s="1"/>
  <c r="AK6" i="8" s="1"/>
  <c r="AL6" i="8" s="1"/>
  <c r="AM6" i="8" s="1"/>
  <c r="AN6" i="8" s="1"/>
  <c r="AO6" i="8" s="1"/>
  <c r="AP6" i="8" s="1"/>
  <c r="AQ6" i="8" s="1"/>
  <c r="AR6" i="8" s="1"/>
  <c r="AS6" i="8" s="1"/>
  <c r="AT6" i="8" s="1"/>
  <c r="AU6" i="8" s="1"/>
  <c r="AV6" i="8" s="1"/>
  <c r="AW6" i="8" s="1"/>
  <c r="AX6" i="8" s="1"/>
  <c r="AY6" i="8" s="1"/>
  <c r="AZ6" i="8" s="1"/>
  <c r="BA6" i="8" s="1"/>
  <c r="BB6" i="8" s="1"/>
  <c r="BC6" i="8" s="1"/>
  <c r="BD6" i="8" s="1"/>
  <c r="BE6" i="8" s="1"/>
  <c r="BF6" i="8" s="1"/>
  <c r="BG6" i="8" s="1"/>
  <c r="BH6" i="8" s="1"/>
  <c r="BI6" i="8" s="1"/>
  <c r="BJ6" i="8" s="1"/>
  <c r="BK6" i="8" s="1"/>
  <c r="BL6" i="8" s="1"/>
  <c r="BM6" i="8" s="1"/>
  <c r="BN6" i="8" s="1"/>
  <c r="BO6" i="8" s="1"/>
  <c r="BP6" i="8" s="1"/>
  <c r="BQ6" i="8" s="1"/>
  <c r="BR6" i="8" s="1"/>
  <c r="BS6" i="8" s="1"/>
  <c r="BT6" i="8" s="1"/>
  <c r="BU6" i="8" s="1"/>
  <c r="BV6" i="8" s="1"/>
  <c r="BW6" i="8" s="1"/>
  <c r="BX6" i="8" s="1"/>
  <c r="BY6" i="8" s="1"/>
  <c r="BZ6" i="8" s="1"/>
  <c r="CA6" i="8" s="1"/>
  <c r="CB6" i="8" s="1"/>
  <c r="CC6" i="8" s="1"/>
  <c r="CD6" i="8" s="1"/>
  <c r="CE6" i="8" s="1"/>
  <c r="CF6" i="8" s="1"/>
  <c r="CG6" i="8" s="1"/>
  <c r="CH6" i="8" s="1"/>
  <c r="CI6" i="8" s="1"/>
  <c r="F33" i="8"/>
  <c r="W7" i="8"/>
  <c r="W90" i="8"/>
  <c r="W5" i="8"/>
  <c r="W88" i="8"/>
  <c r="AF66" i="8"/>
  <c r="AF67" i="8" s="1"/>
  <c r="AG60" i="8"/>
  <c r="AG62" i="8" s="1"/>
  <c r="AG63" i="8" s="1"/>
  <c r="AE68" i="8"/>
  <c r="AE70" i="8" s="1"/>
  <c r="AE71" i="8" s="1"/>
  <c r="AF61" i="8"/>
  <c r="AF64" i="8"/>
  <c r="AF65" i="8" s="1"/>
  <c r="CP71" i="7"/>
  <c r="CP84" i="7" s="1"/>
  <c r="CP65" i="7"/>
  <c r="CP77" i="7" s="1"/>
  <c r="CP70" i="7"/>
  <c r="CP82" i="7" s="1"/>
  <c r="CP64" i="7"/>
  <c r="CP76" i="7" s="1"/>
  <c r="CP67" i="7"/>
  <c r="CP79" i="7" s="1"/>
  <c r="CP66" i="7"/>
  <c r="CP78" i="7" s="1"/>
  <c r="CP68" i="7"/>
  <c r="CP80" i="7" s="1"/>
  <c r="CP69" i="7"/>
  <c r="CP81" i="7" s="1"/>
  <c r="CQ63" i="7"/>
  <c r="CP72" i="7"/>
  <c r="CP85" i="7" s="1"/>
  <c r="W4" i="8"/>
  <c r="V15" i="8"/>
  <c r="F30" i="8" s="1"/>
  <c r="AR63" i="7"/>
  <c r="W98" i="8" l="1"/>
  <c r="AG66" i="8"/>
  <c r="AG67" i="8" s="1"/>
  <c r="X5" i="8"/>
  <c r="X88" i="8"/>
  <c r="W100" i="8"/>
  <c r="W101" i="8" s="1"/>
  <c r="W104" i="8"/>
  <c r="W99" i="8"/>
  <c r="W102" i="8"/>
  <c r="W103" i="8" s="1"/>
  <c r="W106" i="8"/>
  <c r="W108" i="8" s="1"/>
  <c r="W109" i="8" s="1"/>
  <c r="X7" i="8"/>
  <c r="X90" i="8"/>
  <c r="AF68" i="8"/>
  <c r="AF70" i="8" s="1"/>
  <c r="AF71" i="8" s="1"/>
  <c r="AG64" i="8"/>
  <c r="AG65" i="8" s="1"/>
  <c r="AG61" i="8"/>
  <c r="AH60" i="8"/>
  <c r="AH62" i="8" s="1"/>
  <c r="AH63" i="8" s="1"/>
  <c r="V21" i="8"/>
  <c r="V22" i="8" s="1"/>
  <c r="V16" i="8"/>
  <c r="V17" i="8"/>
  <c r="V18" i="8" s="1"/>
  <c r="V19" i="8"/>
  <c r="V20" i="8" s="1"/>
  <c r="CQ70" i="7"/>
  <c r="CQ82" i="7" s="1"/>
  <c r="CQ64" i="7"/>
  <c r="CQ76" i="7" s="1"/>
  <c r="CR63" i="7"/>
  <c r="CQ69" i="7"/>
  <c r="CQ81" i="7" s="1"/>
  <c r="CQ67" i="7"/>
  <c r="CQ79" i="7" s="1"/>
  <c r="CQ66" i="7"/>
  <c r="CQ78" i="7" s="1"/>
  <c r="CQ68" i="7"/>
  <c r="CQ80" i="7" s="1"/>
  <c r="CQ71" i="7"/>
  <c r="CQ84" i="7" s="1"/>
  <c r="CQ65" i="7"/>
  <c r="CQ77" i="7" s="1"/>
  <c r="CQ72" i="7"/>
  <c r="CQ85" i="7" s="1"/>
  <c r="X4" i="8"/>
  <c r="W15" i="8"/>
  <c r="AS63" i="7"/>
  <c r="Y7" i="8" l="1"/>
  <c r="Y90" i="8"/>
  <c r="X98" i="8"/>
  <c r="Y5" i="8"/>
  <c r="Y88" i="8"/>
  <c r="Y98" i="8" s="1"/>
  <c r="AH66" i="8"/>
  <c r="AH67" i="8" s="1"/>
  <c r="AH64" i="8"/>
  <c r="AH65" i="8" s="1"/>
  <c r="AH61" i="8"/>
  <c r="AI60" i="8"/>
  <c r="AI62" i="8" s="1"/>
  <c r="AI63" i="8" s="1"/>
  <c r="AG68" i="8"/>
  <c r="AG70" i="8" s="1"/>
  <c r="AG71" i="8" s="1"/>
  <c r="W21" i="8"/>
  <c r="W22" i="8" s="1"/>
  <c r="W16" i="8"/>
  <c r="W17" i="8"/>
  <c r="W18" i="8" s="1"/>
  <c r="W19" i="8"/>
  <c r="W20" i="8" s="1"/>
  <c r="V23" i="8"/>
  <c r="V25" i="8" s="1"/>
  <c r="V26" i="8" s="1"/>
  <c r="CR70" i="7"/>
  <c r="CR82" i="7" s="1"/>
  <c r="CR64" i="7"/>
  <c r="CR76" i="7" s="1"/>
  <c r="CS63" i="7"/>
  <c r="CR69" i="7"/>
  <c r="CR81" i="7" s="1"/>
  <c r="CR68" i="7"/>
  <c r="CR80" i="7" s="1"/>
  <c r="CR71" i="7"/>
  <c r="CR84" i="7" s="1"/>
  <c r="CR67" i="7"/>
  <c r="CR79" i="7" s="1"/>
  <c r="CR66" i="7"/>
  <c r="CR78" i="7" s="1"/>
  <c r="CR65" i="7"/>
  <c r="CR77" i="7" s="1"/>
  <c r="CR72" i="7"/>
  <c r="CR85" i="7" s="1"/>
  <c r="Y4" i="8"/>
  <c r="X15" i="8"/>
  <c r="AT63" i="7"/>
  <c r="AI66" i="8" l="1"/>
  <c r="AI67" i="8" s="1"/>
  <c r="Y100" i="8"/>
  <c r="Y101" i="8" s="1"/>
  <c r="Y104" i="8"/>
  <c r="Y99" i="8"/>
  <c r="Z5" i="8"/>
  <c r="Z88" i="8"/>
  <c r="X100" i="8"/>
  <c r="X101" i="8" s="1"/>
  <c r="X102" i="8"/>
  <c r="X103" i="8" s="1"/>
  <c r="Y102" i="8" s="1"/>
  <c r="X104" i="8"/>
  <c r="X99" i="8"/>
  <c r="Z7" i="8"/>
  <c r="Z90" i="8"/>
  <c r="AI64" i="8"/>
  <c r="AI65" i="8" s="1"/>
  <c r="AI61" i="8"/>
  <c r="AJ60" i="8"/>
  <c r="AJ62" i="8" s="1"/>
  <c r="AJ63" i="8" s="1"/>
  <c r="AH68" i="8"/>
  <c r="AH70" i="8" s="1"/>
  <c r="AH71" i="8" s="1"/>
  <c r="X21" i="8"/>
  <c r="X22" i="8" s="1"/>
  <c r="X16" i="8"/>
  <c r="X17" i="8"/>
  <c r="X18" i="8" s="1"/>
  <c r="X19" i="8"/>
  <c r="X20" i="8" s="1"/>
  <c r="W23" i="8"/>
  <c r="W25" i="8" s="1"/>
  <c r="W26" i="8" s="1"/>
  <c r="CT63" i="7"/>
  <c r="CS69" i="7"/>
  <c r="CS81" i="7" s="1"/>
  <c r="CS68" i="7"/>
  <c r="CS80" i="7" s="1"/>
  <c r="CS71" i="7"/>
  <c r="CS84" i="7" s="1"/>
  <c r="CS72" i="7"/>
  <c r="CS85" i="7" s="1"/>
  <c r="CS70" i="7"/>
  <c r="CS82" i="7" s="1"/>
  <c r="CS67" i="7"/>
  <c r="CS79" i="7" s="1"/>
  <c r="CS66" i="7"/>
  <c r="CS78" i="7" s="1"/>
  <c r="CS65" i="7"/>
  <c r="CS77" i="7" s="1"/>
  <c r="CS64" i="7"/>
  <c r="CS76" i="7" s="1"/>
  <c r="Z4" i="8"/>
  <c r="Y15" i="8"/>
  <c r="AU63" i="7"/>
  <c r="Z98" i="8" l="1"/>
  <c r="Y103" i="8"/>
  <c r="Y106" i="8"/>
  <c r="Y108" i="8" s="1"/>
  <c r="Y109" i="8" s="1"/>
  <c r="AA5" i="8"/>
  <c r="AA88" i="8"/>
  <c r="Z100" i="8"/>
  <c r="Z101" i="8" s="1"/>
  <c r="Z104" i="8"/>
  <c r="Z99" i="8"/>
  <c r="Z102" i="8"/>
  <c r="Z103" i="8" s="1"/>
  <c r="Z106" i="8"/>
  <c r="Z108" i="8" s="1"/>
  <c r="Z109" i="8" s="1"/>
  <c r="AJ66" i="8"/>
  <c r="AJ67" i="8" s="1"/>
  <c r="AK66" i="8" s="1"/>
  <c r="AK67" i="8" s="1"/>
  <c r="AA7" i="8"/>
  <c r="AA90" i="8"/>
  <c r="Y19" i="8"/>
  <c r="Y20" i="8" s="1"/>
  <c r="X106" i="8"/>
  <c r="X108" i="8" s="1"/>
  <c r="X109" i="8" s="1"/>
  <c r="AK60" i="8"/>
  <c r="AK62" i="8" s="1"/>
  <c r="AK63" i="8" s="1"/>
  <c r="AJ64" i="8"/>
  <c r="AJ65" i="8" s="1"/>
  <c r="AJ61" i="8"/>
  <c r="AI68" i="8"/>
  <c r="AI70" i="8" s="1"/>
  <c r="AI71" i="8" s="1"/>
  <c r="Y21" i="8"/>
  <c r="Y22" i="8" s="1"/>
  <c r="Y16" i="8"/>
  <c r="Y17" i="8"/>
  <c r="Y18" i="8" s="1"/>
  <c r="X23" i="8"/>
  <c r="X25" i="8" s="1"/>
  <c r="X26" i="8" s="1"/>
  <c r="CT69" i="7"/>
  <c r="CT81" i="7" s="1"/>
  <c r="CT68" i="7"/>
  <c r="CT80" i="7" s="1"/>
  <c r="CT72" i="7"/>
  <c r="CT85" i="7" s="1"/>
  <c r="CU63" i="7"/>
  <c r="CT71" i="7"/>
  <c r="CT84" i="7" s="1"/>
  <c r="CT64" i="7"/>
  <c r="CT76" i="7" s="1"/>
  <c r="CT70" i="7"/>
  <c r="CT82" i="7" s="1"/>
  <c r="CT67" i="7"/>
  <c r="CT79" i="7" s="1"/>
  <c r="CT66" i="7"/>
  <c r="CT78" i="7" s="1"/>
  <c r="CT65" i="7"/>
  <c r="CT77" i="7" s="1"/>
  <c r="AA4" i="8"/>
  <c r="Z15" i="8"/>
  <c r="Z19" i="8" s="1"/>
  <c r="Z20" i="8" s="1"/>
  <c r="AV63" i="7"/>
  <c r="AB7" i="8" l="1"/>
  <c r="AB90" i="8"/>
  <c r="Y23" i="8"/>
  <c r="Y25" i="8" s="1"/>
  <c r="Y26" i="8" s="1"/>
  <c r="AA98" i="8"/>
  <c r="AB5" i="8"/>
  <c r="AB88" i="8"/>
  <c r="AB98" i="8" s="1"/>
  <c r="AK64" i="8"/>
  <c r="AK65" i="8" s="1"/>
  <c r="AK61" i="8"/>
  <c r="AJ68" i="8"/>
  <c r="AJ70" i="8" s="1"/>
  <c r="AJ71" i="8" s="1"/>
  <c r="AL60" i="8"/>
  <c r="AL62" i="8" s="1"/>
  <c r="AL63" i="8" s="1"/>
  <c r="Z21" i="8"/>
  <c r="Z22" i="8" s="1"/>
  <c r="Z16" i="8"/>
  <c r="Z17" i="8"/>
  <c r="Z18" i="8" s="1"/>
  <c r="CU68" i="7"/>
  <c r="CU80" i="7" s="1"/>
  <c r="CU67" i="7"/>
  <c r="CU79" i="7" s="1"/>
  <c r="CU69" i="7"/>
  <c r="CU81" i="7" s="1"/>
  <c r="CU71" i="7"/>
  <c r="CU84" i="7" s="1"/>
  <c r="CU66" i="7"/>
  <c r="CU78" i="7" s="1"/>
  <c r="CU65" i="7"/>
  <c r="CU77" i="7" s="1"/>
  <c r="CU64" i="7"/>
  <c r="CU76" i="7" s="1"/>
  <c r="CU72" i="7"/>
  <c r="CU85" i="7" s="1"/>
  <c r="CV63" i="7"/>
  <c r="CU70" i="7"/>
  <c r="CU82" i="7" s="1"/>
  <c r="AB4" i="8"/>
  <c r="AA15" i="8"/>
  <c r="AW63" i="7"/>
  <c r="AB100" i="8" l="1"/>
  <c r="AB101" i="8" s="1"/>
  <c r="AB99" i="8"/>
  <c r="AB104" i="8"/>
  <c r="AC5" i="8"/>
  <c r="AC88" i="8"/>
  <c r="AA100" i="8"/>
  <c r="AA101" i="8" s="1"/>
  <c r="AA99" i="8"/>
  <c r="AA104" i="8"/>
  <c r="AA102" i="8"/>
  <c r="AA103" i="8" s="1"/>
  <c r="AB102" i="8" s="1"/>
  <c r="AA106" i="8"/>
  <c r="AA108" i="8" s="1"/>
  <c r="AA109" i="8" s="1"/>
  <c r="AC7" i="8"/>
  <c r="AC90" i="8"/>
  <c r="AL66" i="8"/>
  <c r="AL67" i="8" s="1"/>
  <c r="AL61" i="8"/>
  <c r="AL64" i="8"/>
  <c r="AL65" i="8" s="1"/>
  <c r="AK68" i="8"/>
  <c r="AK70" i="8" s="1"/>
  <c r="AK71" i="8" s="1"/>
  <c r="AM60" i="8"/>
  <c r="AM62" i="8" s="1"/>
  <c r="AM63" i="8" s="1"/>
  <c r="AA21" i="8"/>
  <c r="AA22" i="8" s="1"/>
  <c r="AA16" i="8"/>
  <c r="AA17" i="8"/>
  <c r="AA18" i="8" s="1"/>
  <c r="Z23" i="8"/>
  <c r="Z25" i="8" s="1"/>
  <c r="Z26" i="8" s="1"/>
  <c r="AA19" i="8"/>
  <c r="AA20" i="8" s="1"/>
  <c r="CV68" i="7"/>
  <c r="CV80" i="7" s="1"/>
  <c r="CV67" i="7"/>
  <c r="CV79" i="7" s="1"/>
  <c r="CV69" i="7"/>
  <c r="CV81" i="7" s="1"/>
  <c r="CV70" i="7"/>
  <c r="CV82" i="7" s="1"/>
  <c r="CV65" i="7"/>
  <c r="CV77" i="7" s="1"/>
  <c r="CV64" i="7"/>
  <c r="CV76" i="7" s="1"/>
  <c r="CV71" i="7"/>
  <c r="CV84" i="7" s="1"/>
  <c r="CV66" i="7"/>
  <c r="CV78" i="7" s="1"/>
  <c r="CV72" i="7"/>
  <c r="CV85" i="7" s="1"/>
  <c r="CW63" i="7"/>
  <c r="AC4" i="8"/>
  <c r="AB15" i="8"/>
  <c r="AX63" i="7"/>
  <c r="AC98" i="8" l="1"/>
  <c r="AM66" i="8"/>
  <c r="AM67" i="8" s="1"/>
  <c r="AB103" i="8"/>
  <c r="AB106" i="8"/>
  <c r="AB108" i="8" s="1"/>
  <c r="AB109" i="8" s="1"/>
  <c r="AD5" i="8"/>
  <c r="AD88" i="8"/>
  <c r="AC100" i="8"/>
  <c r="AC101" i="8" s="1"/>
  <c r="AC99" i="8"/>
  <c r="AC104" i="8"/>
  <c r="AC102" i="8"/>
  <c r="AC103" i="8" s="1"/>
  <c r="AC106" i="8"/>
  <c r="AC108" i="8" s="1"/>
  <c r="AC109" i="8" s="1"/>
  <c r="AN66" i="8"/>
  <c r="AN67" i="8" s="1"/>
  <c r="AD7" i="8"/>
  <c r="AD90" i="8"/>
  <c r="AL68" i="8"/>
  <c r="AL70" i="8" s="1"/>
  <c r="AL71" i="8" s="1"/>
  <c r="AN60" i="8"/>
  <c r="AN62" i="8" s="1"/>
  <c r="AN63" i="8" s="1"/>
  <c r="AM64" i="8"/>
  <c r="AM65" i="8" s="1"/>
  <c r="AM61" i="8"/>
  <c r="AB21" i="8"/>
  <c r="AB22" i="8" s="1"/>
  <c r="AB16" i="8"/>
  <c r="AB17" i="8"/>
  <c r="AB18" i="8" s="1"/>
  <c r="AB19" i="8"/>
  <c r="AB20" i="8" s="1"/>
  <c r="AA23" i="8"/>
  <c r="AA25" i="8"/>
  <c r="AA26" i="8" s="1"/>
  <c r="CW67" i="7"/>
  <c r="CW79" i="7" s="1"/>
  <c r="CW69" i="7"/>
  <c r="CW81" i="7" s="1"/>
  <c r="CW70" i="7"/>
  <c r="CW82" i="7" s="1"/>
  <c r="CW71" i="7"/>
  <c r="CW84" i="7" s="1"/>
  <c r="CW66" i="7"/>
  <c r="CW78" i="7" s="1"/>
  <c r="CW65" i="7"/>
  <c r="CW77" i="7" s="1"/>
  <c r="CW72" i="7"/>
  <c r="CW85" i="7" s="1"/>
  <c r="CW68" i="7"/>
  <c r="CW80" i="7" s="1"/>
  <c r="CW64" i="7"/>
  <c r="CW76" i="7" s="1"/>
  <c r="CX63" i="7"/>
  <c r="AD4" i="8"/>
  <c r="AC15" i="8"/>
  <c r="AY63" i="7"/>
  <c r="AE7" i="8" l="1"/>
  <c r="AE90" i="8"/>
  <c r="AD98" i="8"/>
  <c r="AE5" i="8"/>
  <c r="AE88" i="8"/>
  <c r="AE98" i="8" s="1"/>
  <c r="AC19" i="8"/>
  <c r="AC20" i="8" s="1"/>
  <c r="AM68" i="8"/>
  <c r="AM70" i="8" s="1"/>
  <c r="AM71" i="8" s="1"/>
  <c r="AO60" i="8"/>
  <c r="AO62" i="8" s="1"/>
  <c r="AO63" i="8" s="1"/>
  <c r="AN64" i="8"/>
  <c r="AN65" i="8" s="1"/>
  <c r="AN61" i="8"/>
  <c r="AC21" i="8"/>
  <c r="AC22" i="8" s="1"/>
  <c r="AC16" i="8"/>
  <c r="AC17" i="8"/>
  <c r="AC18" i="8" s="1"/>
  <c r="AB23" i="8"/>
  <c r="AB25" i="8" s="1"/>
  <c r="AB26" i="8" s="1"/>
  <c r="CX67" i="7"/>
  <c r="CX79" i="7" s="1"/>
  <c r="CX72" i="7"/>
  <c r="CX85" i="7" s="1"/>
  <c r="CX66" i="7"/>
  <c r="CX78" i="7" s="1"/>
  <c r="CX70" i="7"/>
  <c r="CX82" i="7" s="1"/>
  <c r="CX71" i="7"/>
  <c r="CX84" i="7" s="1"/>
  <c r="CY63" i="7"/>
  <c r="CX65" i="7"/>
  <c r="CX77" i="7" s="1"/>
  <c r="CX64" i="7"/>
  <c r="CX76" i="7" s="1"/>
  <c r="CX68" i="7"/>
  <c r="CX80" i="7" s="1"/>
  <c r="CX69" i="7"/>
  <c r="CX81" i="7" s="1"/>
  <c r="AE4" i="8"/>
  <c r="AD15" i="8"/>
  <c r="AZ63" i="7"/>
  <c r="AF5" i="8" l="1"/>
  <c r="AF88" i="8"/>
  <c r="AD100" i="8"/>
  <c r="AD101" i="8" s="1"/>
  <c r="AD102" i="8"/>
  <c r="AD103" i="8" s="1"/>
  <c r="AD104" i="8"/>
  <c r="AD99" i="8"/>
  <c r="AD106" i="8"/>
  <c r="AD108" i="8" s="1"/>
  <c r="AD109" i="8" s="1"/>
  <c r="AO66" i="8"/>
  <c r="AO67" i="8" s="1"/>
  <c r="AP66" i="8" s="1"/>
  <c r="AP67" i="8" s="1"/>
  <c r="AE100" i="8"/>
  <c r="AE101" i="8" s="1"/>
  <c r="AE102" i="8"/>
  <c r="AE103" i="8" s="1"/>
  <c r="AE99" i="8"/>
  <c r="AE104" i="8"/>
  <c r="AF7" i="8"/>
  <c r="AF90" i="8"/>
  <c r="AN68" i="8"/>
  <c r="AN70" i="8" s="1"/>
  <c r="AN71" i="8" s="1"/>
  <c r="AO61" i="8"/>
  <c r="AO64" i="8"/>
  <c r="AO65" i="8" s="1"/>
  <c r="AP60" i="8"/>
  <c r="AP62" i="8" s="1"/>
  <c r="AP63" i="8" s="1"/>
  <c r="AD21" i="8"/>
  <c r="AD22" i="8" s="1"/>
  <c r="AD16" i="8"/>
  <c r="AD17" i="8"/>
  <c r="AD18" i="8" s="1"/>
  <c r="AC23" i="8"/>
  <c r="AC25" i="8" s="1"/>
  <c r="AC26" i="8" s="1"/>
  <c r="AD19" i="8"/>
  <c r="AD20" i="8" s="1"/>
  <c r="CY72" i="7"/>
  <c r="CY85" i="7" s="1"/>
  <c r="CY66" i="7"/>
  <c r="CY78" i="7" s="1"/>
  <c r="CY71" i="7"/>
  <c r="CY84" i="7" s="1"/>
  <c r="CZ63" i="7"/>
  <c r="CY65" i="7"/>
  <c r="CY77" i="7" s="1"/>
  <c r="CY64" i="7"/>
  <c r="CY76" i="7" s="1"/>
  <c r="CY67" i="7"/>
  <c r="CY79" i="7" s="1"/>
  <c r="CY69" i="7"/>
  <c r="CY81" i="7" s="1"/>
  <c r="CY68" i="7"/>
  <c r="CY80" i="7" s="1"/>
  <c r="CY70" i="7"/>
  <c r="CY82" i="7" s="1"/>
  <c r="AF4" i="8"/>
  <c r="AE15" i="8"/>
  <c r="BA63" i="7"/>
  <c r="AD23" i="8" l="1"/>
  <c r="AD25" i="8" s="1"/>
  <c r="AD26" i="8" s="1"/>
  <c r="AG7" i="8"/>
  <c r="AG90" i="8"/>
  <c r="AF98" i="8"/>
  <c r="AE106" i="8"/>
  <c r="AE108" i="8" s="1"/>
  <c r="AE109" i="8" s="1"/>
  <c r="AG5" i="8"/>
  <c r="AG88" i="8"/>
  <c r="AG98" i="8" s="1"/>
  <c r="AQ60" i="8"/>
  <c r="AQ62" i="8" s="1"/>
  <c r="AQ63" i="8" s="1"/>
  <c r="AO68" i="8"/>
  <c r="AO70" i="8" s="1"/>
  <c r="AO71" i="8" s="1"/>
  <c r="AP61" i="8"/>
  <c r="AP64" i="8"/>
  <c r="AP65" i="8" s="1"/>
  <c r="AE16" i="8"/>
  <c r="AE21" i="8"/>
  <c r="AE22" i="8" s="1"/>
  <c r="AE17" i="8"/>
  <c r="AE18" i="8" s="1"/>
  <c r="AE19" i="8"/>
  <c r="AE20" i="8" s="1"/>
  <c r="CZ72" i="7"/>
  <c r="CZ85" i="7" s="1"/>
  <c r="CZ66" i="7"/>
  <c r="CZ78" i="7" s="1"/>
  <c r="CZ71" i="7"/>
  <c r="CZ84" i="7" s="1"/>
  <c r="CZ65" i="7"/>
  <c r="CZ77" i="7" s="1"/>
  <c r="DA63" i="7"/>
  <c r="CZ64" i="7"/>
  <c r="CZ76" i="7" s="1"/>
  <c r="CZ67" i="7"/>
  <c r="CZ79" i="7" s="1"/>
  <c r="CZ68" i="7"/>
  <c r="CZ80" i="7" s="1"/>
  <c r="CZ69" i="7"/>
  <c r="CZ81" i="7" s="1"/>
  <c r="CZ70" i="7"/>
  <c r="CZ82" i="7" s="1"/>
  <c r="AG4" i="8"/>
  <c r="AF15" i="8"/>
  <c r="BB63" i="7"/>
  <c r="AG100" i="8" l="1"/>
  <c r="AG101" i="8" s="1"/>
  <c r="AG104" i="8"/>
  <c r="AG99" i="8"/>
  <c r="AH5" i="8"/>
  <c r="AH88" i="8"/>
  <c r="AF100" i="8"/>
  <c r="AF101" i="8" s="1"/>
  <c r="AF99" i="8"/>
  <c r="AF104" i="8"/>
  <c r="AF102" i="8"/>
  <c r="AF103" i="8" s="1"/>
  <c r="AG102" i="8" s="1"/>
  <c r="AF106" i="8"/>
  <c r="AF108" i="8" s="1"/>
  <c r="AF109" i="8" s="1"/>
  <c r="AH7" i="8"/>
  <c r="AH90" i="8"/>
  <c r="AQ66" i="8"/>
  <c r="AQ67" i="8" s="1"/>
  <c r="AP68" i="8"/>
  <c r="AP70" i="8" s="1"/>
  <c r="AP71" i="8" s="1"/>
  <c r="AQ64" i="8"/>
  <c r="AQ65" i="8" s="1"/>
  <c r="AQ61" i="8"/>
  <c r="AR60" i="8"/>
  <c r="AR62" i="8" s="1"/>
  <c r="AR63" i="8" s="1"/>
  <c r="AF21" i="8"/>
  <c r="AF22" i="8" s="1"/>
  <c r="AF16" i="8"/>
  <c r="AF17" i="8"/>
  <c r="AF18" i="8" s="1"/>
  <c r="AF19" i="8"/>
  <c r="AF20" i="8" s="1"/>
  <c r="AE23" i="8"/>
  <c r="AE25" i="8" s="1"/>
  <c r="AE26" i="8" s="1"/>
  <c r="DA71" i="7"/>
  <c r="DA84" i="7" s="1"/>
  <c r="DA65" i="7"/>
  <c r="DA77" i="7" s="1"/>
  <c r="DA66" i="7"/>
  <c r="DA78" i="7" s="1"/>
  <c r="DA64" i="7"/>
  <c r="DA76" i="7" s="1"/>
  <c r="DA72" i="7"/>
  <c r="DA85" i="7" s="1"/>
  <c r="DA67" i="7"/>
  <c r="DA79" i="7" s="1"/>
  <c r="DA68" i="7"/>
  <c r="DA80" i="7" s="1"/>
  <c r="DA69" i="7"/>
  <c r="DA81" i="7" s="1"/>
  <c r="DB63" i="7"/>
  <c r="DA70" i="7"/>
  <c r="DA82" i="7" s="1"/>
  <c r="AH4" i="8"/>
  <c r="AG15" i="8"/>
  <c r="BC63" i="7"/>
  <c r="AH98" i="8" l="1"/>
  <c r="AR66" i="8"/>
  <c r="AR67" i="8" s="1"/>
  <c r="AG103" i="8"/>
  <c r="AG106" i="8"/>
  <c r="AG108" i="8" s="1"/>
  <c r="AG109" i="8" s="1"/>
  <c r="AH100" i="8"/>
  <c r="AH101" i="8" s="1"/>
  <c r="AH104" i="8"/>
  <c r="AH102" i="8"/>
  <c r="AH103" i="8" s="1"/>
  <c r="AH99" i="8"/>
  <c r="AH106" i="8"/>
  <c r="AH108" i="8" s="1"/>
  <c r="AH109" i="8" s="1"/>
  <c r="AI5" i="8"/>
  <c r="AI88" i="8"/>
  <c r="AS66" i="8"/>
  <c r="AS67" i="8" s="1"/>
  <c r="AI7" i="8"/>
  <c r="AI90" i="8"/>
  <c r="AS60" i="8"/>
  <c r="AS62" i="8" s="1"/>
  <c r="AS63" i="8" s="1"/>
  <c r="AR61" i="8"/>
  <c r="AR64" i="8"/>
  <c r="AR65" i="8" s="1"/>
  <c r="AQ68" i="8"/>
  <c r="AQ70" i="8" s="1"/>
  <c r="AQ71" i="8" s="1"/>
  <c r="AF23" i="8"/>
  <c r="AF25" i="8" s="1"/>
  <c r="AF26" i="8" s="1"/>
  <c r="AG19" i="8"/>
  <c r="AG20" i="8" s="1"/>
  <c r="AG21" i="8"/>
  <c r="AG22" i="8" s="1"/>
  <c r="AG16" i="8"/>
  <c r="AG17" i="8"/>
  <c r="AG18" i="8" s="1"/>
  <c r="DB71" i="7"/>
  <c r="DB84" i="7" s="1"/>
  <c r="DB65" i="7"/>
  <c r="DB77" i="7" s="1"/>
  <c r="DB70" i="7"/>
  <c r="DB82" i="7" s="1"/>
  <c r="DB64" i="7"/>
  <c r="DB76" i="7" s="1"/>
  <c r="DB72" i="7"/>
  <c r="DB85" i="7" s="1"/>
  <c r="DB68" i="7"/>
  <c r="DB80" i="7" s="1"/>
  <c r="DB69" i="7"/>
  <c r="DB81" i="7" s="1"/>
  <c r="DC63" i="7"/>
  <c r="DB67" i="7"/>
  <c r="DB79" i="7" s="1"/>
  <c r="DB66" i="7"/>
  <c r="DB78" i="7" s="1"/>
  <c r="AI4" i="8"/>
  <c r="AH15" i="8"/>
  <c r="BD63" i="7"/>
  <c r="AJ7" i="8" l="1"/>
  <c r="AJ90" i="8"/>
  <c r="AJ5" i="8"/>
  <c r="AJ88" i="8"/>
  <c r="AJ98" i="8" s="1"/>
  <c r="AI98" i="8"/>
  <c r="AT60" i="8"/>
  <c r="AT62" i="8" s="1"/>
  <c r="AT63" i="8" s="1"/>
  <c r="AR68" i="8"/>
  <c r="AR70" i="8" s="1"/>
  <c r="AR71" i="8" s="1"/>
  <c r="AS61" i="8"/>
  <c r="AS64" i="8"/>
  <c r="AS65" i="8" s="1"/>
  <c r="AG23" i="8"/>
  <c r="AG25" i="8" s="1"/>
  <c r="AG26" i="8" s="1"/>
  <c r="AH19" i="8"/>
  <c r="AH20" i="8" s="1"/>
  <c r="AH21" i="8"/>
  <c r="AH22" i="8" s="1"/>
  <c r="AH16" i="8"/>
  <c r="AH17" i="8"/>
  <c r="AH18" i="8" s="1"/>
  <c r="DC70" i="7"/>
  <c r="DC82" i="7" s="1"/>
  <c r="DC64" i="7"/>
  <c r="DC76" i="7" s="1"/>
  <c r="DD63" i="7"/>
  <c r="DC72" i="7"/>
  <c r="DC85" i="7" s="1"/>
  <c r="DC65" i="7"/>
  <c r="DC77" i="7" s="1"/>
  <c r="DC69" i="7"/>
  <c r="DC81" i="7" s="1"/>
  <c r="DC71" i="7"/>
  <c r="DC84" i="7" s="1"/>
  <c r="DC67" i="7"/>
  <c r="DC79" i="7" s="1"/>
  <c r="DC66" i="7"/>
  <c r="DC78" i="7" s="1"/>
  <c r="DC68" i="7"/>
  <c r="DC80" i="7" s="1"/>
  <c r="AJ4" i="8"/>
  <c r="AI15" i="8"/>
  <c r="BE63" i="7"/>
  <c r="AT66" i="8" l="1"/>
  <c r="AT67" i="8" s="1"/>
  <c r="AJ100" i="8"/>
  <c r="AJ101" i="8" s="1"/>
  <c r="AJ99" i="8"/>
  <c r="AJ104" i="8"/>
  <c r="AK5" i="8"/>
  <c r="AK88" i="8"/>
  <c r="AI100" i="8"/>
  <c r="AI101" i="8" s="1"/>
  <c r="AI102" i="8"/>
  <c r="AI103" i="8" s="1"/>
  <c r="AJ102" i="8" s="1"/>
  <c r="AJ103" i="8" s="1"/>
  <c r="AI104" i="8"/>
  <c r="AI99" i="8"/>
  <c r="AK7" i="8"/>
  <c r="AK90" i="8"/>
  <c r="AS68" i="8"/>
  <c r="AS70" i="8" s="1"/>
  <c r="AS71" i="8" s="1"/>
  <c r="AT61" i="8"/>
  <c r="AT64" i="8"/>
  <c r="AT65" i="8" s="1"/>
  <c r="AU60" i="8"/>
  <c r="AU62" i="8" s="1"/>
  <c r="AU63" i="8" s="1"/>
  <c r="AH23" i="8"/>
  <c r="AH25" i="8" s="1"/>
  <c r="AH26" i="8" s="1"/>
  <c r="AI19" i="8"/>
  <c r="AI20" i="8" s="1"/>
  <c r="AI21" i="8"/>
  <c r="AI22" i="8" s="1"/>
  <c r="AI16" i="8"/>
  <c r="AI17" i="8"/>
  <c r="AI18" i="8" s="1"/>
  <c r="DD70" i="7"/>
  <c r="DD82" i="7" s="1"/>
  <c r="DD64" i="7"/>
  <c r="DD76" i="7" s="1"/>
  <c r="DE63" i="7"/>
  <c r="DD69" i="7"/>
  <c r="DD81" i="7" s="1"/>
  <c r="DD72" i="7"/>
  <c r="DD85" i="7" s="1"/>
  <c r="DD65" i="7"/>
  <c r="DD77" i="7" s="1"/>
  <c r="DD68" i="7"/>
  <c r="DD80" i="7" s="1"/>
  <c r="DD66" i="7"/>
  <c r="DD78" i="7" s="1"/>
  <c r="DD71" i="7"/>
  <c r="DD84" i="7" s="1"/>
  <c r="DD67" i="7"/>
  <c r="DD79" i="7" s="1"/>
  <c r="AK4" i="8"/>
  <c r="AJ15" i="8"/>
  <c r="BF63" i="7"/>
  <c r="AK98" i="8" l="1"/>
  <c r="AL5" i="8"/>
  <c r="AL88" i="8"/>
  <c r="AJ106" i="8"/>
  <c r="AJ108" i="8" s="1"/>
  <c r="AJ109" i="8" s="1"/>
  <c r="AL7" i="8"/>
  <c r="AL90" i="8"/>
  <c r="AI106" i="8"/>
  <c r="AI108" i="8" s="1"/>
  <c r="AI109" i="8" s="1"/>
  <c r="AU66" i="8"/>
  <c r="AU67" i="8" s="1"/>
  <c r="AU64" i="8"/>
  <c r="AU65" i="8" s="1"/>
  <c r="AU61" i="8"/>
  <c r="AV60" i="8"/>
  <c r="AV62" i="8" s="1"/>
  <c r="AV63" i="8" s="1"/>
  <c r="AT68" i="8"/>
  <c r="AT70" i="8" s="1"/>
  <c r="AT71" i="8" s="1"/>
  <c r="AJ16" i="8"/>
  <c r="AJ21" i="8"/>
  <c r="AJ22" i="8" s="1"/>
  <c r="AJ17" i="8"/>
  <c r="AJ18" i="8" s="1"/>
  <c r="AI23" i="8"/>
  <c r="AI25" i="8" s="1"/>
  <c r="AI26" i="8" s="1"/>
  <c r="AJ19" i="8"/>
  <c r="AJ20" i="8" s="1"/>
  <c r="DF63" i="7"/>
  <c r="DE69" i="7"/>
  <c r="DE81" i="7" s="1"/>
  <c r="DE71" i="7"/>
  <c r="DE84" i="7" s="1"/>
  <c r="DE64" i="7"/>
  <c r="DE76" i="7" s="1"/>
  <c r="DE72" i="7"/>
  <c r="DE85" i="7" s="1"/>
  <c r="DE65" i="7"/>
  <c r="DE77" i="7" s="1"/>
  <c r="DE67" i="7"/>
  <c r="DE79" i="7" s="1"/>
  <c r="DE66" i="7"/>
  <c r="DE78" i="7" s="1"/>
  <c r="DE70" i="7"/>
  <c r="DE82" i="7" s="1"/>
  <c r="DE68" i="7"/>
  <c r="DE80" i="7" s="1"/>
  <c r="AL4" i="8"/>
  <c r="AK15" i="8"/>
  <c r="BG63" i="7"/>
  <c r="AV66" i="8" l="1"/>
  <c r="AV67" i="8" s="1"/>
  <c r="AM7" i="8"/>
  <c r="AM90" i="8"/>
  <c r="AL98" i="8"/>
  <c r="AM5" i="8"/>
  <c r="AM88" i="8"/>
  <c r="AK100" i="8"/>
  <c r="AK101" i="8" s="1"/>
  <c r="AK99" i="8"/>
  <c r="AK104" i="8"/>
  <c r="AK102" i="8"/>
  <c r="AK103" i="8" s="1"/>
  <c r="AV64" i="8"/>
  <c r="AV65" i="8" s="1"/>
  <c r="AV61" i="8"/>
  <c r="AW60" i="8"/>
  <c r="AW62" i="8" s="1"/>
  <c r="AW63" i="8" s="1"/>
  <c r="AU68" i="8"/>
  <c r="AU70" i="8" s="1"/>
  <c r="AU71" i="8" s="1"/>
  <c r="AK21" i="8"/>
  <c r="AK22" i="8" s="1"/>
  <c r="AK16" i="8"/>
  <c r="AK17" i="8"/>
  <c r="AK18" i="8" s="1"/>
  <c r="AK19" i="8"/>
  <c r="AK20" i="8" s="1"/>
  <c r="AJ23" i="8"/>
  <c r="AJ25" i="8" s="1"/>
  <c r="AJ26" i="8" s="1"/>
  <c r="DF69" i="7"/>
  <c r="DF81" i="7" s="1"/>
  <c r="DF68" i="7"/>
  <c r="DF80" i="7" s="1"/>
  <c r="DG63" i="7"/>
  <c r="DF65" i="7"/>
  <c r="DF77" i="7" s="1"/>
  <c r="DF64" i="7"/>
  <c r="DF76" i="7" s="1"/>
  <c r="DF67" i="7"/>
  <c r="DF79" i="7" s="1"/>
  <c r="DF66" i="7"/>
  <c r="DF78" i="7" s="1"/>
  <c r="DF70" i="7"/>
  <c r="DF82" i="7" s="1"/>
  <c r="DF72" i="7"/>
  <c r="DF85" i="7" s="1"/>
  <c r="DF71" i="7"/>
  <c r="DF84" i="7" s="1"/>
  <c r="AM4" i="8"/>
  <c r="AL15" i="8"/>
  <c r="BH63" i="7"/>
  <c r="AM98" i="8" l="1"/>
  <c r="AK106" i="8"/>
  <c r="AK108" i="8" s="1"/>
  <c r="AK109" i="8" s="1"/>
  <c r="AM100" i="8"/>
  <c r="AM101" i="8" s="1"/>
  <c r="AM104" i="8"/>
  <c r="AM99" i="8"/>
  <c r="AN5" i="8"/>
  <c r="AN88" i="8"/>
  <c r="AL100" i="8"/>
  <c r="AL101" i="8" s="1"/>
  <c r="AL102" i="8"/>
  <c r="AL103" i="8" s="1"/>
  <c r="AM102" i="8" s="1"/>
  <c r="AL99" i="8"/>
  <c r="AL104" i="8"/>
  <c r="AL106" i="8"/>
  <c r="AL108" i="8" s="1"/>
  <c r="AL109" i="8" s="1"/>
  <c r="AN7" i="8"/>
  <c r="AN90" i="8"/>
  <c r="AW66" i="8"/>
  <c r="AW67" i="8" s="1"/>
  <c r="AV68" i="8"/>
  <c r="AV70" i="8" s="1"/>
  <c r="AV71" i="8" s="1"/>
  <c r="AX60" i="8"/>
  <c r="AX62" i="8" s="1"/>
  <c r="AX63" i="8" s="1"/>
  <c r="AW64" i="8"/>
  <c r="AW65" i="8" s="1"/>
  <c r="AW61" i="8"/>
  <c r="AL21" i="8"/>
  <c r="AL22" i="8" s="1"/>
  <c r="AL16" i="8"/>
  <c r="AL17" i="8"/>
  <c r="AL18" i="8" s="1"/>
  <c r="AL19" i="8"/>
  <c r="AL20" i="8" s="1"/>
  <c r="AK23" i="8"/>
  <c r="AK25" i="8" s="1"/>
  <c r="AK26" i="8" s="1"/>
  <c r="DG68" i="7"/>
  <c r="DG80" i="7" s="1"/>
  <c r="DG70" i="7"/>
  <c r="DG82" i="7" s="1"/>
  <c r="DG67" i="7"/>
  <c r="DG79" i="7" s="1"/>
  <c r="DG66" i="7"/>
  <c r="DG78" i="7" s="1"/>
  <c r="DG72" i="7"/>
  <c r="DG85" i="7" s="1"/>
  <c r="DG69" i="7"/>
  <c r="DG81" i="7" s="1"/>
  <c r="DG64" i="7"/>
  <c r="DG76" i="7" s="1"/>
  <c r="DH63" i="7"/>
  <c r="DG71" i="7"/>
  <c r="DG84" i="7" s="1"/>
  <c r="DG65" i="7"/>
  <c r="DG77" i="7" s="1"/>
  <c r="AN4" i="8"/>
  <c r="AM15" i="8"/>
  <c r="BI63" i="7"/>
  <c r="AN98" i="8" l="1"/>
  <c r="AM103" i="8"/>
  <c r="AN102" i="8" s="1"/>
  <c r="AM106" i="8"/>
  <c r="AM108" i="8" s="1"/>
  <c r="AM109" i="8" s="1"/>
  <c r="AN100" i="8"/>
  <c r="AN101" i="8" s="1"/>
  <c r="AN99" i="8"/>
  <c r="AN104" i="8"/>
  <c r="AO5" i="8"/>
  <c r="AO88" i="8"/>
  <c r="AX66" i="8"/>
  <c r="AX67" i="8" s="1"/>
  <c r="AO7" i="8"/>
  <c r="AO90" i="8"/>
  <c r="AW68" i="8"/>
  <c r="AW70" i="8" s="1"/>
  <c r="AW71" i="8" s="1"/>
  <c r="AY60" i="8"/>
  <c r="AY62" i="8" s="1"/>
  <c r="AY63" i="8" s="1"/>
  <c r="AX64" i="8"/>
  <c r="AX65" i="8" s="1"/>
  <c r="AX61" i="8"/>
  <c r="AM21" i="8"/>
  <c r="AM22" i="8" s="1"/>
  <c r="AM16" i="8"/>
  <c r="AM17" i="8"/>
  <c r="AM18" i="8" s="1"/>
  <c r="AM19" i="8"/>
  <c r="AM20" i="8" s="1"/>
  <c r="AL23" i="8"/>
  <c r="AL25" i="8" s="1"/>
  <c r="AL26" i="8" s="1"/>
  <c r="DH68" i="7"/>
  <c r="DH80" i="7" s="1"/>
  <c r="DH67" i="7"/>
  <c r="DH79" i="7" s="1"/>
  <c r="DH70" i="7"/>
  <c r="DH82" i="7" s="1"/>
  <c r="DH71" i="7"/>
  <c r="DH84" i="7" s="1"/>
  <c r="DH64" i="7"/>
  <c r="DH76" i="7" s="1"/>
  <c r="DI63" i="7"/>
  <c r="DH72" i="7"/>
  <c r="DH85" i="7" s="1"/>
  <c r="DH69" i="7"/>
  <c r="DH81" i="7" s="1"/>
  <c r="DH66" i="7"/>
  <c r="DH78" i="7" s="1"/>
  <c r="DH65" i="7"/>
  <c r="DH77" i="7" s="1"/>
  <c r="AO4" i="8"/>
  <c r="AN15" i="8"/>
  <c r="BJ63" i="7"/>
  <c r="AN103" i="8" l="1"/>
  <c r="AN106" i="8"/>
  <c r="AN108" i="8" s="1"/>
  <c r="AN109" i="8" s="1"/>
  <c r="AY66" i="8"/>
  <c r="AY67" i="8" s="1"/>
  <c r="AP7" i="8"/>
  <c r="AP90" i="8"/>
  <c r="AO98" i="8"/>
  <c r="AP5" i="8"/>
  <c r="AP88" i="8"/>
  <c r="AP98" i="8" s="1"/>
  <c r="AX68" i="8"/>
  <c r="AX70" i="8" s="1"/>
  <c r="AX71" i="8" s="1"/>
  <c r="AY64" i="8"/>
  <c r="AY65" i="8" s="1"/>
  <c r="AY61" i="8"/>
  <c r="AZ60" i="8"/>
  <c r="AZ62" i="8" s="1"/>
  <c r="AZ63" i="8" s="1"/>
  <c r="AM23" i="8"/>
  <c r="AM25" i="8" s="1"/>
  <c r="AM26" i="8" s="1"/>
  <c r="AN21" i="8"/>
  <c r="AN22" i="8" s="1"/>
  <c r="AN16" i="8"/>
  <c r="AN17" i="8"/>
  <c r="AN18" i="8" s="1"/>
  <c r="AN19" i="8"/>
  <c r="AN20" i="8" s="1"/>
  <c r="DI67" i="7"/>
  <c r="DI79" i="7" s="1"/>
  <c r="DI69" i="7"/>
  <c r="DI81" i="7" s="1"/>
  <c r="DI68" i="7"/>
  <c r="DI80" i="7" s="1"/>
  <c r="DI71" i="7"/>
  <c r="DI84" i="7" s="1"/>
  <c r="DI72" i="7"/>
  <c r="DI85" i="7" s="1"/>
  <c r="DI70" i="7"/>
  <c r="DI82" i="7" s="1"/>
  <c r="DJ63" i="7"/>
  <c r="DI64" i="7"/>
  <c r="DI76" i="7" s="1"/>
  <c r="DI66" i="7"/>
  <c r="DI78" i="7" s="1"/>
  <c r="DI65" i="7"/>
  <c r="DI77" i="7" s="1"/>
  <c r="AP4" i="8"/>
  <c r="AO15" i="8"/>
  <c r="BK63" i="7"/>
  <c r="AP100" i="8" l="1"/>
  <c r="AP101" i="8" s="1"/>
  <c r="AP99" i="8"/>
  <c r="AP104" i="8"/>
  <c r="AQ5" i="8"/>
  <c r="AQ88" i="8"/>
  <c r="AO100" i="8"/>
  <c r="AO101" i="8" s="1"/>
  <c r="AO104" i="8"/>
  <c r="AO102" i="8"/>
  <c r="AO103" i="8" s="1"/>
  <c r="AP102" i="8" s="1"/>
  <c r="AO99" i="8"/>
  <c r="AO106" i="8"/>
  <c r="AO108" i="8" s="1"/>
  <c r="AO109" i="8" s="1"/>
  <c r="AQ7" i="8"/>
  <c r="AQ90" i="8"/>
  <c r="AZ66" i="8"/>
  <c r="AZ67" i="8" s="1"/>
  <c r="BA60" i="8"/>
  <c r="BA62" i="8" s="1"/>
  <c r="BA63" i="8" s="1"/>
  <c r="AZ64" i="8"/>
  <c r="AZ65" i="8" s="1"/>
  <c r="AZ61" i="8"/>
  <c r="AY68" i="8"/>
  <c r="AY70" i="8" s="1"/>
  <c r="AY71" i="8" s="1"/>
  <c r="AO16" i="8"/>
  <c r="AO21" i="8"/>
  <c r="AO22" i="8" s="1"/>
  <c r="AO17" i="8"/>
  <c r="AO18" i="8" s="1"/>
  <c r="AN23" i="8"/>
  <c r="AN25" i="8" s="1"/>
  <c r="AN26" i="8" s="1"/>
  <c r="AO19" i="8"/>
  <c r="AO20" i="8" s="1"/>
  <c r="DJ67" i="7"/>
  <c r="DJ79" i="7" s="1"/>
  <c r="DJ72" i="7"/>
  <c r="DJ85" i="7" s="1"/>
  <c r="DJ66" i="7"/>
  <c r="DJ78" i="7" s="1"/>
  <c r="DJ68" i="7"/>
  <c r="DJ80" i="7" s="1"/>
  <c r="DK63" i="7"/>
  <c r="DJ69" i="7"/>
  <c r="DJ81" i="7" s="1"/>
  <c r="DJ70" i="7"/>
  <c r="DJ82" i="7" s="1"/>
  <c r="DJ64" i="7"/>
  <c r="DJ76" i="7" s="1"/>
  <c r="DJ65" i="7"/>
  <c r="DJ77" i="7" s="1"/>
  <c r="DJ71" i="7"/>
  <c r="DJ84" i="7" s="1"/>
  <c r="AQ4" i="8"/>
  <c r="AP15" i="8"/>
  <c r="BL63" i="7"/>
  <c r="AQ98" i="8" l="1"/>
  <c r="AQ100" i="8" s="1"/>
  <c r="AQ101" i="8" s="1"/>
  <c r="AP103" i="8"/>
  <c r="AP106" i="8"/>
  <c r="AP108" i="8" s="1"/>
  <c r="AP109" i="8" s="1"/>
  <c r="BA66" i="8"/>
  <c r="BA67" i="8" s="1"/>
  <c r="AR5" i="8"/>
  <c r="AR88" i="8"/>
  <c r="AR7" i="8"/>
  <c r="AR90" i="8"/>
  <c r="AZ68" i="8"/>
  <c r="AZ70" i="8" s="1"/>
  <c r="AZ71" i="8" s="1"/>
  <c r="BB60" i="8"/>
  <c r="BB62" i="8" s="1"/>
  <c r="BB63" i="8" s="1"/>
  <c r="BA64" i="8"/>
  <c r="BA65" i="8" s="1"/>
  <c r="BA61" i="8"/>
  <c r="AP19" i="8"/>
  <c r="AP20" i="8" s="1"/>
  <c r="AP21" i="8"/>
  <c r="AP22" i="8" s="1"/>
  <c r="AP16" i="8"/>
  <c r="AP17" i="8"/>
  <c r="AP18" i="8" s="1"/>
  <c r="AO23" i="8"/>
  <c r="AO25" i="8" s="1"/>
  <c r="AO26" i="8" s="1"/>
  <c r="DK72" i="7"/>
  <c r="DK85" i="7" s="1"/>
  <c r="DK66" i="7"/>
  <c r="DK78" i="7" s="1"/>
  <c r="DK68" i="7"/>
  <c r="DK80" i="7" s="1"/>
  <c r="DK69" i="7"/>
  <c r="DK81" i="7" s="1"/>
  <c r="DK70" i="7"/>
  <c r="DK82" i="7" s="1"/>
  <c r="DK71" i="7"/>
  <c r="DK84" i="7" s="1"/>
  <c r="DK67" i="7"/>
  <c r="DK79" i="7" s="1"/>
  <c r="DL63" i="7"/>
  <c r="DK65" i="7"/>
  <c r="DK77" i="7" s="1"/>
  <c r="DK64" i="7"/>
  <c r="DK76" i="7" s="1"/>
  <c r="AR4" i="8"/>
  <c r="AQ15" i="8"/>
  <c r="BM63" i="7"/>
  <c r="AQ102" i="8" l="1"/>
  <c r="AQ103" i="8" s="1"/>
  <c r="AQ104" i="8"/>
  <c r="AQ99" i="8"/>
  <c r="BB66" i="8"/>
  <c r="BB67" i="8" s="1"/>
  <c r="AS7" i="8"/>
  <c r="AS90" i="8"/>
  <c r="AR98" i="8"/>
  <c r="AS5" i="8"/>
  <c r="AS88" i="8"/>
  <c r="AS98" i="8" s="1"/>
  <c r="BA68" i="8"/>
  <c r="BA70" i="8" s="1"/>
  <c r="BA71" i="8" s="1"/>
  <c r="BC60" i="8"/>
  <c r="BC62" i="8" s="1"/>
  <c r="BC63" i="8" s="1"/>
  <c r="BB61" i="8"/>
  <c r="BB64" i="8"/>
  <c r="BB65" i="8" s="1"/>
  <c r="AQ16" i="8"/>
  <c r="AQ21" i="8"/>
  <c r="AQ22" i="8" s="1"/>
  <c r="AQ17" i="8"/>
  <c r="AQ18" i="8" s="1"/>
  <c r="AP23" i="8"/>
  <c r="AP25" i="8" s="1"/>
  <c r="AP26" i="8" s="1"/>
  <c r="AQ19" i="8"/>
  <c r="AQ20" i="8" s="1"/>
  <c r="DL72" i="7"/>
  <c r="DL85" i="7" s="1"/>
  <c r="DL66" i="7"/>
  <c r="DL78" i="7" s="1"/>
  <c r="DL71" i="7"/>
  <c r="DL84" i="7" s="1"/>
  <c r="DL65" i="7"/>
  <c r="DL77" i="7" s="1"/>
  <c r="DL68" i="7"/>
  <c r="DL80" i="7" s="1"/>
  <c r="DL69" i="7"/>
  <c r="DL81" i="7" s="1"/>
  <c r="DL70" i="7"/>
  <c r="DL82" i="7" s="1"/>
  <c r="DL64" i="7"/>
  <c r="DL76" i="7" s="1"/>
  <c r="DM63" i="7"/>
  <c r="DL67" i="7"/>
  <c r="DL79" i="7" s="1"/>
  <c r="AS4" i="8"/>
  <c r="AR15" i="8"/>
  <c r="BN63" i="7"/>
  <c r="AQ106" i="8" l="1"/>
  <c r="AQ108" i="8" s="1"/>
  <c r="AQ109" i="8" s="1"/>
  <c r="AS100" i="8"/>
  <c r="AS101" i="8" s="1"/>
  <c r="AS104" i="8"/>
  <c r="AS99" i="8"/>
  <c r="AT5" i="8"/>
  <c r="AT88" i="8"/>
  <c r="AR100" i="8"/>
  <c r="AR101" i="8" s="1"/>
  <c r="AR102" i="8"/>
  <c r="AR103" i="8" s="1"/>
  <c r="AS102" i="8" s="1"/>
  <c r="AS103" i="8" s="1"/>
  <c r="AR104" i="8"/>
  <c r="AR99" i="8"/>
  <c r="AR106" i="8"/>
  <c r="AR108" i="8" s="1"/>
  <c r="AR109" i="8" s="1"/>
  <c r="AT7" i="8"/>
  <c r="AT90" i="8"/>
  <c r="BC66" i="8"/>
  <c r="BC67" i="8" s="1"/>
  <c r="BB68" i="8"/>
  <c r="BB70" i="8" s="1"/>
  <c r="BB71" i="8" s="1"/>
  <c r="BC64" i="8"/>
  <c r="BC65" i="8" s="1"/>
  <c r="BC61" i="8"/>
  <c r="BD60" i="8"/>
  <c r="BD62" i="8" s="1"/>
  <c r="BD63" i="8" s="1"/>
  <c r="AR21" i="8"/>
  <c r="AR22" i="8" s="1"/>
  <c r="AR16" i="8"/>
  <c r="AR17" i="8"/>
  <c r="AR18" i="8" s="1"/>
  <c r="AR19" i="8"/>
  <c r="AR20" i="8" s="1"/>
  <c r="AQ23" i="8"/>
  <c r="AQ25" i="8"/>
  <c r="AQ26" i="8" s="1"/>
  <c r="DM71" i="7"/>
  <c r="DM84" i="7" s="1"/>
  <c r="DM65" i="7"/>
  <c r="DM77" i="7" s="1"/>
  <c r="DM67" i="7"/>
  <c r="DM79" i="7" s="1"/>
  <c r="DM69" i="7"/>
  <c r="DM81" i="7" s="1"/>
  <c r="DM70" i="7"/>
  <c r="DM82" i="7" s="1"/>
  <c r="DM72" i="7"/>
  <c r="DM85" i="7" s="1"/>
  <c r="DM68" i="7"/>
  <c r="DM80" i="7" s="1"/>
  <c r="DM66" i="7"/>
  <c r="DM78" i="7" s="1"/>
  <c r="DM64" i="7"/>
  <c r="DM76" i="7" s="1"/>
  <c r="DN63" i="7"/>
  <c r="AT4" i="8"/>
  <c r="AS15" i="8"/>
  <c r="BO63" i="7"/>
  <c r="AU7" i="8" l="1"/>
  <c r="AU90" i="8"/>
  <c r="AT98" i="8"/>
  <c r="AU5" i="8"/>
  <c r="AU88" i="8"/>
  <c r="AS106" i="8"/>
  <c r="AS108" i="8" s="1"/>
  <c r="AS109" i="8" s="1"/>
  <c r="BD66" i="8"/>
  <c r="BD67" i="8" s="1"/>
  <c r="BC68" i="8"/>
  <c r="BC70" i="8" s="1"/>
  <c r="BC71" i="8" s="1"/>
  <c r="BE60" i="8"/>
  <c r="BE62" i="8" s="1"/>
  <c r="BE63" i="8" s="1"/>
  <c r="BD61" i="8"/>
  <c r="BD64" i="8"/>
  <c r="BD65" i="8" s="1"/>
  <c r="AS16" i="8"/>
  <c r="AS21" i="8"/>
  <c r="AS22" i="8" s="1"/>
  <c r="AS17" i="8"/>
  <c r="AS18" i="8" s="1"/>
  <c r="AS19" i="8"/>
  <c r="AS20" i="8" s="1"/>
  <c r="AR23" i="8"/>
  <c r="AR25" i="8" s="1"/>
  <c r="AR26" i="8" s="1"/>
  <c r="DN71" i="7"/>
  <c r="DN84" i="7" s="1"/>
  <c r="DN65" i="7"/>
  <c r="DN77" i="7" s="1"/>
  <c r="DN70" i="7"/>
  <c r="DN82" i="7" s="1"/>
  <c r="DN64" i="7"/>
  <c r="DN76" i="7" s="1"/>
  <c r="DO63" i="7"/>
  <c r="DN72" i="7"/>
  <c r="DN85" i="7" s="1"/>
  <c r="DN66" i="7"/>
  <c r="DN78" i="7" s="1"/>
  <c r="DN68" i="7"/>
  <c r="DN80" i="7" s="1"/>
  <c r="DN69" i="7"/>
  <c r="DN81" i="7" s="1"/>
  <c r="DN67" i="7"/>
  <c r="DN79" i="7" s="1"/>
  <c r="AU4" i="8"/>
  <c r="AT15" i="8"/>
  <c r="BP63" i="7"/>
  <c r="BE66" i="8" l="1"/>
  <c r="BE67" i="8" s="1"/>
  <c r="AV7" i="8"/>
  <c r="AV90" i="8"/>
  <c r="AU98" i="8"/>
  <c r="AV5" i="8"/>
  <c r="AV88" i="8"/>
  <c r="AT100" i="8"/>
  <c r="AT101" i="8" s="1"/>
  <c r="AT104" i="8"/>
  <c r="AT99" i="8"/>
  <c r="AT102" i="8"/>
  <c r="AT103" i="8" s="1"/>
  <c r="AT106" i="8"/>
  <c r="AT108" i="8" s="1"/>
  <c r="AT109" i="8" s="1"/>
  <c r="BD68" i="8"/>
  <c r="BD70" i="8" s="1"/>
  <c r="BD71" i="8" s="1"/>
  <c r="BE61" i="8"/>
  <c r="BE64" i="8"/>
  <c r="BE65" i="8" s="1"/>
  <c r="BF60" i="8"/>
  <c r="BF62" i="8" s="1"/>
  <c r="BF63" i="8" s="1"/>
  <c r="AT21" i="8"/>
  <c r="AT22" i="8" s="1"/>
  <c r="AT16" i="8"/>
  <c r="AT17" i="8"/>
  <c r="AT18" i="8" s="1"/>
  <c r="AT19" i="8"/>
  <c r="AT20" i="8" s="1"/>
  <c r="AS23" i="8"/>
  <c r="AS25" i="8" s="1"/>
  <c r="AS26" i="8" s="1"/>
  <c r="DO70" i="7"/>
  <c r="DO82" i="7" s="1"/>
  <c r="DO64" i="7"/>
  <c r="DO76" i="7" s="1"/>
  <c r="DP63" i="7"/>
  <c r="DO65" i="7"/>
  <c r="DO77" i="7" s="1"/>
  <c r="DO71" i="7"/>
  <c r="DO84" i="7" s="1"/>
  <c r="DO66" i="7"/>
  <c r="DO78" i="7" s="1"/>
  <c r="DO67" i="7"/>
  <c r="DO79" i="7" s="1"/>
  <c r="DO68" i="7"/>
  <c r="DO80" i="7" s="1"/>
  <c r="DO72" i="7"/>
  <c r="DO85" i="7" s="1"/>
  <c r="DO69" i="7"/>
  <c r="DO81" i="7" s="1"/>
  <c r="AV4" i="8"/>
  <c r="AU15" i="8"/>
  <c r="BQ63" i="7"/>
  <c r="AW7" i="8" l="1"/>
  <c r="AW90" i="8"/>
  <c r="AV98" i="8"/>
  <c r="AW5" i="8"/>
  <c r="AW88" i="8"/>
  <c r="AU100" i="8"/>
  <c r="AU101" i="8" s="1"/>
  <c r="AU99" i="8"/>
  <c r="AU102" i="8"/>
  <c r="AU103" i="8" s="1"/>
  <c r="AU104" i="8"/>
  <c r="AU106" i="8" s="1"/>
  <c r="AU108" i="8" s="1"/>
  <c r="AU109" i="8" s="1"/>
  <c r="BF66" i="8"/>
  <c r="BF67" i="8" s="1"/>
  <c r="BG60" i="8"/>
  <c r="BG62" i="8" s="1"/>
  <c r="BG63" i="8" s="1"/>
  <c r="BF64" i="8"/>
  <c r="BF65" i="8" s="1"/>
  <c r="BF61" i="8"/>
  <c r="BE68" i="8"/>
  <c r="BE70" i="8" s="1"/>
  <c r="BE71" i="8" s="1"/>
  <c r="AU21" i="8"/>
  <c r="AU22" i="8" s="1"/>
  <c r="AU16" i="8"/>
  <c r="AU17" i="8"/>
  <c r="AU18" i="8" s="1"/>
  <c r="AU19" i="8"/>
  <c r="AU20" i="8" s="1"/>
  <c r="AT23" i="8"/>
  <c r="AT25" i="8" s="1"/>
  <c r="AT26" i="8" s="1"/>
  <c r="DP70" i="7"/>
  <c r="DP82" i="7" s="1"/>
  <c r="DP64" i="7"/>
  <c r="DP76" i="7" s="1"/>
  <c r="DQ63" i="7"/>
  <c r="DP69" i="7"/>
  <c r="DP81" i="7" s="1"/>
  <c r="DP66" i="7"/>
  <c r="DP78" i="7" s="1"/>
  <c r="DP71" i="7"/>
  <c r="DP84" i="7" s="1"/>
  <c r="DP67" i="7"/>
  <c r="DP79" i="7" s="1"/>
  <c r="DP65" i="7"/>
  <c r="DP77" i="7" s="1"/>
  <c r="DP68" i="7"/>
  <c r="DP80" i="7" s="1"/>
  <c r="DP72" i="7"/>
  <c r="DP85" i="7" s="1"/>
  <c r="AW4" i="8"/>
  <c r="AV15" i="8"/>
  <c r="BR63" i="7"/>
  <c r="BG66" i="8" l="1"/>
  <c r="BG67" i="8" s="1"/>
  <c r="AX7" i="8"/>
  <c r="AX90" i="8"/>
  <c r="AW98" i="8"/>
  <c r="AX5" i="8"/>
  <c r="AX88" i="8"/>
  <c r="AV100" i="8"/>
  <c r="AV101" i="8" s="1"/>
  <c r="AV102" i="8"/>
  <c r="AV103" i="8" s="1"/>
  <c r="AV99" i="8"/>
  <c r="AV104" i="8"/>
  <c r="AV106" i="8" s="1"/>
  <c r="AV108" i="8" s="1"/>
  <c r="AV109" i="8" s="1"/>
  <c r="BF68" i="8"/>
  <c r="BF70" i="8" s="1"/>
  <c r="BF71" i="8" s="1"/>
  <c r="BG64" i="8"/>
  <c r="BG65" i="8" s="1"/>
  <c r="BG61" i="8"/>
  <c r="BH60" i="8"/>
  <c r="BH62" i="8" s="1"/>
  <c r="BH63" i="8" s="1"/>
  <c r="AV21" i="8"/>
  <c r="AV22" i="8" s="1"/>
  <c r="AV16" i="8"/>
  <c r="AV17" i="8"/>
  <c r="AV18" i="8" s="1"/>
  <c r="AV19" i="8"/>
  <c r="AV20" i="8" s="1"/>
  <c r="AU23" i="8"/>
  <c r="AU25" i="8" s="1"/>
  <c r="AU26" i="8" s="1"/>
  <c r="DR63" i="7"/>
  <c r="DQ69" i="7"/>
  <c r="DQ81" i="7" s="1"/>
  <c r="DQ72" i="7"/>
  <c r="DQ85" i="7" s="1"/>
  <c r="DQ70" i="7"/>
  <c r="DQ82" i="7" s="1"/>
  <c r="DQ71" i="7"/>
  <c r="DQ84" i="7" s="1"/>
  <c r="DQ67" i="7"/>
  <c r="DQ79" i="7" s="1"/>
  <c r="DQ66" i="7"/>
  <c r="DQ78" i="7" s="1"/>
  <c r="DQ65" i="7"/>
  <c r="DQ77" i="7" s="1"/>
  <c r="DQ68" i="7"/>
  <c r="DQ80" i="7" s="1"/>
  <c r="DQ64" i="7"/>
  <c r="DQ76" i="7" s="1"/>
  <c r="AX4" i="8"/>
  <c r="AW15" i="8"/>
  <c r="AY7" i="8" l="1"/>
  <c r="AY90" i="8"/>
  <c r="AX98" i="8"/>
  <c r="AY5" i="8"/>
  <c r="AY88" i="8"/>
  <c r="AY98" i="8" s="1"/>
  <c r="AW100" i="8"/>
  <c r="AW101" i="8" s="1"/>
  <c r="AW104" i="8"/>
  <c r="AW102" i="8"/>
  <c r="AW103" i="8" s="1"/>
  <c r="AW99" i="8"/>
  <c r="AW106" i="8"/>
  <c r="AW108" i="8" s="1"/>
  <c r="AW109" i="8" s="1"/>
  <c r="BH66" i="8"/>
  <c r="BH67" i="8" s="1"/>
  <c r="BI66" i="8" s="1"/>
  <c r="BI67" i="8" s="1"/>
  <c r="BH64" i="8"/>
  <c r="BH65" i="8" s="1"/>
  <c r="BH61" i="8"/>
  <c r="BI60" i="8"/>
  <c r="BI62" i="8" s="1"/>
  <c r="BI63" i="8" s="1"/>
  <c r="BG68" i="8"/>
  <c r="BG70" i="8" s="1"/>
  <c r="BG71" i="8" s="1"/>
  <c r="AW21" i="8"/>
  <c r="AW22" i="8" s="1"/>
  <c r="AW16" i="8"/>
  <c r="AW17" i="8"/>
  <c r="AW18" i="8" s="1"/>
  <c r="AW19" i="8"/>
  <c r="AW20" i="8" s="1"/>
  <c r="AV23" i="8"/>
  <c r="AV25" i="8" s="1"/>
  <c r="AV26" i="8" s="1"/>
  <c r="DR69" i="7"/>
  <c r="DR81" i="7" s="1"/>
  <c r="DR68" i="7"/>
  <c r="DR80" i="7" s="1"/>
  <c r="DR72" i="7"/>
  <c r="DR85" i="7" s="1"/>
  <c r="DR65" i="7"/>
  <c r="DR77" i="7" s="1"/>
  <c r="DR71" i="7"/>
  <c r="DR84" i="7" s="1"/>
  <c r="DR70" i="7"/>
  <c r="DR82" i="7" s="1"/>
  <c r="DR67" i="7"/>
  <c r="DR79" i="7" s="1"/>
  <c r="DR66" i="7"/>
  <c r="DR78" i="7" s="1"/>
  <c r="DR64" i="7"/>
  <c r="DR76" i="7" s="1"/>
  <c r="AY4" i="8"/>
  <c r="AX15" i="8"/>
  <c r="AY100" i="8" l="1"/>
  <c r="AY101" i="8" s="1"/>
  <c r="AY99" i="8"/>
  <c r="AY104" i="8"/>
  <c r="AZ5" i="8"/>
  <c r="AZ88" i="8"/>
  <c r="AX100" i="8"/>
  <c r="AX101" i="8" s="1"/>
  <c r="AX102" i="8"/>
  <c r="AX103" i="8" s="1"/>
  <c r="AY102" i="8" s="1"/>
  <c r="AX104" i="8"/>
  <c r="AX99" i="8"/>
  <c r="AZ7" i="8"/>
  <c r="AZ90" i="8"/>
  <c r="BJ60" i="8"/>
  <c r="BJ62" i="8" s="1"/>
  <c r="BJ63" i="8" s="1"/>
  <c r="BI64" i="8"/>
  <c r="BI65" i="8" s="1"/>
  <c r="BI61" i="8"/>
  <c r="BH68" i="8"/>
  <c r="BH70" i="8" s="1"/>
  <c r="BH71" i="8" s="1"/>
  <c r="AX19" i="8"/>
  <c r="AX20" i="8" s="1"/>
  <c r="AX21" i="8"/>
  <c r="AX22" i="8" s="1"/>
  <c r="AX16" i="8"/>
  <c r="AX17" i="8"/>
  <c r="AX18" i="8" s="1"/>
  <c r="AW23" i="8"/>
  <c r="AW25" i="8" s="1"/>
  <c r="AW26" i="8" s="1"/>
  <c r="AY15" i="8"/>
  <c r="AZ4" i="8"/>
  <c r="AZ98" i="8" l="1"/>
  <c r="AY103" i="8"/>
  <c r="AY106" i="8"/>
  <c r="AY108" i="8" s="1"/>
  <c r="AY109" i="8" s="1"/>
  <c r="BA5" i="8"/>
  <c r="BA88" i="8"/>
  <c r="AZ100" i="8"/>
  <c r="AZ101" i="8" s="1"/>
  <c r="AZ99" i="8"/>
  <c r="AZ104" i="8"/>
  <c r="BA7" i="8"/>
  <c r="BA90" i="8"/>
  <c r="AX106" i="8"/>
  <c r="AX108" i="8" s="1"/>
  <c r="AX109" i="8" s="1"/>
  <c r="BJ66" i="8"/>
  <c r="BJ67" i="8" s="1"/>
  <c r="BK66" i="8" s="1"/>
  <c r="BK67" i="8" s="1"/>
  <c r="BI68" i="8"/>
  <c r="BI70" i="8" s="1"/>
  <c r="BI71" i="8" s="1"/>
  <c r="BK60" i="8"/>
  <c r="BK62" i="8" s="1"/>
  <c r="BK63" i="8" s="1"/>
  <c r="BJ64" i="8"/>
  <c r="BJ65" i="8" s="1"/>
  <c r="BJ61" i="8"/>
  <c r="AZ15" i="8"/>
  <c r="BA4" i="8"/>
  <c r="AX23" i="8"/>
  <c r="AX25" i="8"/>
  <c r="AX26" i="8" s="1"/>
  <c r="AY21" i="8"/>
  <c r="AY22" i="8" s="1"/>
  <c r="AY16" i="8"/>
  <c r="AY17" i="8"/>
  <c r="AY18" i="8" s="1"/>
  <c r="AY19" i="8"/>
  <c r="AY20" i="8" s="1"/>
  <c r="AZ102" i="8" l="1"/>
  <c r="AZ106" i="8" s="1"/>
  <c r="AZ108" i="8" s="1"/>
  <c r="AZ109" i="8" s="1"/>
  <c r="BB7" i="8"/>
  <c r="BB90" i="8"/>
  <c r="AZ19" i="8"/>
  <c r="AZ20" i="8" s="1"/>
  <c r="BA98" i="8"/>
  <c r="BB5" i="8"/>
  <c r="BB88" i="8"/>
  <c r="BB98" i="8" s="1"/>
  <c r="BJ68" i="8"/>
  <c r="BJ70" i="8" s="1"/>
  <c r="BJ71" i="8" s="1"/>
  <c r="BL60" i="8"/>
  <c r="BL62" i="8" s="1"/>
  <c r="BL63" i="8" s="1"/>
  <c r="BK64" i="8"/>
  <c r="BK65" i="8" s="1"/>
  <c r="BK61" i="8"/>
  <c r="AY23" i="8"/>
  <c r="AY25" i="8" s="1"/>
  <c r="AY26" i="8" s="1"/>
  <c r="BA15" i="8"/>
  <c r="BB4" i="8"/>
  <c r="AZ16" i="8"/>
  <c r="AZ21" i="8"/>
  <c r="AZ22" i="8" s="1"/>
  <c r="AZ17" i="8"/>
  <c r="AZ18" i="8" s="1"/>
  <c r="AZ103" i="8" l="1"/>
  <c r="BB100" i="8"/>
  <c r="BB101" i="8" s="1"/>
  <c r="BB99" i="8"/>
  <c r="BB104" i="8"/>
  <c r="BC5" i="8"/>
  <c r="BC88" i="8"/>
  <c r="BA100" i="8"/>
  <c r="BA101" i="8" s="1"/>
  <c r="BA102" i="8"/>
  <c r="BA103" i="8" s="1"/>
  <c r="BB102" i="8" s="1"/>
  <c r="BA99" i="8"/>
  <c r="BA104" i="8"/>
  <c r="BA106" i="8" s="1"/>
  <c r="BA108" i="8" s="1"/>
  <c r="BA109" i="8" s="1"/>
  <c r="BC7" i="8"/>
  <c r="BC90" i="8"/>
  <c r="BL66" i="8"/>
  <c r="BL67" i="8" s="1"/>
  <c r="BK68" i="8"/>
  <c r="BK70" i="8" s="1"/>
  <c r="BK71" i="8" s="1"/>
  <c r="BM60" i="8"/>
  <c r="BM62" i="8" s="1"/>
  <c r="BM63" i="8" s="1"/>
  <c r="BL64" i="8"/>
  <c r="BL65" i="8" s="1"/>
  <c r="BL61" i="8"/>
  <c r="AZ23" i="8"/>
  <c r="BA16" i="8"/>
  <c r="BA21" i="8"/>
  <c r="BA22" i="8" s="1"/>
  <c r="BA17" i="8"/>
  <c r="BA18" i="8" s="1"/>
  <c r="AZ25" i="8"/>
  <c r="AZ26" i="8" s="1"/>
  <c r="BC4" i="8"/>
  <c r="BB15" i="8"/>
  <c r="BA19" i="8"/>
  <c r="BA20" i="8" s="1"/>
  <c r="BB19" i="8" l="1"/>
  <c r="BB20" i="8" s="1"/>
  <c r="BC98" i="8"/>
  <c r="BC99" i="8" s="1"/>
  <c r="BB103" i="8"/>
  <c r="BB106" i="8"/>
  <c r="BB108" i="8" s="1"/>
  <c r="BB109" i="8" s="1"/>
  <c r="BC100" i="8"/>
  <c r="BC101" i="8" s="1"/>
  <c r="BC104" i="8"/>
  <c r="BD5" i="8"/>
  <c r="BD88" i="8"/>
  <c r="BM66" i="8"/>
  <c r="BM67" i="8" s="1"/>
  <c r="BN66" i="8" s="1"/>
  <c r="BN67" i="8" s="1"/>
  <c r="BD7" i="8"/>
  <c r="BD90" i="8"/>
  <c r="BL68" i="8"/>
  <c r="BL70" i="8" s="1"/>
  <c r="BL71" i="8" s="1"/>
  <c r="BN60" i="8"/>
  <c r="BN62" i="8" s="1"/>
  <c r="BN63" i="8" s="1"/>
  <c r="BM64" i="8"/>
  <c r="BM65" i="8" s="1"/>
  <c r="BM61" i="8"/>
  <c r="BD4" i="8"/>
  <c r="BC15" i="8"/>
  <c r="BC19" i="8" s="1"/>
  <c r="BC20" i="8" s="1"/>
  <c r="BB21" i="8"/>
  <c r="BB22" i="8" s="1"/>
  <c r="BB16" i="8"/>
  <c r="BB17" i="8"/>
  <c r="BB18" i="8" s="1"/>
  <c r="BA23" i="8"/>
  <c r="BA25" i="8" s="1"/>
  <c r="BA26" i="8" s="1"/>
  <c r="BC102" i="8" l="1"/>
  <c r="BC103" i="8"/>
  <c r="BC106" i="8"/>
  <c r="BC108" i="8" s="1"/>
  <c r="BC109" i="8" s="1"/>
  <c r="BE5" i="8"/>
  <c r="BE88" i="8"/>
  <c r="BE7" i="8"/>
  <c r="BE90" i="8"/>
  <c r="BD98" i="8"/>
  <c r="BM68" i="8"/>
  <c r="BM70" i="8" s="1"/>
  <c r="BM71" i="8" s="1"/>
  <c r="BO60" i="8"/>
  <c r="BO62" i="8" s="1"/>
  <c r="BO63" i="8" s="1"/>
  <c r="BN61" i="8"/>
  <c r="BN64" i="8"/>
  <c r="BN65" i="8" s="1"/>
  <c r="BB23" i="8"/>
  <c r="BB25" i="8" s="1"/>
  <c r="BB26" i="8" s="1"/>
  <c r="BC21" i="8"/>
  <c r="BC22" i="8" s="1"/>
  <c r="BC16" i="8"/>
  <c r="BC17" i="8"/>
  <c r="BC18" i="8" s="1"/>
  <c r="BE4" i="8"/>
  <c r="BD15" i="8"/>
  <c r="BD100" i="8" l="1"/>
  <c r="BD101" i="8" s="1"/>
  <c r="BD104" i="8"/>
  <c r="BD102" i="8"/>
  <c r="BD103" i="8" s="1"/>
  <c r="BD99" i="8"/>
  <c r="BF7" i="8"/>
  <c r="BF90" i="8"/>
  <c r="BE98" i="8"/>
  <c r="BF5" i="8"/>
  <c r="BF88" i="8"/>
  <c r="BF98" i="8" s="1"/>
  <c r="BO66" i="8"/>
  <c r="BO67" i="8" s="1"/>
  <c r="BN68" i="8"/>
  <c r="BN70" i="8" s="1"/>
  <c r="BN71" i="8" s="1"/>
  <c r="BP60" i="8"/>
  <c r="BP62" i="8" s="1"/>
  <c r="BP63" i="8" s="1"/>
  <c r="BO64" i="8"/>
  <c r="BO65" i="8" s="1"/>
  <c r="BO61" i="8"/>
  <c r="BD21" i="8"/>
  <c r="BD22" i="8" s="1"/>
  <c r="BD16" i="8"/>
  <c r="BD17" i="8"/>
  <c r="BD18" i="8" s="1"/>
  <c r="BF4" i="8"/>
  <c r="BE15" i="8"/>
  <c r="BD19" i="8"/>
  <c r="BD20" i="8" s="1"/>
  <c r="BC23" i="8"/>
  <c r="BC25" i="8" s="1"/>
  <c r="BC26" i="8" s="1"/>
  <c r="BP66" i="8" l="1"/>
  <c r="BP67" i="8" s="1"/>
  <c r="BD106" i="8"/>
  <c r="BD108" i="8" s="1"/>
  <c r="BD109" i="8" s="1"/>
  <c r="BE19" i="8"/>
  <c r="BE20" i="8" s="1"/>
  <c r="BF100" i="8"/>
  <c r="BF101" i="8" s="1"/>
  <c r="BF104" i="8"/>
  <c r="BF99" i="8"/>
  <c r="BG5" i="8"/>
  <c r="BG88" i="8"/>
  <c r="BE100" i="8"/>
  <c r="BE101" i="8" s="1"/>
  <c r="BE99" i="8"/>
  <c r="BE102" i="8"/>
  <c r="BE103" i="8" s="1"/>
  <c r="BF102" i="8" s="1"/>
  <c r="BE104" i="8"/>
  <c r="BG7" i="8"/>
  <c r="BG90" i="8"/>
  <c r="BO68" i="8"/>
  <c r="BO70" i="8" s="1"/>
  <c r="BO71" i="8" s="1"/>
  <c r="BQ60" i="8"/>
  <c r="BQ62" i="8" s="1"/>
  <c r="BQ63" i="8" s="1"/>
  <c r="BP61" i="8"/>
  <c r="BP64" i="8"/>
  <c r="BP65" i="8" s="1"/>
  <c r="BG4" i="8"/>
  <c r="BF15" i="8"/>
  <c r="BE21" i="8"/>
  <c r="BE22" i="8" s="1"/>
  <c r="BE16" i="8"/>
  <c r="BE17" i="8"/>
  <c r="BE18" i="8" s="1"/>
  <c r="BF19" i="8"/>
  <c r="BF20" i="8" s="1"/>
  <c r="BD23" i="8"/>
  <c r="BD25" i="8" s="1"/>
  <c r="BD26" i="8" s="1"/>
  <c r="BG98" i="8" l="1"/>
  <c r="BG100" i="8" s="1"/>
  <c r="BG101" i="8" s="1"/>
  <c r="BF103" i="8"/>
  <c r="BF106" i="8"/>
  <c r="BF108" i="8" s="1"/>
  <c r="BF109" i="8" s="1"/>
  <c r="BH5" i="8"/>
  <c r="BH88" i="8"/>
  <c r="BQ66" i="8"/>
  <c r="BQ67" i="8" s="1"/>
  <c r="BH7" i="8"/>
  <c r="BH90" i="8"/>
  <c r="BE106" i="8"/>
  <c r="BE108" i="8" s="1"/>
  <c r="BE109" i="8" s="1"/>
  <c r="BP68" i="8"/>
  <c r="BP70" i="8" s="1"/>
  <c r="BP71" i="8" s="1"/>
  <c r="BR60" i="8"/>
  <c r="BR62" i="8" s="1"/>
  <c r="BR63" i="8" s="1"/>
  <c r="BQ64" i="8"/>
  <c r="BQ65" i="8" s="1"/>
  <c r="BQ61" i="8"/>
  <c r="BH4" i="8"/>
  <c r="BG15" i="8"/>
  <c r="BE23" i="8"/>
  <c r="BE25" i="8" s="1"/>
  <c r="BE26" i="8" s="1"/>
  <c r="BF21" i="8"/>
  <c r="BF22" i="8" s="1"/>
  <c r="BF16" i="8"/>
  <c r="BF17" i="8"/>
  <c r="BF18" i="8" s="1"/>
  <c r="BR66" i="8" l="1"/>
  <c r="BR67" i="8" s="1"/>
  <c r="BG102" i="8"/>
  <c r="BG103" i="8" s="1"/>
  <c r="BG104" i="8"/>
  <c r="BG106" i="8" s="1"/>
  <c r="BG99" i="8"/>
  <c r="BH98" i="8"/>
  <c r="BI5" i="8"/>
  <c r="BI88" i="8"/>
  <c r="BI7" i="8"/>
  <c r="BI90" i="8"/>
  <c r="BQ68" i="8"/>
  <c r="BQ70" i="8" s="1"/>
  <c r="BQ71" i="8" s="1"/>
  <c r="BS60" i="8"/>
  <c r="BS62" i="8" s="1"/>
  <c r="BS63" i="8" s="1"/>
  <c r="BR64" i="8"/>
  <c r="BR65" i="8" s="1"/>
  <c r="BR61" i="8"/>
  <c r="BI4" i="8"/>
  <c r="BH15" i="8"/>
  <c r="BF23" i="8"/>
  <c r="BF25" i="8" s="1"/>
  <c r="BF26" i="8" s="1"/>
  <c r="BG16" i="8"/>
  <c r="BG21" i="8"/>
  <c r="BG22" i="8" s="1"/>
  <c r="BG17" i="8"/>
  <c r="BG18" i="8" s="1"/>
  <c r="BG19" i="8"/>
  <c r="BG20" i="8" s="1"/>
  <c r="BG108" i="8" l="1"/>
  <c r="BG109" i="8" s="1"/>
  <c r="BH19" i="8"/>
  <c r="BH20" i="8" s="1"/>
  <c r="BS66" i="8"/>
  <c r="BS67" i="8" s="1"/>
  <c r="BJ7" i="8"/>
  <c r="BJ90" i="8"/>
  <c r="BI98" i="8"/>
  <c r="BJ5" i="8"/>
  <c r="BJ88" i="8"/>
  <c r="BJ98" i="8" s="1"/>
  <c r="BH100" i="8"/>
  <c r="BH101" i="8" s="1"/>
  <c r="BH102" i="8"/>
  <c r="BH103" i="8" s="1"/>
  <c r="BH104" i="8"/>
  <c r="BH99" i="8"/>
  <c r="BT60" i="8"/>
  <c r="BT62" i="8" s="1"/>
  <c r="BT63" i="8" s="1"/>
  <c r="BS64" i="8"/>
  <c r="BS65" i="8" s="1"/>
  <c r="BS61" i="8"/>
  <c r="BR68" i="8"/>
  <c r="BR70" i="8" s="1"/>
  <c r="BR71" i="8" s="1"/>
  <c r="BG23" i="8"/>
  <c r="BG25" i="8" s="1"/>
  <c r="BG26" i="8" s="1"/>
  <c r="BH16" i="8"/>
  <c r="BH21" i="8"/>
  <c r="BH22" i="8" s="1"/>
  <c r="BH17" i="8"/>
  <c r="BH18" i="8" s="1"/>
  <c r="BJ4" i="8"/>
  <c r="BI15" i="8"/>
  <c r="BH106" i="8" l="1"/>
  <c r="BH108" i="8" s="1"/>
  <c r="BH109" i="8" s="1"/>
  <c r="BJ100" i="8"/>
  <c r="BJ101" i="8" s="1"/>
  <c r="BJ104" i="8"/>
  <c r="BJ99" i="8"/>
  <c r="BK5" i="8"/>
  <c r="BK88" i="8"/>
  <c r="BI100" i="8"/>
  <c r="BI101" i="8" s="1"/>
  <c r="BI102" i="8"/>
  <c r="BI103" i="8" s="1"/>
  <c r="BJ102" i="8" s="1"/>
  <c r="BI104" i="8"/>
  <c r="BI99" i="8"/>
  <c r="BI106" i="8"/>
  <c r="BI108" i="8" s="1"/>
  <c r="BI109" i="8" s="1"/>
  <c r="BK7" i="8"/>
  <c r="BK90" i="8"/>
  <c r="BT66" i="8"/>
  <c r="BT67" i="8" s="1"/>
  <c r="BS68" i="8"/>
  <c r="BS70" i="8" s="1"/>
  <c r="BS71" i="8" s="1"/>
  <c r="BU60" i="8"/>
  <c r="BU62" i="8" s="1"/>
  <c r="BU63" i="8" s="1"/>
  <c r="BT64" i="8"/>
  <c r="BT65" i="8" s="1"/>
  <c r="BT61" i="8"/>
  <c r="BK4" i="8"/>
  <c r="BJ15" i="8"/>
  <c r="BH23" i="8"/>
  <c r="BH25" i="8" s="1"/>
  <c r="BH26" i="8" s="1"/>
  <c r="BI21" i="8"/>
  <c r="BI22" i="8" s="1"/>
  <c r="BI16" i="8"/>
  <c r="BI17" i="8"/>
  <c r="BI18" i="8" s="1"/>
  <c r="BI19" i="8"/>
  <c r="BI20" i="8" s="1"/>
  <c r="BJ19" i="8" l="1"/>
  <c r="BJ20" i="8" s="1"/>
  <c r="BK98" i="8"/>
  <c r="BK100" i="8" s="1"/>
  <c r="BK101" i="8" s="1"/>
  <c r="BJ103" i="8"/>
  <c r="BJ106" i="8"/>
  <c r="BJ108" i="8" s="1"/>
  <c r="BJ109" i="8" s="1"/>
  <c r="BL5" i="8"/>
  <c r="BL88" i="8"/>
  <c r="BU66" i="8"/>
  <c r="BU67" i="8" s="1"/>
  <c r="BL7" i="8"/>
  <c r="BL90" i="8"/>
  <c r="BT68" i="8"/>
  <c r="BT70" i="8" s="1"/>
  <c r="BT71" i="8" s="1"/>
  <c r="BU64" i="8"/>
  <c r="BU65" i="8" s="1"/>
  <c r="BU61" i="8"/>
  <c r="BV60" i="8"/>
  <c r="BV62" i="8" s="1"/>
  <c r="BV63" i="8" s="1"/>
  <c r="BL4" i="8"/>
  <c r="BK15" i="8"/>
  <c r="BK19" i="8" s="1"/>
  <c r="BK20" i="8" s="1"/>
  <c r="BI23" i="8"/>
  <c r="BI25" i="8" s="1"/>
  <c r="BI26" i="8" s="1"/>
  <c r="BJ21" i="8"/>
  <c r="BJ22" i="8" s="1"/>
  <c r="BJ16" i="8"/>
  <c r="BJ17" i="8"/>
  <c r="BJ18" i="8" s="1"/>
  <c r="BK102" i="8" l="1"/>
  <c r="BK103" i="8" s="1"/>
  <c r="BK104" i="8"/>
  <c r="BK106" i="8" s="1"/>
  <c r="BK108" i="8" s="1"/>
  <c r="BK109" i="8" s="1"/>
  <c r="BK99" i="8"/>
  <c r="BM7" i="8"/>
  <c r="BM90" i="8"/>
  <c r="BV66" i="8"/>
  <c r="BV67" i="8" s="1"/>
  <c r="BL98" i="8"/>
  <c r="BM5" i="8"/>
  <c r="BM88" i="8"/>
  <c r="BM98" i="8" s="1"/>
  <c r="BV61" i="8"/>
  <c r="BV64" i="8"/>
  <c r="BV65" i="8" s="1"/>
  <c r="BW60" i="8"/>
  <c r="BW62" i="8" s="1"/>
  <c r="BW63" i="8" s="1"/>
  <c r="BU68" i="8"/>
  <c r="BU70" i="8" s="1"/>
  <c r="BU71" i="8" s="1"/>
  <c r="BJ23" i="8"/>
  <c r="BJ25" i="8" s="1"/>
  <c r="BJ26" i="8" s="1"/>
  <c r="BK21" i="8"/>
  <c r="BK22" i="8" s="1"/>
  <c r="BK16" i="8"/>
  <c r="BK17" i="8"/>
  <c r="BK18" i="8" s="1"/>
  <c r="BM4" i="8"/>
  <c r="BL15" i="8"/>
  <c r="BM100" i="8" l="1"/>
  <c r="BM101" i="8" s="1"/>
  <c r="BM104" i="8"/>
  <c r="BM99" i="8"/>
  <c r="BN5" i="8"/>
  <c r="BN88" i="8"/>
  <c r="BN98" i="8" s="1"/>
  <c r="BL100" i="8"/>
  <c r="BL101" i="8" s="1"/>
  <c r="BL99" i="8"/>
  <c r="BL104" i="8"/>
  <c r="BL102" i="8"/>
  <c r="BL103" i="8" s="1"/>
  <c r="BM102" i="8" s="1"/>
  <c r="BL106" i="8"/>
  <c r="BL108" i="8" s="1"/>
  <c r="BL109" i="8" s="1"/>
  <c r="BW66" i="8"/>
  <c r="BW67" i="8" s="1"/>
  <c r="BN7" i="8"/>
  <c r="BN90" i="8"/>
  <c r="BX60" i="8"/>
  <c r="BX62" i="8" s="1"/>
  <c r="BX63" i="8" s="1"/>
  <c r="BW61" i="8"/>
  <c r="BW64" i="8"/>
  <c r="BW65" i="8" s="1"/>
  <c r="BV68" i="8"/>
  <c r="BV70" i="8" s="1"/>
  <c r="BV71" i="8" s="1"/>
  <c r="BL21" i="8"/>
  <c r="BL22" i="8" s="1"/>
  <c r="BL16" i="8"/>
  <c r="BL17" i="8"/>
  <c r="BL18" i="8" s="1"/>
  <c r="BN4" i="8"/>
  <c r="BM15" i="8"/>
  <c r="BK23" i="8"/>
  <c r="BK25" i="8" s="1"/>
  <c r="BK26" i="8" s="1"/>
  <c r="BL19" i="8"/>
  <c r="BL20" i="8" s="1"/>
  <c r="BM19" i="8" l="1"/>
  <c r="BM20" i="8" s="1"/>
  <c r="BM103" i="8"/>
  <c r="BM106" i="8"/>
  <c r="BM108" i="8" s="1"/>
  <c r="BM109" i="8" s="1"/>
  <c r="BO5" i="8"/>
  <c r="BO88" i="8"/>
  <c r="BO7" i="8"/>
  <c r="BO90" i="8"/>
  <c r="BN100" i="8"/>
  <c r="BN101" i="8" s="1"/>
  <c r="BN102" i="8"/>
  <c r="BN103" i="8" s="1"/>
  <c r="BN104" i="8"/>
  <c r="BN99" i="8"/>
  <c r="BN106" i="8"/>
  <c r="BN108" i="8" s="1"/>
  <c r="BN109" i="8" s="1"/>
  <c r="BX66" i="8"/>
  <c r="BX67" i="8" s="1"/>
  <c r="BW68" i="8"/>
  <c r="BW70" i="8" s="1"/>
  <c r="BW71" i="8" s="1"/>
  <c r="BX61" i="8"/>
  <c r="BX64" i="8"/>
  <c r="BX65" i="8" s="1"/>
  <c r="BY60" i="8"/>
  <c r="BY62" i="8" s="1"/>
  <c r="BY63" i="8" s="1"/>
  <c r="BM21" i="8"/>
  <c r="BM22" i="8" s="1"/>
  <c r="BM16" i="8"/>
  <c r="BM17" i="8"/>
  <c r="BM18" i="8" s="1"/>
  <c r="BO4" i="8"/>
  <c r="BN15" i="8"/>
  <c r="BL23" i="8"/>
  <c r="BL25" i="8" s="1"/>
  <c r="BL26" i="8" s="1"/>
  <c r="BY66" i="8" l="1"/>
  <c r="BY67" i="8" s="1"/>
  <c r="BP7" i="8"/>
  <c r="BP90" i="8"/>
  <c r="BO98" i="8"/>
  <c r="BP5" i="8"/>
  <c r="BP88" i="8"/>
  <c r="BP98" i="8" s="1"/>
  <c r="BY64" i="8"/>
  <c r="BY65" i="8" s="1"/>
  <c r="BY61" i="8"/>
  <c r="BZ60" i="8"/>
  <c r="BZ62" i="8" s="1"/>
  <c r="BZ63" i="8" s="1"/>
  <c r="BX68" i="8"/>
  <c r="BX70" i="8" s="1"/>
  <c r="BX71" i="8" s="1"/>
  <c r="BN21" i="8"/>
  <c r="BN22" i="8" s="1"/>
  <c r="BN16" i="8"/>
  <c r="BN17" i="8"/>
  <c r="BN18" i="8" s="1"/>
  <c r="BP4" i="8"/>
  <c r="BO15" i="8"/>
  <c r="BM23" i="8"/>
  <c r="BM25" i="8" s="1"/>
  <c r="BM26" i="8" s="1"/>
  <c r="BN19" i="8"/>
  <c r="BN20" i="8" s="1"/>
  <c r="BO19" i="8" l="1"/>
  <c r="BO20" i="8" s="1"/>
  <c r="BP100" i="8"/>
  <c r="BP101" i="8" s="1"/>
  <c r="BP99" i="8"/>
  <c r="BP104" i="8"/>
  <c r="BQ5" i="8"/>
  <c r="BQ88" i="8"/>
  <c r="BO100" i="8"/>
  <c r="BO101" i="8" s="1"/>
  <c r="BO104" i="8"/>
  <c r="BO99" i="8"/>
  <c r="BO102" i="8"/>
  <c r="BO103" i="8" s="1"/>
  <c r="BP102" i="8" s="1"/>
  <c r="BO106" i="8"/>
  <c r="BO108" i="8" s="1"/>
  <c r="BO109" i="8" s="1"/>
  <c r="BQ7" i="8"/>
  <c r="BQ90" i="8"/>
  <c r="BZ66" i="8"/>
  <c r="BZ67" i="8" s="1"/>
  <c r="CA60" i="8"/>
  <c r="CA62" i="8" s="1"/>
  <c r="CA63" i="8" s="1"/>
  <c r="BZ61" i="8"/>
  <c r="BZ64" i="8"/>
  <c r="BZ65" i="8" s="1"/>
  <c r="BY68" i="8"/>
  <c r="BY70" i="8" s="1"/>
  <c r="BY71" i="8" s="1"/>
  <c r="BO21" i="8"/>
  <c r="BO22" i="8" s="1"/>
  <c r="BO16" i="8"/>
  <c r="BO17" i="8"/>
  <c r="BO18" i="8" s="1"/>
  <c r="BN23" i="8"/>
  <c r="BN25" i="8" s="1"/>
  <c r="BN26" i="8" s="1"/>
  <c r="BQ4" i="8"/>
  <c r="BP15" i="8"/>
  <c r="BQ98" i="8" l="1"/>
  <c r="BQ99" i="8" s="1"/>
  <c r="BP103" i="8"/>
  <c r="BP106" i="8"/>
  <c r="BP108" i="8" s="1"/>
  <c r="BP109" i="8" s="1"/>
  <c r="BR5" i="8"/>
  <c r="BR88" i="8"/>
  <c r="CA66" i="8"/>
  <c r="CA67" i="8" s="1"/>
  <c r="BR7" i="8"/>
  <c r="BR90" i="8"/>
  <c r="BZ68" i="8"/>
  <c r="BZ70" i="8" s="1"/>
  <c r="BZ71" i="8" s="1"/>
  <c r="CB60" i="8"/>
  <c r="CB62" i="8" s="1"/>
  <c r="CB63" i="8" s="1"/>
  <c r="CA64" i="8"/>
  <c r="CA65" i="8" s="1"/>
  <c r="CA61" i="8"/>
  <c r="BP21" i="8"/>
  <c r="BP22" i="8" s="1"/>
  <c r="BP16" i="8"/>
  <c r="BP17" i="8"/>
  <c r="BP18" i="8" s="1"/>
  <c r="BR4" i="8"/>
  <c r="BQ15" i="8"/>
  <c r="BP19" i="8"/>
  <c r="BP20" i="8" s="1"/>
  <c r="BO23" i="8"/>
  <c r="BO25" i="8" s="1"/>
  <c r="BO26" i="8" s="1"/>
  <c r="CB66" i="8" l="1"/>
  <c r="CB67" i="8" s="1"/>
  <c r="BQ102" i="8"/>
  <c r="BQ103" i="8" s="1"/>
  <c r="BQ104" i="8"/>
  <c r="BQ100" i="8"/>
  <c r="BQ101" i="8" s="1"/>
  <c r="BS7" i="8"/>
  <c r="BS90" i="8"/>
  <c r="BR98" i="8"/>
  <c r="BS5" i="8"/>
  <c r="BS88" i="8"/>
  <c r="BS98" i="8" s="1"/>
  <c r="CA68" i="8"/>
  <c r="CA70" i="8" s="1"/>
  <c r="CA71" i="8" s="1"/>
  <c r="CC60" i="8"/>
  <c r="CC62" i="8" s="1"/>
  <c r="CC63" i="8" s="1"/>
  <c r="CB61" i="8"/>
  <c r="CB64" i="8"/>
  <c r="CB65" i="8" s="1"/>
  <c r="BQ19" i="8"/>
  <c r="BQ20" i="8" s="1"/>
  <c r="BQ21" i="8"/>
  <c r="BQ22" i="8" s="1"/>
  <c r="BQ16" i="8"/>
  <c r="BQ17" i="8"/>
  <c r="BQ18" i="8" s="1"/>
  <c r="BS4" i="8"/>
  <c r="BR15" i="8"/>
  <c r="BP23" i="8"/>
  <c r="BP25" i="8" s="1"/>
  <c r="BP26" i="8" s="1"/>
  <c r="BQ106" i="8" l="1"/>
  <c r="BQ108" i="8" s="1"/>
  <c r="BQ109" i="8" s="1"/>
  <c r="BS100" i="8"/>
  <c r="BS101" i="8" s="1"/>
  <c r="BS99" i="8"/>
  <c r="BS104" i="8"/>
  <c r="BT5" i="8"/>
  <c r="BT88" i="8"/>
  <c r="BR100" i="8"/>
  <c r="BR101" i="8" s="1"/>
  <c r="BR104" i="8"/>
  <c r="BR102" i="8"/>
  <c r="BR103" i="8" s="1"/>
  <c r="BS102" i="8" s="1"/>
  <c r="BR99" i="8"/>
  <c r="BR106" i="8"/>
  <c r="BR108" i="8" s="1"/>
  <c r="BR109" i="8" s="1"/>
  <c r="BT7" i="8"/>
  <c r="BT90" i="8"/>
  <c r="CC66" i="8"/>
  <c r="CC67" i="8" s="1"/>
  <c r="CB68" i="8"/>
  <c r="CB70" i="8" s="1"/>
  <c r="CB71" i="8" s="1"/>
  <c r="CC64" i="8"/>
  <c r="CC65" i="8" s="1"/>
  <c r="CC61" i="8"/>
  <c r="CD60" i="8"/>
  <c r="CD62" i="8" s="1"/>
  <c r="CD63" i="8" s="1"/>
  <c r="BR21" i="8"/>
  <c r="BR22" i="8" s="1"/>
  <c r="BR16" i="8"/>
  <c r="BR17" i="8"/>
  <c r="BR18" i="8" s="1"/>
  <c r="BT4" i="8"/>
  <c r="BS15" i="8"/>
  <c r="BQ23" i="8"/>
  <c r="BQ25" i="8" s="1"/>
  <c r="BQ26" i="8" s="1"/>
  <c r="BR19" i="8"/>
  <c r="BR20" i="8" s="1"/>
  <c r="BS19" i="8" l="1"/>
  <c r="BS20" i="8" s="1"/>
  <c r="BT98" i="8"/>
  <c r="BS103" i="8"/>
  <c r="BS106" i="8"/>
  <c r="BS108" i="8" s="1"/>
  <c r="BS109" i="8" s="1"/>
  <c r="CD66" i="8"/>
  <c r="CD67" i="8" s="1"/>
  <c r="BT100" i="8"/>
  <c r="BT101" i="8" s="1"/>
  <c r="BT99" i="8"/>
  <c r="BT102" i="8"/>
  <c r="BT103" i="8" s="1"/>
  <c r="BT104" i="8"/>
  <c r="BT106" i="8"/>
  <c r="BT108" i="8" s="1"/>
  <c r="BT109" i="8" s="1"/>
  <c r="BU88" i="8"/>
  <c r="BU98" i="8" s="1"/>
  <c r="BU5" i="8"/>
  <c r="BR23" i="8"/>
  <c r="BR25" i="8" s="1"/>
  <c r="BR26" i="8" s="1"/>
  <c r="BU7" i="8"/>
  <c r="BU90" i="8"/>
  <c r="CC68" i="8"/>
  <c r="CC70" i="8" s="1"/>
  <c r="CC71" i="8" s="1"/>
  <c r="CE60" i="8"/>
  <c r="CE62" i="8" s="1"/>
  <c r="CE63" i="8" s="1"/>
  <c r="CD64" i="8"/>
  <c r="CD65" i="8" s="1"/>
  <c r="CD61" i="8"/>
  <c r="BS21" i="8"/>
  <c r="BS22" i="8" s="1"/>
  <c r="BS16" i="8"/>
  <c r="BS17" i="8"/>
  <c r="BS18" i="8" s="1"/>
  <c r="BU4" i="8"/>
  <c r="BT15" i="8"/>
  <c r="BV7" i="8" l="1"/>
  <c r="BV90" i="8"/>
  <c r="BV88" i="8"/>
  <c r="BV98" i="8" s="1"/>
  <c r="BV5" i="8"/>
  <c r="BU100" i="8"/>
  <c r="BU101" i="8" s="1"/>
  <c r="BU102" i="8"/>
  <c r="BU103" i="8" s="1"/>
  <c r="BU99" i="8"/>
  <c r="BU104" i="8"/>
  <c r="BU106" i="8"/>
  <c r="BU108" i="8" s="1"/>
  <c r="BU109" i="8" s="1"/>
  <c r="CE66" i="8"/>
  <c r="CE67" i="8" s="1"/>
  <c r="CF60" i="8"/>
  <c r="CF62" i="8" s="1"/>
  <c r="CF63" i="8" s="1"/>
  <c r="CE64" i="8"/>
  <c r="CE65" i="8" s="1"/>
  <c r="CE61" i="8"/>
  <c r="CD68" i="8"/>
  <c r="CD70" i="8" s="1"/>
  <c r="CD71" i="8" s="1"/>
  <c r="BT21" i="8"/>
  <c r="BT22" i="8" s="1"/>
  <c r="BT16" i="8"/>
  <c r="BT17" i="8"/>
  <c r="BT18" i="8" s="1"/>
  <c r="BS23" i="8"/>
  <c r="BS25" i="8" s="1"/>
  <c r="BS26" i="8" s="1"/>
  <c r="BV4" i="8"/>
  <c r="BU15" i="8"/>
  <c r="BT19" i="8"/>
  <c r="BT20" i="8" s="1"/>
  <c r="BU19" i="8" s="1"/>
  <c r="BU20" i="8" s="1"/>
  <c r="CF66" i="8" l="1"/>
  <c r="CF67" i="8" s="1"/>
  <c r="BW88" i="8"/>
  <c r="BW5" i="8"/>
  <c r="BV100" i="8"/>
  <c r="BV101" i="8" s="1"/>
  <c r="BV104" i="8"/>
  <c r="BV102" i="8"/>
  <c r="BV103" i="8" s="1"/>
  <c r="BV99" i="8"/>
  <c r="BV106" i="8"/>
  <c r="BV108" i="8" s="1"/>
  <c r="BV109" i="8" s="1"/>
  <c r="BW7" i="8"/>
  <c r="BW90" i="8"/>
  <c r="CE68" i="8"/>
  <c r="CE70" i="8" s="1"/>
  <c r="CE71" i="8" s="1"/>
  <c r="CF64" i="8"/>
  <c r="CF65" i="8" s="1"/>
  <c r="CF61" i="8"/>
  <c r="CG60" i="8"/>
  <c r="CG62" i="8" s="1"/>
  <c r="CG63" i="8" s="1"/>
  <c r="BU21" i="8"/>
  <c r="BU22" i="8" s="1"/>
  <c r="BU16" i="8"/>
  <c r="BU17" i="8"/>
  <c r="BU18" i="8" s="1"/>
  <c r="BW4" i="8"/>
  <c r="BV15" i="8"/>
  <c r="BV19" i="8" s="1"/>
  <c r="BV20" i="8" s="1"/>
  <c r="BT23" i="8"/>
  <c r="BT25" i="8" s="1"/>
  <c r="BT26" i="8" s="1"/>
  <c r="BW98" i="8" l="1"/>
  <c r="BW100" i="8" s="1"/>
  <c r="BW99" i="8"/>
  <c r="BW102" i="8"/>
  <c r="BW103" i="8" s="1"/>
  <c r="CG66" i="8"/>
  <c r="CG67" i="8" s="1"/>
  <c r="BX7" i="8"/>
  <c r="BX90" i="8"/>
  <c r="BX88" i="8"/>
  <c r="BX98" i="8" s="1"/>
  <c r="BX5" i="8"/>
  <c r="CH60" i="8"/>
  <c r="CG64" i="8"/>
  <c r="CG65" i="8" s="1"/>
  <c r="CG61" i="8"/>
  <c r="CF68" i="8"/>
  <c r="CF70" i="8" s="1"/>
  <c r="CF71" i="8" s="1"/>
  <c r="BV21" i="8"/>
  <c r="BV22" i="8" s="1"/>
  <c r="BV16" i="8"/>
  <c r="BV17" i="8"/>
  <c r="BV18" i="8" s="1"/>
  <c r="BX4" i="8"/>
  <c r="BW15" i="8"/>
  <c r="BU23" i="8"/>
  <c r="BU25" i="8" s="1"/>
  <c r="BU26" i="8" s="1"/>
  <c r="BW101" i="8" l="1"/>
  <c r="BW104" i="8"/>
  <c r="BW106" i="8" s="1"/>
  <c r="BW108" i="8" s="1"/>
  <c r="BW109" i="8" s="1"/>
  <c r="BX100" i="8"/>
  <c r="BX101" i="8" s="1"/>
  <c r="BX99" i="8"/>
  <c r="BX102" i="8"/>
  <c r="BX103" i="8" s="1"/>
  <c r="BX104" i="8"/>
  <c r="CH62" i="8"/>
  <c r="CH63" i="8" s="1"/>
  <c r="CI61" i="8"/>
  <c r="BY88" i="8"/>
  <c r="BY5" i="8"/>
  <c r="BY7" i="8"/>
  <c r="BY90" i="8"/>
  <c r="CH66" i="8"/>
  <c r="CH67" i="8" s="1"/>
  <c r="CI66" i="8" s="1"/>
  <c r="CI67" i="8" s="1"/>
  <c r="CG68" i="8"/>
  <c r="CG70" i="8" s="1"/>
  <c r="CG71" i="8" s="1"/>
  <c r="CH61" i="8"/>
  <c r="CH64" i="8"/>
  <c r="BY4" i="8"/>
  <c r="BX15" i="8"/>
  <c r="BW21" i="8"/>
  <c r="BW22" i="8" s="1"/>
  <c r="BW16" i="8"/>
  <c r="BW17" i="8"/>
  <c r="BW18" i="8" s="1"/>
  <c r="BV23" i="8"/>
  <c r="BV25" i="8" s="1"/>
  <c r="BV26" i="8" s="1"/>
  <c r="BW19" i="8"/>
  <c r="BW20" i="8" s="1"/>
  <c r="BX106" i="8" l="1"/>
  <c r="BX108" i="8" s="1"/>
  <c r="BX109" i="8" s="1"/>
  <c r="BZ7" i="8"/>
  <c r="BZ90" i="8"/>
  <c r="BZ88" i="8"/>
  <c r="BZ98" i="8" s="1"/>
  <c r="BZ5" i="8"/>
  <c r="BY98" i="8"/>
  <c r="BX19" i="8"/>
  <c r="BX20" i="8" s="1"/>
  <c r="CH65" i="8"/>
  <c r="CI64" i="8" s="1"/>
  <c r="CH68" i="8"/>
  <c r="CH70" i="8" s="1"/>
  <c r="CH71" i="8" s="1"/>
  <c r="BW23" i="8"/>
  <c r="BW25" i="8" s="1"/>
  <c r="BW26" i="8" s="1"/>
  <c r="BX21" i="8"/>
  <c r="BX22" i="8" s="1"/>
  <c r="BX16" i="8"/>
  <c r="BX17" i="8"/>
  <c r="BX18" i="8" s="1"/>
  <c r="BZ4" i="8"/>
  <c r="BY15" i="8"/>
  <c r="BY100" i="8" l="1"/>
  <c r="BY101" i="8" s="1"/>
  <c r="BY99" i="8"/>
  <c r="BY104" i="8"/>
  <c r="BY102" i="8"/>
  <c r="BY103" i="8" s="1"/>
  <c r="CA88" i="8"/>
  <c r="CA98" i="8" s="1"/>
  <c r="CA5" i="8"/>
  <c r="BZ100" i="8"/>
  <c r="BZ101" i="8" s="1"/>
  <c r="BZ102" i="8"/>
  <c r="BZ103" i="8" s="1"/>
  <c r="BZ99" i="8"/>
  <c r="BZ104" i="8"/>
  <c r="BZ106" i="8"/>
  <c r="BZ108" i="8" s="1"/>
  <c r="BZ109" i="8" s="1"/>
  <c r="CA7" i="8"/>
  <c r="CA90" i="8"/>
  <c r="CI65" i="8"/>
  <c r="CI68" i="8"/>
  <c r="CI70" i="8" s="1"/>
  <c r="CA4" i="8"/>
  <c r="BZ15" i="8"/>
  <c r="BY21" i="8"/>
  <c r="BY22" i="8" s="1"/>
  <c r="BY16" i="8"/>
  <c r="BY17" i="8"/>
  <c r="BY18" i="8" s="1"/>
  <c r="BX23" i="8"/>
  <c r="BX25" i="8" s="1"/>
  <c r="BX26" i="8" s="1"/>
  <c r="BY19" i="8"/>
  <c r="BY20" i="8" s="1"/>
  <c r="BY106" i="8" l="1"/>
  <c r="BY108" i="8" s="1"/>
  <c r="BY109" i="8" s="1"/>
  <c r="CB88" i="8"/>
  <c r="CB5" i="8"/>
  <c r="CA100" i="8"/>
  <c r="CA101" i="8" s="1"/>
  <c r="CA104" i="8"/>
  <c r="CA99" i="8"/>
  <c r="CA102" i="8"/>
  <c r="CA103" i="8" s="1"/>
  <c r="CA106" i="8"/>
  <c r="CA108" i="8" s="1"/>
  <c r="CA109" i="8" s="1"/>
  <c r="BZ19" i="8"/>
  <c r="BZ20" i="8" s="1"/>
  <c r="CB7" i="8"/>
  <c r="CB90" i="8"/>
  <c r="CI71" i="8"/>
  <c r="O75" i="8"/>
  <c r="O77" i="8" s="1"/>
  <c r="O79" i="8" s="1"/>
  <c r="O81" i="8" s="1"/>
  <c r="BZ21" i="8"/>
  <c r="BZ22" i="8" s="1"/>
  <c r="BZ16" i="8"/>
  <c r="BZ17" i="8"/>
  <c r="BZ18" i="8" s="1"/>
  <c r="BY23" i="8"/>
  <c r="BY25" i="8" s="1"/>
  <c r="BY26" i="8" s="1"/>
  <c r="CB4" i="8"/>
  <c r="CA15" i="8"/>
  <c r="CA19" i="8" l="1"/>
  <c r="CA20" i="8" s="1"/>
  <c r="CC7" i="8"/>
  <c r="CC90" i="8"/>
  <c r="CC88" i="8"/>
  <c r="CC98" i="8" s="1"/>
  <c r="CC5" i="8"/>
  <c r="CB98" i="8"/>
  <c r="CC4" i="8"/>
  <c r="CB15" i="8"/>
  <c r="CA21" i="8"/>
  <c r="CA22" i="8" s="1"/>
  <c r="CA16" i="8"/>
  <c r="CA17" i="8"/>
  <c r="CA18" i="8" s="1"/>
  <c r="BZ23" i="8"/>
  <c r="BZ25" i="8" s="1"/>
  <c r="BZ26" i="8" s="1"/>
  <c r="CB100" i="8" l="1"/>
  <c r="CB101" i="8" s="1"/>
  <c r="CB99" i="8"/>
  <c r="CB102" i="8"/>
  <c r="CB103" i="8" s="1"/>
  <c r="CB104" i="8"/>
  <c r="CD88" i="8"/>
  <c r="CD5" i="8"/>
  <c r="CC100" i="8"/>
  <c r="CC101" i="8" s="1"/>
  <c r="CC99" i="8"/>
  <c r="CC102" i="8"/>
  <c r="CC103" i="8" s="1"/>
  <c r="CC104" i="8"/>
  <c r="CD7" i="8"/>
  <c r="CD90" i="8"/>
  <c r="CA23" i="8"/>
  <c r="CA25" i="8" s="1"/>
  <c r="CA26" i="8" s="1"/>
  <c r="CB21" i="8"/>
  <c r="CB22" i="8" s="1"/>
  <c r="CB16" i="8"/>
  <c r="CB17" i="8"/>
  <c r="CB18" i="8" s="1"/>
  <c r="CB19" i="8"/>
  <c r="CB20" i="8" s="1"/>
  <c r="CD4" i="8"/>
  <c r="CC15" i="8"/>
  <c r="CD98" i="8" l="1"/>
  <c r="CD100" i="8" s="1"/>
  <c r="CB106" i="8"/>
  <c r="CB108" i="8" s="1"/>
  <c r="CB109" i="8" s="1"/>
  <c r="CE88" i="8"/>
  <c r="CE5" i="8"/>
  <c r="CE7" i="8"/>
  <c r="CE90" i="8"/>
  <c r="CC106" i="8"/>
  <c r="CC108" i="8" s="1"/>
  <c r="CC109" i="8" s="1"/>
  <c r="CC21" i="8"/>
  <c r="CC22" i="8" s="1"/>
  <c r="CC16" i="8"/>
  <c r="CC17" i="8"/>
  <c r="CC18" i="8" s="1"/>
  <c r="CC19" i="8"/>
  <c r="CC20" i="8" s="1"/>
  <c r="CE4" i="8"/>
  <c r="CD15" i="8"/>
  <c r="CB23" i="8"/>
  <c r="CB25" i="8" s="1"/>
  <c r="CB26" i="8" s="1"/>
  <c r="CD101" i="8" l="1"/>
  <c r="CD102" i="8"/>
  <c r="CD103" i="8" s="1"/>
  <c r="CD104" i="8"/>
  <c r="CD99" i="8"/>
  <c r="CF7" i="8"/>
  <c r="CF90" i="8"/>
  <c r="CF88" i="8"/>
  <c r="CF98" i="8" s="1"/>
  <c r="CF5" i="8"/>
  <c r="CE98" i="8"/>
  <c r="CF4" i="8"/>
  <c r="CE15" i="8"/>
  <c r="CD21" i="8"/>
  <c r="CD22" i="8" s="1"/>
  <c r="CD16" i="8"/>
  <c r="CD17" i="8"/>
  <c r="CD18" i="8" s="1"/>
  <c r="CD19" i="8"/>
  <c r="CD20" i="8" s="1"/>
  <c r="CC23" i="8"/>
  <c r="CC25" i="8" s="1"/>
  <c r="CC26" i="8" s="1"/>
  <c r="CE19" i="8" l="1"/>
  <c r="CE20" i="8" s="1"/>
  <c r="CD106" i="8"/>
  <c r="CD108" i="8" s="1"/>
  <c r="CD109" i="8" s="1"/>
  <c r="CE100" i="8"/>
  <c r="CE101" i="8" s="1"/>
  <c r="CE104" i="8"/>
  <c r="CE102" i="8"/>
  <c r="CE103" i="8" s="1"/>
  <c r="CE99" i="8"/>
  <c r="CG88" i="8"/>
  <c r="CG5" i="8"/>
  <c r="CF100" i="8"/>
  <c r="CF101" i="8" s="1"/>
  <c r="CF102" i="8"/>
  <c r="CF103" i="8" s="1"/>
  <c r="CF99" i="8"/>
  <c r="CF104" i="8"/>
  <c r="CG7" i="8"/>
  <c r="CG90" i="8"/>
  <c r="CD23" i="8"/>
  <c r="CD25" i="8" s="1"/>
  <c r="CD26" i="8" s="1"/>
  <c r="CE21" i="8"/>
  <c r="CE22" i="8" s="1"/>
  <c r="CE16" i="8"/>
  <c r="CE17" i="8"/>
  <c r="CE18" i="8" s="1"/>
  <c r="CG4" i="8"/>
  <c r="CF15" i="8"/>
  <c r="CF19" i="8" s="1"/>
  <c r="CF20" i="8" s="1"/>
  <c r="CG98" i="8" l="1"/>
  <c r="CG100" i="8" s="1"/>
  <c r="CE106" i="8"/>
  <c r="CE108" i="8" s="1"/>
  <c r="CF106" i="8"/>
  <c r="CF108" i="8" s="1"/>
  <c r="CF109" i="8" s="1"/>
  <c r="CH88" i="8"/>
  <c r="CH5" i="8"/>
  <c r="CE109" i="8"/>
  <c r="CH7" i="8"/>
  <c r="CH90" i="8"/>
  <c r="CF21" i="8"/>
  <c r="CF22" i="8" s="1"/>
  <c r="CF16" i="8"/>
  <c r="CF17" i="8"/>
  <c r="CF18" i="8" s="1"/>
  <c r="CH4" i="8"/>
  <c r="CG15" i="8"/>
  <c r="CG19" i="8" s="1"/>
  <c r="CG20" i="8" s="1"/>
  <c r="CE23" i="8"/>
  <c r="CE25" i="8" s="1"/>
  <c r="CE26" i="8" s="1"/>
  <c r="CG99" i="8" l="1"/>
  <c r="CG102" i="8"/>
  <c r="CG103" i="8" s="1"/>
  <c r="CG104" i="8"/>
  <c r="CG101" i="8"/>
  <c r="CG106" i="8"/>
  <c r="CG108" i="8" s="1"/>
  <c r="CG109" i="8" s="1"/>
  <c r="CF23" i="8"/>
  <c r="CF25" i="8" s="1"/>
  <c r="CF26" i="8" s="1"/>
  <c r="CI88" i="8"/>
  <c r="CI5" i="8"/>
  <c r="CI7" i="8"/>
  <c r="CI90" i="8"/>
  <c r="CH98" i="8"/>
  <c r="CG21" i="8"/>
  <c r="CG22" i="8" s="1"/>
  <c r="CG16" i="8"/>
  <c r="CG17" i="8"/>
  <c r="CG18" i="8" s="1"/>
  <c r="CI4" i="8"/>
  <c r="CH15" i="8"/>
  <c r="CI15" i="8" l="1"/>
  <c r="CH100" i="8"/>
  <c r="CH101" i="8" s="1"/>
  <c r="CH104" i="8"/>
  <c r="CH102" i="8"/>
  <c r="CH103" i="8" s="1"/>
  <c r="CH99" i="8"/>
  <c r="CI98" i="8"/>
  <c r="CH21" i="8"/>
  <c r="CH22" i="8" s="1"/>
  <c r="CH16" i="8"/>
  <c r="CH17" i="8"/>
  <c r="CH18" i="8" s="1"/>
  <c r="CI17" i="8" s="1"/>
  <c r="CI18" i="8" s="1"/>
  <c r="CI21" i="8"/>
  <c r="CI22" i="8" s="1"/>
  <c r="CI16" i="8"/>
  <c r="CG23" i="8"/>
  <c r="CG25" i="8" s="1"/>
  <c r="CG26" i="8" s="1"/>
  <c r="CH19" i="8"/>
  <c r="CH20" i="8" s="1"/>
  <c r="CI19" i="8" s="1"/>
  <c r="CI20" i="8" s="1"/>
  <c r="CH106" i="8" l="1"/>
  <c r="CH108" i="8" s="1"/>
  <c r="CH109" i="8" s="1"/>
  <c r="CI100" i="8"/>
  <c r="CI101" i="8" s="1"/>
  <c r="CI99" i="8"/>
  <c r="CI102" i="8"/>
  <c r="CI103" i="8" s="1"/>
  <c r="CI104" i="8"/>
  <c r="CI23" i="8"/>
  <c r="CI25" i="8" s="1"/>
  <c r="CH23" i="8"/>
  <c r="CH25" i="8" s="1"/>
  <c r="CH26" i="8" s="1"/>
  <c r="O30" i="8" l="1"/>
  <c r="O35" i="8" s="1"/>
  <c r="O37" i="8" s="1"/>
  <c r="O42" i="8" s="1"/>
  <c r="CI106" i="8"/>
  <c r="CI108" i="8" s="1"/>
  <c r="CI26" i="8"/>
  <c r="CI109" i="8" l="1"/>
  <c r="O113" i="8"/>
  <c r="O115" i="8" s="1"/>
  <c r="O117" i="8" s="1"/>
  <c r="O119" i="8" s="1"/>
</calcChain>
</file>

<file path=xl/sharedStrings.xml><?xml version="1.0" encoding="utf-8"?>
<sst xmlns="http://schemas.openxmlformats.org/spreadsheetml/2006/main" count="1118" uniqueCount="773">
  <si>
    <t>Main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</si>
  <si>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</si>
  <si>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</si>
  <si>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</si>
  <si>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</si>
  <si>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</si>
  <si>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</si>
  <si>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</si>
  <si>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</si>
  <si>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</si>
  <si>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</si>
  <si>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</si>
  <si>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</si>
  <si>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</si>
  <si>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</si>
  <si>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</si>
  <si>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</si>
  <si>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</si>
  <si>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</si>
  <si>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</si>
  <si>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</si>
  <si>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</si>
  <si>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</si>
  <si>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</si>
  <si>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</si>
  <si>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</si>
  <si>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</si>
  <si>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</si>
  <si>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</si>
  <si>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</si>
  <si>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</si>
  <si>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</si>
  <si>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</si>
  <si>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</si>
  <si>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</si>
  <si>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</si>
  <si>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</si>
  <si>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</si>
  <si>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</si>
  <si>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</si>
  <si>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</si>
  <si>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</si>
  <si>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</si>
  <si>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</si>
  <si>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</si>
  <si>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</si>
  <si>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</si>
  <si>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</si>
  <si>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</si>
  <si>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</si>
  <si>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</si>
  <si>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</si>
  <si>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</si>
  <si>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</si>
  <si>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</si>
  <si>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</si>
  <si>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</si>
  <si>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</si>
  <si>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</si>
  <si>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FY31</t>
  </si>
  <si>
    <t>FY32</t>
  </si>
  <si>
    <t>FY33</t>
  </si>
  <si>
    <t>FY34</t>
  </si>
  <si>
    <t>FY35</t>
  </si>
  <si>
    <t>FY36</t>
  </si>
  <si>
    <t>FY37</t>
  </si>
  <si>
    <t>FY38</t>
  </si>
  <si>
    <t>FY39</t>
  </si>
  <si>
    <t>FY40</t>
  </si>
  <si>
    <t>FY41</t>
  </si>
  <si>
    <t>FY42</t>
  </si>
  <si>
    <t>FY43</t>
  </si>
  <si>
    <t>FY44</t>
  </si>
  <si>
    <t>FY45</t>
  </si>
  <si>
    <t>FY46</t>
  </si>
  <si>
    <t>FY47</t>
  </si>
  <si>
    <t>FY48</t>
  </si>
  <si>
    <t>FY49</t>
  </si>
  <si>
    <t>FY50</t>
  </si>
  <si>
    <t>FY51</t>
  </si>
  <si>
    <t>FY52</t>
  </si>
  <si>
    <t>FY53</t>
  </si>
  <si>
    <t>FY54</t>
  </si>
  <si>
    <t>FY55</t>
  </si>
  <si>
    <t>FY56</t>
  </si>
  <si>
    <t>FY57</t>
  </si>
  <si>
    <t>FY58</t>
  </si>
  <si>
    <t>FY59</t>
  </si>
  <si>
    <t>FY60</t>
  </si>
  <si>
    <t>FY61</t>
  </si>
  <si>
    <t>FY62</t>
  </si>
  <si>
    <t>FY63</t>
  </si>
  <si>
    <t>FY64</t>
  </si>
  <si>
    <t>FY65</t>
  </si>
  <si>
    <t>FY66</t>
  </si>
  <si>
    <t>FY67</t>
  </si>
  <si>
    <t>FY68</t>
  </si>
  <si>
    <t>FY69</t>
  </si>
  <si>
    <t>FY70</t>
  </si>
  <si>
    <t>FY71</t>
  </si>
  <si>
    <t>FY72</t>
  </si>
  <si>
    <t>FY73</t>
  </si>
  <si>
    <t>FY74</t>
  </si>
  <si>
    <t>FY75</t>
  </si>
  <si>
    <t>FY76</t>
  </si>
  <si>
    <t>FY77</t>
  </si>
  <si>
    <t>FY78</t>
  </si>
  <si>
    <t>FY79</t>
  </si>
  <si>
    <t>FY80</t>
  </si>
  <si>
    <t>FY81</t>
  </si>
  <si>
    <t>FY82</t>
  </si>
  <si>
    <t>FY83</t>
  </si>
  <si>
    <t>FY84</t>
  </si>
  <si>
    <t>FY85</t>
  </si>
  <si>
    <t>FY86</t>
  </si>
  <si>
    <t>FY87</t>
  </si>
  <si>
    <t>FY88</t>
  </si>
  <si>
    <t>FY89</t>
  </si>
  <si>
    <t>FY90</t>
  </si>
  <si>
    <t>FY91</t>
  </si>
  <si>
    <t>FY92</t>
  </si>
  <si>
    <t>FY93</t>
  </si>
  <si>
    <t>FY94</t>
  </si>
  <si>
    <t>FY95</t>
  </si>
  <si>
    <t>FY96</t>
  </si>
  <si>
    <t>FY97</t>
  </si>
  <si>
    <t>FY98</t>
  </si>
  <si>
    <t>FY99</t>
  </si>
  <si>
    <t>FY100</t>
  </si>
  <si>
    <t>FY101</t>
  </si>
  <si>
    <t>FY102</t>
  </si>
  <si>
    <t>FY103</t>
  </si>
  <si>
    <t>FY104</t>
  </si>
  <si>
    <t>FY105</t>
  </si>
  <si>
    <t>FY106</t>
  </si>
  <si>
    <t>FY107</t>
  </si>
  <si>
    <t>FY108</t>
  </si>
  <si>
    <t>FY109</t>
  </si>
  <si>
    <t>FY110</t>
  </si>
  <si>
    <t>FY111</t>
  </si>
  <si>
    <t>FY112</t>
  </si>
  <si>
    <t>FY113</t>
  </si>
  <si>
    <t>FY114</t>
  </si>
  <si>
    <t>FY115</t>
  </si>
  <si>
    <t>FY116</t>
  </si>
  <si>
    <t>FY117</t>
  </si>
  <si>
    <t>FY118</t>
  </si>
  <si>
    <t>FY119</t>
  </si>
  <si>
    <t>FY120</t>
  </si>
  <si>
    <t>FY121</t>
  </si>
  <si>
    <t>FY122</t>
  </si>
  <si>
    <t>FY123</t>
  </si>
  <si>
    <t>FY124</t>
  </si>
  <si>
    <t>FY125</t>
  </si>
  <si>
    <t>FY126</t>
  </si>
  <si>
    <t>FY127</t>
  </si>
  <si>
    <t>FY128</t>
  </si>
  <si>
    <t>FY129</t>
  </si>
  <si>
    <t>FY130</t>
  </si>
  <si>
    <t>FY131</t>
  </si>
  <si>
    <t>FY132</t>
  </si>
  <si>
    <t>FY133</t>
  </si>
  <si>
    <t>FY134</t>
  </si>
  <si>
    <t>FY135</t>
  </si>
  <si>
    <t>FY136</t>
  </si>
  <si>
    <t>FY137</t>
  </si>
  <si>
    <t>FY138</t>
  </si>
  <si>
    <t>FY139</t>
  </si>
  <si>
    <t>FY140</t>
  </si>
  <si>
    <t>FY141</t>
  </si>
  <si>
    <t>FY142</t>
  </si>
  <si>
    <t>FY143</t>
  </si>
  <si>
    <t>FY144</t>
  </si>
  <si>
    <t>FY145</t>
  </si>
  <si>
    <t>FY146</t>
  </si>
  <si>
    <t>FY147</t>
  </si>
  <si>
    <t>FY148</t>
  </si>
  <si>
    <t>FY149</t>
  </si>
  <si>
    <t>FY150</t>
  </si>
  <si>
    <t>FY151</t>
  </si>
  <si>
    <t>FY152</t>
  </si>
  <si>
    <t>FY153</t>
  </si>
  <si>
    <t>FY154</t>
  </si>
  <si>
    <t>FY155</t>
  </si>
  <si>
    <t>FY156</t>
  </si>
  <si>
    <t>FY157</t>
  </si>
  <si>
    <t>FY158</t>
  </si>
  <si>
    <t>FY159</t>
  </si>
  <si>
    <t>FY160</t>
  </si>
  <si>
    <t>FY161</t>
  </si>
  <si>
    <t>FY162</t>
  </si>
  <si>
    <t>FY163</t>
  </si>
  <si>
    <t>FY164</t>
  </si>
  <si>
    <t>FY165</t>
  </si>
  <si>
    <t>FY166</t>
  </si>
  <si>
    <t>FY167</t>
  </si>
  <si>
    <t>FY168</t>
  </si>
  <si>
    <t>FY169</t>
  </si>
  <si>
    <t>FY170</t>
  </si>
  <si>
    <t>FY171</t>
  </si>
  <si>
    <t>FY172</t>
  </si>
  <si>
    <t>FY173</t>
  </si>
  <si>
    <t>FY174</t>
  </si>
  <si>
    <t>FY175</t>
  </si>
  <si>
    <t>FY176</t>
  </si>
  <si>
    <t>FY177</t>
  </si>
  <si>
    <t>FY178</t>
  </si>
  <si>
    <t>FY179</t>
  </si>
  <si>
    <t>FY180</t>
  </si>
  <si>
    <t>FY181</t>
  </si>
  <si>
    <t>FY182</t>
  </si>
  <si>
    <t>FY183</t>
  </si>
  <si>
    <t>FY184</t>
  </si>
  <si>
    <t>FY185</t>
  </si>
  <si>
    <t>FY186</t>
  </si>
  <si>
    <t>FY187</t>
  </si>
  <si>
    <t>FY188</t>
  </si>
  <si>
    <t>FY189</t>
  </si>
  <si>
    <t>FY190</t>
  </si>
  <si>
    <t>FY191</t>
  </si>
  <si>
    <t>FY192</t>
  </si>
  <si>
    <t>FY193</t>
  </si>
  <si>
    <t>FY194</t>
  </si>
  <si>
    <t>FY195</t>
  </si>
  <si>
    <t>FY196</t>
  </si>
  <si>
    <t>FY197</t>
  </si>
  <si>
    <t>FY198</t>
  </si>
  <si>
    <t>FY199</t>
  </si>
  <si>
    <t>FY200</t>
  </si>
  <si>
    <t>FY201</t>
  </si>
  <si>
    <t>FY202</t>
  </si>
  <si>
    <t>FY203</t>
  </si>
  <si>
    <t>FY204</t>
  </si>
  <si>
    <t>FY205</t>
  </si>
  <si>
    <t>FY206</t>
  </si>
  <si>
    <t>FY207</t>
  </si>
  <si>
    <t>FY208</t>
  </si>
  <si>
    <t>FY209</t>
  </si>
  <si>
    <t>FY210</t>
  </si>
  <si>
    <t>FY211</t>
  </si>
  <si>
    <t>FY212</t>
  </si>
  <si>
    <t>FY213</t>
  </si>
  <si>
    <t>FY214</t>
  </si>
  <si>
    <t>FY215</t>
  </si>
  <si>
    <t>FY216</t>
  </si>
  <si>
    <t>FY217</t>
  </si>
  <si>
    <t>FY218</t>
  </si>
  <si>
    <t>FY219</t>
  </si>
  <si>
    <t>FY220</t>
  </si>
  <si>
    <t>FY221</t>
  </si>
  <si>
    <t>FY222</t>
  </si>
  <si>
    <t>FY223</t>
  </si>
  <si>
    <t>FY224</t>
  </si>
  <si>
    <t>FY225</t>
  </si>
  <si>
    <t>FY226</t>
  </si>
  <si>
    <t>FY227</t>
  </si>
  <si>
    <t>FY228</t>
  </si>
  <si>
    <t>FY229</t>
  </si>
  <si>
    <t>FY230</t>
  </si>
  <si>
    <t>FY231</t>
  </si>
  <si>
    <t>FY232</t>
  </si>
  <si>
    <t>FY233</t>
  </si>
  <si>
    <t>FY234</t>
  </si>
  <si>
    <t>FY235</t>
  </si>
  <si>
    <t>FY236</t>
  </si>
  <si>
    <t>FY237</t>
  </si>
  <si>
    <t>FY238</t>
  </si>
  <si>
    <t>FY239</t>
  </si>
  <si>
    <t>FY240</t>
  </si>
  <si>
    <t>FY241</t>
  </si>
  <si>
    <t>FY242</t>
  </si>
  <si>
    <t>FY243</t>
  </si>
  <si>
    <t>FY244</t>
  </si>
  <si>
    <t>FY245</t>
  </si>
  <si>
    <t>FY246</t>
  </si>
  <si>
    <t>FY247</t>
  </si>
  <si>
    <t>FY248</t>
  </si>
  <si>
    <t>FY249</t>
  </si>
  <si>
    <t>FY250</t>
  </si>
  <si>
    <t>FY251</t>
  </si>
  <si>
    <t>FY252</t>
  </si>
  <si>
    <t>FY253</t>
  </si>
  <si>
    <t>FY254</t>
  </si>
  <si>
    <t>FY255</t>
  </si>
  <si>
    <t>FY256</t>
  </si>
  <si>
    <t>FY257</t>
  </si>
  <si>
    <t>FY258</t>
  </si>
  <si>
    <t>FY259</t>
  </si>
  <si>
    <t>FY260</t>
  </si>
  <si>
    <t>FY261</t>
  </si>
  <si>
    <t>FY262</t>
  </si>
  <si>
    <t>FY263</t>
  </si>
  <si>
    <t>FY264</t>
  </si>
  <si>
    <t>FY265</t>
  </si>
  <si>
    <t>FY266</t>
  </si>
  <si>
    <t>FY267</t>
  </si>
  <si>
    <t>FY268</t>
  </si>
  <si>
    <t>FY269</t>
  </si>
  <si>
    <t>FY270</t>
  </si>
  <si>
    <t>FY271</t>
  </si>
  <si>
    <t>FY272</t>
  </si>
  <si>
    <t>FY273</t>
  </si>
  <si>
    <t>FY274</t>
  </si>
  <si>
    <t>FY275</t>
  </si>
  <si>
    <t>FY276</t>
  </si>
  <si>
    <t>FY277</t>
  </si>
  <si>
    <t>FY278</t>
  </si>
  <si>
    <t>FY279</t>
  </si>
  <si>
    <t>FY280</t>
  </si>
  <si>
    <t>FY281</t>
  </si>
  <si>
    <t>FY282</t>
  </si>
  <si>
    <t>FY283</t>
  </si>
  <si>
    <t>FY284</t>
  </si>
  <si>
    <t>FY285</t>
  </si>
  <si>
    <t>FY286</t>
  </si>
  <si>
    <t>FY287</t>
  </si>
  <si>
    <t>FY288</t>
  </si>
  <si>
    <t>FY289</t>
  </si>
  <si>
    <t>FY290</t>
  </si>
  <si>
    <t>FY291</t>
  </si>
  <si>
    <t>FY292</t>
  </si>
  <si>
    <t>FY293</t>
  </si>
  <si>
    <t>FY294</t>
  </si>
  <si>
    <t>FY295</t>
  </si>
  <si>
    <t>FY296</t>
  </si>
  <si>
    <t>FY297</t>
  </si>
  <si>
    <t>FY298</t>
  </si>
  <si>
    <t>FY299</t>
  </si>
  <si>
    <t>FY300</t>
  </si>
  <si>
    <t>FY301</t>
  </si>
  <si>
    <t>FY302</t>
  </si>
  <si>
    <t>FY303</t>
  </si>
  <si>
    <t>FY304</t>
  </si>
  <si>
    <t>FY305</t>
  </si>
  <si>
    <t>FY306</t>
  </si>
  <si>
    <t>FY307</t>
  </si>
  <si>
    <t>FY308</t>
  </si>
  <si>
    <t>FY309</t>
  </si>
  <si>
    <t>FY310</t>
  </si>
  <si>
    <t>FY311</t>
  </si>
  <si>
    <t>FY312</t>
  </si>
  <si>
    <t>FY313</t>
  </si>
  <si>
    <t>FY314</t>
  </si>
  <si>
    <t>FY315</t>
  </si>
  <si>
    <t>FY316</t>
  </si>
  <si>
    <t>FY317</t>
  </si>
  <si>
    <t>FY318</t>
  </si>
  <si>
    <t>FY319</t>
  </si>
  <si>
    <t>FY320</t>
  </si>
  <si>
    <t>FY321</t>
  </si>
  <si>
    <t>FY322</t>
  </si>
  <si>
    <t>FY323</t>
  </si>
  <si>
    <t>FY324</t>
  </si>
  <si>
    <t>FY325</t>
  </si>
  <si>
    <t>FY326</t>
  </si>
  <si>
    <t>FY327</t>
  </si>
  <si>
    <t>FY328</t>
  </si>
  <si>
    <t>FY329</t>
  </si>
  <si>
    <t>FY330</t>
  </si>
  <si>
    <t>FY331</t>
  </si>
  <si>
    <t>FY332</t>
  </si>
  <si>
    <t>FY333</t>
  </si>
  <si>
    <t>FY334</t>
  </si>
  <si>
    <t>FY335</t>
  </si>
  <si>
    <t>FY336</t>
  </si>
  <si>
    <t>FY337</t>
  </si>
  <si>
    <t>FY338</t>
  </si>
  <si>
    <t>FY339</t>
  </si>
  <si>
    <t>FY340</t>
  </si>
  <si>
    <t>FY341</t>
  </si>
  <si>
    <t>FY342</t>
  </si>
  <si>
    <t>FY343</t>
  </si>
  <si>
    <t>FY344</t>
  </si>
  <si>
    <t>FY345</t>
  </si>
  <si>
    <t>FY346</t>
  </si>
  <si>
    <t>FY347</t>
  </si>
  <si>
    <t>FY348</t>
  </si>
  <si>
    <t>FY349</t>
  </si>
  <si>
    <t>FY350</t>
  </si>
  <si>
    <t>FY351</t>
  </si>
  <si>
    <t>FY352</t>
  </si>
  <si>
    <t>FY353</t>
  </si>
  <si>
    <t>FY354</t>
  </si>
  <si>
    <t>FY355</t>
  </si>
  <si>
    <t>FY356</t>
  </si>
  <si>
    <t>FY357</t>
  </si>
  <si>
    <t>FY358</t>
  </si>
  <si>
    <t>FY359</t>
  </si>
  <si>
    <t>FY360</t>
  </si>
  <si>
    <t>FY361</t>
  </si>
  <si>
    <t>FY362</t>
  </si>
  <si>
    <t>FY363</t>
  </si>
  <si>
    <t>FY364</t>
  </si>
  <si>
    <t>FY365</t>
  </si>
  <si>
    <t>FY366</t>
  </si>
  <si>
    <t>FY367</t>
  </si>
  <si>
    <t>FY368</t>
  </si>
  <si>
    <t>FY369</t>
  </si>
  <si>
    <t>FY370</t>
  </si>
  <si>
    <t>FY371</t>
  </si>
  <si>
    <t>FY372</t>
  </si>
  <si>
    <t>FY373</t>
  </si>
  <si>
    <t>FY374</t>
  </si>
  <si>
    <t>FY375</t>
  </si>
  <si>
    <t>FY376</t>
  </si>
  <si>
    <t>FY377</t>
  </si>
  <si>
    <t>FY378</t>
  </si>
  <si>
    <t>FY379</t>
  </si>
  <si>
    <t>FY380</t>
  </si>
  <si>
    <t>FY381</t>
  </si>
  <si>
    <t>FY382</t>
  </si>
  <si>
    <t>FY383</t>
  </si>
  <si>
    <t>FY384</t>
  </si>
  <si>
    <t>FY385</t>
  </si>
  <si>
    <t>FY386</t>
  </si>
  <si>
    <t>FY387</t>
  </si>
  <si>
    <t>FY388</t>
  </si>
  <si>
    <t>FY389</t>
  </si>
  <si>
    <t>FY390</t>
  </si>
  <si>
    <t>FY391</t>
  </si>
  <si>
    <t>FY392</t>
  </si>
  <si>
    <t>FY393</t>
  </si>
  <si>
    <t>FY394</t>
  </si>
  <si>
    <t>FY395</t>
  </si>
  <si>
    <t>FY396</t>
  </si>
  <si>
    <t>FY397</t>
  </si>
  <si>
    <t>FY398</t>
  </si>
  <si>
    <t>FY399</t>
  </si>
  <si>
    <t>FY400</t>
  </si>
  <si>
    <t>FY401</t>
  </si>
  <si>
    <t>FY402</t>
  </si>
  <si>
    <t>FY403</t>
  </si>
  <si>
    <t>FY404</t>
  </si>
  <si>
    <t>FY405</t>
  </si>
  <si>
    <t>FY406</t>
  </si>
  <si>
    <t>FY407</t>
  </si>
  <si>
    <t>FY408</t>
  </si>
  <si>
    <t>FY409</t>
  </si>
  <si>
    <t>FY410</t>
  </si>
  <si>
    <t>FY411</t>
  </si>
  <si>
    <t>FY412</t>
  </si>
  <si>
    <t>FY413</t>
  </si>
  <si>
    <t>FY414</t>
  </si>
  <si>
    <t>FY415</t>
  </si>
  <si>
    <t>FY416</t>
  </si>
  <si>
    <t>FY417</t>
  </si>
  <si>
    <t>FY418</t>
  </si>
  <si>
    <t>FY419</t>
  </si>
  <si>
    <t>FY420</t>
  </si>
  <si>
    <t>FY421</t>
  </si>
  <si>
    <t>FY422</t>
  </si>
  <si>
    <t>FY423</t>
  </si>
  <si>
    <t>FY424</t>
  </si>
  <si>
    <t>FY425</t>
  </si>
  <si>
    <t>FY426</t>
  </si>
  <si>
    <t>FY427</t>
  </si>
  <si>
    <t>FY428</t>
  </si>
  <si>
    <t>FY429</t>
  </si>
  <si>
    <t>FY430</t>
  </si>
  <si>
    <t>FY431</t>
  </si>
  <si>
    <t>FY432</t>
  </si>
  <si>
    <t>FY433</t>
  </si>
  <si>
    <t>FY434</t>
  </si>
  <si>
    <t>FY435</t>
  </si>
  <si>
    <t>FY436</t>
  </si>
  <si>
    <t>FY437</t>
  </si>
  <si>
    <t>FY438</t>
  </si>
  <si>
    <t>FY439</t>
  </si>
  <si>
    <t>FY440</t>
  </si>
  <si>
    <t>FY441</t>
  </si>
  <si>
    <t>FY442</t>
  </si>
  <si>
    <t>FY443</t>
  </si>
  <si>
    <t>FY444</t>
  </si>
  <si>
    <t>FY445</t>
  </si>
  <si>
    <t>FY446</t>
  </si>
  <si>
    <t>FY447</t>
  </si>
  <si>
    <t>FY448</t>
  </si>
  <si>
    <t>FY449</t>
  </si>
  <si>
    <t>FY450</t>
  </si>
  <si>
    <t>FY451</t>
  </si>
  <si>
    <t>FY452</t>
  </si>
  <si>
    <t>FY453</t>
  </si>
  <si>
    <t>FY454</t>
  </si>
  <si>
    <t>FY455</t>
  </si>
  <si>
    <t>FY456</t>
  </si>
  <si>
    <t>FY457</t>
  </si>
  <si>
    <t>FY458</t>
  </si>
  <si>
    <t>FY459</t>
  </si>
  <si>
    <t>FY460</t>
  </si>
  <si>
    <t>FY461</t>
  </si>
  <si>
    <t>FY462</t>
  </si>
  <si>
    <t>FY463</t>
  </si>
  <si>
    <t>FY464</t>
  </si>
  <si>
    <t>FY465</t>
  </si>
  <si>
    <t>FY466</t>
  </si>
  <si>
    <t>FY467</t>
  </si>
  <si>
    <t>FY468</t>
  </si>
  <si>
    <t>FY469</t>
  </si>
  <si>
    <t>FY470</t>
  </si>
  <si>
    <t>FY471</t>
  </si>
  <si>
    <t>FY472</t>
  </si>
  <si>
    <t>FY473</t>
  </si>
  <si>
    <t>FY474</t>
  </si>
  <si>
    <t>FY475</t>
  </si>
  <si>
    <t>FY476</t>
  </si>
  <si>
    <t>FY477</t>
  </si>
  <si>
    <t>FY478</t>
  </si>
  <si>
    <t>FY479</t>
  </si>
  <si>
    <t>FY480</t>
  </si>
  <si>
    <t>FY481</t>
  </si>
  <si>
    <t>FY482</t>
  </si>
  <si>
    <t>FY483</t>
  </si>
  <si>
    <t>FY484</t>
  </si>
  <si>
    <t>FY485</t>
  </si>
  <si>
    <t>FY486</t>
  </si>
  <si>
    <t>FY487</t>
  </si>
  <si>
    <t>FY488</t>
  </si>
  <si>
    <t>FY489</t>
  </si>
  <si>
    <t>Server and cloud</t>
  </si>
  <si>
    <t>MS 365 Commercial and cloud</t>
  </si>
  <si>
    <t>Gaming</t>
  </si>
  <si>
    <t>LinkedIn</t>
  </si>
  <si>
    <t>Windows and Devices</t>
  </si>
  <si>
    <t>Search and news ads</t>
  </si>
  <si>
    <t>Enterprise</t>
  </si>
  <si>
    <t>Dynamics and cloud</t>
  </si>
  <si>
    <t>MS 365 Consumer and cloud</t>
  </si>
  <si>
    <t xml:space="preserve">Other </t>
  </si>
  <si>
    <t>Y/Y stats</t>
  </si>
  <si>
    <t>Product</t>
  </si>
  <si>
    <t>Service and Other</t>
  </si>
  <si>
    <t>Revenue</t>
  </si>
  <si>
    <t>Product COGS</t>
  </si>
  <si>
    <t>Services COGS</t>
  </si>
  <si>
    <t>COGS</t>
  </si>
  <si>
    <t>Gross Profit</t>
  </si>
  <si>
    <t>R&amp;D</t>
  </si>
  <si>
    <t>S&amp;M</t>
  </si>
  <si>
    <t>G&amp;A</t>
  </si>
  <si>
    <t>Operating Expenses</t>
  </si>
  <si>
    <t>Operating Income</t>
  </si>
  <si>
    <t>Other expenses</t>
  </si>
  <si>
    <t>Pre-Tax Income</t>
  </si>
  <si>
    <t>Taxes</t>
  </si>
  <si>
    <t>Net Income</t>
  </si>
  <si>
    <t>S/E</t>
  </si>
  <si>
    <t>EPS</t>
  </si>
  <si>
    <t>Hardware Y/Y</t>
  </si>
  <si>
    <t>ROIC</t>
  </si>
  <si>
    <t>Software Y/Y</t>
  </si>
  <si>
    <t>Maturity</t>
  </si>
  <si>
    <t>Revenue Y/Y</t>
  </si>
  <si>
    <t>Discount</t>
  </si>
  <si>
    <t>R&amp;D Y/Y</t>
  </si>
  <si>
    <t>NPV</t>
  </si>
  <si>
    <t>S&amp;M Y/Y</t>
  </si>
  <si>
    <t>Net Cash</t>
  </si>
  <si>
    <t>G&amp;A Y/Y</t>
  </si>
  <si>
    <t>Net NPV</t>
  </si>
  <si>
    <t>Gross Margin</t>
  </si>
  <si>
    <t xml:space="preserve">Change </t>
  </si>
  <si>
    <t>Product Margin</t>
  </si>
  <si>
    <t>Service Margin</t>
  </si>
  <si>
    <t>Operating Margin</t>
  </si>
  <si>
    <t>Net Margin</t>
  </si>
  <si>
    <t>Tax rate</t>
  </si>
  <si>
    <t>SG&amp;A Margin</t>
  </si>
  <si>
    <t>R&amp;D Margin</t>
  </si>
  <si>
    <t>Interest Margin</t>
  </si>
  <si>
    <t>EPS Growth</t>
  </si>
  <si>
    <t>Cash</t>
  </si>
  <si>
    <t>A/R</t>
  </si>
  <si>
    <t>Inventories</t>
  </si>
  <si>
    <t>OCA</t>
  </si>
  <si>
    <t>PP&amp;A</t>
  </si>
  <si>
    <t>Lease ROU</t>
  </si>
  <si>
    <t>Goodwill</t>
  </si>
  <si>
    <t>Intangibles</t>
  </si>
  <si>
    <t>ONCA</t>
  </si>
  <si>
    <t>Total Assets</t>
  </si>
  <si>
    <t>A/P</t>
  </si>
  <si>
    <t>Debt</t>
  </si>
  <si>
    <t>Wages</t>
  </si>
  <si>
    <t>D/R</t>
  </si>
  <si>
    <t>OCL</t>
  </si>
  <si>
    <t>Lease</t>
  </si>
  <si>
    <t>ONCL</t>
  </si>
  <si>
    <t>Total Liabilities</t>
  </si>
  <si>
    <t>SE</t>
  </si>
  <si>
    <t>L + SE</t>
  </si>
  <si>
    <t>Assets Y/Y</t>
  </si>
  <si>
    <t>Debt to Equity</t>
  </si>
  <si>
    <t>Model NI</t>
  </si>
  <si>
    <t>GAAP NI</t>
  </si>
  <si>
    <t>D&amp;A</t>
  </si>
  <si>
    <t>Compensation expense</t>
  </si>
  <si>
    <t>Investments</t>
  </si>
  <si>
    <t>Deferred income taxes</t>
  </si>
  <si>
    <t>CFFO</t>
  </si>
  <si>
    <t>Stock</t>
  </si>
  <si>
    <t>Other</t>
  </si>
  <si>
    <t>CFFF</t>
  </si>
  <si>
    <t>CapEx</t>
  </si>
  <si>
    <t>Acquisitions</t>
  </si>
  <si>
    <t>CFFI</t>
  </si>
  <si>
    <t>CF</t>
  </si>
  <si>
    <t>FCF</t>
  </si>
  <si>
    <t>12M FCF</t>
  </si>
  <si>
    <t>12M NI</t>
  </si>
  <si>
    <t>CapEx Margin</t>
  </si>
  <si>
    <t>Quorter highlights:</t>
  </si>
  <si>
    <t>900M monthly active users (MAUs) of AI features across products.</t>
  </si>
  <si>
    <t>150M+ MAUs for first-party Copilots (spanning info work, coding, security, etc.).</t>
  </si>
  <si>
    <t>Microsoft 365 Copilot: Adoption +50% QoQ; Tens of millions of chat users; &gt;90% Fortune 500 adoption; Agent users doubled QoQ.</t>
  </si>
  <si>
    <t>GitHub Copilot: &gt;26M users.</t>
  </si>
  <si>
    <t>Phi SLMs: &gt;60M downloads (+3x YoY).</t>
  </si>
  <si>
    <t>Security: 1B MAUs for Entra; 16B Copilot interactions audited by Purview (+72% QoQ); 40K Sentinel customers; 100T daily signals.</t>
  </si>
  <si>
    <t>Health/Science: Dragon Copilot documented 17M+ patient encounters (+~5x YoY); 650+ healthcare orgs using Ambient listening.</t>
  </si>
  <si>
    <t>Consumer Copilot app: Daily users + nearly 50% QoQ.</t>
  </si>
  <si>
    <t>AI capacity to increase &gt;80% in 2025; Data center footprint to ~double over next 2 years.</t>
  </si>
  <si>
    <t>LinkedIn: ~1.3B members; Revenue +9% (weak hiring market).</t>
  </si>
  <si>
    <t>GitHub: &gt;180M developers (+1/sec); &gt;500M pull requests merged past year.</t>
  </si>
  <si>
    <t>Minecraft: 155M MAUs.</t>
  </si>
  <si>
    <t>OpenAI commit ($250B Azure) not yet reflected; AI investments for ROI/TCO; Agentic AI as UI shift.
Compared to Alphabet: Microsoft guides higher cloud growth (Azure 37% vs. Google Cloud 34%), but flags constraints; Alphabet raised 2025 capex to $91–93B (significant 2026 increase), while Microsoft expects higher FY2026 capex without $ figure—both signal AI infra race.</t>
  </si>
  <si>
    <t>SG&amp;A Expense</t>
  </si>
  <si>
    <t>R&amp;D Expense</t>
  </si>
  <si>
    <t>Other Income</t>
  </si>
  <si>
    <t>Pretax Income</t>
  </si>
  <si>
    <t>Income Taxes</t>
  </si>
  <si>
    <t>Assets</t>
  </si>
  <si>
    <t>Current Assets</t>
  </si>
  <si>
    <t>Cash &amp; Equivalents</t>
  </si>
  <si>
    <t>Short Term Investments</t>
  </si>
  <si>
    <t>Accounts Receivable</t>
  </si>
  <si>
    <t>Inventory</t>
  </si>
  <si>
    <t>Other Current Assets</t>
  </si>
  <si>
    <t>Noncurrent Assets</t>
  </si>
  <si>
    <t>PP&amp;E</t>
  </si>
  <si>
    <t>Long Term Investments</t>
  </si>
  <si>
    <t>Other Noncrnt Assets</t>
  </si>
  <si>
    <t>Liabilities</t>
  </si>
  <si>
    <t>Current Liabilities</t>
  </si>
  <si>
    <t>Short Term Debt</t>
  </si>
  <si>
    <t>Accounts Payable</t>
  </si>
  <si>
    <t>Current Deferred Revenue</t>
  </si>
  <si>
    <t>Other Current Liabilities</t>
  </si>
  <si>
    <t>Long Term Debt</t>
  </si>
  <si>
    <t>Other Noncurrent Liabilities</t>
  </si>
  <si>
    <t>-</t>
  </si>
  <si>
    <t>Liabilities And Equity</t>
  </si>
  <si>
    <t>Cash Interest Paid</t>
  </si>
  <si>
    <t>Net Change in Cash</t>
  </si>
  <si>
    <t>G&amp;A Expense</t>
  </si>
  <si>
    <t>S&amp;M Expense</t>
  </si>
  <si>
    <t>Other Noncurrent Assets</t>
  </si>
  <si>
    <t>Intangible assets</t>
  </si>
  <si>
    <t>Accrued compensation</t>
  </si>
  <si>
    <t>Income taxes</t>
  </si>
  <si>
    <t>Long Term Deferred Revenue</t>
  </si>
  <si>
    <t>Noncurrent Liabilities</t>
  </si>
  <si>
    <t>Total stockholders' equity</t>
  </si>
  <si>
    <t>Total liabilities and stockholders’ equity</t>
  </si>
  <si>
    <t>S/O Basic</t>
  </si>
  <si>
    <t>Category</t>
  </si>
  <si>
    <t>Low</t>
  </si>
  <si>
    <t>High</t>
  </si>
  <si>
    <t>Long-term bond rate</t>
  </si>
  <si>
    <t>Equity market risk premium</t>
  </si>
  <si>
    <t>Cost of debt</t>
  </si>
  <si>
    <t>After-tax WACC</t>
  </si>
  <si>
    <t>Selected WACC</t>
  </si>
  <si>
    <t>WACC</t>
  </si>
  <si>
    <t>Total Debt-to-Equity ratio</t>
  </si>
  <si>
    <t>Beta</t>
  </si>
  <si>
    <t>Cost of equity (CAPM)</t>
  </si>
  <si>
    <t>Debt-to-Equity ratio (Book)</t>
  </si>
  <si>
    <t>Invested capital</t>
  </si>
  <si>
    <t>NOPAT</t>
  </si>
  <si>
    <t>EVA</t>
  </si>
  <si>
    <t>Year-end close price</t>
  </si>
  <si>
    <t>Market Cap</t>
  </si>
  <si>
    <t>FY</t>
  </si>
  <si>
    <t>(1-Tax rate)</t>
  </si>
  <si>
    <t>NOPAT Margin</t>
  </si>
  <si>
    <t>Fixed Asset Turnover Ratio</t>
  </si>
  <si>
    <t>Working Capital Ratio</t>
  </si>
  <si>
    <t>Net Other Assets Ratio</t>
  </si>
  <si>
    <t>Industry (Software (System &amp; Application))</t>
  </si>
  <si>
    <t>Industry (Software (System &amp; Application)</t>
  </si>
  <si>
    <t>Capital Turnover</t>
  </si>
  <si>
    <t xml:space="preserve"> </t>
  </si>
  <si>
    <t>Hypothetical Amortization Expense</t>
  </si>
  <si>
    <t>Capitalized R&amp;D</t>
  </si>
  <si>
    <t>Adjusted Invested Capital</t>
  </si>
  <si>
    <t>Adjusted NOPAT</t>
  </si>
  <si>
    <t>Adjusted EVA</t>
  </si>
  <si>
    <t>Adjusted ROIC</t>
  </si>
  <si>
    <t>Invested Capital</t>
  </si>
  <si>
    <t>Effective tax rate</t>
  </si>
  <si>
    <t>Selected tax rate</t>
  </si>
  <si>
    <t>Server Products and Cloud Services Revenue (Pre-FY2025)</t>
  </si>
  <si>
    <t>Office Products and Cloud Services</t>
  </si>
  <si>
    <t>Windows</t>
  </si>
  <si>
    <t>Search and News Advertising</t>
  </si>
  <si>
    <t>Enterprise and Partner Services</t>
  </si>
  <si>
    <t>Devices</t>
  </si>
  <si>
    <t>Other Product Revenue (Pre-FY2023)</t>
  </si>
  <si>
    <t>Dynamics Products and Cloud Services</t>
  </si>
  <si>
    <t>Other Product Revenue (Post-FY2022)</t>
  </si>
  <si>
    <t>Server Products and Cloud Services Revenue (Post-FY2024)</t>
  </si>
  <si>
    <t>Microsoft 365 Commercial Products and Cloud Services</t>
  </si>
  <si>
    <t>Microsoft 365 Consumer Products and Cloud Services</t>
  </si>
  <si>
    <t>Total Revenue by Product</t>
  </si>
  <si>
    <t>Office</t>
  </si>
  <si>
    <t>Search &amp; Ads</t>
  </si>
  <si>
    <t>Enterprise Services</t>
  </si>
  <si>
    <t>Dynamics</t>
  </si>
  <si>
    <t>M365 Commercial</t>
  </si>
  <si>
    <t>Windows &amp; Devices</t>
  </si>
  <si>
    <t>M365 Consumer</t>
  </si>
  <si>
    <t>Server &amp; Cloud (Pre-FY25)</t>
  </si>
  <si>
    <t>Other Products (Post-FY22)</t>
  </si>
  <si>
    <t>Server &amp; Cloud (Post-FY24)</t>
  </si>
  <si>
    <t>Other Products (Pre-FY23)</t>
  </si>
  <si>
    <t>Growth Y/Y</t>
  </si>
  <si>
    <t>Total Revenue</t>
  </si>
  <si>
    <t>CAGR</t>
  </si>
  <si>
    <t>% of total Revenue</t>
  </si>
  <si>
    <t xml:space="preserve">Server &amp; Cloud </t>
  </si>
  <si>
    <t>BASE CASE (Linear growth)</t>
  </si>
  <si>
    <t>Growth rates</t>
  </si>
  <si>
    <t>Linear Scaling</t>
  </si>
  <si>
    <t>% Growth</t>
  </si>
  <si>
    <t>% of Revenue</t>
  </si>
  <si>
    <t>Operating expenses</t>
  </si>
  <si>
    <t>Net interest &amp; other expenses</t>
  </si>
  <si>
    <t>% Margin</t>
  </si>
  <si>
    <t>S/O</t>
  </si>
  <si>
    <t>Fair price</t>
  </si>
  <si>
    <t>Fair value</t>
  </si>
  <si>
    <t>Net cash</t>
  </si>
  <si>
    <t>Stock price</t>
  </si>
  <si>
    <t>Downside</t>
  </si>
  <si>
    <t>BEST CASE (Cloud acceleration)</t>
  </si>
  <si>
    <t>Upside</t>
  </si>
  <si>
    <t>WORST CASE (AI bubble)</t>
  </si>
  <si>
    <t>Timeline</t>
  </si>
  <si>
    <t>Forecast(Total Revenue)</t>
  </si>
  <si>
    <t>Lower Confidence Bound(Total Revenue)</t>
  </si>
  <si>
    <t>Upper Confidence Bound(Total Revenue)</t>
  </si>
  <si>
    <t>Shade base</t>
  </si>
  <si>
    <t>shade gap</t>
  </si>
  <si>
    <t>Column1</t>
  </si>
  <si>
    <t>Best Case</t>
  </si>
  <si>
    <t>2026-2035 CAGR</t>
  </si>
  <si>
    <t>Cloud</t>
  </si>
  <si>
    <t>Base Case</t>
  </si>
  <si>
    <t>Worst Case</t>
  </si>
  <si>
    <t>Deferred Taxes</t>
  </si>
  <si>
    <t>Non-Cash Items</t>
  </si>
  <si>
    <t>Cash Taxes Paid</t>
  </si>
  <si>
    <t>Changes in Working Capital</t>
  </si>
  <si>
    <t>Cash from Operating Activities</t>
  </si>
  <si>
    <t>Capital Expenditures</t>
  </si>
  <si>
    <t>Other Investing Cash Flow Items</t>
  </si>
  <si>
    <t>Cash from Investing Activities</t>
  </si>
  <si>
    <t>Financing Cash Flow Items</t>
  </si>
  <si>
    <t>Total Cash Dividends Paid</t>
  </si>
  <si>
    <t>Issuance (Retirement) of Stock</t>
  </si>
  <si>
    <t>Issuance (Retirement) of Debt</t>
  </si>
  <si>
    <t>Cash from Financing Activities</t>
  </si>
  <si>
    <t>Foreign Exchange Effects</t>
  </si>
  <si>
    <t>Normal % Diff.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</si>
</sst>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0.0%"/>
    <numFmt numFmtId="166" formatCode="yyyy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Segoe U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A0A0A"/>
      <name val="Courier New"/>
      <family val="3"/>
    </font>
    <font>
      <b/>
      <u/>
      <sz val="10"/>
      <color theme="1"/>
      <name val="Arial"/>
      <family val="2"/>
    </font>
    <font>
      <sz val="10"/>
      <color rgb="FF0064E0"/>
      <name val="Arial"/>
      <family val="2"/>
    </font>
    <font>
      <i/>
      <sz val="10"/>
      <color rgb="FF0064E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33CC3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4" fillId="0" borderId="0" xfId="1"/>
    <xf numFmtId="164" fontId="0" fillId="0" borderId="0" xfId="0" applyNumberFormat="1"/>
    <xf numFmtId="3" fontId="5" fillId="0" borderId="0" xfId="0" applyNumberFormat="1" applyFont="1"/>
    <xf numFmtId="3" fontId="0" fillId="0" borderId="0" xfId="0" applyNumberFormat="1"/>
    <xf numFmtId="9" fontId="0" fillId="0" borderId="0" xfId="0" applyNumberFormat="1"/>
    <xf numFmtId="165" fontId="0" fillId="0" borderId="0" xfId="0" applyNumberFormat="1"/>
    <xf numFmtId="165" fontId="5" fillId="0" borderId="0" xfId="0" applyNumberFormat="1" applyFont="1"/>
    <xf numFmtId="0" fontId="5" fillId="0" borderId="0" xfId="0" applyFont="1"/>
    <xf numFmtId="3" fontId="5" fillId="0" borderId="0" xfId="0" applyNumberFormat="1" applyFont="1" applyAlignment="1">
      <alignment horizontal="right"/>
    </xf>
    <xf numFmtId="0" fontId="6" fillId="0" borderId="0" xfId="0" applyFont="1"/>
    <xf numFmtId="3" fontId="6" fillId="0" borderId="0" xfId="0" applyNumberFormat="1" applyFont="1" applyAlignment="1">
      <alignment horizontal="right"/>
    </xf>
    <xf numFmtId="3" fontId="6" fillId="0" borderId="0" xfId="0" applyNumberFormat="1" applyFont="1"/>
    <xf numFmtId="0" fontId="7" fillId="0" borderId="0" xfId="0" applyFont="1"/>
    <xf numFmtId="3" fontId="8" fillId="0" borderId="0" xfId="0" applyNumberFormat="1" applyFont="1"/>
    <xf numFmtId="0" fontId="8" fillId="0" borderId="0" xfId="0" applyFont="1"/>
    <xf numFmtId="3" fontId="7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right"/>
    </xf>
    <xf numFmtId="2" fontId="7" fillId="0" borderId="0" xfId="0" applyNumberFormat="1" applyFont="1"/>
    <xf numFmtId="3" fontId="0" fillId="0" borderId="0" xfId="0" applyNumberFormat="1" applyAlignment="1">
      <alignment horizontal="right"/>
    </xf>
    <xf numFmtId="1" fontId="0" fillId="0" borderId="0" xfId="0" applyNumberFormat="1"/>
    <xf numFmtId="9" fontId="0" fillId="0" borderId="0" xfId="0" applyNumberFormat="1" applyAlignment="1">
      <alignment horizontal="right"/>
    </xf>
    <xf numFmtId="9" fontId="7" fillId="0" borderId="0" xfId="0" applyNumberFormat="1" applyFont="1"/>
    <xf numFmtId="165" fontId="0" fillId="0" borderId="0" xfId="0" applyNumberFormat="1" applyAlignment="1">
      <alignment horizontal="right"/>
    </xf>
    <xf numFmtId="38" fontId="0" fillId="0" borderId="0" xfId="0" applyNumberFormat="1"/>
    <xf numFmtId="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vertical="center" wrapText="1"/>
    </xf>
    <xf numFmtId="0" fontId="9" fillId="0" borderId="0" xfId="0" applyFont="1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right"/>
    </xf>
    <xf numFmtId="3" fontId="2" fillId="0" borderId="0" xfId="0" applyNumberFormat="1" applyFont="1"/>
    <xf numFmtId="0" fontId="3" fillId="0" borderId="0" xfId="0" applyFont="1"/>
    <xf numFmtId="3" fontId="3" fillId="0" borderId="0" xfId="0" applyNumberFormat="1" applyFont="1"/>
    <xf numFmtId="4" fontId="3" fillId="0" borderId="0" xfId="0" applyNumberFormat="1" applyFont="1"/>
    <xf numFmtId="10" fontId="0" fillId="0" borderId="0" xfId="0" applyNumberFormat="1"/>
    <xf numFmtId="0" fontId="0" fillId="0" borderId="1" xfId="0" applyBorder="1"/>
    <xf numFmtId="9" fontId="2" fillId="0" borderId="0" xfId="0" applyNumberFormat="1" applyFont="1"/>
    <xf numFmtId="165" fontId="2" fillId="0" borderId="0" xfId="0" applyNumberFormat="1" applyFont="1"/>
    <xf numFmtId="0" fontId="11" fillId="0" borderId="0" xfId="0" applyFont="1"/>
    <xf numFmtId="4" fontId="2" fillId="0" borderId="0" xfId="0" applyNumberFormat="1" applyFont="1"/>
    <xf numFmtId="0" fontId="0" fillId="0" borderId="2" xfId="0" applyBorder="1"/>
    <xf numFmtId="10" fontId="7" fillId="0" borderId="0" xfId="0" applyNumberFormat="1" applyFont="1"/>
    <xf numFmtId="10" fontId="3" fillId="0" borderId="0" xfId="0" applyNumberFormat="1" applyFont="1"/>
    <xf numFmtId="166" fontId="2" fillId="0" borderId="0" xfId="0" applyNumberFormat="1" applyFont="1" applyAlignment="1">
      <alignment horizontal="right"/>
    </xf>
    <xf numFmtId="10" fontId="2" fillId="0" borderId="0" xfId="0" applyNumberFormat="1" applyFont="1"/>
    <xf numFmtId="10" fontId="12" fillId="0" borderId="0" xfId="0" applyNumberFormat="1" applyFont="1"/>
    <xf numFmtId="165" fontId="3" fillId="0" borderId="0" xfId="0" applyNumberFormat="1" applyFont="1"/>
    <xf numFmtId="166" fontId="2" fillId="0" borderId="0" xfId="0" applyNumberFormat="1" applyFont="1"/>
    <xf numFmtId="3" fontId="2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12" fillId="0" borderId="0" xfId="0" applyFont="1"/>
    <xf numFmtId="3" fontId="1" fillId="0" borderId="0" xfId="0" applyNumberFormat="1" applyFont="1"/>
    <xf numFmtId="0" fontId="3" fillId="0" borderId="0" xfId="0" applyFont="1" applyAlignment="1">
      <alignment horizontal="right"/>
    </xf>
    <xf numFmtId="0" fontId="13" fillId="0" borderId="0" xfId="0" applyFont="1"/>
    <xf numFmtId="9" fontId="14" fillId="0" borderId="0" xfId="0" applyNumberFormat="1" applyFont="1"/>
    <xf numFmtId="9" fontId="13" fillId="0" borderId="0" xfId="0" applyNumberFormat="1" applyFont="1"/>
    <xf numFmtId="3" fontId="13" fillId="0" borderId="0" xfId="0" applyNumberFormat="1" applyFont="1"/>
    <xf numFmtId="0" fontId="1" fillId="0" borderId="3" xfId="0" applyFont="1" applyBorder="1"/>
    <xf numFmtId="3" fontId="1" fillId="0" borderId="3" xfId="0" applyNumberFormat="1" applyFont="1" applyBorder="1"/>
    <xf numFmtId="0" fontId="3" fillId="0" borderId="3" xfId="0" applyFont="1" applyBorder="1"/>
    <xf numFmtId="3" fontId="3" fillId="0" borderId="3" xfId="0" applyNumberFormat="1" applyFont="1" applyBorder="1"/>
    <xf numFmtId="165" fontId="1" fillId="0" borderId="0" xfId="0" applyNumberFormat="1" applyFont="1"/>
    <xf numFmtId="9" fontId="0" fillId="0" borderId="4" xfId="0" applyNumberFormat="1" applyBorder="1"/>
    <xf numFmtId="9" fontId="0" fillId="0" borderId="5" xfId="0" applyNumberFormat="1" applyBorder="1"/>
    <xf numFmtId="9" fontId="0" fillId="0" borderId="6" xfId="0" applyNumberFormat="1" applyBorder="1"/>
    <xf numFmtId="38" fontId="0" fillId="0" borderId="7" xfId="0" applyNumberFormat="1" applyBorder="1"/>
    <xf numFmtId="3" fontId="0" fillId="0" borderId="7" xfId="0" applyNumberFormat="1" applyBorder="1"/>
    <xf numFmtId="4" fontId="0" fillId="0" borderId="7" xfId="0" applyNumberFormat="1" applyBorder="1"/>
    <xf numFmtId="3" fontId="1" fillId="2" borderId="8" xfId="0" applyNumberFormat="1" applyFont="1" applyFill="1" applyBorder="1"/>
    <xf numFmtId="165" fontId="1" fillId="2" borderId="9" xfId="0" applyNumberFormat="1" applyFont="1" applyFill="1" applyBorder="1"/>
    <xf numFmtId="3" fontId="1" fillId="3" borderId="8" xfId="0" applyNumberFormat="1" applyFont="1" applyFill="1" applyBorder="1"/>
    <xf numFmtId="165" fontId="1" fillId="3" borderId="9" xfId="0" applyNumberFormat="1" applyFont="1" applyFill="1" applyBorder="1"/>
    <xf numFmtId="166" fontId="0" fillId="0" borderId="0" xfId="0" applyNumberFormat="1"/>
    <xf numFmtId="0" fontId="1" fillId="2" borderId="0" xfId="0" applyFont="1" applyFill="1"/>
    <xf numFmtId="3" fontId="12" fillId="0" borderId="0" xfId="0" applyNumberFormat="1" applyFont="1"/>
    <xf numFmtId="10" fontId="2" fillId="0" borderId="0" xfId="0" applyNumberFormat="1" applyFont="1" applyAlignment="1">
      <alignment horizontal="center"/>
    </xf>
    <xf numFmtId="9" fontId="3" fillId="0" borderId="0" xfId="0" applyNumberFormat="1" applyFont="1"/>
  </cellXfs>
  <cellStyles count="2">
    <cellStyle name="Hyperlink" xfId="1" builtinId="8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166" formatCode="yyyy"/>
    </dxf>
  </dxfs>
  <tableStyles count="0" defaultTableStyle="TableStyleMedium2" defaultPivotStyle="PivotStyleLight16"/>
  <colors>
    <mruColors>
      <color rgb="FFFFBA01"/>
      <color rgb="FFBF67DB"/>
      <color rgb="FF747474"/>
      <color rgb="FF1901FF"/>
      <color rgb="FFFC0CEB"/>
      <color rgb="FF33CC33"/>
      <color rgb="FFF25022"/>
      <color rgb="FF01A6F0"/>
      <color rgb="FF0064E0"/>
      <color rgb="FF8BDD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900" b="1" i="0" u="none" strike="noStrike" baseline="0">
                <a:effectLst/>
              </a:rPr>
              <a:t>Growth Trends in Market Cap and EVA by Fiscal Year (2008–2025)</a:t>
            </a:r>
            <a:endParaRPr lang="en-US" sz="900" b="1"/>
          </a:p>
        </c:rich>
      </c:tx>
      <c:layout>
        <c:manualLayout>
          <c:xMode val="edge"/>
          <c:yMode val="edge"/>
          <c:x val="8.0778062222435117E-4"/>
          <c:y val="9.127320369663662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4994225527787"/>
          <c:y val="0.12019620409594371"/>
          <c:w val="0.77725412297316043"/>
          <c:h val="0.719154327870925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Model!$B$99</c:f>
              <c:strCache>
                <c:ptCount val="1"/>
                <c:pt idx="0">
                  <c:v>Market Cap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Model!$C$2:$T$2</c:f>
              <c:numCache>
                <c:formatCode>yyyy</c:formatCode>
                <c:ptCount val="18"/>
                <c:pt idx="0">
                  <c:v>39813</c:v>
                </c:pt>
                <c:pt idx="1">
                  <c:v>40178</c:v>
                </c:pt>
                <c:pt idx="2">
                  <c:v>40543</c:v>
                </c:pt>
                <c:pt idx="3">
                  <c:v>40908</c:v>
                </c:pt>
                <c:pt idx="4">
                  <c:v>41274</c:v>
                </c:pt>
                <c:pt idx="5">
                  <c:v>41639</c:v>
                </c:pt>
                <c:pt idx="6">
                  <c:v>42004</c:v>
                </c:pt>
                <c:pt idx="7">
                  <c:v>42369</c:v>
                </c:pt>
                <c:pt idx="8">
                  <c:v>42735</c:v>
                </c:pt>
                <c:pt idx="9">
                  <c:v>43100</c:v>
                </c:pt>
                <c:pt idx="10">
                  <c:v>43465</c:v>
                </c:pt>
                <c:pt idx="11">
                  <c:v>43830</c:v>
                </c:pt>
                <c:pt idx="12">
                  <c:v>44196</c:v>
                </c:pt>
                <c:pt idx="13">
                  <c:v>44561</c:v>
                </c:pt>
                <c:pt idx="14">
                  <c:v>44926</c:v>
                </c:pt>
                <c:pt idx="15">
                  <c:v>45291</c:v>
                </c:pt>
                <c:pt idx="16">
                  <c:v>45657</c:v>
                </c:pt>
                <c:pt idx="17">
                  <c:v>46022</c:v>
                </c:pt>
              </c:numCache>
            </c:numRef>
          </c:cat>
          <c:val>
            <c:numRef>
              <c:f>Model!$C$99:$T$99</c:f>
              <c:numCache>
                <c:formatCode>#,##0</c:formatCode>
                <c:ptCount val="18"/>
                <c:pt idx="0">
                  <c:v>181336.32000000001</c:v>
                </c:pt>
                <c:pt idx="1">
                  <c:v>272643.59999999998</c:v>
                </c:pt>
                <c:pt idx="2">
                  <c:v>245970.83</c:v>
                </c:pt>
                <c:pt idx="3">
                  <c:v>220400.4</c:v>
                </c:pt>
                <c:pt idx="4">
                  <c:v>224257.16</c:v>
                </c:pt>
                <c:pt idx="5">
                  <c:v>313308.75</c:v>
                </c:pt>
                <c:pt idx="6">
                  <c:v>385488.55000000005</c:v>
                </c:pt>
                <c:pt idx="7">
                  <c:v>453659.95999999996</c:v>
                </c:pt>
                <c:pt idx="8">
                  <c:v>492459.5</c:v>
                </c:pt>
                <c:pt idx="9">
                  <c:v>662592.84000000008</c:v>
                </c:pt>
                <c:pt idx="10">
                  <c:v>782089</c:v>
                </c:pt>
                <c:pt idx="11">
                  <c:v>1210032.0999999999</c:v>
                </c:pt>
                <c:pt idx="12">
                  <c:v>1692616.2</c:v>
                </c:pt>
                <c:pt idx="13">
                  <c:v>2538207.04</c:v>
                </c:pt>
                <c:pt idx="14">
                  <c:v>1797690.72</c:v>
                </c:pt>
                <c:pt idx="15">
                  <c:v>2799993.8400000003</c:v>
                </c:pt>
                <c:pt idx="16">
                  <c:v>3133852.5</c:v>
                </c:pt>
                <c:pt idx="17">
                  <c:v>3594263.84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1-4799-BF58-2B39614E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1576387712"/>
        <c:axId val="1576388192"/>
      </c:barChart>
      <c:lineChart>
        <c:grouping val="standard"/>
        <c:varyColors val="0"/>
        <c:ser>
          <c:idx val="1"/>
          <c:order val="1"/>
          <c:tx>
            <c:v>EVA</c:v>
          </c:tx>
          <c:spPr>
            <a:ln w="28575" cap="rnd">
              <a:solidFill>
                <a:srgbClr val="33CC33"/>
              </a:solidFill>
              <a:round/>
            </a:ln>
            <a:effectLst/>
          </c:spPr>
          <c:marker>
            <c:symbol val="none"/>
          </c:marker>
          <c:cat>
            <c:numRef>
              <c:f>Model!$C$2:$T$2</c:f>
              <c:numCache>
                <c:formatCode>yyyy</c:formatCode>
                <c:ptCount val="18"/>
                <c:pt idx="0">
                  <c:v>39813</c:v>
                </c:pt>
                <c:pt idx="1">
                  <c:v>40178</c:v>
                </c:pt>
                <c:pt idx="2">
                  <c:v>40543</c:v>
                </c:pt>
                <c:pt idx="3">
                  <c:v>40908</c:v>
                </c:pt>
                <c:pt idx="4">
                  <c:v>41274</c:v>
                </c:pt>
                <c:pt idx="5">
                  <c:v>41639</c:v>
                </c:pt>
                <c:pt idx="6">
                  <c:v>42004</c:v>
                </c:pt>
                <c:pt idx="7">
                  <c:v>42369</c:v>
                </c:pt>
                <c:pt idx="8">
                  <c:v>42735</c:v>
                </c:pt>
                <c:pt idx="9">
                  <c:v>43100</c:v>
                </c:pt>
                <c:pt idx="10">
                  <c:v>43465</c:v>
                </c:pt>
                <c:pt idx="11">
                  <c:v>43830</c:v>
                </c:pt>
                <c:pt idx="12">
                  <c:v>44196</c:v>
                </c:pt>
                <c:pt idx="13">
                  <c:v>44561</c:v>
                </c:pt>
                <c:pt idx="14">
                  <c:v>44926</c:v>
                </c:pt>
                <c:pt idx="15">
                  <c:v>45291</c:v>
                </c:pt>
                <c:pt idx="16">
                  <c:v>45657</c:v>
                </c:pt>
                <c:pt idx="17">
                  <c:v>46022</c:v>
                </c:pt>
              </c:numCache>
            </c:numRef>
          </c:cat>
          <c:val>
            <c:numRef>
              <c:f>Model!$C$61:$T$61</c:f>
              <c:numCache>
                <c:formatCode>#,##0</c:formatCode>
                <c:ptCount val="18"/>
                <c:pt idx="0">
                  <c:v>14838.989126379876</c:v>
                </c:pt>
                <c:pt idx="1">
                  <c:v>16520.16150556301</c:v>
                </c:pt>
                <c:pt idx="2">
                  <c:v>19550.304570105458</c:v>
                </c:pt>
                <c:pt idx="3">
                  <c:v>22035.265268015366</c:v>
                </c:pt>
                <c:pt idx="4">
                  <c:v>17655.958102714128</c:v>
                </c:pt>
                <c:pt idx="5">
                  <c:v>21713.185804394659</c:v>
                </c:pt>
                <c:pt idx="6">
                  <c:v>22623.445648682911</c:v>
                </c:pt>
                <c:pt idx="7">
                  <c:v>14733.715714901038</c:v>
                </c:pt>
                <c:pt idx="8">
                  <c:v>21156.645471790609</c:v>
                </c:pt>
                <c:pt idx="9">
                  <c:v>23547.497308793714</c:v>
                </c:pt>
                <c:pt idx="10">
                  <c:v>28441.969359231352</c:v>
                </c:pt>
                <c:pt idx="11">
                  <c:v>34851.918583582054</c:v>
                </c:pt>
                <c:pt idx="12">
                  <c:v>42964.751420375753</c:v>
                </c:pt>
                <c:pt idx="13">
                  <c:v>56721.682061726831</c:v>
                </c:pt>
                <c:pt idx="14">
                  <c:v>67647.234043036908</c:v>
                </c:pt>
                <c:pt idx="15">
                  <c:v>71817.230121148867</c:v>
                </c:pt>
                <c:pt idx="16">
                  <c:v>88781.163582884488</c:v>
                </c:pt>
                <c:pt idx="17">
                  <c:v>104272.61788474207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D1-4799-BF58-2B39614E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728272"/>
        <c:axId val="440733552"/>
      </c:lineChart>
      <c:dateAx>
        <c:axId val="1576387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6388192"/>
        <c:crosses val="autoZero"/>
        <c:auto val="1"/>
        <c:lblOffset val="100"/>
        <c:baseTimeUnit val="years"/>
      </c:dateAx>
      <c:valAx>
        <c:axId val="15763881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Market Cap (Bn)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6387712"/>
        <c:crosses val="autoZero"/>
        <c:crossBetween val="between"/>
        <c:dispUnits>
          <c:builtInUnit val="thousands"/>
        </c:dispUnits>
      </c:valAx>
      <c:valAx>
        <c:axId val="4407335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EVA (Bn)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0728272"/>
        <c:crosses val="max"/>
        <c:crossBetween val="between"/>
        <c:dispUnits>
          <c:builtInUnit val="thousands"/>
        </c:dispUnits>
      </c:valAx>
      <c:dateAx>
        <c:axId val="440728272"/>
        <c:scaling>
          <c:orientation val="minMax"/>
        </c:scaling>
        <c:delete val="1"/>
        <c:axPos val="b"/>
        <c:numFmt formatCode="yyyy" sourceLinked="1"/>
        <c:majorTickMark val="out"/>
        <c:minorTickMark val="none"/>
        <c:tickLblPos val="nextTo"/>
        <c:crossAx val="440733552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388349424862571"/>
          <c:y val="0.24530792863424475"/>
          <c:w val="0.1683596245748562"/>
          <c:h val="0.132743468752948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900" b="1" i="0" u="none" strike="noStrike" baseline="0">
                <a:effectLst/>
              </a:rPr>
              <a:t>ROIC Trends by Fiscal Year (2008–2025)</a:t>
            </a:r>
            <a:endParaRPr lang="en-US" sz="900" b="1"/>
          </a:p>
        </c:rich>
      </c:tx>
      <c:layout>
        <c:manualLayout>
          <c:xMode val="edge"/>
          <c:yMode val="edge"/>
          <c:x val="8.0775904588104475E-4"/>
          <c:y val="9.12736589611205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483406287174333E-2"/>
          <c:y val="0.11564412735872727"/>
          <c:w val="0.87531023995443902"/>
          <c:h val="0.76467640577349627"/>
        </c:manualLayout>
      </c:layout>
      <c:lineChart>
        <c:grouping val="standard"/>
        <c:varyColors val="0"/>
        <c:ser>
          <c:idx val="2"/>
          <c:order val="0"/>
          <c:tx>
            <c:strRef>
              <c:f>Model!$B$63</c:f>
              <c:strCache>
                <c:ptCount val="1"/>
                <c:pt idx="0">
                  <c:v>ROIC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Model!$C$2:$T$2</c:f>
              <c:numCache>
                <c:formatCode>yyyy</c:formatCode>
                <c:ptCount val="18"/>
                <c:pt idx="0">
                  <c:v>39813</c:v>
                </c:pt>
                <c:pt idx="1">
                  <c:v>40178</c:v>
                </c:pt>
                <c:pt idx="2">
                  <c:v>40543</c:v>
                </c:pt>
                <c:pt idx="3">
                  <c:v>40908</c:v>
                </c:pt>
                <c:pt idx="4">
                  <c:v>41274</c:v>
                </c:pt>
                <c:pt idx="5">
                  <c:v>41639</c:v>
                </c:pt>
                <c:pt idx="6">
                  <c:v>42004</c:v>
                </c:pt>
                <c:pt idx="7">
                  <c:v>42369</c:v>
                </c:pt>
                <c:pt idx="8">
                  <c:v>42735</c:v>
                </c:pt>
                <c:pt idx="9">
                  <c:v>43100</c:v>
                </c:pt>
                <c:pt idx="10">
                  <c:v>43465</c:v>
                </c:pt>
                <c:pt idx="11">
                  <c:v>43830</c:v>
                </c:pt>
                <c:pt idx="12">
                  <c:v>44196</c:v>
                </c:pt>
                <c:pt idx="13">
                  <c:v>44561</c:v>
                </c:pt>
                <c:pt idx="14">
                  <c:v>44926</c:v>
                </c:pt>
                <c:pt idx="15">
                  <c:v>45291</c:v>
                </c:pt>
                <c:pt idx="16">
                  <c:v>45657</c:v>
                </c:pt>
                <c:pt idx="17">
                  <c:v>46022</c:v>
                </c:pt>
              </c:numCache>
            </c:numRef>
          </c:cat>
          <c:val>
            <c:numRef>
              <c:f>Model!$C$63:$T$63</c:f>
              <c:numCache>
                <c:formatCode>0.00%</c:formatCode>
                <c:ptCount val="18"/>
                <c:pt idx="0">
                  <c:v>0.45674931882486303</c:v>
                </c:pt>
                <c:pt idx="1">
                  <c:v>0.35158256375166019</c:v>
                </c:pt>
                <c:pt idx="2">
                  <c:v>0.37514496239216827</c:v>
                </c:pt>
                <c:pt idx="3">
                  <c:v>0.31933315848378885</c:v>
                </c:pt>
                <c:pt idx="4">
                  <c:v>0.22547100645809606</c:v>
                </c:pt>
                <c:pt idx="5">
                  <c:v>0.22966222927308619</c:v>
                </c:pt>
                <c:pt idx="6">
                  <c:v>0.20122428953991328</c:v>
                </c:pt>
                <c:pt idx="7">
                  <c:v>0.12770284476620619</c:v>
                </c:pt>
                <c:pt idx="8">
                  <c:v>0.16863528409340664</c:v>
                </c:pt>
                <c:pt idx="9">
                  <c:v>0.13540437197776783</c:v>
                </c:pt>
                <c:pt idx="10">
                  <c:v>0.17892757432297432</c:v>
                </c:pt>
                <c:pt idx="11">
                  <c:v>0.19971530579447391</c:v>
                </c:pt>
                <c:pt idx="12">
                  <c:v>0.23654966068774466</c:v>
                </c:pt>
                <c:pt idx="13">
                  <c:v>0.28341851990030098</c:v>
                </c:pt>
                <c:pt idx="14">
                  <c:v>0.31271401581448532</c:v>
                </c:pt>
                <c:pt idx="15">
                  <c:v>0.28334739257140718</c:v>
                </c:pt>
                <c:pt idx="16">
                  <c:v>0.27734839782599097</c:v>
                </c:pt>
                <c:pt idx="17" formatCode="0.0%">
                  <c:v>0.26969613812881066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19-4F62-8FDC-1FF90F4942B0}"/>
            </c:ext>
          </c:extLst>
        </c:ser>
        <c:ser>
          <c:idx val="0"/>
          <c:order val="1"/>
          <c:tx>
            <c:v>WACC</c:v>
          </c:tx>
          <c:spPr>
            <a:ln w="3810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Model!$C$2:$T$2</c:f>
              <c:numCache>
                <c:formatCode>yyyy</c:formatCode>
                <c:ptCount val="18"/>
                <c:pt idx="0">
                  <c:v>39813</c:v>
                </c:pt>
                <c:pt idx="1">
                  <c:v>40178</c:v>
                </c:pt>
                <c:pt idx="2">
                  <c:v>40543</c:v>
                </c:pt>
                <c:pt idx="3">
                  <c:v>40908</c:v>
                </c:pt>
                <c:pt idx="4">
                  <c:v>41274</c:v>
                </c:pt>
                <c:pt idx="5">
                  <c:v>41639</c:v>
                </c:pt>
                <c:pt idx="6">
                  <c:v>42004</c:v>
                </c:pt>
                <c:pt idx="7">
                  <c:v>42369</c:v>
                </c:pt>
                <c:pt idx="8">
                  <c:v>42735</c:v>
                </c:pt>
                <c:pt idx="9">
                  <c:v>43100</c:v>
                </c:pt>
                <c:pt idx="10">
                  <c:v>43465</c:v>
                </c:pt>
                <c:pt idx="11">
                  <c:v>43830</c:v>
                </c:pt>
                <c:pt idx="12">
                  <c:v>44196</c:v>
                </c:pt>
                <c:pt idx="13">
                  <c:v>44561</c:v>
                </c:pt>
                <c:pt idx="14">
                  <c:v>44926</c:v>
                </c:pt>
                <c:pt idx="15">
                  <c:v>45291</c:v>
                </c:pt>
                <c:pt idx="16">
                  <c:v>45657</c:v>
                </c:pt>
                <c:pt idx="17">
                  <c:v>46022</c:v>
                </c:pt>
              </c:numCache>
            </c:numRef>
          </c:cat>
          <c:val>
            <c:numRef>
              <c:f>Model!$C$64:$T$64</c:f>
              <c:numCache>
                <c:formatCode>0.00%</c:formatCode>
                <c:ptCount val="18"/>
                <c:pt idx="0">
                  <c:v>8.1629526336362973E-2</c:v>
                </c:pt>
                <c:pt idx="1">
                  <c:v>8.1629526336362973E-2</c:v>
                </c:pt>
                <c:pt idx="2">
                  <c:v>8.1629526336362973E-2</c:v>
                </c:pt>
                <c:pt idx="3">
                  <c:v>8.1629526336362973E-2</c:v>
                </c:pt>
                <c:pt idx="4">
                  <c:v>8.1629526336362973E-2</c:v>
                </c:pt>
                <c:pt idx="5">
                  <c:v>8.1629526336362973E-2</c:v>
                </c:pt>
                <c:pt idx="6">
                  <c:v>8.1629526336362973E-2</c:v>
                </c:pt>
                <c:pt idx="7">
                  <c:v>8.1629526336362973E-2</c:v>
                </c:pt>
                <c:pt idx="8">
                  <c:v>8.1629526336362973E-2</c:v>
                </c:pt>
                <c:pt idx="9">
                  <c:v>8.1629526336362973E-2</c:v>
                </c:pt>
                <c:pt idx="10">
                  <c:v>8.1629526336362973E-2</c:v>
                </c:pt>
                <c:pt idx="11">
                  <c:v>8.1629526336362973E-2</c:v>
                </c:pt>
                <c:pt idx="12">
                  <c:v>8.1629526336362973E-2</c:v>
                </c:pt>
                <c:pt idx="13">
                  <c:v>8.1629526336362973E-2</c:v>
                </c:pt>
                <c:pt idx="14">
                  <c:v>8.1629526336362973E-2</c:v>
                </c:pt>
                <c:pt idx="15">
                  <c:v>8.1629526336362973E-2</c:v>
                </c:pt>
                <c:pt idx="16">
                  <c:v>8.1629526336362973E-2</c:v>
                </c:pt>
                <c:pt idx="17" formatCode="0.0%">
                  <c:v>8.1629526336362973E-2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019-4F62-8FDC-1FF90F494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387712"/>
        <c:axId val="1576388192"/>
      </c:lineChart>
      <c:dateAx>
        <c:axId val="1576387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6388192"/>
        <c:crosses val="autoZero"/>
        <c:auto val="1"/>
        <c:lblOffset val="100"/>
        <c:baseTimeUnit val="years"/>
      </c:dateAx>
      <c:valAx>
        <c:axId val="1576388192"/>
        <c:scaling>
          <c:orientation val="minMax"/>
          <c:max val="0.5"/>
          <c:min val="0"/>
        </c:scaling>
        <c:delete val="0"/>
        <c:axPos val="l"/>
        <c:numFmt formatCode="0%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6387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27839248228913838"/>
          <c:y val="0.36821774058265461"/>
          <c:w val="0.11797329576035036"/>
          <c:h val="6.63919746065372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33CC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Model!$B$77:$B$80</c:f>
              <c:strCache>
                <c:ptCount val="4"/>
                <c:pt idx="0">
                  <c:v>Gross Margin</c:v>
                </c:pt>
                <c:pt idx="1">
                  <c:v>SG&amp;A Margin</c:v>
                </c:pt>
                <c:pt idx="2">
                  <c:v>R&amp;D Margin</c:v>
                </c:pt>
                <c:pt idx="3">
                  <c:v>(1-Tax rate)</c:v>
                </c:pt>
              </c:strCache>
            </c:strRef>
          </c:cat>
          <c:val>
            <c:numRef>
              <c:f>Model!$T$77:$T$80</c:f>
              <c:numCache>
                <c:formatCode>0.0%</c:formatCode>
                <c:ptCount val="4"/>
                <c:pt idx="0">
                  <c:v>0.68823742386165188</c:v>
                </c:pt>
                <c:pt idx="1">
                  <c:v>0.11669932274140649</c:v>
                </c:pt>
                <c:pt idx="2">
                  <c:v>0.11531853871164686</c:v>
                </c:pt>
                <c:pt idx="3" formatCode="0.00%">
                  <c:v>0.81128328367936997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8-4FB9-99A6-D1CD5722C017}"/>
            </c:ext>
          </c:extLst>
        </c:ser>
        <c:ser>
          <c:idx val="1"/>
          <c:order val="1"/>
          <c:tx>
            <c:v>series2</c:v>
          </c:tx>
          <c:spPr>
            <a:solidFill>
              <a:srgbClr val="F2502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Model!$T$83:$T$86</c:f>
              <c:numCache>
                <c:formatCode>0.0%</c:formatCode>
                <c:ptCount val="4"/>
                <c:pt idx="0">
                  <c:v>0.71719999999999995</c:v>
                </c:pt>
                <c:pt idx="1">
                  <c:v>0.1598</c:v>
                </c:pt>
                <c:pt idx="2">
                  <c:v>0.24379999999999999</c:v>
                </c:pt>
                <c:pt idx="3">
                  <c:v>0.94489999999999996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E8-4FB9-99A6-D1CD5722C0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0"/>
        <c:axId val="440672592"/>
        <c:axId val="440669232"/>
      </c:barChart>
      <c:catAx>
        <c:axId val="44067259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0669232"/>
        <c:crosses val="autoZero"/>
        <c:auto val="0"/>
        <c:lblAlgn val="ctr"/>
        <c:lblOffset val="100"/>
        <c:noMultiLvlLbl val="0"/>
      </c:catAx>
      <c:valAx>
        <c:axId val="440669232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44067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0601761679636614"/>
          <c:y val="0.19988909361827328"/>
          <c:w val="0.44419346043705193"/>
          <c:h val="0.73741400123018408"/>
        </c:manualLayout>
      </c:layout>
      <c:barChart>
        <c:barDir val="bar"/>
        <c:grouping val="clustered"/>
        <c:varyColors val="0"/>
        <c:ser>
          <c:idx val="2"/>
          <c:order val="0"/>
          <c:spPr>
            <a:solidFill>
              <a:srgbClr val="33CC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Model!$B$88:$B$90</c:f>
              <c:strCache>
                <c:ptCount val="3"/>
                <c:pt idx="0">
                  <c:v>Fixed Asset Turnover Ratio</c:v>
                </c:pt>
                <c:pt idx="1">
                  <c:v>Working Capital Ratio</c:v>
                </c:pt>
                <c:pt idx="2">
                  <c:v>Net Other Assets Ratio</c:v>
                </c:pt>
              </c:strCache>
            </c:strRef>
          </c:cat>
          <c:val>
            <c:numRef>
              <c:f>Model!$T$88:$T$90</c:f>
              <c:numCache>
                <c:formatCode>0.0%</c:formatCode>
                <c:ptCount val="3"/>
                <c:pt idx="0">
                  <c:v>0.80777640527608585</c:v>
                </c:pt>
                <c:pt idx="1">
                  <c:v>0.15305405290284108</c:v>
                </c:pt>
                <c:pt idx="2">
                  <c:v>0.74761113714131566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A8-4B82-BBD5-98BB78D21020}"/>
            </c:ext>
          </c:extLst>
        </c:ser>
        <c:ser>
          <c:idx val="3"/>
          <c:order val="1"/>
          <c:spPr>
            <a:solidFill>
              <a:srgbClr val="F2502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Model!$B$88:$B$90</c:f>
              <c:strCache>
                <c:ptCount val="3"/>
                <c:pt idx="0">
                  <c:v>Fixed Asset Turnover Ratio</c:v>
                </c:pt>
                <c:pt idx="1">
                  <c:v>Working Capital Ratio</c:v>
                </c:pt>
                <c:pt idx="2">
                  <c:v>Net Other Assets Ratio</c:v>
                </c:pt>
              </c:strCache>
            </c:strRef>
          </c:cat>
          <c:val>
            <c:numRef>
              <c:f>Model!$T$93:$T$95</c:f>
              <c:numCache>
                <c:formatCode>0.0%</c:formatCode>
                <c:ptCount val="3"/>
                <c:pt idx="0">
                  <c:v>0.14000000000000001</c:v>
                </c:pt>
                <c:pt idx="1">
                  <c:v>0.10050000000000001</c:v>
                </c:pt>
                <c:pt idx="2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A8-4B82-BBD5-98BB78D210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0"/>
        <c:axId val="440672592"/>
        <c:axId val="440669232"/>
      </c:barChart>
      <c:catAx>
        <c:axId val="44067259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0669232"/>
        <c:crosses val="autoZero"/>
        <c:auto val="0"/>
        <c:lblAlgn val="ctr"/>
        <c:lblOffset val="100"/>
        <c:noMultiLvlLbl val="0"/>
      </c:catAx>
      <c:valAx>
        <c:axId val="440669232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44067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2"/>
          <c:order val="0"/>
          <c:spPr>
            <a:solidFill>
              <a:srgbClr val="33CC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Model!$B$70</c:f>
              <c:strCache>
                <c:ptCount val="1"/>
                <c:pt idx="0">
                  <c:v>NOPAT Margin</c:v>
                </c:pt>
              </c:strCache>
            </c:strRef>
          </c:cat>
          <c:val>
            <c:numRef>
              <c:f>Model!$T$70</c:f>
              <c:numCache>
                <c:formatCode>0.0%</c:formatCode>
                <c:ptCount val="1"/>
                <c:pt idx="0">
                  <c:v>0.37012330466961307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C6-44B0-A2C0-1838C9F2A370}"/>
            </c:ext>
          </c:extLst>
        </c:ser>
        <c:ser>
          <c:idx val="3"/>
          <c:order val="1"/>
          <c:spPr>
            <a:solidFill>
              <a:srgbClr val="F2502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Model!$B$70</c:f>
              <c:strCache>
                <c:ptCount val="1"/>
                <c:pt idx="0">
                  <c:v>NOPAT Margin</c:v>
                </c:pt>
              </c:strCache>
            </c:strRef>
          </c:cat>
          <c:val>
            <c:numRef>
              <c:f>Model!$T$74</c:f>
              <c:numCache>
                <c:formatCode>0.0%</c:formatCode>
                <c:ptCount val="1"/>
                <c:pt idx="0">
                  <c:v>0.3318869721663667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C6-44B0-A2C0-1838C9F2A3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0"/>
        <c:axId val="440672592"/>
        <c:axId val="440669232"/>
      </c:barChart>
      <c:catAx>
        <c:axId val="44067259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0669232"/>
        <c:crosses val="autoZero"/>
        <c:auto val="0"/>
        <c:lblAlgn val="ctr"/>
        <c:lblOffset val="100"/>
        <c:noMultiLvlLbl val="0"/>
      </c:catAx>
      <c:valAx>
        <c:axId val="440669232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44067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2"/>
          <c:order val="0"/>
          <c:spPr>
            <a:solidFill>
              <a:srgbClr val="33CC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Model!$B$71</c:f>
              <c:strCache>
                <c:ptCount val="1"/>
                <c:pt idx="0">
                  <c:v>Capital Turnover</c:v>
                </c:pt>
              </c:strCache>
            </c:strRef>
          </c:cat>
          <c:val>
            <c:numRef>
              <c:f>Model!$T$71</c:f>
              <c:numCache>
                <c:formatCode>0.0%</c:formatCode>
                <c:ptCount val="1"/>
                <c:pt idx="0">
                  <c:v>0.72866564932881561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4-4399-A304-E165359BCE3A}"/>
            </c:ext>
          </c:extLst>
        </c:ser>
        <c:ser>
          <c:idx val="3"/>
          <c:order val="1"/>
          <c:spPr>
            <a:solidFill>
              <a:srgbClr val="F2502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Model!$B$71</c:f>
              <c:strCache>
                <c:ptCount val="1"/>
                <c:pt idx="0">
                  <c:v>Capital Turnover</c:v>
                </c:pt>
              </c:strCache>
            </c:strRef>
          </c:cat>
          <c:val>
            <c:numRef>
              <c:f>Model!$T$75</c:f>
              <c:numCache>
                <c:formatCode>0.0%</c:formatCode>
                <c:ptCount val="1"/>
                <c:pt idx="0">
                  <c:v>1.5372790161414298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54-4399-A304-E165359BCE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0"/>
        <c:axId val="440672592"/>
        <c:axId val="440669232"/>
      </c:barChart>
      <c:catAx>
        <c:axId val="44067259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0669232"/>
        <c:crosses val="autoZero"/>
        <c:auto val="0"/>
        <c:lblAlgn val="ctr"/>
        <c:lblOffset val="100"/>
        <c:noMultiLvlLbl val="0"/>
      </c:catAx>
      <c:valAx>
        <c:axId val="440669232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44067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2"/>
          <c:order val="0"/>
          <c:spPr>
            <a:solidFill>
              <a:srgbClr val="33CC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Model!$B$68</c:f>
              <c:strCache>
                <c:ptCount val="1"/>
                <c:pt idx="0">
                  <c:v>ROIC</c:v>
                </c:pt>
              </c:strCache>
            </c:strRef>
          </c:cat>
          <c:val>
            <c:numRef>
              <c:f>Model!$T$63</c:f>
              <c:numCache>
                <c:formatCode>0.0%</c:formatCode>
                <c:ptCount val="1"/>
                <c:pt idx="0">
                  <c:v>0.26969613812881066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B-4493-87FC-A75D8521C71D}"/>
            </c:ext>
          </c:extLst>
        </c:ser>
        <c:ser>
          <c:idx val="3"/>
          <c:order val="1"/>
          <c:spPr>
            <a:solidFill>
              <a:srgbClr val="F2502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Model!$B$68</c:f>
              <c:strCache>
                <c:ptCount val="1"/>
                <c:pt idx="0">
                  <c:v>ROIC</c:v>
                </c:pt>
              </c:strCache>
            </c:strRef>
          </c:cat>
          <c:val>
            <c:numRef>
              <c:f>Model!$T$68</c:f>
              <c:numCache>
                <c:formatCode>0.0%</c:formatCode>
                <c:ptCount val="1"/>
                <c:pt idx="0">
                  <c:v>0.51020287804207032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AB-4493-87FC-A75D8521C7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0"/>
        <c:axId val="440672592"/>
        <c:axId val="440669232"/>
      </c:barChart>
      <c:catAx>
        <c:axId val="44067259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0669232"/>
        <c:crosses val="autoZero"/>
        <c:auto val="0"/>
        <c:lblAlgn val="ctr"/>
        <c:lblOffset val="100"/>
        <c:noMultiLvlLbl val="0"/>
      </c:catAx>
      <c:valAx>
        <c:axId val="440669232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44067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900" b="1" i="0" u="none" strike="noStrike" baseline="0">
                <a:effectLst/>
              </a:rPr>
              <a:t>Adjusted EVA (capitalized R&amp;D) versus normal EVA</a:t>
            </a:r>
            <a:endParaRPr lang="en-US" sz="900" b="1"/>
          </a:p>
        </c:rich>
      </c:tx>
      <c:layout>
        <c:manualLayout>
          <c:xMode val="edge"/>
          <c:yMode val="edge"/>
          <c:x val="8.0775904588104475E-4"/>
          <c:y val="9.12736589611205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765092627211378E-2"/>
          <c:y val="0.11564395406384249"/>
          <c:w val="0.87531023995443902"/>
          <c:h val="0.76467640577349627"/>
        </c:manualLayout>
      </c:layout>
      <c:lineChart>
        <c:grouping val="standard"/>
        <c:varyColors val="0"/>
        <c:ser>
          <c:idx val="1"/>
          <c:order val="2"/>
          <c:tx>
            <c:strRef>
              <c:f>Model!$B$107</c:f>
              <c:strCache>
                <c:ptCount val="1"/>
                <c:pt idx="0">
                  <c:v>Adjusted EVA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Model!$C$2:$T$2</c:f>
              <c:numCache>
                <c:formatCode>yyyy</c:formatCode>
                <c:ptCount val="18"/>
                <c:pt idx="0">
                  <c:v>39813</c:v>
                </c:pt>
                <c:pt idx="1">
                  <c:v>40178</c:v>
                </c:pt>
                <c:pt idx="2">
                  <c:v>40543</c:v>
                </c:pt>
                <c:pt idx="3">
                  <c:v>40908</c:v>
                </c:pt>
                <c:pt idx="4">
                  <c:v>41274</c:v>
                </c:pt>
                <c:pt idx="5">
                  <c:v>41639</c:v>
                </c:pt>
                <c:pt idx="6">
                  <c:v>42004</c:v>
                </c:pt>
                <c:pt idx="7">
                  <c:v>42369</c:v>
                </c:pt>
                <c:pt idx="8">
                  <c:v>42735</c:v>
                </c:pt>
                <c:pt idx="9">
                  <c:v>43100</c:v>
                </c:pt>
                <c:pt idx="10">
                  <c:v>43465</c:v>
                </c:pt>
                <c:pt idx="11">
                  <c:v>43830</c:v>
                </c:pt>
                <c:pt idx="12">
                  <c:v>44196</c:v>
                </c:pt>
                <c:pt idx="13">
                  <c:v>44561</c:v>
                </c:pt>
                <c:pt idx="14">
                  <c:v>44926</c:v>
                </c:pt>
                <c:pt idx="15">
                  <c:v>45291</c:v>
                </c:pt>
                <c:pt idx="16">
                  <c:v>45657</c:v>
                </c:pt>
                <c:pt idx="17">
                  <c:v>46022</c:v>
                </c:pt>
              </c:numCache>
            </c:numRef>
          </c:cat>
          <c:val>
            <c:numRef>
              <c:f>Model!$C$107:$T$107</c:f>
              <c:numCache>
                <c:formatCode>#,##0</c:formatCode>
                <c:ptCount val="18"/>
                <c:pt idx="0">
                  <c:v>22738.454459565903</c:v>
                </c:pt>
                <c:pt idx="1">
                  <c:v>17305.708404480909</c:v>
                </c:pt>
                <c:pt idx="2">
                  <c:v>18686.194941108552</c:v>
                </c:pt>
                <c:pt idx="3">
                  <c:v>19949.375156213879</c:v>
                </c:pt>
                <c:pt idx="4">
                  <c:v>19305.994941878467</c:v>
                </c:pt>
                <c:pt idx="5">
                  <c:v>16972.681829962985</c:v>
                </c:pt>
                <c:pt idx="6">
                  <c:v>16736.938073730256</c:v>
                </c:pt>
                <c:pt idx="7">
                  <c:v>12166.564476047626</c:v>
                </c:pt>
                <c:pt idx="8">
                  <c:v>12207.841934431639</c:v>
                </c:pt>
                <c:pt idx="9">
                  <c:v>9341.5367859824237</c:v>
                </c:pt>
                <c:pt idx="10">
                  <c:v>16389.643553803769</c:v>
                </c:pt>
                <c:pt idx="11">
                  <c:v>23856.137341542413</c:v>
                </c:pt>
                <c:pt idx="12">
                  <c:v>32804.748464925295</c:v>
                </c:pt>
                <c:pt idx="13">
                  <c:v>44336.496991702006</c:v>
                </c:pt>
                <c:pt idx="14">
                  <c:v>56530.579023581056</c:v>
                </c:pt>
                <c:pt idx="15">
                  <c:v>59576.972925657305</c:v>
                </c:pt>
                <c:pt idx="16">
                  <c:v>71498.059599680972</c:v>
                </c:pt>
                <c:pt idx="17">
                  <c:v>82625.589644787528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A5-43A3-96EC-FEE9B87EAE77}"/>
            </c:ext>
          </c:extLst>
        </c:ser>
        <c:ser>
          <c:idx val="3"/>
          <c:order val="3"/>
          <c:tx>
            <c:strRef>
              <c:f>Model!$B$61</c:f>
              <c:strCache>
                <c:ptCount val="1"/>
                <c:pt idx="0">
                  <c:v>EVA</c:v>
                </c:pt>
              </c:strCache>
            </c:strRef>
          </c:tx>
          <c:spPr>
            <a:ln w="28575" cap="rnd">
              <a:solidFill>
                <a:srgbClr val="33CC33"/>
              </a:solidFill>
              <a:round/>
            </a:ln>
            <a:effectLst/>
          </c:spPr>
          <c:marker>
            <c:symbol val="none"/>
          </c:marker>
          <c:cat>
            <c:numRef>
              <c:f>Model!$C$2:$T$2</c:f>
              <c:numCache>
                <c:formatCode>yyyy</c:formatCode>
                <c:ptCount val="18"/>
                <c:pt idx="0">
                  <c:v>39813</c:v>
                </c:pt>
                <c:pt idx="1">
                  <c:v>40178</c:v>
                </c:pt>
                <c:pt idx="2">
                  <c:v>40543</c:v>
                </c:pt>
                <c:pt idx="3">
                  <c:v>40908</c:v>
                </c:pt>
                <c:pt idx="4">
                  <c:v>41274</c:v>
                </c:pt>
                <c:pt idx="5">
                  <c:v>41639</c:v>
                </c:pt>
                <c:pt idx="6">
                  <c:v>42004</c:v>
                </c:pt>
                <c:pt idx="7">
                  <c:v>42369</c:v>
                </c:pt>
                <c:pt idx="8">
                  <c:v>42735</c:v>
                </c:pt>
                <c:pt idx="9">
                  <c:v>43100</c:v>
                </c:pt>
                <c:pt idx="10">
                  <c:v>43465</c:v>
                </c:pt>
                <c:pt idx="11">
                  <c:v>43830</c:v>
                </c:pt>
                <c:pt idx="12">
                  <c:v>44196</c:v>
                </c:pt>
                <c:pt idx="13">
                  <c:v>44561</c:v>
                </c:pt>
                <c:pt idx="14">
                  <c:v>44926</c:v>
                </c:pt>
                <c:pt idx="15">
                  <c:v>45291</c:v>
                </c:pt>
                <c:pt idx="16">
                  <c:v>45657</c:v>
                </c:pt>
                <c:pt idx="17">
                  <c:v>46022</c:v>
                </c:pt>
              </c:numCache>
            </c:numRef>
          </c:cat>
          <c:val>
            <c:numRef>
              <c:f>Model!$C$61:$T$61</c:f>
              <c:numCache>
                <c:formatCode>#,##0</c:formatCode>
                <c:ptCount val="18"/>
                <c:pt idx="0">
                  <c:v>14838.989126379876</c:v>
                </c:pt>
                <c:pt idx="1">
                  <c:v>16520.16150556301</c:v>
                </c:pt>
                <c:pt idx="2">
                  <c:v>19550.304570105458</c:v>
                </c:pt>
                <c:pt idx="3">
                  <c:v>22035.265268015366</c:v>
                </c:pt>
                <c:pt idx="4">
                  <c:v>17655.958102714128</c:v>
                </c:pt>
                <c:pt idx="5">
                  <c:v>21713.185804394659</c:v>
                </c:pt>
                <c:pt idx="6">
                  <c:v>22623.445648682911</c:v>
                </c:pt>
                <c:pt idx="7">
                  <c:v>14733.715714901038</c:v>
                </c:pt>
                <c:pt idx="8">
                  <c:v>21156.645471790609</c:v>
                </c:pt>
                <c:pt idx="9">
                  <c:v>23547.497308793714</c:v>
                </c:pt>
                <c:pt idx="10">
                  <c:v>28441.969359231352</c:v>
                </c:pt>
                <c:pt idx="11">
                  <c:v>34851.918583582054</c:v>
                </c:pt>
                <c:pt idx="12">
                  <c:v>42964.751420375753</c:v>
                </c:pt>
                <c:pt idx="13">
                  <c:v>56721.682061726831</c:v>
                </c:pt>
                <c:pt idx="14">
                  <c:v>67647.234043036908</c:v>
                </c:pt>
                <c:pt idx="15">
                  <c:v>71817.230121148867</c:v>
                </c:pt>
                <c:pt idx="16">
                  <c:v>88781.163582884488</c:v>
                </c:pt>
                <c:pt idx="17">
                  <c:v>104272.61788474207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A5-43A3-96EC-FEE9B87EA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387712"/>
        <c:axId val="1576388192"/>
        <c:extLst>
          <c:ext xmlns:c15="http://schemas.microsoft.com/office/drawing/2012/chart" uri="{02D57815-91ED-43cb-92C2-25804820EDAC}">
            <c15:filteredLine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Model!$B$63</c15:sqref>
                        </c15:formulaRef>
                      </c:ext>
                    </c:extLst>
                    <c:strCache>
                      <c:ptCount val="1"/>
                      <c:pt idx="0">
                        <c:v>ROIC</c:v>
                      </c:pt>
                    </c:strCache>
                  </c:strRef>
                </c:tx>
                <c:spPr>
                  <a:ln w="28575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Model!$C$2:$T$2</c15:sqref>
                        </c15:formulaRef>
                      </c:ext>
                    </c:extLst>
                    <c:numCache>
                      <c:formatCode>yyyy</c:formatCode>
                      <c:ptCount val="18"/>
                      <c:pt idx="0">
                        <c:v>39813</c:v>
                      </c:pt>
                      <c:pt idx="1">
                        <c:v>40178</c:v>
                      </c:pt>
                      <c:pt idx="2">
                        <c:v>40543</c:v>
                      </c:pt>
                      <c:pt idx="3">
                        <c:v>40908</c:v>
                      </c:pt>
                      <c:pt idx="4">
                        <c:v>41274</c:v>
                      </c:pt>
                      <c:pt idx="5">
                        <c:v>41639</c:v>
                      </c:pt>
                      <c:pt idx="6">
                        <c:v>42004</c:v>
                      </c:pt>
                      <c:pt idx="7">
                        <c:v>42369</c:v>
                      </c:pt>
                      <c:pt idx="8">
                        <c:v>42735</c:v>
                      </c:pt>
                      <c:pt idx="9">
                        <c:v>43100</c:v>
                      </c:pt>
                      <c:pt idx="10">
                        <c:v>43465</c:v>
                      </c:pt>
                      <c:pt idx="11">
                        <c:v>43830</c:v>
                      </c:pt>
                      <c:pt idx="12">
                        <c:v>44196</c:v>
                      </c:pt>
                      <c:pt idx="13">
                        <c:v>44561</c:v>
                      </c:pt>
                      <c:pt idx="14">
                        <c:v>44926</c:v>
                      </c:pt>
                      <c:pt idx="15">
                        <c:v>45291</c:v>
                      </c:pt>
                      <c:pt idx="16">
                        <c:v>45657</c:v>
                      </c:pt>
                      <c:pt idx="17">
                        <c:v>46022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Model!$C$63:$T$63</c15:sqref>
                        </c15:formulaRef>
                      </c:ext>
                    </c:extLst>
                    <c:numCache>
                      <c:formatCode>0.00%</c:formatCode>
                      <c:ptCount val="18"/>
                      <c:pt idx="0">
                        <c:v>0.45674931882486303</c:v>
                      </c:pt>
                      <c:pt idx="1">
                        <c:v>0.35158256375166019</c:v>
                      </c:pt>
                      <c:pt idx="2">
                        <c:v>0.37514496239216827</c:v>
                      </c:pt>
                      <c:pt idx="3">
                        <c:v>0.31933315848378885</c:v>
                      </c:pt>
                      <c:pt idx="4">
                        <c:v>0.22547100645809606</c:v>
                      </c:pt>
                      <c:pt idx="5">
                        <c:v>0.22966222927308619</c:v>
                      </c:pt>
                      <c:pt idx="6">
                        <c:v>0.20122428953991328</c:v>
                      </c:pt>
                      <c:pt idx="7">
                        <c:v>0.12770284476620619</c:v>
                      </c:pt>
                      <c:pt idx="8">
                        <c:v>0.16863528409340664</c:v>
                      </c:pt>
                      <c:pt idx="9">
                        <c:v>0.13540437197776783</c:v>
                      </c:pt>
                      <c:pt idx="10">
                        <c:v>0.17892757432297432</c:v>
                      </c:pt>
                      <c:pt idx="11">
                        <c:v>0.19971530579447391</c:v>
                      </c:pt>
                      <c:pt idx="12">
                        <c:v>0.23654966068774466</c:v>
                      </c:pt>
                      <c:pt idx="13">
                        <c:v>0.28341851990030098</c:v>
                      </c:pt>
                      <c:pt idx="14">
                        <c:v>0.31271401581448532</c:v>
                      </c:pt>
                      <c:pt idx="15">
                        <c:v>0.28334739257140718</c:v>
                      </c:pt>
                      <c:pt idx="16">
                        <c:v>0.27734839782599097</c:v>
                      </c:pt>
                      <c:pt idx="17" formatCode="0.0%">
                        <c:v>0.26969613812881066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1A5-43A3-96EC-FEE9B87EAE77}"/>
                  </c:ext>
                </c:extLst>
              </c15:ser>
            </c15:filteredLineSeries>
            <c15:filteredLineSeries>
              <c15:ser>
                <c:idx val="0"/>
                <c:order val="1"/>
                <c:tx>
                  <c:v>WACC</c:v>
                </c:tx>
                <c:spPr>
                  <a:ln w="38100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Model!$C$2:$T$2</c15:sqref>
                        </c15:formulaRef>
                      </c:ext>
                    </c:extLst>
                    <c:numCache>
                      <c:formatCode>yyyy</c:formatCode>
                      <c:ptCount val="18"/>
                      <c:pt idx="0">
                        <c:v>39813</c:v>
                      </c:pt>
                      <c:pt idx="1">
                        <c:v>40178</c:v>
                      </c:pt>
                      <c:pt idx="2">
                        <c:v>40543</c:v>
                      </c:pt>
                      <c:pt idx="3">
                        <c:v>40908</c:v>
                      </c:pt>
                      <c:pt idx="4">
                        <c:v>41274</c:v>
                      </c:pt>
                      <c:pt idx="5">
                        <c:v>41639</c:v>
                      </c:pt>
                      <c:pt idx="6">
                        <c:v>42004</c:v>
                      </c:pt>
                      <c:pt idx="7">
                        <c:v>42369</c:v>
                      </c:pt>
                      <c:pt idx="8">
                        <c:v>42735</c:v>
                      </c:pt>
                      <c:pt idx="9">
                        <c:v>43100</c:v>
                      </c:pt>
                      <c:pt idx="10">
                        <c:v>43465</c:v>
                      </c:pt>
                      <c:pt idx="11">
                        <c:v>43830</c:v>
                      </c:pt>
                      <c:pt idx="12">
                        <c:v>44196</c:v>
                      </c:pt>
                      <c:pt idx="13">
                        <c:v>44561</c:v>
                      </c:pt>
                      <c:pt idx="14">
                        <c:v>44926</c:v>
                      </c:pt>
                      <c:pt idx="15">
                        <c:v>45291</c:v>
                      </c:pt>
                      <c:pt idx="16">
                        <c:v>45657</c:v>
                      </c:pt>
                      <c:pt idx="17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Model!$C$64:$T$64</c15:sqref>
                        </c15:formulaRef>
                      </c:ext>
                    </c:extLst>
                    <c:numCache>
                      <c:formatCode>0.00%</c:formatCode>
                      <c:ptCount val="18"/>
                      <c:pt idx="0">
                        <c:v>8.1629526336362973E-2</c:v>
                      </c:pt>
                      <c:pt idx="1">
                        <c:v>8.1629526336362973E-2</c:v>
                      </c:pt>
                      <c:pt idx="2">
                        <c:v>8.1629526336362973E-2</c:v>
                      </c:pt>
                      <c:pt idx="3">
                        <c:v>8.1629526336362973E-2</c:v>
                      </c:pt>
                      <c:pt idx="4">
                        <c:v>8.1629526336362973E-2</c:v>
                      </c:pt>
                      <c:pt idx="5">
                        <c:v>8.1629526336362973E-2</c:v>
                      </c:pt>
                      <c:pt idx="6">
                        <c:v>8.1629526336362973E-2</c:v>
                      </c:pt>
                      <c:pt idx="7">
                        <c:v>8.1629526336362973E-2</c:v>
                      </c:pt>
                      <c:pt idx="8">
                        <c:v>8.1629526336362973E-2</c:v>
                      </c:pt>
                      <c:pt idx="9">
                        <c:v>8.1629526336362973E-2</c:v>
                      </c:pt>
                      <c:pt idx="10">
                        <c:v>8.1629526336362973E-2</c:v>
                      </c:pt>
                      <c:pt idx="11">
                        <c:v>8.1629526336362973E-2</c:v>
                      </c:pt>
                      <c:pt idx="12">
                        <c:v>8.1629526336362973E-2</c:v>
                      </c:pt>
                      <c:pt idx="13">
                        <c:v>8.1629526336362973E-2</c:v>
                      </c:pt>
                      <c:pt idx="14">
                        <c:v>8.1629526336362973E-2</c:v>
                      </c:pt>
                      <c:pt idx="15">
                        <c:v>8.1629526336362973E-2</c:v>
                      </c:pt>
                      <c:pt idx="16">
                        <c:v>8.1629526336362973E-2</c:v>
                      </c:pt>
                      <c:pt idx="17" formatCode="0.0%">
                        <c:v>8.1629526336362973E-2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1A5-43A3-96EC-FEE9B87EAE77}"/>
                  </c:ext>
                </c:extLst>
              </c15:ser>
            </c15:filteredLineSeries>
          </c:ext>
        </c:extLst>
      </c:lineChart>
      <c:dateAx>
        <c:axId val="1576387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6388192"/>
        <c:crosses val="autoZero"/>
        <c:auto val="1"/>
        <c:lblOffset val="100"/>
        <c:baseTimeUnit val="years"/>
      </c:dateAx>
      <c:valAx>
        <c:axId val="1576388192"/>
        <c:scaling>
          <c:orientation val="minMax"/>
          <c:max val="12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EVA (Bn)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6387712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696385301027878"/>
          <c:y val="0.36821757819892398"/>
          <c:w val="0.18231225358998712"/>
          <c:h val="0.110411818238250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900" b="1" i="0" u="none" strike="noStrike" baseline="0">
                <a:effectLst/>
              </a:rPr>
              <a:t>Adjusted ROIC (capitalized R&amp;D) versus EVA</a:t>
            </a:r>
            <a:endParaRPr lang="en-US" sz="900" b="1"/>
          </a:p>
        </c:rich>
      </c:tx>
      <c:layout>
        <c:manualLayout>
          <c:xMode val="edge"/>
          <c:yMode val="edge"/>
          <c:x val="3.118010919677703E-3"/>
          <c:y val="1.31543067465365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765040478115628E-2"/>
          <c:y val="0.11564381462846678"/>
          <c:w val="0.87531023995443902"/>
          <c:h val="0.76467640577349627"/>
        </c:manualLayout>
      </c:layout>
      <c:lineChart>
        <c:grouping val="standard"/>
        <c:varyColors val="0"/>
        <c:ser>
          <c:idx val="2"/>
          <c:order val="0"/>
          <c:tx>
            <c:strRef>
              <c:f>Model!$B$63</c:f>
              <c:strCache>
                <c:ptCount val="1"/>
                <c:pt idx="0">
                  <c:v>ROIC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33CC33"/>
              </a:solidFill>
              <a:round/>
            </a:ln>
            <a:effectLst/>
          </c:spPr>
          <c:marker>
            <c:symbol val="none"/>
          </c:marker>
          <c:cat>
            <c:numRef>
              <c:f>Model!$C$2:$T$2</c:f>
              <c:numCache>
                <c:formatCode>yyyy</c:formatCode>
                <c:ptCount val="18"/>
                <c:pt idx="0">
                  <c:v>39813</c:v>
                </c:pt>
                <c:pt idx="1">
                  <c:v>40178</c:v>
                </c:pt>
                <c:pt idx="2">
                  <c:v>40543</c:v>
                </c:pt>
                <c:pt idx="3">
                  <c:v>40908</c:v>
                </c:pt>
                <c:pt idx="4">
                  <c:v>41274</c:v>
                </c:pt>
                <c:pt idx="5">
                  <c:v>41639</c:v>
                </c:pt>
                <c:pt idx="6">
                  <c:v>42004</c:v>
                </c:pt>
                <c:pt idx="7">
                  <c:v>42369</c:v>
                </c:pt>
                <c:pt idx="8">
                  <c:v>42735</c:v>
                </c:pt>
                <c:pt idx="9">
                  <c:v>43100</c:v>
                </c:pt>
                <c:pt idx="10">
                  <c:v>43465</c:v>
                </c:pt>
                <c:pt idx="11">
                  <c:v>43830</c:v>
                </c:pt>
                <c:pt idx="12">
                  <c:v>44196</c:v>
                </c:pt>
                <c:pt idx="13">
                  <c:v>44561</c:v>
                </c:pt>
                <c:pt idx="14">
                  <c:v>44926</c:v>
                </c:pt>
                <c:pt idx="15">
                  <c:v>45291</c:v>
                </c:pt>
                <c:pt idx="16">
                  <c:v>45657</c:v>
                </c:pt>
                <c:pt idx="17">
                  <c:v>46022</c:v>
                </c:pt>
              </c:numCache>
            </c:numRef>
          </c:cat>
          <c:val>
            <c:numRef>
              <c:f>Model!$C$63:$T$63</c:f>
              <c:numCache>
                <c:formatCode>0.00%</c:formatCode>
                <c:ptCount val="18"/>
                <c:pt idx="0">
                  <c:v>0.45674931882486303</c:v>
                </c:pt>
                <c:pt idx="1">
                  <c:v>0.35158256375166019</c:v>
                </c:pt>
                <c:pt idx="2">
                  <c:v>0.37514496239216827</c:v>
                </c:pt>
                <c:pt idx="3">
                  <c:v>0.31933315848378885</c:v>
                </c:pt>
                <c:pt idx="4">
                  <c:v>0.22547100645809606</c:v>
                </c:pt>
                <c:pt idx="5">
                  <c:v>0.22966222927308619</c:v>
                </c:pt>
                <c:pt idx="6">
                  <c:v>0.20122428953991328</c:v>
                </c:pt>
                <c:pt idx="7">
                  <c:v>0.12770284476620619</c:v>
                </c:pt>
                <c:pt idx="8">
                  <c:v>0.16863528409340664</c:v>
                </c:pt>
                <c:pt idx="9">
                  <c:v>0.13540437197776783</c:v>
                </c:pt>
                <c:pt idx="10">
                  <c:v>0.17892757432297432</c:v>
                </c:pt>
                <c:pt idx="11">
                  <c:v>0.19971530579447391</c:v>
                </c:pt>
                <c:pt idx="12">
                  <c:v>0.23654966068774466</c:v>
                </c:pt>
                <c:pt idx="13">
                  <c:v>0.28341851990030098</c:v>
                </c:pt>
                <c:pt idx="14">
                  <c:v>0.31271401581448532</c:v>
                </c:pt>
                <c:pt idx="15">
                  <c:v>0.28334739257140718</c:v>
                </c:pt>
                <c:pt idx="16">
                  <c:v>0.27734839782599097</c:v>
                </c:pt>
                <c:pt idx="17" formatCode="0.0%">
                  <c:v>0.26969613812881066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CE7C-4DD7-9526-5F2720920669}"/>
            </c:ext>
          </c:extLst>
        </c:ser>
        <c:ser>
          <c:idx val="4"/>
          <c:order val="4"/>
          <c:tx>
            <c:strRef>
              <c:f>Model!$B$108</c:f>
              <c:strCache>
                <c:ptCount val="1"/>
                <c:pt idx="0">
                  <c:v>Adjusted ROIC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Model!$C$2:$T$2</c:f>
              <c:numCache>
                <c:formatCode>yyyy</c:formatCode>
                <c:ptCount val="18"/>
                <c:pt idx="0">
                  <c:v>39813</c:v>
                </c:pt>
                <c:pt idx="1">
                  <c:v>40178</c:v>
                </c:pt>
                <c:pt idx="2">
                  <c:v>40543</c:v>
                </c:pt>
                <c:pt idx="3">
                  <c:v>40908</c:v>
                </c:pt>
                <c:pt idx="4">
                  <c:v>41274</c:v>
                </c:pt>
                <c:pt idx="5">
                  <c:v>41639</c:v>
                </c:pt>
                <c:pt idx="6">
                  <c:v>42004</c:v>
                </c:pt>
                <c:pt idx="7">
                  <c:v>42369</c:v>
                </c:pt>
                <c:pt idx="8">
                  <c:v>42735</c:v>
                </c:pt>
                <c:pt idx="9">
                  <c:v>43100</c:v>
                </c:pt>
                <c:pt idx="10">
                  <c:v>43465</c:v>
                </c:pt>
                <c:pt idx="11">
                  <c:v>43830</c:v>
                </c:pt>
                <c:pt idx="12">
                  <c:v>44196</c:v>
                </c:pt>
                <c:pt idx="13">
                  <c:v>44561</c:v>
                </c:pt>
                <c:pt idx="14">
                  <c:v>44926</c:v>
                </c:pt>
                <c:pt idx="15">
                  <c:v>45291</c:v>
                </c:pt>
                <c:pt idx="16">
                  <c:v>45657</c:v>
                </c:pt>
                <c:pt idx="17">
                  <c:v>46022</c:v>
                </c:pt>
              </c:numCache>
            </c:numRef>
          </c:cat>
          <c:val>
            <c:numRef>
              <c:f>Model!$C$108:$T$108</c:f>
              <c:numCache>
                <c:formatCode>0.00%</c:formatCode>
                <c:ptCount val="18"/>
                <c:pt idx="0">
                  <c:v>0.65644255744897917</c:v>
                </c:pt>
                <c:pt idx="1">
                  <c:v>0.37531895640161367</c:v>
                </c:pt>
                <c:pt idx="2">
                  <c:v>0.35810324253739023</c:v>
                </c:pt>
                <c:pt idx="3">
                  <c:v>0.31216645911932422</c:v>
                </c:pt>
                <c:pt idx="4">
                  <c:v>0.28127787113345154</c:v>
                </c:pt>
                <c:pt idx="5">
                  <c:v>0.23057776714649744</c:v>
                </c:pt>
                <c:pt idx="6">
                  <c:v>0.20714633226965634</c:v>
                </c:pt>
                <c:pt idx="7">
                  <c:v>0.16992240529413755</c:v>
                </c:pt>
                <c:pt idx="8">
                  <c:v>0.163703797080296</c:v>
                </c:pt>
                <c:pt idx="9">
                  <c:v>0.12870135795568216</c:v>
                </c:pt>
                <c:pt idx="10">
                  <c:v>0.16993760351576517</c:v>
                </c:pt>
                <c:pt idx="11">
                  <c:v>0.19840674307170281</c:v>
                </c:pt>
                <c:pt idx="12">
                  <c:v>0.23385545475656683</c:v>
                </c:pt>
                <c:pt idx="13">
                  <c:v>0.26807823876171666</c:v>
                </c:pt>
                <c:pt idx="14">
                  <c:v>0.29966213494688915</c:v>
                </c:pt>
                <c:pt idx="15">
                  <c:v>0.27897340682713523</c:v>
                </c:pt>
                <c:pt idx="16">
                  <c:v>0.27289756781531693</c:v>
                </c:pt>
                <c:pt idx="17">
                  <c:v>0.26691461923901916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7C-4DD7-9526-5F2720920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387712"/>
        <c:axId val="1576388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1"/>
                <c:tx>
                  <c:v>WACC</c:v>
                </c:tx>
                <c:spPr>
                  <a:ln w="38100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Model!$C$2:$T$2</c15:sqref>
                        </c15:formulaRef>
                      </c:ext>
                    </c:extLst>
                    <c:numCache>
                      <c:formatCode>yyyy</c:formatCode>
                      <c:ptCount val="18"/>
                      <c:pt idx="0">
                        <c:v>39813</c:v>
                      </c:pt>
                      <c:pt idx="1">
                        <c:v>40178</c:v>
                      </c:pt>
                      <c:pt idx="2">
                        <c:v>40543</c:v>
                      </c:pt>
                      <c:pt idx="3">
                        <c:v>40908</c:v>
                      </c:pt>
                      <c:pt idx="4">
                        <c:v>41274</c:v>
                      </c:pt>
                      <c:pt idx="5">
                        <c:v>41639</c:v>
                      </c:pt>
                      <c:pt idx="6">
                        <c:v>42004</c:v>
                      </c:pt>
                      <c:pt idx="7">
                        <c:v>42369</c:v>
                      </c:pt>
                      <c:pt idx="8">
                        <c:v>42735</c:v>
                      </c:pt>
                      <c:pt idx="9">
                        <c:v>43100</c:v>
                      </c:pt>
                      <c:pt idx="10">
                        <c:v>43465</c:v>
                      </c:pt>
                      <c:pt idx="11">
                        <c:v>43830</c:v>
                      </c:pt>
                      <c:pt idx="12">
                        <c:v>44196</c:v>
                      </c:pt>
                      <c:pt idx="13">
                        <c:v>44561</c:v>
                      </c:pt>
                      <c:pt idx="14">
                        <c:v>44926</c:v>
                      </c:pt>
                      <c:pt idx="15">
                        <c:v>45291</c:v>
                      </c:pt>
                      <c:pt idx="16">
                        <c:v>45657</c:v>
                      </c:pt>
                      <c:pt idx="17">
                        <c:v>46022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Model!$C$64:$T$64</c15:sqref>
                        </c15:formulaRef>
                      </c:ext>
                    </c:extLst>
                    <c:numCache>
                      <c:formatCode>0.00%</c:formatCode>
                      <c:ptCount val="18"/>
                      <c:pt idx="0">
                        <c:v>8.1629526336362973E-2</c:v>
                      </c:pt>
                      <c:pt idx="1">
                        <c:v>8.1629526336362973E-2</c:v>
                      </c:pt>
                      <c:pt idx="2">
                        <c:v>8.1629526336362973E-2</c:v>
                      </c:pt>
                      <c:pt idx="3">
                        <c:v>8.1629526336362973E-2</c:v>
                      </c:pt>
                      <c:pt idx="4">
                        <c:v>8.1629526336362973E-2</c:v>
                      </c:pt>
                      <c:pt idx="5">
                        <c:v>8.1629526336362973E-2</c:v>
                      </c:pt>
                      <c:pt idx="6">
                        <c:v>8.1629526336362973E-2</c:v>
                      </c:pt>
                      <c:pt idx="7">
                        <c:v>8.1629526336362973E-2</c:v>
                      </c:pt>
                      <c:pt idx="8">
                        <c:v>8.1629526336362973E-2</c:v>
                      </c:pt>
                      <c:pt idx="9">
                        <c:v>8.1629526336362973E-2</c:v>
                      </c:pt>
                      <c:pt idx="10">
                        <c:v>8.1629526336362973E-2</c:v>
                      </c:pt>
                      <c:pt idx="11">
                        <c:v>8.1629526336362973E-2</c:v>
                      </c:pt>
                      <c:pt idx="12">
                        <c:v>8.1629526336362973E-2</c:v>
                      </c:pt>
                      <c:pt idx="13">
                        <c:v>8.1629526336362973E-2</c:v>
                      </c:pt>
                      <c:pt idx="14">
                        <c:v>8.1629526336362973E-2</c:v>
                      </c:pt>
                      <c:pt idx="15">
                        <c:v>8.1629526336362973E-2</c:v>
                      </c:pt>
                      <c:pt idx="16">
                        <c:v>8.1629526336362973E-2</c:v>
                      </c:pt>
                      <c:pt idx="17" formatCode="0.0%">
                        <c:v>8.1629526336362973E-2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E7C-4DD7-9526-5F2720920669}"/>
                  </c:ext>
                </c:extLst>
              </c15:ser>
            </c15:filteredLineSeries>
            <c15:filteredLine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Model!$B$107</c15:sqref>
                        </c15:formulaRef>
                      </c:ext>
                    </c:extLst>
                    <c:strCache>
                      <c:ptCount val="1"/>
                      <c:pt idx="0">
                        <c:v>Adjusted EVA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6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Model!$C$2:$T$2</c15:sqref>
                        </c15:formulaRef>
                      </c:ext>
                    </c:extLst>
                    <c:numCache>
                      <c:formatCode>yyyy</c:formatCode>
                      <c:ptCount val="18"/>
                      <c:pt idx="0">
                        <c:v>39813</c:v>
                      </c:pt>
                      <c:pt idx="1">
                        <c:v>40178</c:v>
                      </c:pt>
                      <c:pt idx="2">
                        <c:v>40543</c:v>
                      </c:pt>
                      <c:pt idx="3">
                        <c:v>40908</c:v>
                      </c:pt>
                      <c:pt idx="4">
                        <c:v>41274</c:v>
                      </c:pt>
                      <c:pt idx="5">
                        <c:v>41639</c:v>
                      </c:pt>
                      <c:pt idx="6">
                        <c:v>42004</c:v>
                      </c:pt>
                      <c:pt idx="7">
                        <c:v>42369</c:v>
                      </c:pt>
                      <c:pt idx="8">
                        <c:v>42735</c:v>
                      </c:pt>
                      <c:pt idx="9">
                        <c:v>43100</c:v>
                      </c:pt>
                      <c:pt idx="10">
                        <c:v>43465</c:v>
                      </c:pt>
                      <c:pt idx="11">
                        <c:v>43830</c:v>
                      </c:pt>
                      <c:pt idx="12">
                        <c:v>44196</c:v>
                      </c:pt>
                      <c:pt idx="13">
                        <c:v>44561</c:v>
                      </c:pt>
                      <c:pt idx="14">
                        <c:v>44926</c:v>
                      </c:pt>
                      <c:pt idx="15">
                        <c:v>45291</c:v>
                      </c:pt>
                      <c:pt idx="16">
                        <c:v>45657</c:v>
                      </c:pt>
                      <c:pt idx="17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Model!$C$107:$T$107</c15:sqref>
                        </c15:formulaRef>
                      </c:ext>
                    </c:extLst>
                    <c:numCache>
                      <c:formatCode>#,##0</c:formatCode>
                      <c:ptCount val="18"/>
                      <c:pt idx="0">
                        <c:v>22738.454459565903</c:v>
                      </c:pt>
                      <c:pt idx="1">
                        <c:v>17305.708404480909</c:v>
                      </c:pt>
                      <c:pt idx="2">
                        <c:v>18686.194941108552</c:v>
                      </c:pt>
                      <c:pt idx="3">
                        <c:v>19949.375156213879</c:v>
                      </c:pt>
                      <c:pt idx="4">
                        <c:v>19305.994941878467</c:v>
                      </c:pt>
                      <c:pt idx="5">
                        <c:v>16972.681829962985</c:v>
                      </c:pt>
                      <c:pt idx="6">
                        <c:v>16736.938073730256</c:v>
                      </c:pt>
                      <c:pt idx="7">
                        <c:v>12166.564476047626</c:v>
                      </c:pt>
                      <c:pt idx="8">
                        <c:v>12207.841934431639</c:v>
                      </c:pt>
                      <c:pt idx="9">
                        <c:v>9341.5367859824237</c:v>
                      </c:pt>
                      <c:pt idx="10">
                        <c:v>16389.643553803769</c:v>
                      </c:pt>
                      <c:pt idx="11">
                        <c:v>23856.137341542413</c:v>
                      </c:pt>
                      <c:pt idx="12">
                        <c:v>32804.748464925295</c:v>
                      </c:pt>
                      <c:pt idx="13">
                        <c:v>44336.496991702006</c:v>
                      </c:pt>
                      <c:pt idx="14">
                        <c:v>56530.579023581056</c:v>
                      </c:pt>
                      <c:pt idx="15">
                        <c:v>59576.972925657305</c:v>
                      </c:pt>
                      <c:pt idx="16">
                        <c:v>71498.059599680972</c:v>
                      </c:pt>
                      <c:pt idx="17">
                        <c:v>82625.589644787528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E7C-4DD7-9526-5F272092066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Model!$B$61</c15:sqref>
                        </c15:formulaRef>
                      </c:ext>
                    </c:extLst>
                    <c:strCache>
                      <c:ptCount val="1"/>
                      <c:pt idx="0">
                        <c:v>EVA</c:v>
                      </c:pt>
                    </c:strCache>
                  </c:strRef>
                </c:tx>
                <c:spPr>
                  <a:ln w="19050" cap="rnd">
                    <a:solidFill>
                      <a:srgbClr val="33CC3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Model!$C$2:$T$2</c15:sqref>
                        </c15:formulaRef>
                      </c:ext>
                    </c:extLst>
                    <c:numCache>
                      <c:formatCode>yyyy</c:formatCode>
                      <c:ptCount val="18"/>
                      <c:pt idx="0">
                        <c:v>39813</c:v>
                      </c:pt>
                      <c:pt idx="1">
                        <c:v>40178</c:v>
                      </c:pt>
                      <c:pt idx="2">
                        <c:v>40543</c:v>
                      </c:pt>
                      <c:pt idx="3">
                        <c:v>40908</c:v>
                      </c:pt>
                      <c:pt idx="4">
                        <c:v>41274</c:v>
                      </c:pt>
                      <c:pt idx="5">
                        <c:v>41639</c:v>
                      </c:pt>
                      <c:pt idx="6">
                        <c:v>42004</c:v>
                      </c:pt>
                      <c:pt idx="7">
                        <c:v>42369</c:v>
                      </c:pt>
                      <c:pt idx="8">
                        <c:v>42735</c:v>
                      </c:pt>
                      <c:pt idx="9">
                        <c:v>43100</c:v>
                      </c:pt>
                      <c:pt idx="10">
                        <c:v>43465</c:v>
                      </c:pt>
                      <c:pt idx="11">
                        <c:v>43830</c:v>
                      </c:pt>
                      <c:pt idx="12">
                        <c:v>44196</c:v>
                      </c:pt>
                      <c:pt idx="13">
                        <c:v>44561</c:v>
                      </c:pt>
                      <c:pt idx="14">
                        <c:v>44926</c:v>
                      </c:pt>
                      <c:pt idx="15">
                        <c:v>45291</c:v>
                      </c:pt>
                      <c:pt idx="16">
                        <c:v>45657</c:v>
                      </c:pt>
                      <c:pt idx="17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Model!$C$61:$T$61</c15:sqref>
                        </c15:formulaRef>
                      </c:ext>
                    </c:extLst>
                    <c:numCache>
                      <c:formatCode>#,##0</c:formatCode>
                      <c:ptCount val="18"/>
                      <c:pt idx="0">
                        <c:v>14838.989126379876</c:v>
                      </c:pt>
                      <c:pt idx="1">
                        <c:v>16520.16150556301</c:v>
                      </c:pt>
                      <c:pt idx="2">
                        <c:v>19550.304570105458</c:v>
                      </c:pt>
                      <c:pt idx="3">
                        <c:v>22035.265268015366</c:v>
                      </c:pt>
                      <c:pt idx="4">
                        <c:v>17655.958102714128</c:v>
                      </c:pt>
                      <c:pt idx="5">
                        <c:v>21713.185804394659</c:v>
                      </c:pt>
                      <c:pt idx="6">
                        <c:v>22623.445648682911</c:v>
                      </c:pt>
                      <c:pt idx="7">
                        <c:v>14733.715714901038</c:v>
                      </c:pt>
                      <c:pt idx="8">
                        <c:v>21156.645471790609</c:v>
                      </c:pt>
                      <c:pt idx="9">
                        <c:v>23547.497308793714</c:v>
                      </c:pt>
                      <c:pt idx="10">
                        <c:v>28441.969359231352</c:v>
                      </c:pt>
                      <c:pt idx="11">
                        <c:v>34851.918583582054</c:v>
                      </c:pt>
                      <c:pt idx="12">
                        <c:v>42964.751420375753</c:v>
                      </c:pt>
                      <c:pt idx="13">
                        <c:v>56721.682061726831</c:v>
                      </c:pt>
                      <c:pt idx="14">
                        <c:v>67647.234043036908</c:v>
                      </c:pt>
                      <c:pt idx="15">
                        <c:v>71817.230121148867</c:v>
                      </c:pt>
                      <c:pt idx="16">
                        <c:v>88781.163582884488</c:v>
                      </c:pt>
                      <c:pt idx="17">
                        <c:v>104272.61788474207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E7C-4DD7-9526-5F2720920669}"/>
                  </c:ext>
                </c:extLst>
              </c15:ser>
            </c15:filteredLineSeries>
          </c:ext>
        </c:extLst>
      </c:lineChart>
      <c:dateAx>
        <c:axId val="1576387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6388192"/>
        <c:crosses val="autoZero"/>
        <c:auto val="1"/>
        <c:lblOffset val="100"/>
        <c:baseTimeUnit val="years"/>
      </c:dateAx>
      <c:valAx>
        <c:axId val="1576388192"/>
        <c:scaling>
          <c:orientation val="minMax"/>
          <c:max val="0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ROIC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6387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3818240027358311"/>
          <c:y val="0.36423788983180905"/>
          <c:w val="0.19368290716456396"/>
          <c:h val="0.12011538885445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900" b="1" i="0" u="none" strike="noStrike" baseline="0">
                <a:effectLst/>
              </a:rPr>
              <a:t>Comparative Analysis of Economic Value Added (EVA): Microsoft vs. Peers </a:t>
            </a:r>
            <a:endParaRPr lang="en-US" sz="900" b="1"/>
          </a:p>
        </c:rich>
      </c:tx>
      <c:layout>
        <c:manualLayout>
          <c:xMode val="edge"/>
          <c:yMode val="edge"/>
          <c:x val="5.4073572001185743E-3"/>
          <c:y val="3.1439484000332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465269758511453E-2"/>
          <c:y val="0.12680004310147941"/>
          <c:w val="0.87531023995443902"/>
          <c:h val="0.76467640577349627"/>
        </c:manualLayout>
      </c:layout>
      <c:lineChart>
        <c:grouping val="standard"/>
        <c:varyColors val="0"/>
        <c:ser>
          <c:idx val="3"/>
          <c:order val="0"/>
          <c:tx>
            <c:v>Microsoft</c:v>
          </c:tx>
          <c:spPr>
            <a:ln w="28575" cap="rnd">
              <a:solidFill>
                <a:srgbClr val="33CC33"/>
              </a:solidFill>
              <a:round/>
            </a:ln>
            <a:effectLst/>
          </c:spPr>
          <c:marker>
            <c:symbol val="none"/>
          </c:marker>
          <c:cat>
            <c:numRef>
              <c:f>Model!$F$2:$T$2</c:f>
              <c:numCache>
                <c:formatCode>yyyy</c:formatCode>
                <c:ptCount val="15"/>
                <c:pt idx="0">
                  <c:v>40908</c:v>
                </c:pt>
                <c:pt idx="1">
                  <c:v>41274</c:v>
                </c:pt>
                <c:pt idx="2">
                  <c:v>41639</c:v>
                </c:pt>
                <c:pt idx="3">
                  <c:v>42004</c:v>
                </c:pt>
                <c:pt idx="4">
                  <c:v>42369</c:v>
                </c:pt>
                <c:pt idx="5">
                  <c:v>42735</c:v>
                </c:pt>
                <c:pt idx="6">
                  <c:v>43100</c:v>
                </c:pt>
                <c:pt idx="7">
                  <c:v>43465</c:v>
                </c:pt>
                <c:pt idx="8">
                  <c:v>43830</c:v>
                </c:pt>
                <c:pt idx="9">
                  <c:v>44196</c:v>
                </c:pt>
                <c:pt idx="10">
                  <c:v>44561</c:v>
                </c:pt>
                <c:pt idx="11">
                  <c:v>44926</c:v>
                </c:pt>
                <c:pt idx="12">
                  <c:v>45291</c:v>
                </c:pt>
                <c:pt idx="13">
                  <c:v>45657</c:v>
                </c:pt>
                <c:pt idx="14">
                  <c:v>46022</c:v>
                </c:pt>
              </c:numCache>
            </c:numRef>
          </c:cat>
          <c:val>
            <c:numRef>
              <c:f>Model!$F$61:$T$61</c:f>
              <c:numCache>
                <c:formatCode>#,##0</c:formatCode>
                <c:ptCount val="15"/>
                <c:pt idx="0">
                  <c:v>22035.265268015366</c:v>
                </c:pt>
                <c:pt idx="1">
                  <c:v>17655.958102714128</c:v>
                </c:pt>
                <c:pt idx="2">
                  <c:v>21713.185804394659</c:v>
                </c:pt>
                <c:pt idx="3">
                  <c:v>22623.445648682911</c:v>
                </c:pt>
                <c:pt idx="4">
                  <c:v>14733.715714901038</c:v>
                </c:pt>
                <c:pt idx="5">
                  <c:v>21156.645471790609</c:v>
                </c:pt>
                <c:pt idx="6">
                  <c:v>23547.497308793714</c:v>
                </c:pt>
                <c:pt idx="7">
                  <c:v>28441.969359231352</c:v>
                </c:pt>
                <c:pt idx="8">
                  <c:v>34851.918583582054</c:v>
                </c:pt>
                <c:pt idx="9">
                  <c:v>42964.751420375753</c:v>
                </c:pt>
                <c:pt idx="10">
                  <c:v>56721.682061726831</c:v>
                </c:pt>
                <c:pt idx="11">
                  <c:v>67647.234043036908</c:v>
                </c:pt>
                <c:pt idx="12">
                  <c:v>71817.230121148867</c:v>
                </c:pt>
                <c:pt idx="13">
                  <c:v>88781.163582884488</c:v>
                </c:pt>
                <c:pt idx="14">
                  <c:v>104272.61788474207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75-4259-8A19-3C6D0EC84CDF}"/>
            </c:ext>
          </c:extLst>
        </c:ser>
        <c:ser>
          <c:idx val="0"/>
          <c:order val="1"/>
          <c:tx>
            <c:v>Meta Platforms</c:v>
          </c:tx>
          <c:spPr>
            <a:ln w="28575" cap="rnd">
              <a:solidFill>
                <a:srgbClr val="0064E0"/>
              </a:solidFill>
              <a:round/>
            </a:ln>
            <a:effectLst/>
          </c:spPr>
          <c:marker>
            <c:symbol val="none"/>
          </c:marker>
          <c:cat>
            <c:numRef>
              <c:f>Model!$F$2:$T$2</c:f>
              <c:numCache>
                <c:formatCode>yyyy</c:formatCode>
                <c:ptCount val="15"/>
                <c:pt idx="0">
                  <c:v>40908</c:v>
                </c:pt>
                <c:pt idx="1">
                  <c:v>41274</c:v>
                </c:pt>
                <c:pt idx="2">
                  <c:v>41639</c:v>
                </c:pt>
                <c:pt idx="3">
                  <c:v>42004</c:v>
                </c:pt>
                <c:pt idx="4">
                  <c:v>42369</c:v>
                </c:pt>
                <c:pt idx="5">
                  <c:v>42735</c:v>
                </c:pt>
                <c:pt idx="6">
                  <c:v>43100</c:v>
                </c:pt>
                <c:pt idx="7">
                  <c:v>43465</c:v>
                </c:pt>
                <c:pt idx="8">
                  <c:v>43830</c:v>
                </c:pt>
                <c:pt idx="9">
                  <c:v>44196</c:v>
                </c:pt>
                <c:pt idx="10">
                  <c:v>44561</c:v>
                </c:pt>
                <c:pt idx="11">
                  <c:v>44926</c:v>
                </c:pt>
                <c:pt idx="12">
                  <c:v>45291</c:v>
                </c:pt>
                <c:pt idx="13">
                  <c:v>45657</c:v>
                </c:pt>
                <c:pt idx="14">
                  <c:v>46022</c:v>
                </c:pt>
              </c:numCache>
            </c:numRef>
          </c:cat>
          <c:val>
            <c:numRef>
              <c:f>META!$D$46:$R$46</c:f>
              <c:numCache>
                <c:formatCode>#,##0</c:formatCode>
                <c:ptCount val="15"/>
                <c:pt idx="0">
                  <c:v>913.76738947921751</c:v>
                </c:pt>
                <c:pt idx="1">
                  <c:v>-766.96259479509149</c:v>
                </c:pt>
                <c:pt idx="2">
                  <c:v>811.77172898617664</c:v>
                </c:pt>
                <c:pt idx="3">
                  <c:v>729.61691745968801</c:v>
                </c:pt>
                <c:pt idx="4">
                  <c:v>988.68772751032429</c:v>
                </c:pt>
                <c:pt idx="5">
                  <c:v>4504.778532493302</c:v>
                </c:pt>
                <c:pt idx="6">
                  <c:v>9227.7171660869208</c:v>
                </c:pt>
                <c:pt idx="7">
                  <c:v>12036.101735817625</c:v>
                </c:pt>
                <c:pt idx="8">
                  <c:v>9773.6574669980146</c:v>
                </c:pt>
                <c:pt idx="9">
                  <c:v>14132.184995259406</c:v>
                </c:pt>
                <c:pt idx="10">
                  <c:v>25360.336040046619</c:v>
                </c:pt>
                <c:pt idx="11">
                  <c:v>10567.61263615403</c:v>
                </c:pt>
                <c:pt idx="12">
                  <c:v>21396.193220696412</c:v>
                </c:pt>
                <c:pt idx="13">
                  <c:v>35335.758258580929</c:v>
                </c:pt>
                <c:pt idx="14">
                  <c:v>40494.530103799159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75-4259-8A19-3C6D0EC84CDF}"/>
            </c:ext>
          </c:extLst>
        </c:ser>
        <c:ser>
          <c:idx val="1"/>
          <c:order val="2"/>
          <c:tx>
            <c:v>Salesforce</c:v>
          </c:tx>
          <c:spPr>
            <a:ln w="28575" cap="rnd">
              <a:solidFill>
                <a:srgbClr val="009EDB"/>
              </a:solidFill>
              <a:round/>
            </a:ln>
            <a:effectLst/>
          </c:spPr>
          <c:marker>
            <c:symbol val="none"/>
          </c:marker>
          <c:cat>
            <c:numRef>
              <c:f>Model!$F$2:$T$2</c:f>
              <c:numCache>
                <c:formatCode>yyyy</c:formatCode>
                <c:ptCount val="15"/>
                <c:pt idx="0">
                  <c:v>40908</c:v>
                </c:pt>
                <c:pt idx="1">
                  <c:v>41274</c:v>
                </c:pt>
                <c:pt idx="2">
                  <c:v>41639</c:v>
                </c:pt>
                <c:pt idx="3">
                  <c:v>42004</c:v>
                </c:pt>
                <c:pt idx="4">
                  <c:v>42369</c:v>
                </c:pt>
                <c:pt idx="5">
                  <c:v>42735</c:v>
                </c:pt>
                <c:pt idx="6">
                  <c:v>43100</c:v>
                </c:pt>
                <c:pt idx="7">
                  <c:v>43465</c:v>
                </c:pt>
                <c:pt idx="8">
                  <c:v>43830</c:v>
                </c:pt>
                <c:pt idx="9">
                  <c:v>44196</c:v>
                </c:pt>
                <c:pt idx="10">
                  <c:v>44561</c:v>
                </c:pt>
                <c:pt idx="11">
                  <c:v>44926</c:v>
                </c:pt>
                <c:pt idx="12">
                  <c:v>45291</c:v>
                </c:pt>
                <c:pt idx="13">
                  <c:v>45657</c:v>
                </c:pt>
                <c:pt idx="14">
                  <c:v>46022</c:v>
                </c:pt>
              </c:numCache>
            </c:numRef>
          </c:cat>
          <c:val>
            <c:numRef>
              <c:f>CRM!$F$45:$T$45</c:f>
              <c:numCache>
                <c:formatCode>#,##0</c:formatCode>
                <c:ptCount val="15"/>
                <c:pt idx="0">
                  <c:v>226.46022783736765</c:v>
                </c:pt>
                <c:pt idx="1">
                  <c:v>149.09121797854766</c:v>
                </c:pt>
                <c:pt idx="2">
                  <c:v>152.97899516311179</c:v>
                </c:pt>
                <c:pt idx="3">
                  <c:v>189.2918750331192</c:v>
                </c:pt>
                <c:pt idx="4">
                  <c:v>338.22729309619763</c:v>
                </c:pt>
                <c:pt idx="5">
                  <c:v>626.24368388219023</c:v>
                </c:pt>
                <c:pt idx="6">
                  <c:v>982.16465044662721</c:v>
                </c:pt>
                <c:pt idx="7">
                  <c:v>1390.4064968016914</c:v>
                </c:pt>
                <c:pt idx="8">
                  <c:v>2023.0063783896585</c:v>
                </c:pt>
                <c:pt idx="9">
                  <c:v>3344.4062324892125</c:v>
                </c:pt>
                <c:pt idx="10">
                  <c:v>4117.1543965743822</c:v>
                </c:pt>
                <c:pt idx="11">
                  <c:v>6279.0440754346409</c:v>
                </c:pt>
                <c:pt idx="12">
                  <c:v>6683.4367658716792</c:v>
                </c:pt>
                <c:pt idx="13">
                  <c:v>9869.3957609543522</c:v>
                </c:pt>
                <c:pt idx="14">
                  <c:v>12901.688006288306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75-4259-8A19-3C6D0EC84CDF}"/>
            </c:ext>
          </c:extLst>
        </c:ser>
        <c:ser>
          <c:idx val="2"/>
          <c:order val="3"/>
          <c:tx>
            <c:v>Alphabet</c:v>
          </c:tx>
          <c:spPr>
            <a:ln w="28575" cap="rnd">
              <a:solidFill>
                <a:srgbClr val="DB4437"/>
              </a:solidFill>
              <a:round/>
            </a:ln>
            <a:effectLst/>
          </c:spPr>
          <c:marker>
            <c:symbol val="none"/>
          </c:marker>
          <c:cat>
            <c:numRef>
              <c:f>Model!$F$2:$T$2</c:f>
              <c:numCache>
                <c:formatCode>yyyy</c:formatCode>
                <c:ptCount val="15"/>
                <c:pt idx="0">
                  <c:v>40908</c:v>
                </c:pt>
                <c:pt idx="1">
                  <c:v>41274</c:v>
                </c:pt>
                <c:pt idx="2">
                  <c:v>41639</c:v>
                </c:pt>
                <c:pt idx="3">
                  <c:v>42004</c:v>
                </c:pt>
                <c:pt idx="4">
                  <c:v>42369</c:v>
                </c:pt>
                <c:pt idx="5">
                  <c:v>42735</c:v>
                </c:pt>
                <c:pt idx="6">
                  <c:v>43100</c:v>
                </c:pt>
                <c:pt idx="7">
                  <c:v>43465</c:v>
                </c:pt>
                <c:pt idx="8">
                  <c:v>43830</c:v>
                </c:pt>
                <c:pt idx="9">
                  <c:v>44196</c:v>
                </c:pt>
                <c:pt idx="10">
                  <c:v>44561</c:v>
                </c:pt>
                <c:pt idx="11">
                  <c:v>44926</c:v>
                </c:pt>
                <c:pt idx="12">
                  <c:v>45291</c:v>
                </c:pt>
                <c:pt idx="13">
                  <c:v>45657</c:v>
                </c:pt>
                <c:pt idx="14">
                  <c:v>46022</c:v>
                </c:pt>
              </c:numCache>
            </c:numRef>
          </c:cat>
          <c:val>
            <c:numRef>
              <c:f>GOOG!$G$46:$U$46</c:f>
              <c:numCache>
                <c:formatCode>#,##0</c:formatCode>
                <c:ptCount val="15"/>
                <c:pt idx="0">
                  <c:v>6979.6559999999999</c:v>
                </c:pt>
                <c:pt idx="1">
                  <c:v>8117.3519999999999</c:v>
                </c:pt>
                <c:pt idx="2">
                  <c:v>8554.0040000000008</c:v>
                </c:pt>
                <c:pt idx="3">
                  <c:v>349.64400000000023</c:v>
                </c:pt>
                <c:pt idx="4">
                  <c:v>10069.226000000001</c:v>
                </c:pt>
                <c:pt idx="5">
                  <c:v>13136.146000000001</c:v>
                </c:pt>
                <c:pt idx="6">
                  <c:v>14599.146000000001</c:v>
                </c:pt>
                <c:pt idx="7">
                  <c:v>14082.640000000001</c:v>
                </c:pt>
                <c:pt idx="8">
                  <c:v>18987.296000000002</c:v>
                </c:pt>
                <c:pt idx="9">
                  <c:v>23724.776000000002</c:v>
                </c:pt>
                <c:pt idx="10">
                  <c:v>58996.551999999996</c:v>
                </c:pt>
                <c:pt idx="11">
                  <c:v>54799.47</c:v>
                </c:pt>
                <c:pt idx="12">
                  <c:v>62342.232000000004</c:v>
                </c:pt>
                <c:pt idx="13">
                  <c:v>87528.44200000001</c:v>
                </c:pt>
                <c:pt idx="14">
                  <c:v>94864.912000000011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75-4259-8A19-3C6D0EC84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387712"/>
        <c:axId val="1576388192"/>
        <c:extLst/>
      </c:lineChart>
      <c:dateAx>
        <c:axId val="1576387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6388192"/>
        <c:crosses val="autoZero"/>
        <c:auto val="1"/>
        <c:lblOffset val="100"/>
        <c:baseTimeUnit val="years"/>
      </c:dateAx>
      <c:valAx>
        <c:axId val="1576388192"/>
        <c:scaling>
          <c:orientation val="minMax"/>
          <c:max val="120000"/>
          <c:min val="-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EVA (Bn)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6387712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877638739004722"/>
          <c:y val="0.28343587137102588"/>
          <c:w val="0.19075889502192064"/>
          <c:h val="0.229751824915361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900" b="1" i="0" u="none" strike="noStrike" baseline="0">
                <a:effectLst/>
              </a:rPr>
              <a:t>Comparative Return on Invested Capital (ROIC) Benchmarking</a:t>
            </a:r>
            <a:endParaRPr lang="en-US" sz="900" b="1"/>
          </a:p>
        </c:rich>
      </c:tx>
      <c:layout>
        <c:manualLayout>
          <c:xMode val="edge"/>
          <c:yMode val="edge"/>
          <c:x val="8.0775904588104475E-4"/>
          <c:y val="9.12736589611205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765092627211378E-2"/>
          <c:y val="0.11564395406384249"/>
          <c:w val="0.87531023995443902"/>
          <c:h val="0.76467640577349627"/>
        </c:manualLayout>
      </c:layout>
      <c:lineChart>
        <c:grouping val="standard"/>
        <c:varyColors val="0"/>
        <c:ser>
          <c:idx val="3"/>
          <c:order val="0"/>
          <c:tx>
            <c:v>Microsoft</c:v>
          </c:tx>
          <c:spPr>
            <a:ln w="28575" cap="rnd">
              <a:solidFill>
                <a:srgbClr val="33CC33"/>
              </a:solidFill>
              <a:round/>
            </a:ln>
            <a:effectLst/>
          </c:spPr>
          <c:marker>
            <c:symbol val="none"/>
          </c:marker>
          <c:cat>
            <c:numRef>
              <c:f>Model!$F$2:$T$2</c:f>
              <c:numCache>
                <c:formatCode>yyyy</c:formatCode>
                <c:ptCount val="15"/>
                <c:pt idx="0">
                  <c:v>40908</c:v>
                </c:pt>
                <c:pt idx="1">
                  <c:v>41274</c:v>
                </c:pt>
                <c:pt idx="2">
                  <c:v>41639</c:v>
                </c:pt>
                <c:pt idx="3">
                  <c:v>42004</c:v>
                </c:pt>
                <c:pt idx="4">
                  <c:v>42369</c:v>
                </c:pt>
                <c:pt idx="5">
                  <c:v>42735</c:v>
                </c:pt>
                <c:pt idx="6">
                  <c:v>43100</c:v>
                </c:pt>
                <c:pt idx="7">
                  <c:v>43465</c:v>
                </c:pt>
                <c:pt idx="8">
                  <c:v>43830</c:v>
                </c:pt>
                <c:pt idx="9">
                  <c:v>44196</c:v>
                </c:pt>
                <c:pt idx="10">
                  <c:v>44561</c:v>
                </c:pt>
                <c:pt idx="11">
                  <c:v>44926</c:v>
                </c:pt>
                <c:pt idx="12">
                  <c:v>45291</c:v>
                </c:pt>
                <c:pt idx="13">
                  <c:v>45657</c:v>
                </c:pt>
                <c:pt idx="14">
                  <c:v>46022</c:v>
                </c:pt>
              </c:numCache>
            </c:numRef>
          </c:cat>
          <c:val>
            <c:numRef>
              <c:f>Model!$F$63:$T$63</c:f>
              <c:numCache>
                <c:formatCode>0.00%</c:formatCode>
                <c:ptCount val="15"/>
                <c:pt idx="0">
                  <c:v>0.31933315848378885</c:v>
                </c:pt>
                <c:pt idx="1">
                  <c:v>0.22547100645809606</c:v>
                </c:pt>
                <c:pt idx="2">
                  <c:v>0.22966222927308619</c:v>
                </c:pt>
                <c:pt idx="3">
                  <c:v>0.20122428953991328</c:v>
                </c:pt>
                <c:pt idx="4">
                  <c:v>0.12770284476620619</c:v>
                </c:pt>
                <c:pt idx="5">
                  <c:v>0.16863528409340664</c:v>
                </c:pt>
                <c:pt idx="6">
                  <c:v>0.13540437197776783</c:v>
                </c:pt>
                <c:pt idx="7">
                  <c:v>0.17892757432297432</c:v>
                </c:pt>
                <c:pt idx="8">
                  <c:v>0.19971530579447391</c:v>
                </c:pt>
                <c:pt idx="9">
                  <c:v>0.23654966068774466</c:v>
                </c:pt>
                <c:pt idx="10">
                  <c:v>0.28341851990030098</c:v>
                </c:pt>
                <c:pt idx="11">
                  <c:v>0.31271401581448532</c:v>
                </c:pt>
                <c:pt idx="12">
                  <c:v>0.28334739257140718</c:v>
                </c:pt>
                <c:pt idx="13">
                  <c:v>0.27734839782599097</c:v>
                </c:pt>
                <c:pt idx="14" formatCode="0.0%">
                  <c:v>0.26969613812881066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70-4222-AFDD-479A20380F65}"/>
            </c:ext>
          </c:extLst>
        </c:ser>
        <c:ser>
          <c:idx val="0"/>
          <c:order val="1"/>
          <c:tx>
            <c:v>Meta Platforms</c:v>
          </c:tx>
          <c:spPr>
            <a:ln w="28575" cap="rnd">
              <a:solidFill>
                <a:srgbClr val="0064E0"/>
              </a:solidFill>
              <a:round/>
            </a:ln>
            <a:effectLst/>
          </c:spPr>
          <c:marker>
            <c:symbol val="none"/>
          </c:marker>
          <c:cat>
            <c:numRef>
              <c:f>Model!$F$2:$T$2</c:f>
              <c:numCache>
                <c:formatCode>yyyy</c:formatCode>
                <c:ptCount val="15"/>
                <c:pt idx="0">
                  <c:v>40908</c:v>
                </c:pt>
                <c:pt idx="1">
                  <c:v>41274</c:v>
                </c:pt>
                <c:pt idx="2">
                  <c:v>41639</c:v>
                </c:pt>
                <c:pt idx="3">
                  <c:v>42004</c:v>
                </c:pt>
                <c:pt idx="4">
                  <c:v>42369</c:v>
                </c:pt>
                <c:pt idx="5">
                  <c:v>42735</c:v>
                </c:pt>
                <c:pt idx="6">
                  <c:v>43100</c:v>
                </c:pt>
                <c:pt idx="7">
                  <c:v>43465</c:v>
                </c:pt>
                <c:pt idx="8">
                  <c:v>43830</c:v>
                </c:pt>
                <c:pt idx="9">
                  <c:v>44196</c:v>
                </c:pt>
                <c:pt idx="10">
                  <c:v>44561</c:v>
                </c:pt>
                <c:pt idx="11">
                  <c:v>44926</c:v>
                </c:pt>
                <c:pt idx="12">
                  <c:v>45291</c:v>
                </c:pt>
                <c:pt idx="13">
                  <c:v>45657</c:v>
                </c:pt>
                <c:pt idx="14">
                  <c:v>46022</c:v>
                </c:pt>
              </c:numCache>
            </c:numRef>
          </c:cat>
          <c:val>
            <c:numRef>
              <c:f>META!$D$48:$R$48</c:f>
              <c:numCache>
                <c:formatCode>0.00%</c:formatCode>
                <c:ptCount val="15"/>
                <c:pt idx="0">
                  <c:v>0.26347110650429073</c:v>
                </c:pt>
                <c:pt idx="1">
                  <c:v>3.0688502584795031E-2</c:v>
                </c:pt>
                <c:pt idx="2">
                  <c:v>0.13867558272239969</c:v>
                </c:pt>
                <c:pt idx="3">
                  <c:v>0.10714959727864369</c:v>
                </c:pt>
                <c:pt idx="4">
                  <c:v>0.1093558559075257</c:v>
                </c:pt>
                <c:pt idx="5">
                  <c:v>0.16310194500275876</c:v>
                </c:pt>
                <c:pt idx="6">
                  <c:v>0.21111687312315119</c:v>
                </c:pt>
                <c:pt idx="7">
                  <c:v>0.23007061628035735</c:v>
                </c:pt>
                <c:pt idx="8">
                  <c:v>0.18295752220823938</c:v>
                </c:pt>
                <c:pt idx="9">
                  <c:v>0.19628665327739211</c:v>
                </c:pt>
                <c:pt idx="10">
                  <c:v>0.28826292430556177</c:v>
                </c:pt>
                <c:pt idx="11">
                  <c:v>0.16413416958865154</c:v>
                </c:pt>
                <c:pt idx="12">
                  <c:v>0.21172060075135035</c:v>
                </c:pt>
                <c:pt idx="13">
                  <c:v>0.2525807420565635</c:v>
                </c:pt>
                <c:pt idx="14">
                  <c:v>0.232559058604598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70-4222-AFDD-479A20380F65}"/>
            </c:ext>
          </c:extLst>
        </c:ser>
        <c:ser>
          <c:idx val="1"/>
          <c:order val="2"/>
          <c:tx>
            <c:v>Salesforce</c:v>
          </c:tx>
          <c:spPr>
            <a:ln w="28575" cap="rnd">
              <a:solidFill>
                <a:srgbClr val="009EDB"/>
              </a:solidFill>
              <a:round/>
            </a:ln>
            <a:effectLst/>
          </c:spPr>
          <c:marker>
            <c:symbol val="none"/>
          </c:marker>
          <c:cat>
            <c:numRef>
              <c:f>Model!$F$2:$T$2</c:f>
              <c:numCache>
                <c:formatCode>yyyy</c:formatCode>
                <c:ptCount val="15"/>
                <c:pt idx="0">
                  <c:v>40908</c:v>
                </c:pt>
                <c:pt idx="1">
                  <c:v>41274</c:v>
                </c:pt>
                <c:pt idx="2">
                  <c:v>41639</c:v>
                </c:pt>
                <c:pt idx="3">
                  <c:v>42004</c:v>
                </c:pt>
                <c:pt idx="4">
                  <c:v>42369</c:v>
                </c:pt>
                <c:pt idx="5">
                  <c:v>42735</c:v>
                </c:pt>
                <c:pt idx="6">
                  <c:v>43100</c:v>
                </c:pt>
                <c:pt idx="7">
                  <c:v>43465</c:v>
                </c:pt>
                <c:pt idx="8">
                  <c:v>43830</c:v>
                </c:pt>
                <c:pt idx="9">
                  <c:v>44196</c:v>
                </c:pt>
                <c:pt idx="10">
                  <c:v>44561</c:v>
                </c:pt>
                <c:pt idx="11">
                  <c:v>44926</c:v>
                </c:pt>
                <c:pt idx="12">
                  <c:v>45291</c:v>
                </c:pt>
                <c:pt idx="13">
                  <c:v>45657</c:v>
                </c:pt>
                <c:pt idx="14">
                  <c:v>46022</c:v>
                </c:pt>
              </c:numCache>
            </c:numRef>
          </c:cat>
          <c:val>
            <c:numRef>
              <c:f>CRM!$F$47:$T$47</c:f>
              <c:numCache>
                <c:formatCode>0.00%</c:formatCode>
                <c:ptCount val="15"/>
                <c:pt idx="0">
                  <c:v>4.4479832954469785E-2</c:v>
                </c:pt>
                <c:pt idx="1">
                  <c:v>-1.3441940015095922E-2</c:v>
                </c:pt>
                <c:pt idx="2">
                  <c:v>-3.1113285017749202E-2</c:v>
                </c:pt>
                <c:pt idx="3">
                  <c:v>-4.6468087156878411E-2</c:v>
                </c:pt>
                <c:pt idx="4">
                  <c:v>-2.1731459044090306E-2</c:v>
                </c:pt>
                <c:pt idx="5">
                  <c:v>1.4577625040895244E-2</c:v>
                </c:pt>
                <c:pt idx="6">
                  <c:v>1.8293332328614097E-2</c:v>
                </c:pt>
                <c:pt idx="7">
                  <c:v>2.9947627050404383E-2</c:v>
                </c:pt>
                <c:pt idx="8">
                  <c:v>2.2732792543916198E-2</c:v>
                </c:pt>
                <c:pt idx="9">
                  <c:v>6.4821990395867455E-3</c:v>
                </c:pt>
                <c:pt idx="10">
                  <c:v>8.2199972054155315E-3</c:v>
                </c:pt>
                <c:pt idx="11">
                  <c:v>6.3621149684205732E-3</c:v>
                </c:pt>
                <c:pt idx="12">
                  <c:v>1.1917586512060306E-2</c:v>
                </c:pt>
                <c:pt idx="13">
                  <c:v>5.788562313172272E-2</c:v>
                </c:pt>
                <c:pt idx="14">
                  <c:v>9.0339938384750226E-2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70-4222-AFDD-479A20380F65}"/>
            </c:ext>
          </c:extLst>
        </c:ser>
        <c:ser>
          <c:idx val="2"/>
          <c:order val="3"/>
          <c:tx>
            <c:v>Alphabet</c:v>
          </c:tx>
          <c:spPr>
            <a:ln w="28575" cap="rnd">
              <a:solidFill>
                <a:srgbClr val="DB4437"/>
              </a:solidFill>
              <a:round/>
            </a:ln>
            <a:effectLst/>
          </c:spPr>
          <c:marker>
            <c:symbol val="none"/>
          </c:marker>
          <c:cat>
            <c:numRef>
              <c:f>Model!$F$2:$T$2</c:f>
              <c:numCache>
                <c:formatCode>yyyy</c:formatCode>
                <c:ptCount val="15"/>
                <c:pt idx="0">
                  <c:v>40908</c:v>
                </c:pt>
                <c:pt idx="1">
                  <c:v>41274</c:v>
                </c:pt>
                <c:pt idx="2">
                  <c:v>41639</c:v>
                </c:pt>
                <c:pt idx="3">
                  <c:v>42004</c:v>
                </c:pt>
                <c:pt idx="4">
                  <c:v>42369</c:v>
                </c:pt>
                <c:pt idx="5">
                  <c:v>42735</c:v>
                </c:pt>
                <c:pt idx="6">
                  <c:v>43100</c:v>
                </c:pt>
                <c:pt idx="7">
                  <c:v>43465</c:v>
                </c:pt>
                <c:pt idx="8">
                  <c:v>43830</c:v>
                </c:pt>
                <c:pt idx="9">
                  <c:v>44196</c:v>
                </c:pt>
                <c:pt idx="10">
                  <c:v>44561</c:v>
                </c:pt>
                <c:pt idx="11">
                  <c:v>44926</c:v>
                </c:pt>
                <c:pt idx="12">
                  <c:v>45291</c:v>
                </c:pt>
                <c:pt idx="13">
                  <c:v>45657</c:v>
                </c:pt>
                <c:pt idx="14">
                  <c:v>46022</c:v>
                </c:pt>
              </c:numCache>
            </c:numRef>
          </c:cat>
          <c:val>
            <c:numRef>
              <c:f>GOOG!$G$48:$U$48</c:f>
              <c:numCache>
                <c:formatCode>0.00%</c:formatCode>
                <c:ptCount val="15"/>
                <c:pt idx="0">
                  <c:v>0.18245385045683385</c:v>
                </c:pt>
                <c:pt idx="1">
                  <c:v>0.17907626987003572</c:v>
                </c:pt>
                <c:pt idx="2">
                  <c:v>0.16642176459148172</c:v>
                </c:pt>
                <c:pt idx="3">
                  <c:v>7.5602445530124573E-2</c:v>
                </c:pt>
                <c:pt idx="4">
                  <c:v>0.15420028514308926</c:v>
                </c:pt>
                <c:pt idx="5">
                  <c:v>0.16587979380433795</c:v>
                </c:pt>
                <c:pt idx="6">
                  <c:v>0.16730256724888318</c:v>
                </c:pt>
                <c:pt idx="7">
                  <c:v>0.15153049988989209</c:v>
                </c:pt>
                <c:pt idx="8">
                  <c:v>0.16617312957533156</c:v>
                </c:pt>
                <c:pt idx="9">
                  <c:v>0.17432635870024865</c:v>
                </c:pt>
                <c:pt idx="10">
                  <c:v>0.29541530932400584</c:v>
                </c:pt>
                <c:pt idx="11">
                  <c:v>0.27632778895678339</c:v>
                </c:pt>
                <c:pt idx="12">
                  <c:v>0.28416691388656651</c:v>
                </c:pt>
                <c:pt idx="13">
                  <c:v>0.33452690293987208</c:v>
                </c:pt>
                <c:pt idx="14">
                  <c:v>0.27941889773327677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70-4222-AFDD-479A20380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387712"/>
        <c:axId val="1576388192"/>
        <c:extLst/>
      </c:lineChart>
      <c:dateAx>
        <c:axId val="1576387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6388192"/>
        <c:crosses val="autoZero"/>
        <c:auto val="1"/>
        <c:lblOffset val="100"/>
        <c:baseTimeUnit val="years"/>
      </c:dateAx>
      <c:valAx>
        <c:axId val="1576388192"/>
        <c:scaling>
          <c:orientation val="minMax"/>
          <c:max val="0.4"/>
          <c:min val="-5.000000000000001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ROIC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6387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183528528009733"/>
          <c:y val="0.16482507358666909"/>
          <c:w val="0.19054203782418641"/>
          <c:h val="0.232206114501967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Revenue Drivers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44883728432172"/>
          <c:y val="0.11244770823366745"/>
          <c:w val="0.87181299115792299"/>
          <c:h val="0.75293244491042721"/>
        </c:manualLayout>
      </c:layout>
      <c:barChart>
        <c:barDir val="col"/>
        <c:grouping val="stacked"/>
        <c:varyColors val="0"/>
        <c:ser>
          <c:idx val="0"/>
          <c:order val="0"/>
          <c:tx>
            <c:v>Server &amp; Cloud</c:v>
          </c:tx>
          <c:spPr>
            <a:solidFill>
              <a:srgbClr val="01A6F0"/>
            </a:solidFill>
            <a:ln>
              <a:noFill/>
            </a:ln>
            <a:effectLst/>
          </c:spPr>
          <c:invertIfNegative val="0"/>
          <c:cat>
            <c:numRef>
              <c:f>Segments!$C$2:$L$2</c:f>
              <c:numCache>
                <c:formatCode>yyyy</c:formatCode>
                <c:ptCount val="10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  <c:pt idx="8">
                  <c:v>45657</c:v>
                </c:pt>
                <c:pt idx="9" formatCode="General">
                  <c:v>2025</c:v>
                </c:pt>
              </c:numCache>
            </c:numRef>
          </c:cat>
          <c:val>
            <c:numRef>
              <c:f>Segments!$C$3:$L$3</c:f>
              <c:numCache>
                <c:formatCode>#,##0</c:formatCode>
                <c:ptCount val="10"/>
                <c:pt idx="0">
                  <c:v>19062</c:v>
                </c:pt>
                <c:pt idx="1">
                  <c:v>21649</c:v>
                </c:pt>
                <c:pt idx="2">
                  <c:v>26129</c:v>
                </c:pt>
                <c:pt idx="3">
                  <c:v>32622</c:v>
                </c:pt>
                <c:pt idx="4">
                  <c:v>41379</c:v>
                </c:pt>
                <c:pt idx="5">
                  <c:v>52589</c:v>
                </c:pt>
                <c:pt idx="6">
                  <c:v>67350</c:v>
                </c:pt>
                <c:pt idx="7">
                  <c:v>79970</c:v>
                </c:pt>
                <c:pt idx="8">
                  <c:v>97726</c:v>
                </c:pt>
                <c:pt idx="9">
                  <c:v>114163.68737918926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4-4F6D-A12B-0A27DBB919B6}"/>
            </c:ext>
          </c:extLst>
        </c:ser>
        <c:ser>
          <c:idx val="1"/>
          <c:order val="1"/>
          <c:tx>
            <c:strRef>
              <c:f>Segments!$A$4</c:f>
              <c:strCache>
                <c:ptCount val="1"/>
                <c:pt idx="0">
                  <c:v>Office</c:v>
                </c:pt>
              </c:strCache>
            </c:strRef>
          </c:tx>
          <c:spPr>
            <a:solidFill>
              <a:srgbClr val="F25022"/>
            </a:solidFill>
            <a:ln>
              <a:noFill/>
            </a:ln>
            <a:effectLst/>
          </c:spPr>
          <c:invertIfNegative val="0"/>
          <c:cat>
            <c:numRef>
              <c:f>Segments!$C$2:$L$2</c:f>
              <c:numCache>
                <c:formatCode>yyyy</c:formatCode>
                <c:ptCount val="10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  <c:pt idx="8">
                  <c:v>45657</c:v>
                </c:pt>
                <c:pt idx="9" formatCode="General">
                  <c:v>2025</c:v>
                </c:pt>
              </c:numCache>
            </c:numRef>
          </c:cat>
          <c:val>
            <c:numRef>
              <c:f>Segments!$C$4:$L$4</c:f>
              <c:numCache>
                <c:formatCode>#,##0</c:formatCode>
                <c:ptCount val="10"/>
                <c:pt idx="0">
                  <c:v>23868</c:v>
                </c:pt>
                <c:pt idx="1">
                  <c:v>25573</c:v>
                </c:pt>
                <c:pt idx="2">
                  <c:v>28316</c:v>
                </c:pt>
                <c:pt idx="3">
                  <c:v>31769</c:v>
                </c:pt>
                <c:pt idx="4">
                  <c:v>35316</c:v>
                </c:pt>
                <c:pt idx="5">
                  <c:v>39872</c:v>
                </c:pt>
                <c:pt idx="6">
                  <c:v>44970</c:v>
                </c:pt>
                <c:pt idx="7">
                  <c:v>48848</c:v>
                </c:pt>
                <c:pt idx="8">
                  <c:v>54875</c:v>
                </c:pt>
                <c:pt idx="9">
                  <c:v>64105.072804913849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54-4F6D-A12B-0A27DBB919B6}"/>
            </c:ext>
          </c:extLst>
        </c:ser>
        <c:ser>
          <c:idx val="2"/>
          <c:order val="2"/>
          <c:tx>
            <c:strRef>
              <c:f>Segments!$A$5</c:f>
              <c:strCache>
                <c:ptCount val="1"/>
                <c:pt idx="0">
                  <c:v>Windows</c:v>
                </c:pt>
              </c:strCache>
            </c:strRef>
          </c:tx>
          <c:spPr>
            <a:solidFill>
              <a:srgbClr val="33CC33"/>
            </a:solidFill>
            <a:ln>
              <a:noFill/>
            </a:ln>
            <a:effectLst/>
          </c:spPr>
          <c:invertIfNegative val="0"/>
          <c:cat>
            <c:numRef>
              <c:f>Segments!$C$2:$L$2</c:f>
              <c:numCache>
                <c:formatCode>yyyy</c:formatCode>
                <c:ptCount val="10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  <c:pt idx="8">
                  <c:v>45657</c:v>
                </c:pt>
                <c:pt idx="9" formatCode="General">
                  <c:v>2025</c:v>
                </c:pt>
              </c:numCache>
            </c:numRef>
          </c:cat>
          <c:val>
            <c:numRef>
              <c:f>Segments!$C$5:$L$5</c:f>
              <c:numCache>
                <c:formatCode>#,##0</c:formatCode>
                <c:ptCount val="10"/>
                <c:pt idx="0">
                  <c:v>17548</c:v>
                </c:pt>
                <c:pt idx="1">
                  <c:v>18593</c:v>
                </c:pt>
                <c:pt idx="2">
                  <c:v>19518</c:v>
                </c:pt>
                <c:pt idx="3">
                  <c:v>20395</c:v>
                </c:pt>
                <c:pt idx="4">
                  <c:v>21510</c:v>
                </c:pt>
                <c:pt idx="5">
                  <c:v>22488</c:v>
                </c:pt>
                <c:pt idx="6">
                  <c:v>24732</c:v>
                </c:pt>
                <c:pt idx="7">
                  <c:v>21507</c:v>
                </c:pt>
                <c:pt idx="8">
                  <c:v>23244</c:v>
                </c:pt>
                <c:pt idx="9">
                  <c:v>27153.682228290068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54-4F6D-A12B-0A27DBB919B6}"/>
            </c:ext>
          </c:extLst>
        </c:ser>
        <c:ser>
          <c:idx val="3"/>
          <c:order val="3"/>
          <c:tx>
            <c:strRef>
              <c:f>Segments!$A$6</c:f>
              <c:strCache>
                <c:ptCount val="1"/>
                <c:pt idx="0">
                  <c:v>Gaming</c:v>
                </c:pt>
              </c:strCache>
            </c:strRef>
          </c:tx>
          <c:spPr>
            <a:solidFill>
              <a:srgbClr val="FFBA01"/>
            </a:solidFill>
            <a:ln>
              <a:noFill/>
            </a:ln>
            <a:effectLst/>
          </c:spPr>
          <c:invertIfNegative val="0"/>
          <c:cat>
            <c:numRef>
              <c:f>Segments!$C$2:$L$2</c:f>
              <c:numCache>
                <c:formatCode>yyyy</c:formatCode>
                <c:ptCount val="10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  <c:pt idx="8">
                  <c:v>45657</c:v>
                </c:pt>
                <c:pt idx="9" formatCode="General">
                  <c:v>2025</c:v>
                </c:pt>
              </c:numCache>
            </c:numRef>
          </c:cat>
          <c:val>
            <c:numRef>
              <c:f>Segments!$C$6:$L$6</c:f>
              <c:numCache>
                <c:formatCode>#,##0</c:formatCode>
                <c:ptCount val="10"/>
                <c:pt idx="0">
                  <c:v>9202</c:v>
                </c:pt>
                <c:pt idx="1">
                  <c:v>9051</c:v>
                </c:pt>
                <c:pt idx="2">
                  <c:v>10353</c:v>
                </c:pt>
                <c:pt idx="3">
                  <c:v>11386</c:v>
                </c:pt>
                <c:pt idx="4">
                  <c:v>11575</c:v>
                </c:pt>
                <c:pt idx="5">
                  <c:v>15370</c:v>
                </c:pt>
                <c:pt idx="6">
                  <c:v>16230</c:v>
                </c:pt>
                <c:pt idx="7">
                  <c:v>15466</c:v>
                </c:pt>
                <c:pt idx="8">
                  <c:v>21503</c:v>
                </c:pt>
                <c:pt idx="9">
                  <c:v>23455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54-4F6D-A12B-0A27DBB919B6}"/>
            </c:ext>
          </c:extLst>
        </c:ser>
        <c:ser>
          <c:idx val="4"/>
          <c:order val="4"/>
          <c:tx>
            <c:strRef>
              <c:f>Segments!$A$7</c:f>
              <c:strCache>
                <c:ptCount val="1"/>
                <c:pt idx="0">
                  <c:v>Search &amp; Ads</c:v>
                </c:pt>
              </c:strCache>
            </c:strRef>
          </c:tx>
          <c:spPr>
            <a:solidFill>
              <a:srgbClr val="FC0CEB"/>
            </a:solidFill>
            <a:ln>
              <a:noFill/>
            </a:ln>
            <a:effectLst/>
          </c:spPr>
          <c:invertIfNegative val="0"/>
          <c:cat>
            <c:numRef>
              <c:f>Segments!$C$2:$L$2</c:f>
              <c:numCache>
                <c:formatCode>yyyy</c:formatCode>
                <c:ptCount val="10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  <c:pt idx="8">
                  <c:v>45657</c:v>
                </c:pt>
                <c:pt idx="9" formatCode="General">
                  <c:v>2025</c:v>
                </c:pt>
              </c:numCache>
            </c:numRef>
          </c:cat>
          <c:val>
            <c:numRef>
              <c:f>Segments!$C$7:$L$7</c:f>
              <c:numCache>
                <c:formatCode>#,##0</c:formatCode>
                <c:ptCount val="10"/>
                <c:pt idx="0">
                  <c:v>5428</c:v>
                </c:pt>
                <c:pt idx="1">
                  <c:v>6219</c:v>
                </c:pt>
                <c:pt idx="2">
                  <c:v>7012</c:v>
                </c:pt>
                <c:pt idx="3">
                  <c:v>7628</c:v>
                </c:pt>
                <c:pt idx="4">
                  <c:v>8524</c:v>
                </c:pt>
                <c:pt idx="5">
                  <c:v>9267</c:v>
                </c:pt>
                <c:pt idx="6">
                  <c:v>11526</c:v>
                </c:pt>
                <c:pt idx="7">
                  <c:v>12125</c:v>
                </c:pt>
                <c:pt idx="8">
                  <c:v>12306</c:v>
                </c:pt>
                <c:pt idx="9">
                  <c:v>13878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54-4F6D-A12B-0A27DBB919B6}"/>
            </c:ext>
          </c:extLst>
        </c:ser>
        <c:ser>
          <c:idx val="5"/>
          <c:order val="5"/>
          <c:tx>
            <c:strRef>
              <c:f>Segments!$A$8</c:f>
              <c:strCache>
                <c:ptCount val="1"/>
                <c:pt idx="0">
                  <c:v>Enterprise Services</c:v>
                </c:pt>
              </c:strCache>
            </c:strRef>
          </c:tx>
          <c:spPr>
            <a:solidFill>
              <a:srgbClr val="BF67DB"/>
            </a:solidFill>
            <a:ln>
              <a:noFill/>
            </a:ln>
            <a:effectLst/>
          </c:spPr>
          <c:invertIfNegative val="0"/>
          <c:cat>
            <c:numRef>
              <c:f>Segments!$C$2:$L$2</c:f>
              <c:numCache>
                <c:formatCode>yyyy</c:formatCode>
                <c:ptCount val="10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  <c:pt idx="8">
                  <c:v>45657</c:v>
                </c:pt>
                <c:pt idx="9" formatCode="General">
                  <c:v>2025</c:v>
                </c:pt>
              </c:numCache>
            </c:numRef>
          </c:cat>
          <c:val>
            <c:numRef>
              <c:f>Segments!$C$8:$L$8</c:f>
              <c:numCache>
                <c:formatCode>#,##0</c:formatCode>
                <c:ptCount val="10"/>
                <c:pt idx="0">
                  <c:v>5659</c:v>
                </c:pt>
                <c:pt idx="1">
                  <c:v>5542</c:v>
                </c:pt>
                <c:pt idx="2">
                  <c:v>5846</c:v>
                </c:pt>
                <c:pt idx="3">
                  <c:v>6124</c:v>
                </c:pt>
                <c:pt idx="4">
                  <c:v>6409</c:v>
                </c:pt>
                <c:pt idx="5">
                  <c:v>6943</c:v>
                </c:pt>
                <c:pt idx="6">
                  <c:v>7605</c:v>
                </c:pt>
                <c:pt idx="7">
                  <c:v>7900</c:v>
                </c:pt>
                <c:pt idx="8">
                  <c:v>7594</c:v>
                </c:pt>
                <c:pt idx="9">
                  <c:v>7885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54-4F6D-A12B-0A27DBB919B6}"/>
            </c:ext>
          </c:extLst>
        </c:ser>
        <c:ser>
          <c:idx val="6"/>
          <c:order val="6"/>
          <c:tx>
            <c:strRef>
              <c:f>Segments!$A$9</c:f>
              <c:strCache>
                <c:ptCount val="1"/>
                <c:pt idx="0">
                  <c:v>Devices</c:v>
                </c:pt>
              </c:strCache>
            </c:strRef>
          </c:tx>
          <c:spPr>
            <a:solidFill>
              <a:srgbClr val="1901FF"/>
            </a:solidFill>
            <a:ln>
              <a:noFill/>
            </a:ln>
            <a:effectLst/>
          </c:spPr>
          <c:invertIfNegative val="0"/>
          <c:cat>
            <c:numRef>
              <c:f>Segments!$C$2:$L$2</c:f>
              <c:numCache>
                <c:formatCode>yyyy</c:formatCode>
                <c:ptCount val="10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  <c:pt idx="8">
                  <c:v>45657</c:v>
                </c:pt>
                <c:pt idx="9" formatCode="General">
                  <c:v>2025</c:v>
                </c:pt>
              </c:numCache>
            </c:numRef>
          </c:cat>
          <c:val>
            <c:numRef>
              <c:f>Segments!$C$9:$L$9</c:f>
              <c:numCache>
                <c:formatCode>#,##0</c:formatCode>
                <c:ptCount val="10"/>
                <c:pt idx="0">
                  <c:v>7888</c:v>
                </c:pt>
                <c:pt idx="1">
                  <c:v>5062</c:v>
                </c:pt>
                <c:pt idx="2">
                  <c:v>5134</c:v>
                </c:pt>
                <c:pt idx="3">
                  <c:v>6095</c:v>
                </c:pt>
                <c:pt idx="4">
                  <c:v>6457</c:v>
                </c:pt>
                <c:pt idx="5">
                  <c:v>7143</c:v>
                </c:pt>
                <c:pt idx="6">
                  <c:v>7306</c:v>
                </c:pt>
                <c:pt idx="7">
                  <c:v>5521</c:v>
                </c:pt>
                <c:pt idx="8">
                  <c:v>4706</c:v>
                </c:pt>
                <c:pt idx="9">
                  <c:v>5497.557587606826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54-4F6D-A12B-0A27DBB919B6}"/>
            </c:ext>
          </c:extLst>
        </c:ser>
        <c:ser>
          <c:idx val="7"/>
          <c:order val="7"/>
          <c:tx>
            <c:strRef>
              <c:f>Segments!$A$11</c:f>
              <c:strCache>
                <c:ptCount val="1"/>
                <c:pt idx="0">
                  <c:v>LinkedIn</c:v>
                </c:pt>
              </c:strCache>
            </c:strRef>
          </c:tx>
          <c:spPr>
            <a:solidFill>
              <a:srgbClr val="747474"/>
            </a:solidFill>
            <a:ln>
              <a:noFill/>
            </a:ln>
            <a:effectLst/>
          </c:spPr>
          <c:invertIfNegative val="0"/>
          <c:cat>
            <c:numRef>
              <c:f>Segments!$C$2:$L$2</c:f>
              <c:numCache>
                <c:formatCode>yyyy</c:formatCode>
                <c:ptCount val="10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  <c:pt idx="8">
                  <c:v>45657</c:v>
                </c:pt>
                <c:pt idx="9" formatCode="General">
                  <c:v>2025</c:v>
                </c:pt>
              </c:numCache>
            </c:numRef>
          </c:cat>
          <c:val>
            <c:numRef>
              <c:f>Segments!$C$11:$L$11</c:f>
              <c:numCache>
                <c:formatCode>#,##0</c:formatCode>
                <c:ptCount val="10"/>
                <c:pt idx="0">
                  <c:v>0</c:v>
                </c:pt>
                <c:pt idx="1">
                  <c:v>2271</c:v>
                </c:pt>
                <c:pt idx="2">
                  <c:v>5259</c:v>
                </c:pt>
                <c:pt idx="3">
                  <c:v>6754</c:v>
                </c:pt>
                <c:pt idx="4">
                  <c:v>8077</c:v>
                </c:pt>
                <c:pt idx="5">
                  <c:v>10289</c:v>
                </c:pt>
                <c:pt idx="6">
                  <c:v>13631</c:v>
                </c:pt>
                <c:pt idx="7">
                  <c:v>14989</c:v>
                </c:pt>
                <c:pt idx="8">
                  <c:v>16372</c:v>
                </c:pt>
                <c:pt idx="9">
                  <c:v>17812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754-4F6D-A12B-0A27DBB919B6}"/>
            </c:ext>
          </c:extLst>
        </c:ser>
        <c:ser>
          <c:idx val="8"/>
          <c:order val="8"/>
          <c:tx>
            <c:strRef>
              <c:f>Segments!$A$12</c:f>
              <c:strCache>
                <c:ptCount val="1"/>
                <c:pt idx="0">
                  <c:v>Dynamics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Segments!$C$2:$L$2</c:f>
              <c:numCache>
                <c:formatCode>yyyy</c:formatCode>
                <c:ptCount val="10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  <c:pt idx="8">
                  <c:v>45657</c:v>
                </c:pt>
                <c:pt idx="9" formatCode="General">
                  <c:v>2025</c:v>
                </c:pt>
              </c:numCache>
            </c:numRef>
          </c:cat>
          <c:val>
            <c:numRef>
              <c:f>Segments!$C$12:$L$12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3754</c:v>
                </c:pt>
                <c:pt idx="6">
                  <c:v>4687</c:v>
                </c:pt>
                <c:pt idx="7">
                  <c:v>5796</c:v>
                </c:pt>
                <c:pt idx="8">
                  <c:v>6831</c:v>
                </c:pt>
                <c:pt idx="9">
                  <c:v>7702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754-4F6D-A12B-0A27DBB919B6}"/>
            </c:ext>
          </c:extLst>
        </c:ser>
        <c:ser>
          <c:idx val="9"/>
          <c:order val="9"/>
          <c:tx>
            <c:strRef>
              <c:f>Segments!$A$21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8BDDB6"/>
            </a:solidFill>
            <a:ln>
              <a:noFill/>
            </a:ln>
            <a:effectLst/>
          </c:spPr>
          <c:invertIfNegative val="0"/>
          <c:cat>
            <c:numRef>
              <c:f>Segments!$C$2:$L$2</c:f>
              <c:numCache>
                <c:formatCode>yyyy</c:formatCode>
                <c:ptCount val="10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  <c:pt idx="8">
                  <c:v>45657</c:v>
                </c:pt>
                <c:pt idx="9" formatCode="General">
                  <c:v>2025</c:v>
                </c:pt>
              </c:numCache>
            </c:numRef>
          </c:cat>
          <c:val>
            <c:numRef>
              <c:f>Segments!$C$21:$L$21</c:f>
              <c:numCache>
                <c:formatCode>#,##0</c:formatCode>
                <c:ptCount val="10"/>
                <c:pt idx="0">
                  <c:v>2499</c:v>
                </c:pt>
                <c:pt idx="1">
                  <c:v>2611</c:v>
                </c:pt>
                <c:pt idx="2">
                  <c:v>2793</c:v>
                </c:pt>
                <c:pt idx="3">
                  <c:v>3070</c:v>
                </c:pt>
                <c:pt idx="4">
                  <c:v>3768</c:v>
                </c:pt>
                <c:pt idx="5">
                  <c:v>4852</c:v>
                </c:pt>
                <c:pt idx="6">
                  <c:v>5524</c:v>
                </c:pt>
                <c:pt idx="7">
                  <c:v>119</c:v>
                </c:pt>
                <c:pt idx="8">
                  <c:v>45</c:v>
                </c:pt>
                <c:pt idx="9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754-4F6D-A12B-0A27DBB91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106288"/>
        <c:axId val="507094288"/>
        <c:extLst>
          <c:ext xmlns:c15="http://schemas.microsoft.com/office/drawing/2012/chart" uri="{02D57815-91ED-43cb-92C2-25804820EDAC}">
            <c15:filteredBarSeries>
              <c15:ser>
                <c:idx val="10"/>
                <c:order val="10"/>
                <c:tx>
                  <c:v>Cloud Growth Rate </c:v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Segments!$C$2:$L$2</c15:sqref>
                        </c15:formulaRef>
                      </c:ext>
                    </c:extLst>
                    <c:numCache>
                      <c:formatCode>yyyy</c:formatCode>
                      <c:ptCount val="10"/>
                      <c:pt idx="0">
                        <c:v>42735</c:v>
                      </c:pt>
                      <c:pt idx="1">
                        <c:v>43100</c:v>
                      </c:pt>
                      <c:pt idx="2">
                        <c:v>43465</c:v>
                      </c:pt>
                      <c:pt idx="3">
                        <c:v>43830</c:v>
                      </c:pt>
                      <c:pt idx="4">
                        <c:v>44196</c:v>
                      </c:pt>
                      <c:pt idx="5">
                        <c:v>44561</c:v>
                      </c:pt>
                      <c:pt idx="6">
                        <c:v>44926</c:v>
                      </c:pt>
                      <c:pt idx="7">
                        <c:v>45291</c:v>
                      </c:pt>
                      <c:pt idx="8">
                        <c:v>45657</c:v>
                      </c:pt>
                      <c:pt idx="9" formatCode="General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Segments!$C$24:$L$24</c15:sqref>
                        </c15:formulaRef>
                      </c:ext>
                    </c:extLst>
                    <c:numCache>
                      <c:formatCode>0.00%</c:formatCode>
                      <c:ptCount val="10"/>
                      <c:pt idx="1">
                        <c:v>0.13571503514846284</c:v>
                      </c:pt>
                      <c:pt idx="2">
                        <c:v>0.20693796480206927</c:v>
                      </c:pt>
                      <c:pt idx="3">
                        <c:v>0.24849783765165134</c:v>
                      </c:pt>
                      <c:pt idx="4">
                        <c:v>0.26843847710134261</c:v>
                      </c:pt>
                      <c:pt idx="5">
                        <c:v>0.27091036516107203</c:v>
                      </c:pt>
                      <c:pt idx="6">
                        <c:v>0.28068607503470311</c:v>
                      </c:pt>
                      <c:pt idx="7">
                        <c:v>0.18737936154417234</c:v>
                      </c:pt>
                      <c:pt idx="8">
                        <c:v>0.22203326247342758</c:v>
                      </c:pt>
                      <c:pt idx="9">
                        <c:v>0.16820178232189242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8754-4F6D-A12B-0A27DBB919B6}"/>
                  </c:ext>
                </c:extLst>
              </c15:ser>
            </c15:filteredBarSeries>
          </c:ext>
        </c:extLst>
      </c:barChart>
      <c:catAx>
        <c:axId val="507106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7094288"/>
        <c:crosses val="autoZero"/>
        <c:auto val="1"/>
        <c:lblAlgn val="ctr"/>
        <c:lblOffset val="100"/>
        <c:noMultiLvlLbl val="0"/>
      </c:catAx>
      <c:valAx>
        <c:axId val="5070942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Revenue (Bn)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710628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0132041946376099E-2"/>
          <c:y val="9.1225439222190716E-2"/>
          <c:w val="0.63078104025906734"/>
          <c:h val="0.3603999621866432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Revenue composition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4"/>
          <c:order val="4"/>
          <c:tx>
            <c:v>Segments</c:v>
          </c:tx>
          <c:dPt>
            <c:idx val="0"/>
            <c:bubble3D val="0"/>
            <c:spPr>
              <a:solidFill>
                <a:srgbClr val="01A6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B4-4C30-8D87-732231E2743A}"/>
              </c:ext>
            </c:extLst>
          </c:dPt>
          <c:dPt>
            <c:idx val="1"/>
            <c:bubble3D val="0"/>
            <c:spPr>
              <a:solidFill>
                <a:srgbClr val="F2502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5B4-4C30-8D87-732231E2743A}"/>
              </c:ext>
            </c:extLst>
          </c:dPt>
          <c:dPt>
            <c:idx val="2"/>
            <c:bubble3D val="0"/>
            <c:spPr>
              <a:solidFill>
                <a:srgbClr val="33CC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B4-4C30-8D87-732231E2743A}"/>
              </c:ext>
            </c:extLst>
          </c:dPt>
          <c:dPt>
            <c:idx val="3"/>
            <c:bubble3D val="0"/>
            <c:spPr>
              <a:solidFill>
                <a:srgbClr val="FFBA0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5B4-4C30-8D87-732231E2743A}"/>
              </c:ext>
            </c:extLst>
          </c:dPt>
          <c:dPt>
            <c:idx val="4"/>
            <c:bubble3D val="0"/>
            <c:spPr>
              <a:solidFill>
                <a:srgbClr val="FC0CE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5B4-4C30-8D87-732231E2743A}"/>
              </c:ext>
            </c:extLst>
          </c:dPt>
          <c:dPt>
            <c:idx val="5"/>
            <c:bubble3D val="0"/>
            <c:spPr>
              <a:solidFill>
                <a:srgbClr val="BF67D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45B4-4C30-8D87-732231E2743A}"/>
              </c:ext>
            </c:extLst>
          </c:dPt>
          <c:dPt>
            <c:idx val="6"/>
            <c:bubble3D val="0"/>
            <c:spPr>
              <a:solidFill>
                <a:srgbClr val="1901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5B4-4C30-8D87-732231E2743A}"/>
              </c:ext>
            </c:extLst>
          </c:dPt>
          <c:dPt>
            <c:idx val="7"/>
            <c:bubble3D val="0"/>
            <c:spPr>
              <a:solidFill>
                <a:srgbClr val="74747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45B4-4C30-8D87-732231E2743A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5B4-4C30-8D87-732231E2743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45B4-4C30-8D87-732231E2743A}"/>
              </c:ext>
            </c:extLst>
          </c:dPt>
          <c:dLbls>
            <c:dLbl>
              <c:idx val="4"/>
              <c:layout>
                <c:manualLayout>
                  <c:x val="-8.8936340757084745E-2"/>
                  <c:y val="6.26287128265302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5B4-4C30-8D87-732231E2743A}"/>
                </c:ext>
              </c:extLst>
            </c:dLbl>
            <c:dLbl>
              <c:idx val="5"/>
              <c:layout>
                <c:manualLayout>
                  <c:x val="-0.1368251396262842"/>
                  <c:y val="3.479372934807236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5B4-4C30-8D87-732231E2743A}"/>
                </c:ext>
              </c:extLst>
            </c:dLbl>
            <c:dLbl>
              <c:idx val="6"/>
              <c:layout>
                <c:manualLayout>
                  <c:x val="-2.2804189937714079E-2"/>
                  <c:y val="-2.435561054365066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5B4-4C30-8D87-732231E2743A}"/>
                </c:ext>
              </c:extLst>
            </c:dLbl>
            <c:dLbl>
              <c:idx val="7"/>
              <c:layout>
                <c:manualLayout>
                  <c:x val="5.8825293330115568E-2"/>
                  <c:y val="-5.193306563165839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5B4-4C30-8D87-732231E2743A}"/>
                </c:ext>
              </c:extLst>
            </c:dLbl>
            <c:dLbl>
              <c:idx val="8"/>
              <c:layout>
                <c:manualLayout>
                  <c:x val="0.1653066750557356"/>
                  <c:y val="2.087623760884339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5B4-4C30-8D87-732231E2743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5B4-4C30-8D87-732231E2743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Segments!$B$37:$B$45</c:f>
              <c:strCache>
                <c:ptCount val="9"/>
                <c:pt idx="0">
                  <c:v>Server &amp; Cloud </c:v>
                </c:pt>
                <c:pt idx="1">
                  <c:v>Office</c:v>
                </c:pt>
                <c:pt idx="2">
                  <c:v>Windows</c:v>
                </c:pt>
                <c:pt idx="3">
                  <c:v>Gaming</c:v>
                </c:pt>
                <c:pt idx="4">
                  <c:v>Search &amp; Ads</c:v>
                </c:pt>
                <c:pt idx="5">
                  <c:v>Enterprise Services</c:v>
                </c:pt>
                <c:pt idx="6">
                  <c:v>Devices</c:v>
                </c:pt>
                <c:pt idx="7">
                  <c:v>LinkedIn</c:v>
                </c:pt>
                <c:pt idx="8">
                  <c:v>Dynamics</c:v>
                </c:pt>
              </c:strCache>
            </c:strRef>
          </c:cat>
          <c:val>
            <c:numRef>
              <c:f>Segments!$L$37:$L$46</c:f>
              <c:numCache>
                <c:formatCode>0%</c:formatCode>
                <c:ptCount val="10"/>
                <c:pt idx="0">
                  <c:v>0.40523238126389394</c:v>
                </c:pt>
                <c:pt idx="1">
                  <c:v>0.22754565746941635</c:v>
                </c:pt>
                <c:pt idx="2">
                  <c:v>9.6383986555245799E-2</c:v>
                </c:pt>
                <c:pt idx="3">
                  <c:v>8.3255242719825082E-2</c:v>
                </c:pt>
                <c:pt idx="4">
                  <c:v>4.9260978830344596E-2</c:v>
                </c:pt>
                <c:pt idx="5">
                  <c:v>2.7988385796027318E-2</c:v>
                </c:pt>
                <c:pt idx="6">
                  <c:v>1.9513983855144842E-2</c:v>
                </c:pt>
                <c:pt idx="7">
                  <c:v>6.3225000354957331E-2</c:v>
                </c:pt>
                <c:pt idx="8">
                  <c:v>2.7338813874572276E-2</c:v>
                </c:pt>
                <c:pt idx="9">
                  <c:v>2.5556928057247517E-4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B4-4C30-8D87-732231E27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Segments!$B$37</c15:sqref>
                        </c15:formulaRef>
                      </c:ext>
                    </c:extLst>
                    <c:strCache>
                      <c:ptCount val="1"/>
                      <c:pt idx="0">
                        <c:v>Server &amp; Cloud 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5-C00F-47A1-81F8-F94CA9F30720}"/>
                    </c:ext>
                  </c:extLst>
                </c:dPt>
                <c:dLbls>
                  <c:spPr>
                    <a:solidFill>
                      <a:sysClr val="window" lastClr="FFFFFF"/>
                    </a:solidFill>
                    <a:ln>
                      <a:solidFill>
                        <a:sysClr val="windowText" lastClr="000000">
                          <a:lumMod val="25000"/>
                          <a:lumOff val="75000"/>
                        </a:sys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0" i="0" u="none" strike="noStrike" kern="1200" baseline="0">
                          <a:solidFill>
                            <a:schemeClr val="tx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>
                    <c:ext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Segments!$B$37:$B$45</c15:sqref>
                        </c15:formulaRef>
                      </c:ext>
                    </c:extLst>
                    <c:strCache>
                      <c:ptCount val="9"/>
                      <c:pt idx="0">
                        <c:v>Server &amp; Cloud </c:v>
                      </c:pt>
                      <c:pt idx="1">
                        <c:v>Office</c:v>
                      </c:pt>
                      <c:pt idx="2">
                        <c:v>Windows</c:v>
                      </c:pt>
                      <c:pt idx="3">
                        <c:v>Gaming</c:v>
                      </c:pt>
                      <c:pt idx="4">
                        <c:v>Search &amp; Ads</c:v>
                      </c:pt>
                      <c:pt idx="5">
                        <c:v>Enterprise Services</c:v>
                      </c:pt>
                      <c:pt idx="6">
                        <c:v>Devices</c:v>
                      </c:pt>
                      <c:pt idx="7">
                        <c:v>LinkedIn</c:v>
                      </c:pt>
                      <c:pt idx="8">
                        <c:v>Dynamics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Segments!$L$37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0.40523238126389394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5B4-4C30-8D87-732231E2743A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Segments!$B$38</c15:sqref>
                        </c15:formulaRef>
                      </c:ext>
                    </c:extLst>
                    <c:strCache>
                      <c:ptCount val="1"/>
                      <c:pt idx="0">
                        <c:v>Office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7-C00F-47A1-81F8-F94CA9F30720}"/>
                    </c:ext>
                  </c:extLst>
                </c:dPt>
                <c:dLbls>
                  <c:spPr>
                    <a:solidFill>
                      <a:sysClr val="window" lastClr="FFFFFF"/>
                    </a:solidFill>
                    <a:ln>
                      <a:solidFill>
                        <a:sysClr val="windowText" lastClr="000000">
                          <a:lumMod val="25000"/>
                          <a:lumOff val="75000"/>
                        </a:sys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0" i="0" u="none" strike="noStrike" kern="1200" baseline="0">
                          <a:solidFill>
                            <a:schemeClr val="tx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Segments!$B$37:$B$45</c15:sqref>
                        </c15:formulaRef>
                      </c:ext>
                    </c:extLst>
                    <c:strCache>
                      <c:ptCount val="9"/>
                      <c:pt idx="0">
                        <c:v>Server &amp; Cloud </c:v>
                      </c:pt>
                      <c:pt idx="1">
                        <c:v>Office</c:v>
                      </c:pt>
                      <c:pt idx="2">
                        <c:v>Windows</c:v>
                      </c:pt>
                      <c:pt idx="3">
                        <c:v>Gaming</c:v>
                      </c:pt>
                      <c:pt idx="4">
                        <c:v>Search &amp; Ads</c:v>
                      </c:pt>
                      <c:pt idx="5">
                        <c:v>Enterprise Services</c:v>
                      </c:pt>
                      <c:pt idx="6">
                        <c:v>Devices</c:v>
                      </c:pt>
                      <c:pt idx="7">
                        <c:v>LinkedIn</c:v>
                      </c:pt>
                      <c:pt idx="8">
                        <c:v>Dynamics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Segments!$L$38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0.22754565746941635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5B4-4C30-8D87-732231E2743A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Segments!$B$39</c15:sqref>
                        </c15:formulaRef>
                      </c:ext>
                    </c:extLst>
                    <c:strCache>
                      <c:ptCount val="1"/>
                      <c:pt idx="0">
                        <c:v>Windows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C00F-47A1-81F8-F94CA9F30720}"/>
                    </c:ext>
                  </c:extLst>
                </c:dPt>
                <c:dLbls>
                  <c:spPr>
                    <a:solidFill>
                      <a:sysClr val="window" lastClr="FFFFFF"/>
                    </a:solidFill>
                    <a:ln>
                      <a:solidFill>
                        <a:sysClr val="windowText" lastClr="000000">
                          <a:lumMod val="25000"/>
                          <a:lumOff val="75000"/>
                        </a:sys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0" i="0" u="none" strike="noStrike" kern="1200" baseline="0">
                          <a:solidFill>
                            <a:schemeClr val="tx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Segments!$B$37:$B$45</c15:sqref>
                        </c15:formulaRef>
                      </c:ext>
                    </c:extLst>
                    <c:strCache>
                      <c:ptCount val="9"/>
                      <c:pt idx="0">
                        <c:v>Server &amp; Cloud </c:v>
                      </c:pt>
                      <c:pt idx="1">
                        <c:v>Office</c:v>
                      </c:pt>
                      <c:pt idx="2">
                        <c:v>Windows</c:v>
                      </c:pt>
                      <c:pt idx="3">
                        <c:v>Gaming</c:v>
                      </c:pt>
                      <c:pt idx="4">
                        <c:v>Search &amp; Ads</c:v>
                      </c:pt>
                      <c:pt idx="5">
                        <c:v>Enterprise Services</c:v>
                      </c:pt>
                      <c:pt idx="6">
                        <c:v>Devices</c:v>
                      </c:pt>
                      <c:pt idx="7">
                        <c:v>LinkedIn</c:v>
                      </c:pt>
                      <c:pt idx="8">
                        <c:v>Dynamics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Segments!$L$39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9.6383986555245799E-2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5B4-4C30-8D87-732231E2743A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Segments!$B$40</c15:sqref>
                        </c15:formulaRef>
                      </c:ext>
                    </c:extLst>
                    <c:strCache>
                      <c:ptCount val="1"/>
                      <c:pt idx="0">
                        <c:v>Gaming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C00F-47A1-81F8-F94CA9F30720}"/>
                    </c:ext>
                  </c:extLst>
                </c:dPt>
                <c:dLbls>
                  <c:spPr>
                    <a:solidFill>
                      <a:sysClr val="window" lastClr="FFFFFF"/>
                    </a:solidFill>
                    <a:ln>
                      <a:solidFill>
                        <a:sysClr val="windowText" lastClr="000000">
                          <a:lumMod val="25000"/>
                          <a:lumOff val="75000"/>
                        </a:sys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0" i="0" u="none" strike="noStrike" kern="1200" baseline="0">
                          <a:solidFill>
                            <a:schemeClr val="tx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Segments!$B$37:$B$45</c15:sqref>
                        </c15:formulaRef>
                      </c:ext>
                    </c:extLst>
                    <c:strCache>
                      <c:ptCount val="9"/>
                      <c:pt idx="0">
                        <c:v>Server &amp; Cloud </c:v>
                      </c:pt>
                      <c:pt idx="1">
                        <c:v>Office</c:v>
                      </c:pt>
                      <c:pt idx="2">
                        <c:v>Windows</c:v>
                      </c:pt>
                      <c:pt idx="3">
                        <c:v>Gaming</c:v>
                      </c:pt>
                      <c:pt idx="4">
                        <c:v>Search &amp; Ads</c:v>
                      </c:pt>
                      <c:pt idx="5">
                        <c:v>Enterprise Services</c:v>
                      </c:pt>
                      <c:pt idx="6">
                        <c:v>Devices</c:v>
                      </c:pt>
                      <c:pt idx="7">
                        <c:v>LinkedIn</c:v>
                      </c:pt>
                      <c:pt idx="8">
                        <c:v>Dynamics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Segments!$L$40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8.3255242719825082E-2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5B4-4C30-8D87-732231E2743A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v>Segments 2016</c:v>
          </c:tx>
          <c:dPt>
            <c:idx val="0"/>
            <c:bubble3D val="0"/>
            <c:spPr>
              <a:solidFill>
                <a:srgbClr val="01A6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B4-4E4B-9283-5F233F31EA35}"/>
              </c:ext>
            </c:extLst>
          </c:dPt>
          <c:dPt>
            <c:idx val="1"/>
            <c:bubble3D val="0"/>
            <c:spPr>
              <a:solidFill>
                <a:srgbClr val="F2502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EB4-4E4B-9283-5F233F31EA35}"/>
              </c:ext>
            </c:extLst>
          </c:dPt>
          <c:dPt>
            <c:idx val="2"/>
            <c:bubble3D val="0"/>
            <c:spPr>
              <a:solidFill>
                <a:srgbClr val="33CC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B4-4E4B-9283-5F233F31EA35}"/>
              </c:ext>
            </c:extLst>
          </c:dPt>
          <c:dPt>
            <c:idx val="3"/>
            <c:bubble3D val="0"/>
            <c:spPr>
              <a:solidFill>
                <a:srgbClr val="FFBA0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EB4-4E4B-9283-5F233F31EA35}"/>
              </c:ext>
            </c:extLst>
          </c:dPt>
          <c:dPt>
            <c:idx val="4"/>
            <c:bubble3D val="0"/>
            <c:spPr>
              <a:solidFill>
                <a:srgbClr val="FC0CE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B4-4E4B-9283-5F233F31EA35}"/>
              </c:ext>
            </c:extLst>
          </c:dPt>
          <c:dPt>
            <c:idx val="5"/>
            <c:bubble3D val="0"/>
            <c:spPr>
              <a:solidFill>
                <a:srgbClr val="BF67D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EB4-4E4B-9283-5F233F31EA35}"/>
              </c:ext>
            </c:extLst>
          </c:dPt>
          <c:dPt>
            <c:idx val="6"/>
            <c:bubble3D val="0"/>
            <c:spPr>
              <a:solidFill>
                <a:srgbClr val="1901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EB4-4E4B-9283-5F233F31EA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EB4-4E4B-9283-5F233F31EA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EB4-4E4B-9283-5F233F31EA35}"/>
              </c:ext>
            </c:extLst>
          </c:dPt>
          <c:dPt>
            <c:idx val="9"/>
            <c:bubble3D val="0"/>
            <c:spPr>
              <a:solidFill>
                <a:srgbClr val="8BDDB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EB4-4E4B-9283-5F233F31EA35}"/>
              </c:ext>
            </c:extLst>
          </c:dPt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EB4-4E4B-9283-5F233F31EA3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EB4-4E4B-9283-5F233F31EA35}"/>
                </c:ext>
              </c:extLst>
            </c:dLbl>
            <c:spPr>
              <a:solidFill>
                <a:sysClr val="window" lastClr="FFFFFF"/>
              </a:solidFill>
              <a:ln cap="flat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Segments!$B$37:$B$46</c:f>
              <c:strCache>
                <c:ptCount val="10"/>
                <c:pt idx="0">
                  <c:v>Server &amp; Cloud </c:v>
                </c:pt>
                <c:pt idx="1">
                  <c:v>Office</c:v>
                </c:pt>
                <c:pt idx="2">
                  <c:v>Windows</c:v>
                </c:pt>
                <c:pt idx="3">
                  <c:v>Gaming</c:v>
                </c:pt>
                <c:pt idx="4">
                  <c:v>Search &amp; Ads</c:v>
                </c:pt>
                <c:pt idx="5">
                  <c:v>Enterprise Services</c:v>
                </c:pt>
                <c:pt idx="6">
                  <c:v>Devices</c:v>
                </c:pt>
                <c:pt idx="7">
                  <c:v>LinkedIn</c:v>
                </c:pt>
                <c:pt idx="8">
                  <c:v>Dynamics</c:v>
                </c:pt>
                <c:pt idx="9">
                  <c:v>Other</c:v>
                </c:pt>
              </c:strCache>
            </c:strRef>
          </c:cat>
          <c:val>
            <c:numRef>
              <c:f>Segments!$C$37:$C$46</c:f>
              <c:numCache>
                <c:formatCode>0%</c:formatCode>
                <c:ptCount val="10"/>
                <c:pt idx="0">
                  <c:v>0.20911863439892928</c:v>
                </c:pt>
                <c:pt idx="1">
                  <c:v>0.26184259604625137</c:v>
                </c:pt>
                <c:pt idx="2">
                  <c:v>0.19250937973100468</c:v>
                </c:pt>
                <c:pt idx="3">
                  <c:v>0.1009500405906488</c:v>
                </c:pt>
                <c:pt idx="4">
                  <c:v>5.9547578822651777E-2</c:v>
                </c:pt>
                <c:pt idx="5">
                  <c:v>6.2081751760756525E-2</c:v>
                </c:pt>
                <c:pt idx="6">
                  <c:v>8.6534875046624396E-2</c:v>
                </c:pt>
                <c:pt idx="7">
                  <c:v>0</c:v>
                </c:pt>
                <c:pt idx="8">
                  <c:v>0</c:v>
                </c:pt>
                <c:pt idx="9">
                  <c:v>2.7415143603133161E-2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4-4E4B-9283-5F233F31EA3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Revenue Drivers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44883728432172"/>
          <c:y val="0.11244770823366745"/>
          <c:w val="0.87181299115792299"/>
          <c:h val="0.75293244491042721"/>
        </c:manualLayout>
      </c:layout>
      <c:lineChart>
        <c:grouping val="standard"/>
        <c:varyColors val="0"/>
        <c:ser>
          <c:idx val="6"/>
          <c:order val="6"/>
          <c:tx>
            <c:strRef>
              <c:f>Segments!$A$9</c:f>
              <c:strCache>
                <c:ptCount val="1"/>
                <c:pt idx="0">
                  <c:v>Devices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cat>
            <c:numRef>
              <c:f>Segments!$C$2:$L$2</c:f>
              <c:numCache>
                <c:formatCode>yyyy</c:formatCode>
                <c:ptCount val="10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  <c:pt idx="8">
                  <c:v>45657</c:v>
                </c:pt>
                <c:pt idx="9" formatCode="General">
                  <c:v>2025</c:v>
                </c:pt>
              </c:numCache>
            </c:numRef>
          </c:cat>
          <c:val>
            <c:numRef>
              <c:f>Segments!$C$9:$L$9</c:f>
              <c:numCache>
                <c:formatCode>#,##0</c:formatCode>
                <c:ptCount val="10"/>
                <c:pt idx="0">
                  <c:v>7888</c:v>
                </c:pt>
                <c:pt idx="1">
                  <c:v>5062</c:v>
                </c:pt>
                <c:pt idx="2">
                  <c:v>5134</c:v>
                </c:pt>
                <c:pt idx="3">
                  <c:v>6095</c:v>
                </c:pt>
                <c:pt idx="4">
                  <c:v>6457</c:v>
                </c:pt>
                <c:pt idx="5">
                  <c:v>7143</c:v>
                </c:pt>
                <c:pt idx="6">
                  <c:v>7306</c:v>
                </c:pt>
                <c:pt idx="7">
                  <c:v>5521</c:v>
                </c:pt>
                <c:pt idx="8">
                  <c:v>4706</c:v>
                </c:pt>
                <c:pt idx="9">
                  <c:v>5497.557587606826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E2-41C7-A56B-5D9D519B2F65}"/>
            </c:ext>
          </c:extLst>
        </c:ser>
        <c:ser>
          <c:idx val="7"/>
          <c:order val="7"/>
          <c:tx>
            <c:strRef>
              <c:f>Segments!$A$11</c:f>
              <c:strCache>
                <c:ptCount val="1"/>
                <c:pt idx="0">
                  <c:v>LinkedIn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cat>
            <c:numRef>
              <c:f>Segments!$C$2:$L$2</c:f>
              <c:numCache>
                <c:formatCode>yyyy</c:formatCode>
                <c:ptCount val="10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  <c:pt idx="8">
                  <c:v>45657</c:v>
                </c:pt>
                <c:pt idx="9" formatCode="General">
                  <c:v>2025</c:v>
                </c:pt>
              </c:numCache>
            </c:numRef>
          </c:cat>
          <c:val>
            <c:numRef>
              <c:f>Segments!$C$11:$L$11</c:f>
              <c:numCache>
                <c:formatCode>#,##0</c:formatCode>
                <c:ptCount val="10"/>
                <c:pt idx="0">
                  <c:v>0</c:v>
                </c:pt>
                <c:pt idx="1">
                  <c:v>2271</c:v>
                </c:pt>
                <c:pt idx="2">
                  <c:v>5259</c:v>
                </c:pt>
                <c:pt idx="3">
                  <c:v>6754</c:v>
                </c:pt>
                <c:pt idx="4">
                  <c:v>8077</c:v>
                </c:pt>
                <c:pt idx="5">
                  <c:v>10289</c:v>
                </c:pt>
                <c:pt idx="6">
                  <c:v>13631</c:v>
                </c:pt>
                <c:pt idx="7">
                  <c:v>14989</c:v>
                </c:pt>
                <c:pt idx="8">
                  <c:v>16372</c:v>
                </c:pt>
                <c:pt idx="9">
                  <c:v>17812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8E2-41C7-A56B-5D9D519B2F65}"/>
            </c:ext>
          </c:extLst>
        </c:ser>
        <c:ser>
          <c:idx val="8"/>
          <c:order val="8"/>
          <c:tx>
            <c:strRef>
              <c:f>Segments!$A$12</c:f>
              <c:strCache>
                <c:ptCount val="1"/>
                <c:pt idx="0">
                  <c:v>Dynamics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cat>
            <c:numRef>
              <c:f>Segments!$C$2:$L$2</c:f>
              <c:numCache>
                <c:formatCode>yyyy</c:formatCode>
                <c:ptCount val="10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  <c:pt idx="8">
                  <c:v>45657</c:v>
                </c:pt>
                <c:pt idx="9" formatCode="General">
                  <c:v>2025</c:v>
                </c:pt>
              </c:numCache>
            </c:numRef>
          </c:cat>
          <c:val>
            <c:numRef>
              <c:f>Segments!$C$12:$L$12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3754</c:v>
                </c:pt>
                <c:pt idx="6">
                  <c:v>4687</c:v>
                </c:pt>
                <c:pt idx="7">
                  <c:v>5796</c:v>
                </c:pt>
                <c:pt idx="8">
                  <c:v>6831</c:v>
                </c:pt>
                <c:pt idx="9">
                  <c:v>7702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8E2-41C7-A56B-5D9D519B2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7106288"/>
        <c:axId val="5070942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Server &amp; Cloud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layout>
                      <c:manualLayout>
                        <c:x val="-1.955628799463888E-2"/>
                        <c:y val="7.4381187971553034E-2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1100" b="0" i="0" u="none" strike="noStrike" kern="1200" baseline="0">
                            <a:solidFill>
                              <a:schemeClr val="tx1"/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en-US"/>
                      </a:p>
                    </c:txPr>
                  </c:trendlineLbl>
                </c:trendline>
                <c:cat>
                  <c:numRef>
                    <c:extLst>
                      <c:ext uri="{02D57815-91ED-43cb-92C2-25804820EDAC}">
                        <c15:formulaRef>
                          <c15:sqref>Segments!$C$2:$L$2</c15:sqref>
                        </c15:formulaRef>
                      </c:ext>
                    </c:extLst>
                    <c:numCache>
                      <c:formatCode>yyyy</c:formatCode>
                      <c:ptCount val="10"/>
                      <c:pt idx="0">
                        <c:v>42735</c:v>
                      </c:pt>
                      <c:pt idx="1">
                        <c:v>43100</c:v>
                      </c:pt>
                      <c:pt idx="2">
                        <c:v>43465</c:v>
                      </c:pt>
                      <c:pt idx="3">
                        <c:v>43830</c:v>
                      </c:pt>
                      <c:pt idx="4">
                        <c:v>44196</c:v>
                      </c:pt>
                      <c:pt idx="5">
                        <c:v>44561</c:v>
                      </c:pt>
                      <c:pt idx="6">
                        <c:v>44926</c:v>
                      </c:pt>
                      <c:pt idx="7">
                        <c:v>45291</c:v>
                      </c:pt>
                      <c:pt idx="8">
                        <c:v>45657</c:v>
                      </c:pt>
                      <c:pt idx="9" formatCode="General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Segments!$C$3:$L$3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19062</c:v>
                      </c:pt>
                      <c:pt idx="1">
                        <c:v>21649</c:v>
                      </c:pt>
                      <c:pt idx="2">
                        <c:v>26129</c:v>
                      </c:pt>
                      <c:pt idx="3">
                        <c:v>32622</c:v>
                      </c:pt>
                      <c:pt idx="4">
                        <c:v>41379</c:v>
                      </c:pt>
                      <c:pt idx="5">
                        <c:v>52589</c:v>
                      </c:pt>
                      <c:pt idx="6">
                        <c:v>67350</c:v>
                      </c:pt>
                      <c:pt idx="7">
                        <c:v>79970</c:v>
                      </c:pt>
                      <c:pt idx="8">
                        <c:v>97726</c:v>
                      </c:pt>
                      <c:pt idx="9">
                        <c:v>114163.68737918926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8E2-41C7-A56B-5D9D519B2F6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Segments!$A$4</c15:sqref>
                        </c15:formulaRef>
                      </c:ext>
                    </c:extLst>
                    <c:strCache>
                      <c:ptCount val="1"/>
                      <c:pt idx="0">
                        <c:v>Office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1100" b="0" i="0" u="none" strike="noStrike" kern="1200" baseline="0">
                            <a:solidFill>
                              <a:schemeClr val="tx1"/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en-US"/>
                      </a:p>
                    </c:txPr>
                  </c:trendlineLbl>
                </c:trendline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Segments!$C$2:$L$2</c15:sqref>
                        </c15:formulaRef>
                      </c:ext>
                    </c:extLst>
                    <c:numCache>
                      <c:formatCode>yyyy</c:formatCode>
                      <c:ptCount val="10"/>
                      <c:pt idx="0">
                        <c:v>42735</c:v>
                      </c:pt>
                      <c:pt idx="1">
                        <c:v>43100</c:v>
                      </c:pt>
                      <c:pt idx="2">
                        <c:v>43465</c:v>
                      </c:pt>
                      <c:pt idx="3">
                        <c:v>43830</c:v>
                      </c:pt>
                      <c:pt idx="4">
                        <c:v>44196</c:v>
                      </c:pt>
                      <c:pt idx="5">
                        <c:v>44561</c:v>
                      </c:pt>
                      <c:pt idx="6">
                        <c:v>44926</c:v>
                      </c:pt>
                      <c:pt idx="7">
                        <c:v>45291</c:v>
                      </c:pt>
                      <c:pt idx="8">
                        <c:v>45657</c:v>
                      </c:pt>
                      <c:pt idx="9" formatCode="General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Segments!$C$4:$L$4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23868</c:v>
                      </c:pt>
                      <c:pt idx="1">
                        <c:v>25573</c:v>
                      </c:pt>
                      <c:pt idx="2">
                        <c:v>28316</c:v>
                      </c:pt>
                      <c:pt idx="3">
                        <c:v>31769</c:v>
                      </c:pt>
                      <c:pt idx="4">
                        <c:v>35316</c:v>
                      </c:pt>
                      <c:pt idx="5">
                        <c:v>39872</c:v>
                      </c:pt>
                      <c:pt idx="6">
                        <c:v>44970</c:v>
                      </c:pt>
                      <c:pt idx="7">
                        <c:v>48848</c:v>
                      </c:pt>
                      <c:pt idx="8">
                        <c:v>54875</c:v>
                      </c:pt>
                      <c:pt idx="9">
                        <c:v>64105.072804913849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8E2-41C7-A56B-5D9D519B2F6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Segments!$A$5</c15:sqref>
                        </c15:formulaRef>
                      </c:ext>
                    </c:extLst>
                    <c:strCache>
                      <c:ptCount val="1"/>
                      <c:pt idx="0">
                        <c:v>Windows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3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1100" b="0" i="0" u="none" strike="noStrike" kern="1200" baseline="0">
                            <a:solidFill>
                              <a:schemeClr val="tx1"/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en-US"/>
                      </a:p>
                    </c:txPr>
                  </c:trendlineLbl>
                </c:trendline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Segments!$C$2:$L$2</c15:sqref>
                        </c15:formulaRef>
                      </c:ext>
                    </c:extLst>
                    <c:numCache>
                      <c:formatCode>yyyy</c:formatCode>
                      <c:ptCount val="10"/>
                      <c:pt idx="0">
                        <c:v>42735</c:v>
                      </c:pt>
                      <c:pt idx="1">
                        <c:v>43100</c:v>
                      </c:pt>
                      <c:pt idx="2">
                        <c:v>43465</c:v>
                      </c:pt>
                      <c:pt idx="3">
                        <c:v>43830</c:v>
                      </c:pt>
                      <c:pt idx="4">
                        <c:v>44196</c:v>
                      </c:pt>
                      <c:pt idx="5">
                        <c:v>44561</c:v>
                      </c:pt>
                      <c:pt idx="6">
                        <c:v>44926</c:v>
                      </c:pt>
                      <c:pt idx="7">
                        <c:v>45291</c:v>
                      </c:pt>
                      <c:pt idx="8">
                        <c:v>45657</c:v>
                      </c:pt>
                      <c:pt idx="9" formatCode="General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Segments!$C$5:$L$5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17548</c:v>
                      </c:pt>
                      <c:pt idx="1">
                        <c:v>18593</c:v>
                      </c:pt>
                      <c:pt idx="2">
                        <c:v>19518</c:v>
                      </c:pt>
                      <c:pt idx="3">
                        <c:v>20395</c:v>
                      </c:pt>
                      <c:pt idx="4">
                        <c:v>21510</c:v>
                      </c:pt>
                      <c:pt idx="5">
                        <c:v>22488</c:v>
                      </c:pt>
                      <c:pt idx="6">
                        <c:v>24732</c:v>
                      </c:pt>
                      <c:pt idx="7">
                        <c:v>21507</c:v>
                      </c:pt>
                      <c:pt idx="8">
                        <c:v>23244</c:v>
                      </c:pt>
                      <c:pt idx="9">
                        <c:v>27153.682228290068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8E2-41C7-A56B-5D9D519B2F6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Segments!$A$6</c15:sqref>
                        </c15:formulaRef>
                      </c:ext>
                    </c:extLst>
                    <c:strCache>
                      <c:ptCount val="1"/>
                      <c:pt idx="0">
                        <c:v>Gaming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1100" b="0" i="0" u="none" strike="noStrike" kern="1200" baseline="0">
                            <a:solidFill>
                              <a:schemeClr val="tx1"/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en-US"/>
                      </a:p>
                    </c:txPr>
                  </c:trendlineLbl>
                </c:trendline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Segments!$C$2:$L$2</c15:sqref>
                        </c15:formulaRef>
                      </c:ext>
                    </c:extLst>
                    <c:numCache>
                      <c:formatCode>yyyy</c:formatCode>
                      <c:ptCount val="10"/>
                      <c:pt idx="0">
                        <c:v>42735</c:v>
                      </c:pt>
                      <c:pt idx="1">
                        <c:v>43100</c:v>
                      </c:pt>
                      <c:pt idx="2">
                        <c:v>43465</c:v>
                      </c:pt>
                      <c:pt idx="3">
                        <c:v>43830</c:v>
                      </c:pt>
                      <c:pt idx="4">
                        <c:v>44196</c:v>
                      </c:pt>
                      <c:pt idx="5">
                        <c:v>44561</c:v>
                      </c:pt>
                      <c:pt idx="6">
                        <c:v>44926</c:v>
                      </c:pt>
                      <c:pt idx="7">
                        <c:v>45291</c:v>
                      </c:pt>
                      <c:pt idx="8">
                        <c:v>45657</c:v>
                      </c:pt>
                      <c:pt idx="9" formatCode="General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Segments!$C$6:$L$6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9202</c:v>
                      </c:pt>
                      <c:pt idx="1">
                        <c:v>9051</c:v>
                      </c:pt>
                      <c:pt idx="2">
                        <c:v>10353</c:v>
                      </c:pt>
                      <c:pt idx="3">
                        <c:v>11386</c:v>
                      </c:pt>
                      <c:pt idx="4">
                        <c:v>11575</c:v>
                      </c:pt>
                      <c:pt idx="5">
                        <c:v>15370</c:v>
                      </c:pt>
                      <c:pt idx="6">
                        <c:v>16230</c:v>
                      </c:pt>
                      <c:pt idx="7">
                        <c:v>15466</c:v>
                      </c:pt>
                      <c:pt idx="8">
                        <c:v>21503</c:v>
                      </c:pt>
                      <c:pt idx="9">
                        <c:v>23455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8E2-41C7-A56B-5D9D519B2F6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Segments!$A$7</c15:sqref>
                        </c15:formulaRef>
                      </c:ext>
                    </c:extLst>
                    <c:strCache>
                      <c:ptCount val="1"/>
                      <c:pt idx="0">
                        <c:v>Search &amp; Ads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5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1100" b="0" i="0" u="none" strike="noStrike" kern="1200" baseline="0">
                            <a:solidFill>
                              <a:schemeClr val="tx1"/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en-US"/>
                      </a:p>
                    </c:txPr>
                  </c:trendlineLbl>
                </c:trendline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Segments!$C$2:$L$2</c15:sqref>
                        </c15:formulaRef>
                      </c:ext>
                    </c:extLst>
                    <c:numCache>
                      <c:formatCode>yyyy</c:formatCode>
                      <c:ptCount val="10"/>
                      <c:pt idx="0">
                        <c:v>42735</c:v>
                      </c:pt>
                      <c:pt idx="1">
                        <c:v>43100</c:v>
                      </c:pt>
                      <c:pt idx="2">
                        <c:v>43465</c:v>
                      </c:pt>
                      <c:pt idx="3">
                        <c:v>43830</c:v>
                      </c:pt>
                      <c:pt idx="4">
                        <c:v>44196</c:v>
                      </c:pt>
                      <c:pt idx="5">
                        <c:v>44561</c:v>
                      </c:pt>
                      <c:pt idx="6">
                        <c:v>44926</c:v>
                      </c:pt>
                      <c:pt idx="7">
                        <c:v>45291</c:v>
                      </c:pt>
                      <c:pt idx="8">
                        <c:v>45657</c:v>
                      </c:pt>
                      <c:pt idx="9" formatCode="General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Segments!$C$7:$L$7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5428</c:v>
                      </c:pt>
                      <c:pt idx="1">
                        <c:v>6219</c:v>
                      </c:pt>
                      <c:pt idx="2">
                        <c:v>7012</c:v>
                      </c:pt>
                      <c:pt idx="3">
                        <c:v>7628</c:v>
                      </c:pt>
                      <c:pt idx="4">
                        <c:v>8524</c:v>
                      </c:pt>
                      <c:pt idx="5">
                        <c:v>9267</c:v>
                      </c:pt>
                      <c:pt idx="6">
                        <c:v>11526</c:v>
                      </c:pt>
                      <c:pt idx="7">
                        <c:v>12125</c:v>
                      </c:pt>
                      <c:pt idx="8">
                        <c:v>12306</c:v>
                      </c:pt>
                      <c:pt idx="9">
                        <c:v>13878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8E2-41C7-A56B-5D9D519B2F6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Segments!$A$8</c15:sqref>
                        </c15:formulaRef>
                      </c:ext>
                    </c:extLst>
                    <c:strCache>
                      <c:ptCount val="1"/>
                      <c:pt idx="0">
                        <c:v>Enterprise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6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1100" b="0" i="0" u="none" strike="noStrike" kern="1200" baseline="0">
                            <a:solidFill>
                              <a:schemeClr val="tx1"/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en-US"/>
                      </a:p>
                    </c:txPr>
                  </c:trendlineLbl>
                </c:trendline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Segments!$C$2:$L$2</c15:sqref>
                        </c15:formulaRef>
                      </c:ext>
                    </c:extLst>
                    <c:numCache>
                      <c:formatCode>yyyy</c:formatCode>
                      <c:ptCount val="10"/>
                      <c:pt idx="0">
                        <c:v>42735</c:v>
                      </c:pt>
                      <c:pt idx="1">
                        <c:v>43100</c:v>
                      </c:pt>
                      <c:pt idx="2">
                        <c:v>43465</c:v>
                      </c:pt>
                      <c:pt idx="3">
                        <c:v>43830</c:v>
                      </c:pt>
                      <c:pt idx="4">
                        <c:v>44196</c:v>
                      </c:pt>
                      <c:pt idx="5">
                        <c:v>44561</c:v>
                      </c:pt>
                      <c:pt idx="6">
                        <c:v>44926</c:v>
                      </c:pt>
                      <c:pt idx="7">
                        <c:v>45291</c:v>
                      </c:pt>
                      <c:pt idx="8">
                        <c:v>45657</c:v>
                      </c:pt>
                      <c:pt idx="9" formatCode="General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Segments!$C$8:$L$8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5659</c:v>
                      </c:pt>
                      <c:pt idx="1">
                        <c:v>5542</c:v>
                      </c:pt>
                      <c:pt idx="2">
                        <c:v>5846</c:v>
                      </c:pt>
                      <c:pt idx="3">
                        <c:v>6124</c:v>
                      </c:pt>
                      <c:pt idx="4">
                        <c:v>6409</c:v>
                      </c:pt>
                      <c:pt idx="5">
                        <c:v>6943</c:v>
                      </c:pt>
                      <c:pt idx="6">
                        <c:v>7605</c:v>
                      </c:pt>
                      <c:pt idx="7">
                        <c:v>7900</c:v>
                      </c:pt>
                      <c:pt idx="8">
                        <c:v>7594</c:v>
                      </c:pt>
                      <c:pt idx="9">
                        <c:v>7885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8E2-41C7-A56B-5D9D519B2F65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Segments!$A$21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Segments!$C$2:$L$2</c15:sqref>
                        </c15:formulaRef>
                      </c:ext>
                    </c:extLst>
                    <c:numCache>
                      <c:formatCode>yyyy</c:formatCode>
                      <c:ptCount val="10"/>
                      <c:pt idx="0">
                        <c:v>42735</c:v>
                      </c:pt>
                      <c:pt idx="1">
                        <c:v>43100</c:v>
                      </c:pt>
                      <c:pt idx="2">
                        <c:v>43465</c:v>
                      </c:pt>
                      <c:pt idx="3">
                        <c:v>43830</c:v>
                      </c:pt>
                      <c:pt idx="4">
                        <c:v>44196</c:v>
                      </c:pt>
                      <c:pt idx="5">
                        <c:v>44561</c:v>
                      </c:pt>
                      <c:pt idx="6">
                        <c:v>44926</c:v>
                      </c:pt>
                      <c:pt idx="7">
                        <c:v>45291</c:v>
                      </c:pt>
                      <c:pt idx="8">
                        <c:v>45657</c:v>
                      </c:pt>
                      <c:pt idx="9" formatCode="General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Segments!$C$21:$L$21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2499</c:v>
                      </c:pt>
                      <c:pt idx="1">
                        <c:v>2611</c:v>
                      </c:pt>
                      <c:pt idx="2">
                        <c:v>2793</c:v>
                      </c:pt>
                      <c:pt idx="3">
                        <c:v>3070</c:v>
                      </c:pt>
                      <c:pt idx="4">
                        <c:v>3768</c:v>
                      </c:pt>
                      <c:pt idx="5">
                        <c:v>4852</c:v>
                      </c:pt>
                      <c:pt idx="6">
                        <c:v>5524</c:v>
                      </c:pt>
                      <c:pt idx="7">
                        <c:v>119</c:v>
                      </c:pt>
                      <c:pt idx="8">
                        <c:v>45</c:v>
                      </c:pt>
                      <c:pt idx="9">
                        <c:v>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8E2-41C7-A56B-5D9D519B2F6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v>Cloud Growth Rate </c:v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Segments!$C$2:$L$2</c15:sqref>
                        </c15:formulaRef>
                      </c:ext>
                    </c:extLst>
                    <c:numCache>
                      <c:formatCode>yyyy</c:formatCode>
                      <c:ptCount val="10"/>
                      <c:pt idx="0">
                        <c:v>42735</c:v>
                      </c:pt>
                      <c:pt idx="1">
                        <c:v>43100</c:v>
                      </c:pt>
                      <c:pt idx="2">
                        <c:v>43465</c:v>
                      </c:pt>
                      <c:pt idx="3">
                        <c:v>43830</c:v>
                      </c:pt>
                      <c:pt idx="4">
                        <c:v>44196</c:v>
                      </c:pt>
                      <c:pt idx="5">
                        <c:v>44561</c:v>
                      </c:pt>
                      <c:pt idx="6">
                        <c:v>44926</c:v>
                      </c:pt>
                      <c:pt idx="7">
                        <c:v>45291</c:v>
                      </c:pt>
                      <c:pt idx="8">
                        <c:v>45657</c:v>
                      </c:pt>
                      <c:pt idx="9" formatCode="General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Segments!$C$24:$L$24</c15:sqref>
                        </c15:formulaRef>
                      </c:ext>
                    </c:extLst>
                    <c:numCache>
                      <c:formatCode>0.00%</c:formatCode>
                      <c:ptCount val="10"/>
                      <c:pt idx="1">
                        <c:v>0.13571503514846284</c:v>
                      </c:pt>
                      <c:pt idx="2">
                        <c:v>0.20693796480206927</c:v>
                      </c:pt>
                      <c:pt idx="3">
                        <c:v>0.24849783765165134</c:v>
                      </c:pt>
                      <c:pt idx="4">
                        <c:v>0.26843847710134261</c:v>
                      </c:pt>
                      <c:pt idx="5">
                        <c:v>0.27091036516107203</c:v>
                      </c:pt>
                      <c:pt idx="6">
                        <c:v>0.28068607503470311</c:v>
                      </c:pt>
                      <c:pt idx="7">
                        <c:v>0.18737936154417234</c:v>
                      </c:pt>
                      <c:pt idx="8">
                        <c:v>0.22203326247342758</c:v>
                      </c:pt>
                      <c:pt idx="9">
                        <c:v>0.16820178232189242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8E2-41C7-A56B-5D9D519B2F65}"/>
                  </c:ext>
                </c:extLst>
              </c15:ser>
            </c15:filteredLineSeries>
          </c:ext>
        </c:extLst>
      </c:lineChart>
      <c:catAx>
        <c:axId val="507106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7094288"/>
        <c:crosses val="autoZero"/>
        <c:auto val="1"/>
        <c:lblAlgn val="ctr"/>
        <c:lblOffset val="100"/>
        <c:noMultiLvlLbl val="0"/>
      </c:catAx>
      <c:valAx>
        <c:axId val="5070942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Revenue (Bn)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710628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7.7506443985788154E-2"/>
          <c:y val="3.7625523924928087E-2"/>
          <c:w val="0.89999995548024792"/>
          <c:h val="5.996949640654343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47539730128479E-2"/>
          <c:y val="2.7380514775237234E-2"/>
          <c:w val="0.90430255537800186"/>
          <c:h val="0.85812365859731998"/>
        </c:manualLayout>
      </c:layout>
      <c:areaChart>
        <c:grouping val="stacked"/>
        <c:varyColors val="0"/>
        <c:ser>
          <c:idx val="4"/>
          <c:order val="4"/>
          <c:tx>
            <c:strRef>
              <c:f>Forecast!$F$1</c:f>
              <c:strCache>
                <c:ptCount val="1"/>
                <c:pt idx="0">
                  <c:v>Shade base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cat>
            <c:numRef>
              <c:f>Forecast!$A$2:$A$36</c:f>
              <c:numCache>
                <c:formatCode>yyyy</c:formatCode>
                <c:ptCount val="35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  <c:pt idx="8">
                  <c:v>45657</c:v>
                </c:pt>
                <c:pt idx="9">
                  <c:v>46022</c:v>
                </c:pt>
                <c:pt idx="10">
                  <c:v>46387</c:v>
                </c:pt>
                <c:pt idx="11">
                  <c:v>46752</c:v>
                </c:pt>
                <c:pt idx="12">
                  <c:v>47118</c:v>
                </c:pt>
                <c:pt idx="13">
                  <c:v>47483</c:v>
                </c:pt>
                <c:pt idx="14">
                  <c:v>47848</c:v>
                </c:pt>
                <c:pt idx="15">
                  <c:v>48213</c:v>
                </c:pt>
                <c:pt idx="16">
                  <c:v>48579</c:v>
                </c:pt>
                <c:pt idx="17">
                  <c:v>48944</c:v>
                </c:pt>
                <c:pt idx="18">
                  <c:v>49309</c:v>
                </c:pt>
                <c:pt idx="19">
                  <c:v>49674</c:v>
                </c:pt>
                <c:pt idx="20">
                  <c:v>50040</c:v>
                </c:pt>
                <c:pt idx="21">
                  <c:v>50405</c:v>
                </c:pt>
                <c:pt idx="22">
                  <c:v>50770</c:v>
                </c:pt>
                <c:pt idx="23">
                  <c:v>51135</c:v>
                </c:pt>
                <c:pt idx="24">
                  <c:v>51501</c:v>
                </c:pt>
                <c:pt idx="25">
                  <c:v>51866</c:v>
                </c:pt>
                <c:pt idx="26">
                  <c:v>52231</c:v>
                </c:pt>
                <c:pt idx="27">
                  <c:v>52596</c:v>
                </c:pt>
                <c:pt idx="28">
                  <c:v>52962</c:v>
                </c:pt>
                <c:pt idx="29">
                  <c:v>53327</c:v>
                </c:pt>
                <c:pt idx="30">
                  <c:v>53692</c:v>
                </c:pt>
                <c:pt idx="31">
                  <c:v>54057</c:v>
                </c:pt>
                <c:pt idx="32">
                  <c:v>54423</c:v>
                </c:pt>
                <c:pt idx="33">
                  <c:v>54788</c:v>
                </c:pt>
                <c:pt idx="34">
                  <c:v>55153</c:v>
                </c:pt>
              </c:numCache>
            </c:numRef>
          </c:cat>
          <c:val>
            <c:numRef>
              <c:f>Forecast!$F$2:$F$36</c:f>
              <c:numCache>
                <c:formatCode>General</c:formatCode>
                <c:ptCount val="35"/>
                <c:pt idx="10">
                  <c:v>291590.42900666239</c:v>
                </c:pt>
                <c:pt idx="11">
                  <c:v>335779.11359760462</c:v>
                </c:pt>
                <c:pt idx="12">
                  <c:v>363386.89649314678</c:v>
                </c:pt>
                <c:pt idx="13">
                  <c:v>387727.29096199607</c:v>
                </c:pt>
                <c:pt idx="14">
                  <c:v>411399.15246730263</c:v>
                </c:pt>
                <c:pt idx="15">
                  <c:v>434119.26613542007</c:v>
                </c:pt>
                <c:pt idx="16">
                  <c:v>455610.31233792601</c:v>
                </c:pt>
                <c:pt idx="17">
                  <c:v>474441.81038533547</c:v>
                </c:pt>
                <c:pt idx="18">
                  <c:v>491555.66007084073</c:v>
                </c:pt>
                <c:pt idx="19">
                  <c:v>511709.77110005054</c:v>
                </c:pt>
                <c:pt idx="20">
                  <c:v>531667.97924415139</c:v>
                </c:pt>
                <c:pt idx="21">
                  <c:v>551432.98069382412</c:v>
                </c:pt>
                <c:pt idx="22">
                  <c:v>571007.46800761449</c:v>
                </c:pt>
                <c:pt idx="23">
                  <c:v>590394.12585756998</c:v>
                </c:pt>
                <c:pt idx="24">
                  <c:v>609595.6275449564</c:v>
                </c:pt>
                <c:pt idx="25">
                  <c:v>628614.63213246595</c:v>
                </c:pt>
                <c:pt idx="26">
                  <c:v>647453.7820746958</c:v>
                </c:pt>
                <c:pt idx="27">
                  <c:v>666115.70125486178</c:v>
                </c:pt>
                <c:pt idx="28">
                  <c:v>684602.99335534836</c:v>
                </c:pt>
                <c:pt idx="29">
                  <c:v>702918.24050459405</c:v>
                </c:pt>
                <c:pt idx="30">
                  <c:v>721064.00215423515</c:v>
                </c:pt>
                <c:pt idx="31">
                  <c:v>739042.81414928008</c:v>
                </c:pt>
                <c:pt idx="32">
                  <c:v>756857.18796101678</c:v>
                </c:pt>
                <c:pt idx="33">
                  <c:v>774509.61005780171</c:v>
                </c:pt>
                <c:pt idx="34">
                  <c:v>792002.54139323207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2F-4735-941F-90B8866B09A7}"/>
            </c:ext>
          </c:extLst>
        </c:ser>
        <c:ser>
          <c:idx val="5"/>
          <c:order val="5"/>
          <c:tx>
            <c:strRef>
              <c:f>Forecast!$G$1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rgbClr val="FFC000">
                <a:alpha val="21000"/>
              </a:srgbClr>
            </a:solidFill>
            <a:ln w="25400">
              <a:noFill/>
            </a:ln>
            <a:effectLst/>
          </c:spPr>
          <c:cat>
            <c:numRef>
              <c:f>Forecast!$A$2:$A$36</c:f>
              <c:numCache>
                <c:formatCode>yyyy</c:formatCode>
                <c:ptCount val="35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  <c:pt idx="8">
                  <c:v>45657</c:v>
                </c:pt>
                <c:pt idx="9">
                  <c:v>46022</c:v>
                </c:pt>
                <c:pt idx="10">
                  <c:v>46387</c:v>
                </c:pt>
                <c:pt idx="11">
                  <c:v>46752</c:v>
                </c:pt>
                <c:pt idx="12">
                  <c:v>47118</c:v>
                </c:pt>
                <c:pt idx="13">
                  <c:v>47483</c:v>
                </c:pt>
                <c:pt idx="14">
                  <c:v>47848</c:v>
                </c:pt>
                <c:pt idx="15">
                  <c:v>48213</c:v>
                </c:pt>
                <c:pt idx="16">
                  <c:v>48579</c:v>
                </c:pt>
                <c:pt idx="17">
                  <c:v>48944</c:v>
                </c:pt>
                <c:pt idx="18">
                  <c:v>49309</c:v>
                </c:pt>
                <c:pt idx="19">
                  <c:v>49674</c:v>
                </c:pt>
                <c:pt idx="20">
                  <c:v>50040</c:v>
                </c:pt>
                <c:pt idx="21">
                  <c:v>50405</c:v>
                </c:pt>
                <c:pt idx="22">
                  <c:v>50770</c:v>
                </c:pt>
                <c:pt idx="23">
                  <c:v>51135</c:v>
                </c:pt>
                <c:pt idx="24">
                  <c:v>51501</c:v>
                </c:pt>
                <c:pt idx="25">
                  <c:v>51866</c:v>
                </c:pt>
                <c:pt idx="26">
                  <c:v>52231</c:v>
                </c:pt>
                <c:pt idx="27">
                  <c:v>52596</c:v>
                </c:pt>
                <c:pt idx="28">
                  <c:v>52962</c:v>
                </c:pt>
                <c:pt idx="29">
                  <c:v>53327</c:v>
                </c:pt>
                <c:pt idx="30">
                  <c:v>53692</c:v>
                </c:pt>
                <c:pt idx="31">
                  <c:v>54057</c:v>
                </c:pt>
                <c:pt idx="32">
                  <c:v>54423</c:v>
                </c:pt>
                <c:pt idx="33">
                  <c:v>54788</c:v>
                </c:pt>
                <c:pt idx="34">
                  <c:v>55153</c:v>
                </c:pt>
              </c:numCache>
            </c:numRef>
          </c:cat>
          <c:val>
            <c:numRef>
              <c:f>Forecast!$G$2:$G$36</c:f>
              <c:numCache>
                <c:formatCode>General</c:formatCode>
                <c:ptCount val="35"/>
                <c:pt idx="10">
                  <c:v>15139.66252018197</c:v>
                </c:pt>
                <c:pt idx="11">
                  <c:v>24882.56968052173</c:v>
                </c:pt>
                <c:pt idx="12">
                  <c:v>23321.221603043494</c:v>
                </c:pt>
                <c:pt idx="13">
                  <c:v>25027.261952258064</c:v>
                </c:pt>
                <c:pt idx="14">
                  <c:v>27401.835265015427</c:v>
                </c:pt>
                <c:pt idx="15">
                  <c:v>30728.15641496185</c:v>
                </c:pt>
                <c:pt idx="16">
                  <c:v>35283.545030519716</c:v>
                </c:pt>
                <c:pt idx="17">
                  <c:v>42498.481801174057</c:v>
                </c:pt>
                <c:pt idx="18">
                  <c:v>51431.066933732713</c:v>
                </c:pt>
                <c:pt idx="19">
                  <c:v>57323.39072258689</c:v>
                </c:pt>
                <c:pt idx="20">
                  <c:v>63411.617396549904</c:v>
                </c:pt>
                <c:pt idx="21">
                  <c:v>69693.050764941145</c:v>
                </c:pt>
                <c:pt idx="22">
                  <c:v>76164.998269214644</c:v>
                </c:pt>
                <c:pt idx="23">
                  <c:v>82824.775237323018</c:v>
                </c:pt>
                <c:pt idx="24">
                  <c:v>89669.708368000458</c:v>
                </c:pt>
                <c:pt idx="25">
                  <c:v>96697.138598554768</c:v>
                </c:pt>
                <c:pt idx="26">
                  <c:v>103904.4234743889</c:v>
                </c:pt>
                <c:pt idx="27">
                  <c:v>111288.9391122869</c:v>
                </c:pt>
                <c:pt idx="28">
                  <c:v>118848.08182986418</c:v>
                </c:pt>
                <c:pt idx="29">
                  <c:v>126579.26949868223</c:v>
                </c:pt>
                <c:pt idx="30">
                  <c:v>134479.94266710524</c:v>
                </c:pt>
                <c:pt idx="31">
                  <c:v>142547.56549012428</c:v>
                </c:pt>
                <c:pt idx="32">
                  <c:v>150779.62649645144</c:v>
                </c:pt>
                <c:pt idx="33">
                  <c:v>159173.63921773038</c:v>
                </c:pt>
                <c:pt idx="34">
                  <c:v>167727.14270036388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2F-4735-941F-90B8866B09A7}"/>
            </c:ext>
          </c:extLst>
        </c:ser>
        <c:ser>
          <c:idx val="6"/>
          <c:order val="6"/>
          <c:tx>
            <c:strRef>
              <c:f>Forecast!$H$1</c:f>
              <c:strCache>
                <c:ptCount val="1"/>
                <c:pt idx="0">
                  <c:v>shade gap</c:v>
                </c:pt>
              </c:strCache>
            </c:strRef>
          </c:tx>
          <c:spPr>
            <a:solidFill>
              <a:srgbClr val="FFBA01">
                <a:alpha val="20000"/>
              </a:srgbClr>
            </a:solidFill>
            <a:ln>
              <a:noFill/>
            </a:ln>
            <a:effectLst/>
          </c:spPr>
          <c:cat>
            <c:numRef>
              <c:f>Forecast!$A$2:$A$36</c:f>
              <c:numCache>
                <c:formatCode>yyyy</c:formatCode>
                <c:ptCount val="35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  <c:pt idx="8">
                  <c:v>45657</c:v>
                </c:pt>
                <c:pt idx="9">
                  <c:v>46022</c:v>
                </c:pt>
                <c:pt idx="10">
                  <c:v>46387</c:v>
                </c:pt>
                <c:pt idx="11">
                  <c:v>46752</c:v>
                </c:pt>
                <c:pt idx="12">
                  <c:v>47118</c:v>
                </c:pt>
                <c:pt idx="13">
                  <c:v>47483</c:v>
                </c:pt>
                <c:pt idx="14">
                  <c:v>47848</c:v>
                </c:pt>
                <c:pt idx="15">
                  <c:v>48213</c:v>
                </c:pt>
                <c:pt idx="16">
                  <c:v>48579</c:v>
                </c:pt>
                <c:pt idx="17">
                  <c:v>48944</c:v>
                </c:pt>
                <c:pt idx="18">
                  <c:v>49309</c:v>
                </c:pt>
                <c:pt idx="19">
                  <c:v>49674</c:v>
                </c:pt>
                <c:pt idx="20">
                  <c:v>50040</c:v>
                </c:pt>
                <c:pt idx="21">
                  <c:v>50405</c:v>
                </c:pt>
                <c:pt idx="22">
                  <c:v>50770</c:v>
                </c:pt>
                <c:pt idx="23">
                  <c:v>51135</c:v>
                </c:pt>
                <c:pt idx="24">
                  <c:v>51501</c:v>
                </c:pt>
                <c:pt idx="25">
                  <c:v>51866</c:v>
                </c:pt>
                <c:pt idx="26">
                  <c:v>52231</c:v>
                </c:pt>
                <c:pt idx="27">
                  <c:v>52596</c:v>
                </c:pt>
                <c:pt idx="28">
                  <c:v>52962</c:v>
                </c:pt>
                <c:pt idx="29">
                  <c:v>53327</c:v>
                </c:pt>
                <c:pt idx="30">
                  <c:v>53692</c:v>
                </c:pt>
                <c:pt idx="31">
                  <c:v>54057</c:v>
                </c:pt>
                <c:pt idx="32">
                  <c:v>54423</c:v>
                </c:pt>
                <c:pt idx="33">
                  <c:v>54788</c:v>
                </c:pt>
                <c:pt idx="34">
                  <c:v>55153</c:v>
                </c:pt>
              </c:numCache>
            </c:numRef>
          </c:cat>
          <c:val>
            <c:numRef>
              <c:f>Forecast!$H$2:$H$36</c:f>
              <c:numCache>
                <c:formatCode>General</c:formatCode>
                <c:ptCount val="35"/>
                <c:pt idx="10">
                  <c:v>14716.840577177587</c:v>
                </c:pt>
                <c:pt idx="11">
                  <c:v>3071.0541973700747</c:v>
                </c:pt>
                <c:pt idx="12">
                  <c:v>20450.140001335298</c:v>
                </c:pt>
                <c:pt idx="13">
                  <c:v>41807.601983090513</c:v>
                </c:pt>
                <c:pt idx="14">
                  <c:v>67195.060395521112</c:v>
                </c:pt>
                <c:pt idx="15">
                  <c:v>96553.043446640426</c:v>
                </c:pt>
                <c:pt idx="16">
                  <c:v>129692.25868274353</c:v>
                </c:pt>
                <c:pt idx="17">
                  <c:v>166277.79696744593</c:v>
                </c:pt>
                <c:pt idx="18">
                  <c:v>205817.77401108411</c:v>
                </c:pt>
                <c:pt idx="19">
                  <c:v>247657.88971777691</c:v>
                </c:pt>
                <c:pt idx="20">
                  <c:v>290983.23781832762</c:v>
                </c:pt>
                <c:pt idx="21">
                  <c:v>305079.30799153261</c:v>
                </c:pt>
                <c:pt idx="22">
                  <c:v>319175.37816473749</c:v>
                </c:pt>
                <c:pt idx="23">
                  <c:v>333271.44833794248</c:v>
                </c:pt>
                <c:pt idx="24">
                  <c:v>347367.51851114747</c:v>
                </c:pt>
                <c:pt idx="25">
                  <c:v>361463.58868435258</c:v>
                </c:pt>
                <c:pt idx="26">
                  <c:v>375559.65885755757</c:v>
                </c:pt>
                <c:pt idx="27">
                  <c:v>389655.7290307621</c:v>
                </c:pt>
                <c:pt idx="28">
                  <c:v>403751.79920396744</c:v>
                </c:pt>
                <c:pt idx="29">
                  <c:v>417847.86937717244</c:v>
                </c:pt>
                <c:pt idx="30">
                  <c:v>431943.93955037754</c:v>
                </c:pt>
                <c:pt idx="31">
                  <c:v>446040.00972358207</c:v>
                </c:pt>
                <c:pt idx="32">
                  <c:v>460136.07989678718</c:v>
                </c:pt>
                <c:pt idx="33">
                  <c:v>474232.15006999206</c:v>
                </c:pt>
                <c:pt idx="34">
                  <c:v>488328.22024319717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2F-4735-941F-90B8866B0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271552"/>
        <c:axId val="709275392"/>
      </c:areaChart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1A6F0"/>
              </a:solidFill>
              <a:ln w="9525">
                <a:noFill/>
              </a:ln>
              <a:effectLst/>
            </c:spPr>
          </c:marker>
          <c:cat>
            <c:numRef>
              <c:f>Forecast!$A$2:$A$36</c:f>
              <c:numCache>
                <c:formatCode>yyyy</c:formatCode>
                <c:ptCount val="35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  <c:pt idx="8">
                  <c:v>45657</c:v>
                </c:pt>
                <c:pt idx="9">
                  <c:v>46022</c:v>
                </c:pt>
                <c:pt idx="10">
                  <c:v>46387</c:v>
                </c:pt>
                <c:pt idx="11">
                  <c:v>46752</c:v>
                </c:pt>
                <c:pt idx="12">
                  <c:v>47118</c:v>
                </c:pt>
                <c:pt idx="13">
                  <c:v>47483</c:v>
                </c:pt>
                <c:pt idx="14">
                  <c:v>47848</c:v>
                </c:pt>
                <c:pt idx="15">
                  <c:v>48213</c:v>
                </c:pt>
                <c:pt idx="16">
                  <c:v>48579</c:v>
                </c:pt>
                <c:pt idx="17">
                  <c:v>48944</c:v>
                </c:pt>
                <c:pt idx="18">
                  <c:v>49309</c:v>
                </c:pt>
                <c:pt idx="19">
                  <c:v>49674</c:v>
                </c:pt>
                <c:pt idx="20">
                  <c:v>50040</c:v>
                </c:pt>
                <c:pt idx="21">
                  <c:v>50405</c:v>
                </c:pt>
                <c:pt idx="22">
                  <c:v>50770</c:v>
                </c:pt>
                <c:pt idx="23">
                  <c:v>51135</c:v>
                </c:pt>
                <c:pt idx="24">
                  <c:v>51501</c:v>
                </c:pt>
                <c:pt idx="25">
                  <c:v>51866</c:v>
                </c:pt>
                <c:pt idx="26">
                  <c:v>52231</c:v>
                </c:pt>
                <c:pt idx="27">
                  <c:v>52596</c:v>
                </c:pt>
                <c:pt idx="28">
                  <c:v>52962</c:v>
                </c:pt>
                <c:pt idx="29">
                  <c:v>53327</c:v>
                </c:pt>
                <c:pt idx="30">
                  <c:v>53692</c:v>
                </c:pt>
                <c:pt idx="31">
                  <c:v>54057</c:v>
                </c:pt>
                <c:pt idx="32">
                  <c:v>54423</c:v>
                </c:pt>
                <c:pt idx="33">
                  <c:v>54788</c:v>
                </c:pt>
                <c:pt idx="34">
                  <c:v>55153</c:v>
                </c:pt>
              </c:numCache>
            </c:numRef>
          </c:cat>
          <c:val>
            <c:numRef>
              <c:f>Forecast!$B$2:$B$36</c:f>
              <c:numCache>
                <c:formatCode>#,##0</c:formatCode>
                <c:ptCount val="35"/>
                <c:pt idx="0">
                  <c:v>91154</c:v>
                </c:pt>
                <c:pt idx="1">
                  <c:v>96571</c:v>
                </c:pt>
                <c:pt idx="2">
                  <c:v>110360</c:v>
                </c:pt>
                <c:pt idx="3">
                  <c:v>125843</c:v>
                </c:pt>
                <c:pt idx="4">
                  <c:v>143015</c:v>
                </c:pt>
                <c:pt idx="5">
                  <c:v>172567</c:v>
                </c:pt>
                <c:pt idx="6">
                  <c:v>203561</c:v>
                </c:pt>
                <c:pt idx="7">
                  <c:v>212241</c:v>
                </c:pt>
                <c:pt idx="8">
                  <c:v>245202</c:v>
                </c:pt>
                <c:pt idx="9">
                  <c:v>281724</c:v>
                </c:pt>
                <c:pt idx="10" formatCode="General">
                  <c:v>321869.75404702633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2F-4735-941F-90B8866B09A7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Forecast(Total Revenue)</c:v>
                </c:pt>
              </c:strCache>
            </c:strRef>
          </c:tx>
          <c:spPr>
            <a:ln w="28575" cap="rnd">
              <a:solidFill>
                <a:srgbClr val="FFBA0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BA01"/>
              </a:solidFill>
              <a:ln w="9525">
                <a:noFill/>
              </a:ln>
              <a:effectLst/>
            </c:spPr>
          </c:marker>
          <c:cat>
            <c:numRef>
              <c:f>Forecast!$A$2:$A$36</c:f>
              <c:numCache>
                <c:formatCode>yyyy</c:formatCode>
                <c:ptCount val="35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  <c:pt idx="8">
                  <c:v>45657</c:v>
                </c:pt>
                <c:pt idx="9">
                  <c:v>46022</c:v>
                </c:pt>
                <c:pt idx="10">
                  <c:v>46387</c:v>
                </c:pt>
                <c:pt idx="11">
                  <c:v>46752</c:v>
                </c:pt>
                <c:pt idx="12">
                  <c:v>47118</c:v>
                </c:pt>
                <c:pt idx="13">
                  <c:v>47483</c:v>
                </c:pt>
                <c:pt idx="14">
                  <c:v>47848</c:v>
                </c:pt>
                <c:pt idx="15">
                  <c:v>48213</c:v>
                </c:pt>
                <c:pt idx="16">
                  <c:v>48579</c:v>
                </c:pt>
                <c:pt idx="17">
                  <c:v>48944</c:v>
                </c:pt>
                <c:pt idx="18">
                  <c:v>49309</c:v>
                </c:pt>
                <c:pt idx="19">
                  <c:v>49674</c:v>
                </c:pt>
                <c:pt idx="20">
                  <c:v>50040</c:v>
                </c:pt>
                <c:pt idx="21">
                  <c:v>50405</c:v>
                </c:pt>
                <c:pt idx="22">
                  <c:v>50770</c:v>
                </c:pt>
                <c:pt idx="23">
                  <c:v>51135</c:v>
                </c:pt>
                <c:pt idx="24">
                  <c:v>51501</c:v>
                </c:pt>
                <c:pt idx="25">
                  <c:v>51866</c:v>
                </c:pt>
                <c:pt idx="26">
                  <c:v>52231</c:v>
                </c:pt>
                <c:pt idx="27">
                  <c:v>52596</c:v>
                </c:pt>
                <c:pt idx="28">
                  <c:v>52962</c:v>
                </c:pt>
                <c:pt idx="29">
                  <c:v>53327</c:v>
                </c:pt>
                <c:pt idx="30">
                  <c:v>53692</c:v>
                </c:pt>
                <c:pt idx="31">
                  <c:v>54057</c:v>
                </c:pt>
                <c:pt idx="32">
                  <c:v>54423</c:v>
                </c:pt>
                <c:pt idx="33">
                  <c:v>54788</c:v>
                </c:pt>
                <c:pt idx="34">
                  <c:v>55153</c:v>
                </c:pt>
              </c:numCache>
            </c:numRef>
          </c:cat>
          <c:val>
            <c:numRef>
              <c:f>Forecast!$C$2:$C$36</c:f>
              <c:numCache>
                <c:formatCode>General</c:formatCode>
                <c:ptCount val="35"/>
                <c:pt idx="10">
                  <c:v>321869.75404702633</c:v>
                </c:pt>
                <c:pt idx="11">
                  <c:v>360661.68327812635</c:v>
                </c:pt>
                <c:pt idx="12">
                  <c:v>386708.11809619027</c:v>
                </c:pt>
                <c:pt idx="13">
                  <c:v>412754.55291425413</c:v>
                </c:pt>
                <c:pt idx="14">
                  <c:v>438800.98773231806</c:v>
                </c:pt>
                <c:pt idx="15">
                  <c:v>464847.42255038192</c:v>
                </c:pt>
                <c:pt idx="16">
                  <c:v>490893.85736844572</c:v>
                </c:pt>
                <c:pt idx="17">
                  <c:v>516940.29218650953</c:v>
                </c:pt>
                <c:pt idx="18">
                  <c:v>542986.72700457345</c:v>
                </c:pt>
                <c:pt idx="19">
                  <c:v>569033.16182263743</c:v>
                </c:pt>
                <c:pt idx="20">
                  <c:v>595079.59664070129</c:v>
                </c:pt>
                <c:pt idx="21">
                  <c:v>621126.03145876527</c:v>
                </c:pt>
                <c:pt idx="22">
                  <c:v>647172.46627682913</c:v>
                </c:pt>
                <c:pt idx="23">
                  <c:v>673218.90109489299</c:v>
                </c:pt>
                <c:pt idx="24">
                  <c:v>699265.33591295686</c:v>
                </c:pt>
                <c:pt idx="25">
                  <c:v>725311.77073102072</c:v>
                </c:pt>
                <c:pt idx="26">
                  <c:v>751358.2055490847</c:v>
                </c:pt>
                <c:pt idx="27">
                  <c:v>777404.64036714868</c:v>
                </c:pt>
                <c:pt idx="28">
                  <c:v>803451.07518521254</c:v>
                </c:pt>
                <c:pt idx="29">
                  <c:v>829497.51000327629</c:v>
                </c:pt>
                <c:pt idx="30">
                  <c:v>855543.94482134038</c:v>
                </c:pt>
                <c:pt idx="31">
                  <c:v>881590.37963940436</c:v>
                </c:pt>
                <c:pt idx="32">
                  <c:v>907636.81445746822</c:v>
                </c:pt>
                <c:pt idx="33">
                  <c:v>933683.24927553209</c:v>
                </c:pt>
                <c:pt idx="34">
                  <c:v>959729.68409359595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2F-4735-941F-90B8866B09A7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Lower Confidence Bound(Total Revenue)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Forecast!$A$2:$A$36</c:f>
              <c:numCache>
                <c:formatCode>yyyy</c:formatCode>
                <c:ptCount val="35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  <c:pt idx="8">
                  <c:v>45657</c:v>
                </c:pt>
                <c:pt idx="9">
                  <c:v>46022</c:v>
                </c:pt>
                <c:pt idx="10">
                  <c:v>46387</c:v>
                </c:pt>
                <c:pt idx="11">
                  <c:v>46752</c:v>
                </c:pt>
                <c:pt idx="12">
                  <c:v>47118</c:v>
                </c:pt>
                <c:pt idx="13">
                  <c:v>47483</c:v>
                </c:pt>
                <c:pt idx="14">
                  <c:v>47848</c:v>
                </c:pt>
                <c:pt idx="15">
                  <c:v>48213</c:v>
                </c:pt>
                <c:pt idx="16">
                  <c:v>48579</c:v>
                </c:pt>
                <c:pt idx="17">
                  <c:v>48944</c:v>
                </c:pt>
                <c:pt idx="18">
                  <c:v>49309</c:v>
                </c:pt>
                <c:pt idx="19">
                  <c:v>49674</c:v>
                </c:pt>
                <c:pt idx="20">
                  <c:v>50040</c:v>
                </c:pt>
                <c:pt idx="21">
                  <c:v>50405</c:v>
                </c:pt>
                <c:pt idx="22">
                  <c:v>50770</c:v>
                </c:pt>
                <c:pt idx="23">
                  <c:v>51135</c:v>
                </c:pt>
                <c:pt idx="24">
                  <c:v>51501</c:v>
                </c:pt>
                <c:pt idx="25">
                  <c:v>51866</c:v>
                </c:pt>
                <c:pt idx="26">
                  <c:v>52231</c:v>
                </c:pt>
                <c:pt idx="27">
                  <c:v>52596</c:v>
                </c:pt>
                <c:pt idx="28">
                  <c:v>52962</c:v>
                </c:pt>
                <c:pt idx="29">
                  <c:v>53327</c:v>
                </c:pt>
                <c:pt idx="30">
                  <c:v>53692</c:v>
                </c:pt>
                <c:pt idx="31">
                  <c:v>54057</c:v>
                </c:pt>
                <c:pt idx="32">
                  <c:v>54423</c:v>
                </c:pt>
                <c:pt idx="33">
                  <c:v>54788</c:v>
                </c:pt>
                <c:pt idx="34">
                  <c:v>55153</c:v>
                </c:pt>
              </c:numCache>
            </c:numRef>
          </c:cat>
          <c:val>
            <c:numRef>
              <c:f>Forecast!$D$2:$D$36</c:f>
              <c:numCache>
                <c:formatCode>General</c:formatCode>
                <c:ptCount val="35"/>
                <c:pt idx="10">
                  <c:v>306730.09152684436</c:v>
                </c:pt>
                <c:pt idx="11">
                  <c:v>335779.11359760462</c:v>
                </c:pt>
                <c:pt idx="12">
                  <c:v>363386.89649314678</c:v>
                </c:pt>
                <c:pt idx="13">
                  <c:v>387727.29096199607</c:v>
                </c:pt>
                <c:pt idx="14">
                  <c:v>411399.15246730263</c:v>
                </c:pt>
                <c:pt idx="15">
                  <c:v>434119.26613542007</c:v>
                </c:pt>
                <c:pt idx="16">
                  <c:v>455610.31233792601</c:v>
                </c:pt>
                <c:pt idx="17">
                  <c:v>474441.81038533547</c:v>
                </c:pt>
                <c:pt idx="18">
                  <c:v>491555.66007084073</c:v>
                </c:pt>
                <c:pt idx="19">
                  <c:v>511709.77110005054</c:v>
                </c:pt>
                <c:pt idx="20">
                  <c:v>531667.97924415139</c:v>
                </c:pt>
                <c:pt idx="21">
                  <c:v>551432.98069382412</c:v>
                </c:pt>
                <c:pt idx="22">
                  <c:v>571007.46800761449</c:v>
                </c:pt>
                <c:pt idx="23">
                  <c:v>590394.12585756998</c:v>
                </c:pt>
                <c:pt idx="24">
                  <c:v>609595.6275449564</c:v>
                </c:pt>
                <c:pt idx="25">
                  <c:v>628614.63213246595</c:v>
                </c:pt>
                <c:pt idx="26">
                  <c:v>647453.7820746958</c:v>
                </c:pt>
                <c:pt idx="27">
                  <c:v>666115.70125486178</c:v>
                </c:pt>
                <c:pt idx="28">
                  <c:v>684602.99335534836</c:v>
                </c:pt>
                <c:pt idx="29">
                  <c:v>702918.24050459405</c:v>
                </c:pt>
                <c:pt idx="30">
                  <c:v>721064.00215423515</c:v>
                </c:pt>
                <c:pt idx="31">
                  <c:v>739042.81414928008</c:v>
                </c:pt>
                <c:pt idx="32">
                  <c:v>756857.18796101678</c:v>
                </c:pt>
                <c:pt idx="33">
                  <c:v>774509.61005780171</c:v>
                </c:pt>
                <c:pt idx="34">
                  <c:v>792002.54139323207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2F-4735-941F-90B8866B09A7}"/>
            </c:ext>
          </c:extLst>
        </c:ser>
        <c:ser>
          <c:idx val="3"/>
          <c:order val="3"/>
          <c:tx>
            <c:strRef>
              <c:f>Forecast!$E$1</c:f>
              <c:strCache>
                <c:ptCount val="1"/>
                <c:pt idx="0">
                  <c:v>Upper Confidence Bound(Total Revenue)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Forecast!$A$2:$A$36</c:f>
              <c:numCache>
                <c:formatCode>yyyy</c:formatCode>
                <c:ptCount val="35"/>
                <c:pt idx="0">
                  <c:v>42735</c:v>
                </c:pt>
                <c:pt idx="1">
                  <c:v>43100</c:v>
                </c:pt>
                <c:pt idx="2">
                  <c:v>43465</c:v>
                </c:pt>
                <c:pt idx="3">
                  <c:v>43830</c:v>
                </c:pt>
                <c:pt idx="4">
                  <c:v>44196</c:v>
                </c:pt>
                <c:pt idx="5">
                  <c:v>44561</c:v>
                </c:pt>
                <c:pt idx="6">
                  <c:v>44926</c:v>
                </c:pt>
                <c:pt idx="7">
                  <c:v>45291</c:v>
                </c:pt>
                <c:pt idx="8">
                  <c:v>45657</c:v>
                </c:pt>
                <c:pt idx="9">
                  <c:v>46022</c:v>
                </c:pt>
                <c:pt idx="10">
                  <c:v>46387</c:v>
                </c:pt>
                <c:pt idx="11">
                  <c:v>46752</c:v>
                </c:pt>
                <c:pt idx="12">
                  <c:v>47118</c:v>
                </c:pt>
                <c:pt idx="13">
                  <c:v>47483</c:v>
                </c:pt>
                <c:pt idx="14">
                  <c:v>47848</c:v>
                </c:pt>
                <c:pt idx="15">
                  <c:v>48213</c:v>
                </c:pt>
                <c:pt idx="16">
                  <c:v>48579</c:v>
                </c:pt>
                <c:pt idx="17">
                  <c:v>48944</c:v>
                </c:pt>
                <c:pt idx="18">
                  <c:v>49309</c:v>
                </c:pt>
                <c:pt idx="19">
                  <c:v>49674</c:v>
                </c:pt>
                <c:pt idx="20">
                  <c:v>50040</c:v>
                </c:pt>
                <c:pt idx="21">
                  <c:v>50405</c:v>
                </c:pt>
                <c:pt idx="22">
                  <c:v>50770</c:v>
                </c:pt>
                <c:pt idx="23">
                  <c:v>51135</c:v>
                </c:pt>
                <c:pt idx="24">
                  <c:v>51501</c:v>
                </c:pt>
                <c:pt idx="25">
                  <c:v>51866</c:v>
                </c:pt>
                <c:pt idx="26">
                  <c:v>52231</c:v>
                </c:pt>
                <c:pt idx="27">
                  <c:v>52596</c:v>
                </c:pt>
                <c:pt idx="28">
                  <c:v>52962</c:v>
                </c:pt>
                <c:pt idx="29">
                  <c:v>53327</c:v>
                </c:pt>
                <c:pt idx="30">
                  <c:v>53692</c:v>
                </c:pt>
                <c:pt idx="31">
                  <c:v>54057</c:v>
                </c:pt>
                <c:pt idx="32">
                  <c:v>54423</c:v>
                </c:pt>
                <c:pt idx="33">
                  <c:v>54788</c:v>
                </c:pt>
                <c:pt idx="34">
                  <c:v>55153</c:v>
                </c:pt>
              </c:numCache>
            </c:numRef>
          </c:cat>
          <c:val>
            <c:numRef>
              <c:f>Forecast!$E$2:$E$36</c:f>
              <c:numCache>
                <c:formatCode>General</c:formatCode>
                <c:ptCount val="35"/>
                <c:pt idx="10">
                  <c:v>321446.93210402195</c:v>
                </c:pt>
                <c:pt idx="11">
                  <c:v>363732.73747549643</c:v>
                </c:pt>
                <c:pt idx="12">
                  <c:v>407158.25809752557</c:v>
                </c:pt>
                <c:pt idx="13">
                  <c:v>454562.15489734465</c:v>
                </c:pt>
                <c:pt idx="14">
                  <c:v>505996.04812783917</c:v>
                </c:pt>
                <c:pt idx="15">
                  <c:v>561400.46599702234</c:v>
                </c:pt>
                <c:pt idx="16">
                  <c:v>620586.11605118925</c:v>
                </c:pt>
                <c:pt idx="17">
                  <c:v>683218.08915395546</c:v>
                </c:pt>
                <c:pt idx="18">
                  <c:v>748804.50101565756</c:v>
                </c:pt>
                <c:pt idx="19">
                  <c:v>816691.05154041434</c:v>
                </c:pt>
                <c:pt idx="20">
                  <c:v>886062.83445902891</c:v>
                </c:pt>
                <c:pt idx="21">
                  <c:v>926205.33945029788</c:v>
                </c:pt>
                <c:pt idx="22">
                  <c:v>966347.84444156662</c:v>
                </c:pt>
                <c:pt idx="23">
                  <c:v>1006490.3494328355</c:v>
                </c:pt>
                <c:pt idx="24">
                  <c:v>1046632.8544241043</c:v>
                </c:pt>
                <c:pt idx="25">
                  <c:v>1086775.3594153733</c:v>
                </c:pt>
                <c:pt idx="26">
                  <c:v>1126917.8644066423</c:v>
                </c:pt>
                <c:pt idx="27">
                  <c:v>1167060.3693979108</c:v>
                </c:pt>
                <c:pt idx="28">
                  <c:v>1207202.87438918</c:v>
                </c:pt>
                <c:pt idx="29">
                  <c:v>1247345.3793804487</c:v>
                </c:pt>
                <c:pt idx="30">
                  <c:v>1287487.8843717179</c:v>
                </c:pt>
                <c:pt idx="31">
                  <c:v>1327630.3893629864</c:v>
                </c:pt>
                <c:pt idx="32">
                  <c:v>1367772.8943542554</c:v>
                </c:pt>
                <c:pt idx="33">
                  <c:v>1407915.3993455241</c:v>
                </c:pt>
                <c:pt idx="34">
                  <c:v>1448057.9043367931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2F-4735-941F-90B8866B0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9271552"/>
        <c:axId val="709275392"/>
      </c:lineChart>
      <c:dateAx>
        <c:axId val="709271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9275392"/>
        <c:crosses val="autoZero"/>
        <c:auto val="1"/>
        <c:lblOffset val="100"/>
        <c:baseTimeUnit val="years"/>
      </c:dateAx>
      <c:valAx>
        <c:axId val="7092753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Revenue forecast (Bn)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9271552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Revenue projections (Best Case)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44883728432172"/>
          <c:y val="0.11244770823366745"/>
          <c:w val="0.87181299115792299"/>
          <c:h val="0.75293244491042721"/>
        </c:manualLayout>
      </c:layout>
      <c:barChart>
        <c:barDir val="col"/>
        <c:grouping val="stacked"/>
        <c:varyColors val="0"/>
        <c:ser>
          <c:idx val="0"/>
          <c:order val="0"/>
          <c:tx>
            <c:v>Server &amp; Cloud</c:v>
          </c:tx>
          <c:spPr>
            <a:solidFill>
              <a:srgbClr val="01A6F0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DCF!$M$49:$AG$49</c:f>
              <c:numCache>
                <c:formatCode>#,##0</c:formatCode>
                <c:ptCount val="21"/>
                <c:pt idx="0">
                  <c:v>136996.42485502711</c:v>
                </c:pt>
                <c:pt idx="1">
                  <c:v>164395.70982603254</c:v>
                </c:pt>
                <c:pt idx="2">
                  <c:v>195630.89469297871</c:v>
                </c:pt>
                <c:pt idx="3">
                  <c:v>230844.45573771486</c:v>
                </c:pt>
                <c:pt idx="4">
                  <c:v>270088.0132131264</c:v>
                </c:pt>
                <c:pt idx="5">
                  <c:v>313302.09532722662</c:v>
                </c:pt>
                <c:pt idx="6">
                  <c:v>360297.40962631057</c:v>
                </c:pt>
                <c:pt idx="7">
                  <c:v>410739.046973994</c:v>
                </c:pt>
                <c:pt idx="8">
                  <c:v>464135.12308061315</c:v>
                </c:pt>
                <c:pt idx="9">
                  <c:v>519831.3378502868</c:v>
                </c:pt>
                <c:pt idx="10">
                  <c:v>577012.78501381841</c:v>
                </c:pt>
                <c:pt idx="11">
                  <c:v>604964.95425000438</c:v>
                </c:pt>
                <c:pt idx="12">
                  <c:v>632917.12348619022</c:v>
                </c:pt>
                <c:pt idx="13">
                  <c:v>660869.29272237618</c:v>
                </c:pt>
                <c:pt idx="14">
                  <c:v>688821.46195856214</c:v>
                </c:pt>
                <c:pt idx="15">
                  <c:v>716773.6311947481</c:v>
                </c:pt>
                <c:pt idx="16">
                  <c:v>744725.80043093394</c:v>
                </c:pt>
                <c:pt idx="17">
                  <c:v>772677.96966711991</c:v>
                </c:pt>
                <c:pt idx="18">
                  <c:v>800630.13890330587</c:v>
                </c:pt>
                <c:pt idx="19">
                  <c:v>828582.30813949171</c:v>
                </c:pt>
                <c:pt idx="20">
                  <c:v>856534.47737567767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E-445E-AB5C-26FCA08EEA94}"/>
            </c:ext>
          </c:extLst>
        </c:ser>
        <c:ser>
          <c:idx val="1"/>
          <c:order val="1"/>
          <c:tx>
            <c:strRef>
              <c:f>DCF!$A$5</c:f>
              <c:strCache>
                <c:ptCount val="1"/>
                <c:pt idx="0">
                  <c:v>Office</c:v>
                </c:pt>
              </c:strCache>
            </c:strRef>
          </c:tx>
          <c:spPr>
            <a:solidFill>
              <a:srgbClr val="F25022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DCF!$M$50:$V$50</c:f>
              <c:numCache>
                <c:formatCode>#,##0</c:formatCode>
                <c:ptCount val="10"/>
                <c:pt idx="0">
                  <c:v>71994.544923156122</c:v>
                </c:pt>
                <c:pt idx="1">
                  <c:v>79776.807489320709</c:v>
                </c:pt>
                <c:pt idx="2">
                  <c:v>84862.885410099218</c:v>
                </c:pt>
                <c:pt idx="3">
                  <c:v>89948.963330877697</c:v>
                </c:pt>
                <c:pt idx="4">
                  <c:v>95035.041251656192</c:v>
                </c:pt>
                <c:pt idx="5">
                  <c:v>100121.11917243467</c:v>
                </c:pt>
                <c:pt idx="6">
                  <c:v>105207.19709321317</c:v>
                </c:pt>
                <c:pt idx="7">
                  <c:v>110293.27501399165</c:v>
                </c:pt>
                <c:pt idx="8">
                  <c:v>115379.35293477016</c:v>
                </c:pt>
                <c:pt idx="9">
                  <c:v>120465.43085554864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8E-445E-AB5C-26FCA08EEA94}"/>
            </c:ext>
          </c:extLst>
        </c:ser>
        <c:ser>
          <c:idx val="2"/>
          <c:order val="2"/>
          <c:tx>
            <c:strRef>
              <c:f>DCF!$A$6</c:f>
              <c:strCache>
                <c:ptCount val="1"/>
                <c:pt idx="0">
                  <c:v>Windows</c:v>
                </c:pt>
              </c:strCache>
            </c:strRef>
          </c:tx>
          <c:spPr>
            <a:solidFill>
              <a:srgbClr val="33CC33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DCF!$M$51:$V$51</c:f>
              <c:numCache>
                <c:formatCode>#,##0</c:formatCode>
                <c:ptCount val="10"/>
                <c:pt idx="0">
                  <c:v>28073.758653867066</c:v>
                </c:pt>
                <c:pt idx="1">
                  <c:v>28993.835079444063</c:v>
                </c:pt>
                <c:pt idx="2">
                  <c:v>29913.911505021064</c:v>
                </c:pt>
                <c:pt idx="3">
                  <c:v>30833.987930598065</c:v>
                </c:pt>
                <c:pt idx="4">
                  <c:v>31754.064356175062</c:v>
                </c:pt>
                <c:pt idx="5">
                  <c:v>32674.140781752063</c:v>
                </c:pt>
                <c:pt idx="6">
                  <c:v>33594.217207329064</c:v>
                </c:pt>
                <c:pt idx="7">
                  <c:v>34514.293632906061</c:v>
                </c:pt>
                <c:pt idx="8">
                  <c:v>35434.370058483059</c:v>
                </c:pt>
                <c:pt idx="9">
                  <c:v>36354.446484060063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8E-445E-AB5C-26FCA08EEA94}"/>
            </c:ext>
          </c:extLst>
        </c:ser>
        <c:ser>
          <c:idx val="3"/>
          <c:order val="3"/>
          <c:tx>
            <c:strRef>
              <c:f>DCF!$A$7</c:f>
              <c:strCache>
                <c:ptCount val="1"/>
                <c:pt idx="0">
                  <c:v>Gaming</c:v>
                </c:pt>
              </c:strCache>
            </c:strRef>
          </c:tx>
          <c:spPr>
            <a:solidFill>
              <a:srgbClr val="FFBA01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DCF!$M$52:$V$52</c:f>
              <c:numCache>
                <c:formatCode>#,##0</c:formatCode>
                <c:ptCount val="10"/>
                <c:pt idx="0">
                  <c:v>26347.829298422432</c:v>
                </c:pt>
                <c:pt idx="1">
                  <c:v>28148.036368174315</c:v>
                </c:pt>
                <c:pt idx="2">
                  <c:v>29948.243437926198</c:v>
                </c:pt>
                <c:pt idx="3">
                  <c:v>31748.450507678081</c:v>
                </c:pt>
                <c:pt idx="4">
                  <c:v>33548.657577429971</c:v>
                </c:pt>
                <c:pt idx="5">
                  <c:v>35348.864647181857</c:v>
                </c:pt>
                <c:pt idx="6">
                  <c:v>37149.071716933744</c:v>
                </c:pt>
                <c:pt idx="7">
                  <c:v>38949.278786685631</c:v>
                </c:pt>
                <c:pt idx="8">
                  <c:v>40749.485856437517</c:v>
                </c:pt>
                <c:pt idx="9">
                  <c:v>42549.692926189397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8E-445E-AB5C-26FCA08EEA94}"/>
            </c:ext>
          </c:extLst>
        </c:ser>
        <c:ser>
          <c:idx val="4"/>
          <c:order val="4"/>
          <c:tx>
            <c:strRef>
              <c:f>DCF!$A$8</c:f>
              <c:strCache>
                <c:ptCount val="1"/>
                <c:pt idx="0">
                  <c:v>Search &amp; Ads</c:v>
                </c:pt>
              </c:strCache>
            </c:strRef>
          </c:tx>
          <c:spPr>
            <a:solidFill>
              <a:srgbClr val="FC0CEB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DCF!$M$53:$V$53</c:f>
              <c:numCache>
                <c:formatCode>#,##0</c:formatCode>
                <c:ptCount val="10"/>
                <c:pt idx="0">
                  <c:v>14842.3371131229</c:v>
                </c:pt>
                <c:pt idx="1">
                  <c:v>15806.674226245801</c:v>
                </c:pt>
                <c:pt idx="2">
                  <c:v>16771.011339368702</c:v>
                </c:pt>
                <c:pt idx="3">
                  <c:v>17735.348452491606</c:v>
                </c:pt>
                <c:pt idx="4">
                  <c:v>18699.685565614505</c:v>
                </c:pt>
                <c:pt idx="5">
                  <c:v>19664.022678737405</c:v>
                </c:pt>
                <c:pt idx="6">
                  <c:v>20628.359791860301</c:v>
                </c:pt>
                <c:pt idx="7">
                  <c:v>21592.696904983197</c:v>
                </c:pt>
                <c:pt idx="8">
                  <c:v>22557.0340181061</c:v>
                </c:pt>
                <c:pt idx="9">
                  <c:v>23521.371131229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8E-445E-AB5C-26FCA08EEA94}"/>
            </c:ext>
          </c:extLst>
        </c:ser>
        <c:ser>
          <c:idx val="5"/>
          <c:order val="5"/>
          <c:tx>
            <c:strRef>
              <c:f>DCF!$A$9</c:f>
              <c:strCache>
                <c:ptCount val="1"/>
                <c:pt idx="0">
                  <c:v>Enterprise Services</c:v>
                </c:pt>
              </c:strCache>
            </c:strRef>
          </c:tx>
          <c:spPr>
            <a:solidFill>
              <a:srgbClr val="BF67DB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DCF!$M$54:$V$54</c:f>
              <c:numCache>
                <c:formatCode>#,##0</c:formatCode>
                <c:ptCount val="10"/>
                <c:pt idx="0">
                  <c:v>8177.7238269152467</c:v>
                </c:pt>
                <c:pt idx="1">
                  <c:v>8470.4476538304934</c:v>
                </c:pt>
                <c:pt idx="2">
                  <c:v>8763.1714807457411</c:v>
                </c:pt>
                <c:pt idx="3">
                  <c:v>9055.8953076609869</c:v>
                </c:pt>
                <c:pt idx="4">
                  <c:v>9348.6191345762327</c:v>
                </c:pt>
                <c:pt idx="5">
                  <c:v>9641.3429614914803</c:v>
                </c:pt>
                <c:pt idx="6">
                  <c:v>9934.0667884067298</c:v>
                </c:pt>
                <c:pt idx="7">
                  <c:v>10226.790615321976</c:v>
                </c:pt>
                <c:pt idx="8">
                  <c:v>10519.514442237221</c:v>
                </c:pt>
                <c:pt idx="9">
                  <c:v>10812.238269152469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8E-445E-AB5C-26FCA08EEA94}"/>
            </c:ext>
          </c:extLst>
        </c:ser>
        <c:ser>
          <c:idx val="6"/>
          <c:order val="6"/>
          <c:tx>
            <c:strRef>
              <c:f>DCF!$A$10</c:f>
              <c:strCache>
                <c:ptCount val="1"/>
                <c:pt idx="0">
                  <c:v>Devices</c:v>
                </c:pt>
              </c:strCache>
            </c:strRef>
          </c:tx>
          <c:spPr>
            <a:solidFill>
              <a:srgbClr val="1901FF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DCF!$M$55:$V$55</c:f>
              <c:numCache>
                <c:formatCode>#,##0</c:formatCode>
                <c:ptCount val="10"/>
                <c:pt idx="0">
                  <c:v>5573.8916635496562</c:v>
                </c:pt>
                <c:pt idx="1">
                  <c:v>5650.2257394924864</c:v>
                </c:pt>
                <c:pt idx="2">
                  <c:v>5726.5598154353165</c:v>
                </c:pt>
                <c:pt idx="3">
                  <c:v>5802.8938913781476</c:v>
                </c:pt>
                <c:pt idx="4">
                  <c:v>5879.2279673209787</c:v>
                </c:pt>
                <c:pt idx="5">
                  <c:v>5955.5620432638088</c:v>
                </c:pt>
                <c:pt idx="6">
                  <c:v>6031.8961192066399</c:v>
                </c:pt>
                <c:pt idx="7">
                  <c:v>6108.230195149471</c:v>
                </c:pt>
                <c:pt idx="8">
                  <c:v>6184.5642710923012</c:v>
                </c:pt>
                <c:pt idx="9">
                  <c:v>6260.8983470351322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8E-445E-AB5C-26FCA08EEA94}"/>
            </c:ext>
          </c:extLst>
        </c:ser>
        <c:ser>
          <c:idx val="7"/>
          <c:order val="7"/>
          <c:tx>
            <c:strRef>
              <c:f>DCF!$A$12</c:f>
              <c:strCache>
                <c:ptCount val="1"/>
                <c:pt idx="0">
                  <c:v>LinkedIn</c:v>
                </c:pt>
              </c:strCache>
            </c:strRef>
          </c:tx>
          <c:spPr>
            <a:solidFill>
              <a:srgbClr val="747474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DCF!$M$57:$V$57</c:f>
              <c:numCache>
                <c:formatCode>#,##0</c:formatCode>
                <c:ptCount val="10"/>
                <c:pt idx="0">
                  <c:v>20625.023405802956</c:v>
                </c:pt>
                <c:pt idx="1">
                  <c:v>22634.204364639088</c:v>
                </c:pt>
                <c:pt idx="2">
                  <c:v>24643.385323475224</c:v>
                </c:pt>
                <c:pt idx="3">
                  <c:v>26652.56628231136</c:v>
                </c:pt>
                <c:pt idx="4">
                  <c:v>28661.747241147499</c:v>
                </c:pt>
                <c:pt idx="5">
                  <c:v>30670.928199983631</c:v>
                </c:pt>
                <c:pt idx="6">
                  <c:v>32680.109158819767</c:v>
                </c:pt>
                <c:pt idx="7">
                  <c:v>34689.290117655895</c:v>
                </c:pt>
                <c:pt idx="8">
                  <c:v>36698.471076492038</c:v>
                </c:pt>
                <c:pt idx="9">
                  <c:v>38707.652035328174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B8E-445E-AB5C-26FCA08EEA94}"/>
            </c:ext>
          </c:extLst>
        </c:ser>
        <c:ser>
          <c:idx val="8"/>
          <c:order val="8"/>
          <c:tx>
            <c:strRef>
              <c:f>DCF!$A$13</c:f>
              <c:strCache>
                <c:ptCount val="1"/>
                <c:pt idx="0">
                  <c:v>Dynamics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DCF!$M$58:$V$58</c:f>
              <c:numCache>
                <c:formatCode>#,##0</c:formatCode>
                <c:ptCount val="10"/>
                <c:pt idx="0">
                  <c:v>8743.3983641584637</c:v>
                </c:pt>
                <c:pt idx="1">
                  <c:v>9784.796728316931</c:v>
                </c:pt>
                <c:pt idx="2">
                  <c:v>10826.195092475398</c:v>
                </c:pt>
                <c:pt idx="3">
                  <c:v>11867.593456633866</c:v>
                </c:pt>
                <c:pt idx="4">
                  <c:v>12908.991820792333</c:v>
                </c:pt>
                <c:pt idx="5">
                  <c:v>13950.3901849508</c:v>
                </c:pt>
                <c:pt idx="6">
                  <c:v>14991.788549109267</c:v>
                </c:pt>
                <c:pt idx="7">
                  <c:v>16033.186913267735</c:v>
                </c:pt>
                <c:pt idx="8">
                  <c:v>17074.585277426202</c:v>
                </c:pt>
                <c:pt idx="9">
                  <c:v>18115.983641584669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8E-445E-AB5C-26FCA08EE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106288"/>
        <c:axId val="507094288"/>
        <c:extLst/>
      </c:barChart>
      <c:dateAx>
        <c:axId val="507106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7094288"/>
        <c:crosses val="autoZero"/>
        <c:auto val="1"/>
        <c:lblOffset val="100"/>
        <c:baseTimeUnit val="years"/>
      </c:dateAx>
      <c:valAx>
        <c:axId val="5070942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Revenue (Bn)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710628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57911219452673"/>
          <c:y val="0.11053386208728594"/>
          <c:w val="0.48064624037147996"/>
          <c:h val="0.3052368619843156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Revenue projections (Worst Case)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44883728432172"/>
          <c:y val="0.11244770823366745"/>
          <c:w val="0.87181299115792299"/>
          <c:h val="0.75293244491042721"/>
        </c:manualLayout>
      </c:layout>
      <c:barChart>
        <c:barDir val="col"/>
        <c:grouping val="stacked"/>
        <c:varyColors val="0"/>
        <c:ser>
          <c:idx val="0"/>
          <c:order val="0"/>
          <c:tx>
            <c:v>Server &amp; Cloud</c:v>
          </c:tx>
          <c:spPr>
            <a:solidFill>
              <a:srgbClr val="01A6F0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DCF!$M$87:$AG$87</c:f>
              <c:numCache>
                <c:formatCode>#,##0</c:formatCode>
                <c:ptCount val="21"/>
                <c:pt idx="0">
                  <c:v>126721.69299090009</c:v>
                </c:pt>
                <c:pt idx="1">
                  <c:v>139393.86228999012</c:v>
                </c:pt>
                <c:pt idx="2">
                  <c:v>151939.30989608925</c:v>
                </c:pt>
                <c:pt idx="3">
                  <c:v>164094.45468777639</c:v>
                </c:pt>
                <c:pt idx="4">
                  <c:v>175581.06651592074</c:v>
                </c:pt>
                <c:pt idx="5">
                  <c:v>186115.930506876</c:v>
                </c:pt>
                <c:pt idx="6">
                  <c:v>195421.72703221982</c:v>
                </c:pt>
                <c:pt idx="7">
                  <c:v>203238.59611350863</c:v>
                </c:pt>
                <c:pt idx="8">
                  <c:v>209335.7539969139</c:v>
                </c:pt>
                <c:pt idx="9">
                  <c:v>218471.13101640448</c:v>
                </c:pt>
                <c:pt idx="10">
                  <c:v>227408.5833652429</c:v>
                </c:pt>
                <c:pt idx="11">
                  <c:v>236150.82745196534</c:v>
                </c:pt>
                <c:pt idx="12">
                  <c:v>244700.57585079473</c:v>
                </c:pt>
                <c:pt idx="13">
                  <c:v>253060.53304929833</c:v>
                </c:pt>
                <c:pt idx="14">
                  <c:v>261233.39196610689</c:v>
                </c:pt>
                <c:pt idx="15">
                  <c:v>269221.83108510409</c:v>
                </c:pt>
                <c:pt idx="16">
                  <c:v>277028.51208786637</c:v>
                </c:pt>
                <c:pt idx="17">
                  <c:v>284656.07789231895</c:v>
                </c:pt>
                <c:pt idx="18">
                  <c:v>292107.15102520888</c:v>
                </c:pt>
                <c:pt idx="19">
                  <c:v>299384.33227089362</c:v>
                </c:pt>
                <c:pt idx="20">
                  <c:v>306490.19955036871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8-440B-BDA0-9455D349E3A9}"/>
            </c:ext>
          </c:extLst>
        </c:ser>
        <c:ser>
          <c:idx val="1"/>
          <c:order val="1"/>
          <c:tx>
            <c:strRef>
              <c:f>DCF!$A$5</c:f>
              <c:strCache>
                <c:ptCount val="1"/>
                <c:pt idx="0">
                  <c:v>Office</c:v>
                </c:pt>
              </c:strCache>
            </c:strRef>
          </c:tx>
          <c:spPr>
            <a:solidFill>
              <a:srgbClr val="F25022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DCF!$M$88:$V$88</c:f>
              <c:numCache>
                <c:formatCode>#,##0</c:formatCode>
                <c:ptCount val="10"/>
                <c:pt idx="0">
                  <c:v>68725.18621010553</c:v>
                </c:pt>
                <c:pt idx="1">
                  <c:v>76825.031147471309</c:v>
                </c:pt>
                <c:pt idx="2">
                  <c:v>84783.108602609907</c:v>
                </c:pt>
                <c:pt idx="3">
                  <c:v>89864.1004454676</c:v>
                </c:pt>
                <c:pt idx="4">
                  <c:v>94945.092288325322</c:v>
                </c:pt>
                <c:pt idx="5">
                  <c:v>100026.08413118303</c:v>
                </c:pt>
                <c:pt idx="6">
                  <c:v>105107.07597404074</c:v>
                </c:pt>
                <c:pt idx="7">
                  <c:v>110188.06781689845</c:v>
                </c:pt>
                <c:pt idx="8">
                  <c:v>115269.05965975618</c:v>
                </c:pt>
                <c:pt idx="9">
                  <c:v>120350.05150261387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18-440B-BDA0-9455D349E3A9}"/>
            </c:ext>
          </c:extLst>
        </c:ser>
        <c:ser>
          <c:idx val="2"/>
          <c:order val="2"/>
          <c:tx>
            <c:strRef>
              <c:f>DCF!$A$6</c:f>
              <c:strCache>
                <c:ptCount val="1"/>
                <c:pt idx="0">
                  <c:v>Windows</c:v>
                </c:pt>
              </c:strCache>
            </c:strRef>
          </c:tx>
          <c:spPr>
            <a:solidFill>
              <a:srgbClr val="33CC33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DCF!$M$89:$V$89</c:f>
              <c:numCache>
                <c:formatCode>#,##0</c:formatCode>
                <c:ptCount val="10"/>
                <c:pt idx="0">
                  <c:v>28073.758653867066</c:v>
                </c:pt>
                <c:pt idx="1">
                  <c:v>28993.835079444063</c:v>
                </c:pt>
                <c:pt idx="2">
                  <c:v>29913.911505021064</c:v>
                </c:pt>
                <c:pt idx="3">
                  <c:v>30833.987930598065</c:v>
                </c:pt>
                <c:pt idx="4">
                  <c:v>31754.064356175062</c:v>
                </c:pt>
                <c:pt idx="5">
                  <c:v>32674.140781752063</c:v>
                </c:pt>
                <c:pt idx="6">
                  <c:v>33594.217207329064</c:v>
                </c:pt>
                <c:pt idx="7">
                  <c:v>34514.293632906061</c:v>
                </c:pt>
                <c:pt idx="8">
                  <c:v>35434.370058483059</c:v>
                </c:pt>
                <c:pt idx="9">
                  <c:v>36354.446484060063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18-440B-BDA0-9455D349E3A9}"/>
            </c:ext>
          </c:extLst>
        </c:ser>
        <c:ser>
          <c:idx val="3"/>
          <c:order val="3"/>
          <c:tx>
            <c:strRef>
              <c:f>DCF!$A$7</c:f>
              <c:strCache>
                <c:ptCount val="1"/>
                <c:pt idx="0">
                  <c:v>Gaming</c:v>
                </c:pt>
              </c:strCache>
            </c:strRef>
          </c:tx>
          <c:spPr>
            <a:solidFill>
              <a:srgbClr val="FFBA01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DCF!$M$90:$V$90</c:f>
              <c:numCache>
                <c:formatCode>#,##0</c:formatCode>
                <c:ptCount val="10"/>
                <c:pt idx="0">
                  <c:v>25175.079298422428</c:v>
                </c:pt>
                <c:pt idx="1">
                  <c:v>28148.036368174315</c:v>
                </c:pt>
                <c:pt idx="2">
                  <c:v>29948.243437926198</c:v>
                </c:pt>
                <c:pt idx="3">
                  <c:v>31748.450507678081</c:v>
                </c:pt>
                <c:pt idx="4">
                  <c:v>33548.657577429971</c:v>
                </c:pt>
                <c:pt idx="5">
                  <c:v>35348.864647181857</c:v>
                </c:pt>
                <c:pt idx="6">
                  <c:v>37149.071716933744</c:v>
                </c:pt>
                <c:pt idx="7">
                  <c:v>38949.278786685631</c:v>
                </c:pt>
                <c:pt idx="8">
                  <c:v>40749.485856437517</c:v>
                </c:pt>
                <c:pt idx="9">
                  <c:v>42549.692926189397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18-440B-BDA0-9455D349E3A9}"/>
            </c:ext>
          </c:extLst>
        </c:ser>
        <c:ser>
          <c:idx val="4"/>
          <c:order val="4"/>
          <c:tx>
            <c:strRef>
              <c:f>DCF!$A$8</c:f>
              <c:strCache>
                <c:ptCount val="1"/>
                <c:pt idx="0">
                  <c:v>Search &amp; Ads</c:v>
                </c:pt>
              </c:strCache>
            </c:strRef>
          </c:tx>
          <c:spPr>
            <a:solidFill>
              <a:srgbClr val="FC0CEB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DCF!$M$91:$V$91</c:f>
              <c:numCache>
                <c:formatCode>#,##0</c:formatCode>
                <c:ptCount val="10"/>
                <c:pt idx="0">
                  <c:v>14842.3371131229</c:v>
                </c:pt>
                <c:pt idx="1">
                  <c:v>15806.674226245801</c:v>
                </c:pt>
                <c:pt idx="2">
                  <c:v>16771.011339368702</c:v>
                </c:pt>
                <c:pt idx="3">
                  <c:v>17735.348452491606</c:v>
                </c:pt>
                <c:pt idx="4">
                  <c:v>18699.685565614505</c:v>
                </c:pt>
                <c:pt idx="5">
                  <c:v>19664.022678737405</c:v>
                </c:pt>
                <c:pt idx="6">
                  <c:v>20628.359791860301</c:v>
                </c:pt>
                <c:pt idx="7">
                  <c:v>20422.076193941699</c:v>
                </c:pt>
                <c:pt idx="8">
                  <c:v>20217.855432002281</c:v>
                </c:pt>
                <c:pt idx="9">
                  <c:v>20015.676877682257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18-440B-BDA0-9455D349E3A9}"/>
            </c:ext>
          </c:extLst>
        </c:ser>
        <c:ser>
          <c:idx val="5"/>
          <c:order val="5"/>
          <c:tx>
            <c:strRef>
              <c:f>DCF!$A$9</c:f>
              <c:strCache>
                <c:ptCount val="1"/>
                <c:pt idx="0">
                  <c:v>Enterprise Services</c:v>
                </c:pt>
              </c:strCache>
            </c:strRef>
          </c:tx>
          <c:spPr>
            <a:solidFill>
              <a:srgbClr val="BF67DB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DCF!$M$92:$V$92</c:f>
              <c:numCache>
                <c:formatCode>#,##0</c:formatCode>
                <c:ptCount val="10"/>
                <c:pt idx="0">
                  <c:v>8177.7238269152467</c:v>
                </c:pt>
                <c:pt idx="1">
                  <c:v>8470.4476538304934</c:v>
                </c:pt>
                <c:pt idx="2">
                  <c:v>8763.1714807457411</c:v>
                </c:pt>
                <c:pt idx="3">
                  <c:v>9055.8953076609869</c:v>
                </c:pt>
                <c:pt idx="4">
                  <c:v>9348.6191345762327</c:v>
                </c:pt>
                <c:pt idx="5">
                  <c:v>9641.3429614914803</c:v>
                </c:pt>
                <c:pt idx="6">
                  <c:v>9934.0667884067298</c:v>
                </c:pt>
                <c:pt idx="7">
                  <c:v>10226.790615321976</c:v>
                </c:pt>
                <c:pt idx="8">
                  <c:v>10519.514442237221</c:v>
                </c:pt>
                <c:pt idx="9">
                  <c:v>10812.238269152469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18-440B-BDA0-9455D349E3A9}"/>
            </c:ext>
          </c:extLst>
        </c:ser>
        <c:ser>
          <c:idx val="6"/>
          <c:order val="6"/>
          <c:tx>
            <c:strRef>
              <c:f>DCF!$A$10</c:f>
              <c:strCache>
                <c:ptCount val="1"/>
                <c:pt idx="0">
                  <c:v>Devices</c:v>
                </c:pt>
              </c:strCache>
            </c:strRef>
          </c:tx>
          <c:spPr>
            <a:solidFill>
              <a:srgbClr val="1901FF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DCF!$M$93:$V$93</c:f>
              <c:numCache>
                <c:formatCode>#,##0</c:formatCode>
                <c:ptCount val="10"/>
                <c:pt idx="0">
                  <c:v>5573.8916635496562</c:v>
                </c:pt>
                <c:pt idx="1">
                  <c:v>5650.2257394924864</c:v>
                </c:pt>
                <c:pt idx="2">
                  <c:v>5726.5598154353165</c:v>
                </c:pt>
                <c:pt idx="3">
                  <c:v>5802.8938913781476</c:v>
                </c:pt>
                <c:pt idx="4">
                  <c:v>5879.2279673209787</c:v>
                </c:pt>
                <c:pt idx="5">
                  <c:v>5955.5620432638088</c:v>
                </c:pt>
                <c:pt idx="6">
                  <c:v>6031.8961192066399</c:v>
                </c:pt>
                <c:pt idx="7">
                  <c:v>6108.230195149471</c:v>
                </c:pt>
                <c:pt idx="8">
                  <c:v>6184.5642710923012</c:v>
                </c:pt>
                <c:pt idx="9">
                  <c:v>6260.8983470351322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18-440B-BDA0-9455D349E3A9}"/>
            </c:ext>
          </c:extLst>
        </c:ser>
        <c:ser>
          <c:idx val="7"/>
          <c:order val="7"/>
          <c:tx>
            <c:strRef>
              <c:f>DCF!$A$12</c:f>
              <c:strCache>
                <c:ptCount val="1"/>
                <c:pt idx="0">
                  <c:v>LinkedIn</c:v>
                </c:pt>
              </c:strCache>
            </c:strRef>
          </c:tx>
          <c:spPr>
            <a:solidFill>
              <a:srgbClr val="747474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DCF!$M$95:$V$95</c:f>
              <c:numCache>
                <c:formatCode>#,##0</c:formatCode>
                <c:ptCount val="10"/>
                <c:pt idx="0">
                  <c:v>20625.023405802956</c:v>
                </c:pt>
                <c:pt idx="1">
                  <c:v>22634.204364639088</c:v>
                </c:pt>
                <c:pt idx="2">
                  <c:v>24643.385323475224</c:v>
                </c:pt>
                <c:pt idx="3">
                  <c:v>26652.56628231136</c:v>
                </c:pt>
                <c:pt idx="4">
                  <c:v>28661.747241147499</c:v>
                </c:pt>
                <c:pt idx="5">
                  <c:v>30670.928199983631</c:v>
                </c:pt>
                <c:pt idx="6">
                  <c:v>32680.109158819767</c:v>
                </c:pt>
                <c:pt idx="7">
                  <c:v>34689.290117655895</c:v>
                </c:pt>
                <c:pt idx="8">
                  <c:v>36698.471076492038</c:v>
                </c:pt>
                <c:pt idx="9">
                  <c:v>38707.652035328174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18-440B-BDA0-9455D349E3A9}"/>
            </c:ext>
          </c:extLst>
        </c:ser>
        <c:ser>
          <c:idx val="8"/>
          <c:order val="8"/>
          <c:tx>
            <c:strRef>
              <c:f>DCF!$A$13</c:f>
              <c:strCache>
                <c:ptCount val="1"/>
                <c:pt idx="0">
                  <c:v>Dynamics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DCF!$M$96:$V$96</c:f>
              <c:numCache>
                <c:formatCode>#,##0</c:formatCode>
                <c:ptCount val="10"/>
                <c:pt idx="0">
                  <c:v>8743.3983641584637</c:v>
                </c:pt>
                <c:pt idx="1">
                  <c:v>9784.796728316931</c:v>
                </c:pt>
                <c:pt idx="2">
                  <c:v>10826.195092475398</c:v>
                </c:pt>
                <c:pt idx="3">
                  <c:v>11867.593456633866</c:v>
                </c:pt>
                <c:pt idx="4">
                  <c:v>12908.991820792333</c:v>
                </c:pt>
                <c:pt idx="5">
                  <c:v>13950.3901849508</c:v>
                </c:pt>
                <c:pt idx="6">
                  <c:v>14991.788549109267</c:v>
                </c:pt>
                <c:pt idx="7">
                  <c:v>16033.186913267735</c:v>
                </c:pt>
                <c:pt idx="8">
                  <c:v>17074.585277426202</c:v>
                </c:pt>
                <c:pt idx="9">
                  <c:v>18115.983641584669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18-440B-BDA0-9455D349E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106288"/>
        <c:axId val="507094288"/>
        <c:extLst/>
      </c:barChart>
      <c:dateAx>
        <c:axId val="507106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7094288"/>
        <c:crosses val="autoZero"/>
        <c:auto val="1"/>
        <c:lblOffset val="100"/>
        <c:baseTimeUnit val="years"/>
      </c:dateAx>
      <c:valAx>
        <c:axId val="5070942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Revenue (Bn)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710628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0132041946376099E-2"/>
          <c:y val="9.1225439222190716E-2"/>
          <c:w val="0.52708133954335323"/>
          <c:h val="0.2410335197811106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Revenue projections (Base Case)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44883728432172"/>
          <c:y val="0.11244770823366745"/>
          <c:w val="0.87181299115792299"/>
          <c:h val="0.75293244491042721"/>
        </c:manualLayout>
      </c:layout>
      <c:barChart>
        <c:barDir val="col"/>
        <c:grouping val="stacked"/>
        <c:varyColors val="0"/>
        <c:ser>
          <c:idx val="0"/>
          <c:order val="0"/>
          <c:tx>
            <c:v>Server &amp; Cloud</c:v>
          </c:tx>
          <c:spPr>
            <a:solidFill>
              <a:srgbClr val="01A6F0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DCF!$M$4:$AG$4</c:f>
              <c:numCache>
                <c:formatCode>#,##0</c:formatCode>
                <c:ptCount val="21"/>
                <c:pt idx="0">
                  <c:v>137419.24679803147</c:v>
                </c:pt>
                <c:pt idx="1">
                  <c:v>161324.6556286625</c:v>
                </c:pt>
                <c:pt idx="2">
                  <c:v>175180.75469164344</c:v>
                </c:pt>
                <c:pt idx="3">
                  <c:v>189036.85375462435</c:v>
                </c:pt>
                <c:pt idx="4">
                  <c:v>202892.95281760528</c:v>
                </c:pt>
                <c:pt idx="5">
                  <c:v>216749.05188058619</c:v>
                </c:pt>
                <c:pt idx="6">
                  <c:v>230605.1509435671</c:v>
                </c:pt>
                <c:pt idx="7">
                  <c:v>244461.25000654801</c:v>
                </c:pt>
                <c:pt idx="8">
                  <c:v>258317.34906952895</c:v>
                </c:pt>
                <c:pt idx="9">
                  <c:v>272173.44813250989</c:v>
                </c:pt>
                <c:pt idx="10">
                  <c:v>286029.54719549086</c:v>
                </c:pt>
                <c:pt idx="11">
                  <c:v>299885.64625847182</c:v>
                </c:pt>
                <c:pt idx="12">
                  <c:v>313741.74532145273</c:v>
                </c:pt>
                <c:pt idx="13">
                  <c:v>327597.84438443364</c:v>
                </c:pt>
                <c:pt idx="14">
                  <c:v>341453.94344741461</c:v>
                </c:pt>
                <c:pt idx="15">
                  <c:v>355310.04251039558</c:v>
                </c:pt>
                <c:pt idx="16">
                  <c:v>369166.14157337649</c:v>
                </c:pt>
                <c:pt idx="17">
                  <c:v>383022.24063635746</c:v>
                </c:pt>
                <c:pt idx="18">
                  <c:v>396878.33969933842</c:v>
                </c:pt>
                <c:pt idx="19">
                  <c:v>410734.43876231933</c:v>
                </c:pt>
                <c:pt idx="20">
                  <c:v>424590.5378253003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B-4049-B89E-DB945BF5C79B}"/>
            </c:ext>
          </c:extLst>
        </c:ser>
        <c:ser>
          <c:idx val="1"/>
          <c:order val="1"/>
          <c:tx>
            <c:strRef>
              <c:f>DCF!$A$5</c:f>
              <c:strCache>
                <c:ptCount val="1"/>
                <c:pt idx="0">
                  <c:v>Office</c:v>
                </c:pt>
              </c:strCache>
            </c:strRef>
          </c:tx>
          <c:spPr>
            <a:solidFill>
              <a:srgbClr val="F25022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DCF!$M$5:$V$5</c:f>
              <c:numCache>
                <c:formatCode>#,##0</c:formatCode>
                <c:ptCount val="10"/>
                <c:pt idx="0">
                  <c:v>71994.544923156122</c:v>
                </c:pt>
                <c:pt idx="1">
                  <c:v>79776.807489320709</c:v>
                </c:pt>
                <c:pt idx="2">
                  <c:v>84862.885410099218</c:v>
                </c:pt>
                <c:pt idx="3">
                  <c:v>89948.963330877697</c:v>
                </c:pt>
                <c:pt idx="4">
                  <c:v>95035.041251656192</c:v>
                </c:pt>
                <c:pt idx="5">
                  <c:v>100121.11917243467</c:v>
                </c:pt>
                <c:pt idx="6">
                  <c:v>105207.19709321317</c:v>
                </c:pt>
                <c:pt idx="7">
                  <c:v>110293.27501399165</c:v>
                </c:pt>
                <c:pt idx="8">
                  <c:v>115379.35293477016</c:v>
                </c:pt>
                <c:pt idx="9">
                  <c:v>120465.43085554864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8EB-4049-B89E-DB945BF5C79B}"/>
            </c:ext>
          </c:extLst>
        </c:ser>
        <c:ser>
          <c:idx val="2"/>
          <c:order val="2"/>
          <c:tx>
            <c:strRef>
              <c:f>DCF!$A$6</c:f>
              <c:strCache>
                <c:ptCount val="1"/>
                <c:pt idx="0">
                  <c:v>Windows</c:v>
                </c:pt>
              </c:strCache>
            </c:strRef>
          </c:tx>
          <c:spPr>
            <a:solidFill>
              <a:srgbClr val="33CC33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DCF!$M$6:$V$6</c:f>
              <c:numCache>
                <c:formatCode>#,##0</c:formatCode>
                <c:ptCount val="10"/>
                <c:pt idx="0">
                  <c:v>28073.758653867066</c:v>
                </c:pt>
                <c:pt idx="1">
                  <c:v>28993.835079444063</c:v>
                </c:pt>
                <c:pt idx="2">
                  <c:v>29913.911505021064</c:v>
                </c:pt>
                <c:pt idx="3">
                  <c:v>30833.987930598065</c:v>
                </c:pt>
                <c:pt idx="4">
                  <c:v>31754.064356175062</c:v>
                </c:pt>
                <c:pt idx="5">
                  <c:v>32674.140781752063</c:v>
                </c:pt>
                <c:pt idx="6">
                  <c:v>33594.217207329064</c:v>
                </c:pt>
                <c:pt idx="7">
                  <c:v>34514.293632906061</c:v>
                </c:pt>
                <c:pt idx="8">
                  <c:v>35434.370058483059</c:v>
                </c:pt>
                <c:pt idx="9">
                  <c:v>36354.446484060063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8EB-4049-B89E-DB945BF5C79B}"/>
            </c:ext>
          </c:extLst>
        </c:ser>
        <c:ser>
          <c:idx val="3"/>
          <c:order val="3"/>
          <c:tx>
            <c:strRef>
              <c:f>DCF!$A$7</c:f>
              <c:strCache>
                <c:ptCount val="1"/>
                <c:pt idx="0">
                  <c:v>Gaming</c:v>
                </c:pt>
              </c:strCache>
            </c:strRef>
          </c:tx>
          <c:spPr>
            <a:solidFill>
              <a:srgbClr val="FFBA01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DCF!$M$7:$V$7</c:f>
              <c:numCache>
                <c:formatCode>#,##0</c:formatCode>
                <c:ptCount val="10"/>
                <c:pt idx="0">
                  <c:v>26347.829298422432</c:v>
                </c:pt>
                <c:pt idx="1">
                  <c:v>28148.036368174315</c:v>
                </c:pt>
                <c:pt idx="2">
                  <c:v>29948.243437926198</c:v>
                </c:pt>
                <c:pt idx="3">
                  <c:v>31748.450507678081</c:v>
                </c:pt>
                <c:pt idx="4">
                  <c:v>33548.657577429971</c:v>
                </c:pt>
                <c:pt idx="5">
                  <c:v>35348.864647181857</c:v>
                </c:pt>
                <c:pt idx="6">
                  <c:v>37149.071716933744</c:v>
                </c:pt>
                <c:pt idx="7">
                  <c:v>38949.278786685631</c:v>
                </c:pt>
                <c:pt idx="8">
                  <c:v>40749.485856437517</c:v>
                </c:pt>
                <c:pt idx="9">
                  <c:v>42549.692926189397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8EB-4049-B89E-DB945BF5C79B}"/>
            </c:ext>
          </c:extLst>
        </c:ser>
        <c:ser>
          <c:idx val="4"/>
          <c:order val="4"/>
          <c:tx>
            <c:strRef>
              <c:f>DCF!$A$8</c:f>
              <c:strCache>
                <c:ptCount val="1"/>
                <c:pt idx="0">
                  <c:v>Search &amp; Ads</c:v>
                </c:pt>
              </c:strCache>
            </c:strRef>
          </c:tx>
          <c:spPr>
            <a:solidFill>
              <a:srgbClr val="FC0CEB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DCF!$M$8:$V$8</c:f>
              <c:numCache>
                <c:formatCode>#,##0</c:formatCode>
                <c:ptCount val="10"/>
                <c:pt idx="0">
                  <c:v>14842.3371131229</c:v>
                </c:pt>
                <c:pt idx="1">
                  <c:v>15806.674226245801</c:v>
                </c:pt>
                <c:pt idx="2">
                  <c:v>16771.011339368702</c:v>
                </c:pt>
                <c:pt idx="3">
                  <c:v>17735.348452491606</c:v>
                </c:pt>
                <c:pt idx="4">
                  <c:v>18699.685565614505</c:v>
                </c:pt>
                <c:pt idx="5">
                  <c:v>19664.022678737405</c:v>
                </c:pt>
                <c:pt idx="6">
                  <c:v>20628.359791860301</c:v>
                </c:pt>
                <c:pt idx="7">
                  <c:v>21592.696904983197</c:v>
                </c:pt>
                <c:pt idx="8">
                  <c:v>22557.0340181061</c:v>
                </c:pt>
                <c:pt idx="9">
                  <c:v>23521.371131229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8EB-4049-B89E-DB945BF5C79B}"/>
            </c:ext>
          </c:extLst>
        </c:ser>
        <c:ser>
          <c:idx val="5"/>
          <c:order val="5"/>
          <c:tx>
            <c:strRef>
              <c:f>DCF!$A$9</c:f>
              <c:strCache>
                <c:ptCount val="1"/>
                <c:pt idx="0">
                  <c:v>Enterprise Services</c:v>
                </c:pt>
              </c:strCache>
            </c:strRef>
          </c:tx>
          <c:spPr>
            <a:solidFill>
              <a:srgbClr val="BF67DB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DCF!$M$9:$V$9</c:f>
              <c:numCache>
                <c:formatCode>#,##0</c:formatCode>
                <c:ptCount val="10"/>
                <c:pt idx="0">
                  <c:v>8177.7238269152467</c:v>
                </c:pt>
                <c:pt idx="1">
                  <c:v>8470.4476538304934</c:v>
                </c:pt>
                <c:pt idx="2">
                  <c:v>8763.1714807457411</c:v>
                </c:pt>
                <c:pt idx="3">
                  <c:v>9055.8953076609869</c:v>
                </c:pt>
                <c:pt idx="4">
                  <c:v>9348.6191345762327</c:v>
                </c:pt>
                <c:pt idx="5">
                  <c:v>9641.3429614914803</c:v>
                </c:pt>
                <c:pt idx="6">
                  <c:v>9934.0667884067298</c:v>
                </c:pt>
                <c:pt idx="7">
                  <c:v>10226.790615321976</c:v>
                </c:pt>
                <c:pt idx="8">
                  <c:v>10519.514442237221</c:v>
                </c:pt>
                <c:pt idx="9">
                  <c:v>10812.238269152469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8EB-4049-B89E-DB945BF5C79B}"/>
            </c:ext>
          </c:extLst>
        </c:ser>
        <c:ser>
          <c:idx val="6"/>
          <c:order val="6"/>
          <c:tx>
            <c:strRef>
              <c:f>DCF!$A$10</c:f>
              <c:strCache>
                <c:ptCount val="1"/>
                <c:pt idx="0">
                  <c:v>Devices</c:v>
                </c:pt>
              </c:strCache>
            </c:strRef>
          </c:tx>
          <c:spPr>
            <a:solidFill>
              <a:srgbClr val="1901FF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DCF!$M$10:$V$10</c:f>
              <c:numCache>
                <c:formatCode>#,##0</c:formatCode>
                <c:ptCount val="10"/>
                <c:pt idx="0">
                  <c:v>5573.8916635496562</c:v>
                </c:pt>
                <c:pt idx="1">
                  <c:v>5650.2257394924864</c:v>
                </c:pt>
                <c:pt idx="2">
                  <c:v>5726.5598154353165</c:v>
                </c:pt>
                <c:pt idx="3">
                  <c:v>5802.8938913781476</c:v>
                </c:pt>
                <c:pt idx="4">
                  <c:v>5879.2279673209787</c:v>
                </c:pt>
                <c:pt idx="5">
                  <c:v>5955.5620432638088</c:v>
                </c:pt>
                <c:pt idx="6">
                  <c:v>6031.8961192066399</c:v>
                </c:pt>
                <c:pt idx="7">
                  <c:v>6108.230195149471</c:v>
                </c:pt>
                <c:pt idx="8">
                  <c:v>6184.5642710923012</c:v>
                </c:pt>
                <c:pt idx="9">
                  <c:v>6260.8983470351322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8EB-4049-B89E-DB945BF5C79B}"/>
            </c:ext>
          </c:extLst>
        </c:ser>
        <c:ser>
          <c:idx val="7"/>
          <c:order val="7"/>
          <c:tx>
            <c:strRef>
              <c:f>DCF!$A$12</c:f>
              <c:strCache>
                <c:ptCount val="1"/>
                <c:pt idx="0">
                  <c:v>LinkedIn</c:v>
                </c:pt>
              </c:strCache>
            </c:strRef>
          </c:tx>
          <c:spPr>
            <a:solidFill>
              <a:srgbClr val="747474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DCF!$M$12:$V$12</c:f>
              <c:numCache>
                <c:formatCode>#,##0</c:formatCode>
                <c:ptCount val="10"/>
                <c:pt idx="0">
                  <c:v>20625.023405802956</c:v>
                </c:pt>
                <c:pt idx="1">
                  <c:v>22634.204364639088</c:v>
                </c:pt>
                <c:pt idx="2">
                  <c:v>24643.385323475224</c:v>
                </c:pt>
                <c:pt idx="3">
                  <c:v>26652.56628231136</c:v>
                </c:pt>
                <c:pt idx="4">
                  <c:v>28661.747241147499</c:v>
                </c:pt>
                <c:pt idx="5">
                  <c:v>30670.928199983631</c:v>
                </c:pt>
                <c:pt idx="6">
                  <c:v>32680.109158819767</c:v>
                </c:pt>
                <c:pt idx="7">
                  <c:v>34689.290117655895</c:v>
                </c:pt>
                <c:pt idx="8">
                  <c:v>36698.471076492038</c:v>
                </c:pt>
                <c:pt idx="9">
                  <c:v>38707.652035328174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8EB-4049-B89E-DB945BF5C79B}"/>
            </c:ext>
          </c:extLst>
        </c:ser>
        <c:ser>
          <c:idx val="8"/>
          <c:order val="8"/>
          <c:tx>
            <c:strRef>
              <c:f>DCF!$A$13</c:f>
              <c:strCache>
                <c:ptCount val="1"/>
                <c:pt idx="0">
                  <c:v>Dynamics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DCF!$M$2:$V$2</c:f>
              <c:numCache>
                <c:formatCode>yyyy</c:formatCode>
                <c:ptCount val="10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  <c:pt idx="7">
                  <c:v>48944</c:v>
                </c:pt>
                <c:pt idx="8">
                  <c:v>49309</c:v>
                </c:pt>
                <c:pt idx="9">
                  <c:v>49674</c:v>
                </c:pt>
              </c:numCache>
            </c:numRef>
          </c:cat>
          <c:val>
            <c:numRef>
              <c:f>DCF!$M$13:$V$13</c:f>
              <c:numCache>
                <c:formatCode>#,##0</c:formatCode>
                <c:ptCount val="10"/>
                <c:pt idx="0">
                  <c:v>8743.3983641584637</c:v>
                </c:pt>
                <c:pt idx="1">
                  <c:v>9784.796728316931</c:v>
                </c:pt>
                <c:pt idx="2">
                  <c:v>10826.195092475398</c:v>
                </c:pt>
                <c:pt idx="3">
                  <c:v>11867.593456633866</c:v>
                </c:pt>
                <c:pt idx="4">
                  <c:v>12908.991820792333</c:v>
                </c:pt>
                <c:pt idx="5">
                  <c:v>13950.3901849508</c:v>
                </c:pt>
                <c:pt idx="6">
                  <c:v>14991.788549109267</c:v>
                </c:pt>
                <c:pt idx="7">
                  <c:v>16033.186913267735</c:v>
                </c:pt>
                <c:pt idx="8">
                  <c:v>17074.585277426202</c:v>
                </c:pt>
                <c:pt idx="9">
                  <c:v>18115.983641584669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8EB-4049-B89E-DB945BF5C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106288"/>
        <c:axId val="507094288"/>
        <c:extLst/>
      </c:barChart>
      <c:dateAx>
        <c:axId val="507106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7094288"/>
        <c:crosses val="autoZero"/>
        <c:auto val="1"/>
        <c:lblOffset val="100"/>
        <c:baseTimeUnit val="years"/>
      </c:dateAx>
      <c:valAx>
        <c:axId val="5070942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Revenue (Bn)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710628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0132041946376099E-2"/>
          <c:y val="9.1225439222190716E-2"/>
          <c:w val="0.41370607195681319"/>
          <c:h val="0.3401034181705719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183508</xdr:colOff>
      <xdr:row>2</xdr:row>
      <xdr:rowOff>123631</xdr:rowOff>
    </xdr:from>
    <xdr:to>
      <xdr:col>34</xdr:col>
      <xdr:colOff>136849</xdr:colOff>
      <xdr:row>19</xdr:row>
      <xdr:rowOff>170283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8A4E26-BB60-961E-D8DA-2D5374560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85230</xdr:colOff>
      <xdr:row>22</xdr:row>
      <xdr:rowOff>76200</xdr:rowOff>
    </xdr:from>
    <xdr:to>
      <xdr:col>33</xdr:col>
      <xdr:colOff>468086</xdr:colOff>
      <xdr:row>38</xdr:row>
      <xdr:rowOff>43543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92451F-BBCA-406D-809E-D8506E64A0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49474</xdr:colOff>
      <xdr:row>37</xdr:row>
      <xdr:rowOff>24837</xdr:rowOff>
    </xdr:from>
    <xdr:to>
      <xdr:col>40</xdr:col>
      <xdr:colOff>430986</xdr:colOff>
      <xdr:row>50</xdr:row>
      <xdr:rowOff>91990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796FF8DF-8DE6-841D-AFE6-00E2CD3EF9DD}"/>
            </a:ext>
          </a:extLst>
        </xdr:cNvPr>
        <xdr:cNvGrpSpPr/>
      </xdr:nvGrpSpPr>
      <xdr:grpSpPr>
        <a:xfrm>
          <a:off x="24656686" y="6290170"/>
          <a:ext cx="2813755" cy="2268487"/>
          <a:chOff x="15614168" y="9043424"/>
          <a:chExt cx="5227797" cy="4101657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308CB0C6-A60E-5F4C-3B0F-266B0326E07E}"/>
              </a:ext>
            </a:extLst>
          </xdr:cNvPr>
          <xdr:cNvGraphicFramePr/>
        </xdr:nvGraphicFramePr>
        <xdr:xfrm>
          <a:off x="15614168" y="9043424"/>
          <a:ext cx="5227797" cy="41016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9" name="Double Bracket 8">
            <a:extLst>
              <a:ext uri="{FF2B5EF4-FFF2-40B4-BE49-F238E27FC236}">
                <a16:creationId xmlns:a16="http://schemas.microsoft.com/office/drawing/2014/main" id="{AC701453-DDB7-4077-F13A-F9A2A9407D94}"/>
              </a:ext>
            </a:extLst>
          </xdr:cNvPr>
          <xdr:cNvSpPr/>
        </xdr:nvSpPr>
        <xdr:spPr>
          <a:xfrm rot="5400000">
            <a:off x="15320734" y="9820098"/>
            <a:ext cx="2348212" cy="1518780"/>
          </a:xfrm>
          <a:prstGeom prst="bracketPair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36</xdr:col>
      <xdr:colOff>64091</xdr:colOff>
      <xdr:row>50</xdr:row>
      <xdr:rowOff>97450</xdr:rowOff>
    </xdr:from>
    <xdr:to>
      <xdr:col>40</xdr:col>
      <xdr:colOff>443054</xdr:colOff>
      <xdr:row>63</xdr:row>
      <xdr:rowOff>140928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996FD5E-C2DF-4E46-986F-47D4975E0DF9}"/>
            </a:ext>
          </a:extLst>
        </xdr:cNvPr>
        <xdr:cNvGrpSpPr/>
      </xdr:nvGrpSpPr>
      <xdr:grpSpPr>
        <a:xfrm>
          <a:off x="24671303" y="8564117"/>
          <a:ext cx="2811206" cy="2260205"/>
          <a:chOff x="15643074" y="8999738"/>
          <a:chExt cx="5227796" cy="4101657"/>
        </a:xfrm>
      </xdr:grpSpPr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FD44F406-7328-760F-93D0-A0B2673E8460}"/>
              </a:ext>
            </a:extLst>
          </xdr:cNvPr>
          <xdr:cNvGraphicFramePr/>
        </xdr:nvGraphicFramePr>
        <xdr:xfrm>
          <a:off x="15643074" y="8999738"/>
          <a:ext cx="5227796" cy="41016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3" name="Double Bracket 12">
            <a:extLst>
              <a:ext uri="{FF2B5EF4-FFF2-40B4-BE49-F238E27FC236}">
                <a16:creationId xmlns:a16="http://schemas.microsoft.com/office/drawing/2014/main" id="{FB3D3FC1-6514-B361-12B5-3F657F2F2526}"/>
              </a:ext>
            </a:extLst>
          </xdr:cNvPr>
          <xdr:cNvSpPr/>
        </xdr:nvSpPr>
        <xdr:spPr>
          <a:xfrm rot="5400000">
            <a:off x="15447883" y="10162526"/>
            <a:ext cx="2956156" cy="2381014"/>
          </a:xfrm>
          <a:prstGeom prst="bracketPair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30</xdr:col>
      <xdr:colOff>298965</xdr:colOff>
      <xdr:row>40</xdr:row>
      <xdr:rowOff>136594</xdr:rowOff>
    </xdr:from>
    <xdr:to>
      <xdr:col>35</xdr:col>
      <xdr:colOff>85342</xdr:colOff>
      <xdr:row>47</xdr:row>
      <xdr:rowOff>40398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F3E03AE-701F-B315-F46B-41ECC3C30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273706</xdr:colOff>
      <xdr:row>54</xdr:row>
      <xdr:rowOff>19792</xdr:rowOff>
    </xdr:from>
    <xdr:to>
      <xdr:col>35</xdr:col>
      <xdr:colOff>60083</xdr:colOff>
      <xdr:row>60</xdr:row>
      <xdr:rowOff>84016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0E17B07-52BB-4FFC-8C9A-370D0269A9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304956</xdr:colOff>
      <xdr:row>47</xdr:row>
      <xdr:rowOff>89065</xdr:rowOff>
    </xdr:from>
    <xdr:to>
      <xdr:col>30</xdr:col>
      <xdr:colOff>91333</xdr:colOff>
      <xdr:row>53</xdr:row>
      <xdr:rowOff>153291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7DADAD1-30E7-46AC-A9FF-9478635A9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371914</xdr:colOff>
      <xdr:row>63</xdr:row>
      <xdr:rowOff>118982</xdr:rowOff>
    </xdr:from>
    <xdr:to>
      <xdr:col>37</xdr:col>
      <xdr:colOff>471305</xdr:colOff>
      <xdr:row>83</xdr:row>
      <xdr:rowOff>41678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5CBD87E-616A-4535-B681-EEAE5569BC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402764</xdr:colOff>
      <xdr:row>83</xdr:row>
      <xdr:rowOff>72582</xdr:rowOff>
    </xdr:from>
    <xdr:to>
      <xdr:col>37</xdr:col>
      <xdr:colOff>382391</xdr:colOff>
      <xdr:row>102</xdr:row>
      <xdr:rowOff>26720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ACAB4F9-BB1B-40DD-9A1B-A41AE68FD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560779</xdr:colOff>
      <xdr:row>103</xdr:row>
      <xdr:rowOff>13731</xdr:rowOff>
    </xdr:from>
    <xdr:to>
      <xdr:col>37</xdr:col>
      <xdr:colOff>127001</xdr:colOff>
      <xdr:row>122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E16389C4-0D7B-466C-959F-20B507F03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238496</xdr:colOff>
      <xdr:row>122</xdr:row>
      <xdr:rowOff>36285</xdr:rowOff>
    </xdr:from>
    <xdr:to>
      <xdr:col>37</xdr:col>
      <xdr:colOff>36287</xdr:colOff>
      <xdr:row>143</xdr:row>
      <xdr:rowOff>18141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D5EB90B-C411-4906-A617-62FFDC87A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0.89727</cdr:x>
      <cdr:y>0.6669</cdr:y>
    </cdr:from>
    <cdr:to>
      <cdr:x>0.98056</cdr:x>
      <cdr:y>0.78867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C77DF079-2361-CC45-E4D1-2F180C7D1ACA}"/>
            </a:ext>
          </a:extLst>
        </cdr:cNvPr>
        <cdr:cNvSpPr txBox="1"/>
      </cdr:nvSpPr>
      <cdr:spPr>
        <a:xfrm xmlns:a="http://schemas.openxmlformats.org/drawingml/2006/main">
          <a:off x="4880941" y="1860550"/>
          <a:ext cx="453059" cy="3397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WACC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0.12459</cdr:x>
      <cdr:y>0.23888</cdr:y>
    </cdr:from>
    <cdr:to>
      <cdr:x>0.22693</cdr:x>
      <cdr:y>0.29262</cdr:y>
    </cdr:to>
    <cdr:sp macro="" textlink="">
      <cdr:nvSpPr>
        <cdr:cNvPr id="2" name="Minus Sign 1">
          <a:extLst xmlns:a="http://schemas.openxmlformats.org/drawingml/2006/main">
            <a:ext uri="{FF2B5EF4-FFF2-40B4-BE49-F238E27FC236}">
              <a16:creationId xmlns:a16="http://schemas.microsoft.com/office/drawing/2014/main" id="{70755882-3954-0EF5-8E25-83B8F765C89C}"/>
            </a:ext>
          </a:extLst>
        </cdr:cNvPr>
        <cdr:cNvSpPr/>
      </cdr:nvSpPr>
      <cdr:spPr>
        <a:xfrm xmlns:a="http://schemas.openxmlformats.org/drawingml/2006/main">
          <a:off x="351908" y="543702"/>
          <a:ext cx="289086" cy="122324"/>
        </a:xfrm>
        <a:prstGeom xmlns:a="http://schemas.openxmlformats.org/drawingml/2006/main" prst="mathMinus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0.12426</cdr:x>
      <cdr:y>0.49381</cdr:y>
    </cdr:from>
    <cdr:to>
      <cdr:x>0.2266</cdr:x>
      <cdr:y>0.54756</cdr:y>
    </cdr:to>
    <cdr:sp macro="" textlink="">
      <cdr:nvSpPr>
        <cdr:cNvPr id="3" name="Minus Sign 2">
          <a:extLst xmlns:a="http://schemas.openxmlformats.org/drawingml/2006/main">
            <a:ext uri="{FF2B5EF4-FFF2-40B4-BE49-F238E27FC236}">
              <a16:creationId xmlns:a16="http://schemas.microsoft.com/office/drawing/2014/main" id="{A48CACE6-6F0E-12EF-3AD3-3E63601DE642}"/>
            </a:ext>
          </a:extLst>
        </cdr:cNvPr>
        <cdr:cNvSpPr/>
      </cdr:nvSpPr>
      <cdr:spPr>
        <a:xfrm xmlns:a="http://schemas.openxmlformats.org/drawingml/2006/main">
          <a:off x="350985" y="1123935"/>
          <a:ext cx="289086" cy="122324"/>
        </a:xfrm>
        <a:prstGeom xmlns:a="http://schemas.openxmlformats.org/drawingml/2006/main" prst="mathMinus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0.14298</cdr:x>
      <cdr:y>0.7008</cdr:y>
    </cdr:from>
    <cdr:to>
      <cdr:x>0.21068</cdr:x>
      <cdr:y>0.79038</cdr:y>
    </cdr:to>
    <cdr:sp macro="" textlink="">
      <cdr:nvSpPr>
        <cdr:cNvPr id="4" name="Multiplication Sign 3">
          <a:extLst xmlns:a="http://schemas.openxmlformats.org/drawingml/2006/main">
            <a:ext uri="{FF2B5EF4-FFF2-40B4-BE49-F238E27FC236}">
              <a16:creationId xmlns:a16="http://schemas.microsoft.com/office/drawing/2014/main" id="{801528CC-7E97-F9DD-3544-68598D0C8380}"/>
            </a:ext>
          </a:extLst>
        </cdr:cNvPr>
        <cdr:cNvSpPr/>
      </cdr:nvSpPr>
      <cdr:spPr>
        <a:xfrm xmlns:a="http://schemas.openxmlformats.org/drawingml/2006/main">
          <a:off x="403864" y="1595061"/>
          <a:ext cx="191242" cy="203872"/>
        </a:xfrm>
        <a:prstGeom xmlns:a="http://schemas.openxmlformats.org/drawingml/2006/main" prst="mathMultiply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0.20286</cdr:x>
      <cdr:y>0.4133</cdr:y>
    </cdr:from>
    <cdr:to>
      <cdr:x>0.30377</cdr:x>
      <cdr:y>0.5165</cdr:y>
    </cdr:to>
    <cdr:sp macro="" textlink="">
      <cdr:nvSpPr>
        <cdr:cNvPr id="6" name="Plus Sign 5">
          <a:extLst xmlns:a="http://schemas.openxmlformats.org/drawingml/2006/main">
            <a:ext uri="{FF2B5EF4-FFF2-40B4-BE49-F238E27FC236}">
              <a16:creationId xmlns:a16="http://schemas.microsoft.com/office/drawing/2014/main" id="{F81021E7-B327-2915-3EA6-C7936B5ADFEC}"/>
            </a:ext>
          </a:extLst>
        </cdr:cNvPr>
        <cdr:cNvSpPr/>
      </cdr:nvSpPr>
      <cdr:spPr>
        <a:xfrm xmlns:a="http://schemas.openxmlformats.org/drawingml/2006/main">
          <a:off x="576345" y="914490"/>
          <a:ext cx="286682" cy="228365"/>
        </a:xfrm>
        <a:prstGeom xmlns:a="http://schemas.openxmlformats.org/drawingml/2006/main" prst="mathPlus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0.20074</cdr:x>
      <cdr:y>0.63239</cdr:y>
    </cdr:from>
    <cdr:to>
      <cdr:x>0.30164</cdr:x>
      <cdr:y>0.7356</cdr:y>
    </cdr:to>
    <cdr:sp macro="" textlink="">
      <cdr:nvSpPr>
        <cdr:cNvPr id="7" name="Plus Sign 6">
          <a:extLst xmlns:a="http://schemas.openxmlformats.org/drawingml/2006/main">
            <a:ext uri="{FF2B5EF4-FFF2-40B4-BE49-F238E27FC236}">
              <a16:creationId xmlns:a16="http://schemas.microsoft.com/office/drawing/2014/main" id="{24185FE6-768D-338B-BF97-579CB1641510}"/>
            </a:ext>
          </a:extLst>
        </cdr:cNvPr>
        <cdr:cNvSpPr/>
      </cdr:nvSpPr>
      <cdr:spPr>
        <a:xfrm xmlns:a="http://schemas.openxmlformats.org/drawingml/2006/main">
          <a:off x="570320" y="1399271"/>
          <a:ext cx="286681" cy="228365"/>
        </a:xfrm>
        <a:prstGeom xmlns:a="http://schemas.openxmlformats.org/drawingml/2006/main" prst="mathPlus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0.17613</cdr:x>
      <cdr:y>0.07561</cdr:y>
    </cdr:from>
    <cdr:to>
      <cdr:x>0.30056</cdr:x>
      <cdr:y>0.18551</cdr:y>
    </cdr:to>
    <cdr:sp macro="" textlink="">
      <cdr:nvSpPr>
        <cdr:cNvPr id="8" name="Division Sign 7">
          <a:extLst xmlns:a="http://schemas.openxmlformats.org/drawingml/2006/main">
            <a:ext uri="{FF2B5EF4-FFF2-40B4-BE49-F238E27FC236}">
              <a16:creationId xmlns:a16="http://schemas.microsoft.com/office/drawing/2014/main" id="{3A8257FC-F94A-E9AF-F70C-BDCA80084816}"/>
            </a:ext>
          </a:extLst>
        </cdr:cNvPr>
        <cdr:cNvSpPr/>
      </cdr:nvSpPr>
      <cdr:spPr>
        <a:xfrm xmlns:a="http://schemas.openxmlformats.org/drawingml/2006/main">
          <a:off x="497646" y="169127"/>
          <a:ext cx="351550" cy="245818"/>
        </a:xfrm>
        <a:prstGeom xmlns:a="http://schemas.openxmlformats.org/drawingml/2006/main" prst="mathDivid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0.10148</cdr:x>
      <cdr:y>0.0511</cdr:y>
    </cdr:from>
    <cdr:to>
      <cdr:x>0.23696</cdr:x>
      <cdr:y>0.16471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7F2F08B7-1CD5-037E-FCA6-697D78B29E30}"/>
            </a:ext>
          </a:extLst>
        </cdr:cNvPr>
        <cdr:cNvSpPr txBox="1"/>
      </cdr:nvSpPr>
      <cdr:spPr>
        <a:xfrm xmlns:a="http://schemas.openxmlformats.org/drawingml/2006/main">
          <a:off x="286716" y="114300"/>
          <a:ext cx="382798" cy="2541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400" b="1" kern="12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en-US" sz="1800" b="1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179259</xdr:colOff>
      <xdr:row>9</xdr:row>
      <xdr:rowOff>104151</xdr:rowOff>
    </xdr:from>
    <xdr:to>
      <xdr:col>29</xdr:col>
      <xdr:colOff>431789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14765B-4D3B-72BC-9A11-1AC4B1B9E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318916</xdr:colOff>
      <xdr:row>9</xdr:row>
      <xdr:rowOff>117933</xdr:rowOff>
    </xdr:from>
    <xdr:to>
      <xdr:col>38</xdr:col>
      <xdr:colOff>357423</xdr:colOff>
      <xdr:row>30</xdr:row>
      <xdr:rowOff>153657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999BFF-4450-17AA-88B6-A83E413F3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575241</xdr:colOff>
      <xdr:row>33</xdr:row>
      <xdr:rowOff>57150</xdr:rowOff>
    </xdr:from>
    <xdr:to>
      <xdr:col>37</xdr:col>
      <xdr:colOff>152401</xdr:colOff>
      <xdr:row>48</xdr:row>
      <xdr:rowOff>126352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DED303B-A088-145A-EA43-39AD8FA4C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580030</xdr:colOff>
      <xdr:row>34</xdr:row>
      <xdr:rowOff>22747</xdr:rowOff>
    </xdr:from>
    <xdr:to>
      <xdr:col>28</xdr:col>
      <xdr:colOff>420806</xdr:colOff>
      <xdr:row>59</xdr:row>
      <xdr:rowOff>22746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D6ADEA4-4682-4E11-BAE2-0E0A28785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0.1738</cdr:x>
      <cdr:y>0.5801</cdr:y>
    </cdr:from>
    <cdr:to>
      <cdr:x>0.91277</cdr:x>
      <cdr:y>0.82135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9EF2B039-4E8A-F0C1-8699-1D59F62E5DF9}"/>
            </a:ext>
          </a:extLst>
        </cdr:cNvPr>
        <cdr:cNvCxnSpPr/>
      </cdr:nvCxnSpPr>
      <cdr:spPr>
        <a:xfrm xmlns:a="http://schemas.openxmlformats.org/drawingml/2006/main" flipV="1">
          <a:off x="1305730" y="2413861"/>
          <a:ext cx="5551714" cy="1003905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chemeClr val="tx1">
              <a:lumMod val="85000"/>
              <a:lumOff val="1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0.82923</cdr:x>
      <cdr:y>0.59629</cdr:y>
    </cdr:from>
    <cdr:to>
      <cdr:x>0.94363</cdr:x>
      <cdr:y>0.77531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E020954-5EBF-B6BF-1C54-0D1DC7E567E0}"/>
            </a:ext>
          </a:extLst>
        </cdr:cNvPr>
        <cdr:cNvSpPr txBox="1"/>
      </cdr:nvSpPr>
      <cdr:spPr>
        <a:xfrm xmlns:a="http://schemas.openxmlformats.org/drawingml/2006/main">
          <a:off x="6275419" y="2434583"/>
          <a:ext cx="865718" cy="7309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400" b="1" kern="1200"/>
            <a:t>Cloud 20%</a:t>
          </a:r>
          <a:br>
            <a:rPr lang="en-US" sz="1400" b="1" kern="1200"/>
          </a:br>
          <a:r>
            <a:rPr lang="en-US" sz="1400" b="1" kern="1200"/>
            <a:t> CAGR</a:t>
          </a:r>
        </a:p>
      </cdr:txBody>
    </cdr:sp>
  </cdr:relSizeAnchor>
  <cdr:relSizeAnchor xmlns:cdr="http://schemas.openxmlformats.org/drawingml/2006/chartDrawing">
    <cdr:from>
      <cdr:x>0.17331</cdr:x>
      <cdr:y>0.15773</cdr:y>
    </cdr:from>
    <cdr:to>
      <cdr:x>0.90885</cdr:x>
      <cdr:y>0.63714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95E764D9-B168-3281-02E6-D10B93719CF0}"/>
            </a:ext>
          </a:extLst>
        </cdr:cNvPr>
        <cdr:cNvCxnSpPr/>
      </cdr:nvCxnSpPr>
      <cdr:spPr>
        <a:xfrm xmlns:a="http://schemas.openxmlformats.org/drawingml/2006/main" flipV="1">
          <a:off x="1311564" y="643995"/>
          <a:ext cx="5566336" cy="1957394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chemeClr val="tx1">
              <a:lumMod val="85000"/>
              <a:lumOff val="1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0.77196</cdr:x>
      <cdr:y>0.07352</cdr:y>
    </cdr:from>
    <cdr:to>
      <cdr:x>0.88636</cdr:x>
      <cdr:y>0.25255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6ADC765E-622D-28BD-B8E5-553BE4ADB033}"/>
            </a:ext>
          </a:extLst>
        </cdr:cNvPr>
        <cdr:cNvSpPr txBox="1"/>
      </cdr:nvSpPr>
      <cdr:spPr>
        <a:xfrm xmlns:a="http://schemas.openxmlformats.org/drawingml/2006/main">
          <a:off x="5842001" y="300182"/>
          <a:ext cx="865718" cy="7309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 kern="1200"/>
            <a:t>Revenue 12%</a:t>
          </a:r>
          <a:br>
            <a:rPr lang="en-US" sz="1400" b="1" kern="1200"/>
          </a:br>
          <a:r>
            <a:rPr lang="en-US" sz="1400" b="1" kern="1200"/>
            <a:t> CAGR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42454</xdr:colOff>
      <xdr:row>6</xdr:row>
      <xdr:rowOff>95248</xdr:rowOff>
    </xdr:from>
    <xdr:to>
      <xdr:col>22</xdr:col>
      <xdr:colOff>249382</xdr:colOff>
      <xdr:row>28</xdr:row>
      <xdr:rowOff>-1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50F6DE-E2C5-5CC7-BA98-DBEBC873D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582706</xdr:colOff>
      <xdr:row>0</xdr:row>
      <xdr:rowOff>30480</xdr:rowOff>
    </xdr:from>
    <xdr:to>
      <xdr:col>12</xdr:col>
      <xdr:colOff>7620</xdr:colOff>
      <xdr:row>135</xdr:row>
      <xdr:rowOff>67236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3BF25E3-0586-4E22-46C0-08AEA79C4831}"/>
            </a:ext>
          </a:extLst>
        </xdr:cNvPr>
        <xdr:cNvCxnSpPr/>
      </xdr:nvCxnSpPr>
      <xdr:spPr>
        <a:xfrm flipH="1">
          <a:off x="10130118" y="30480"/>
          <a:ext cx="41237" cy="215184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342899</xdr:colOff>
      <xdr:row>58</xdr:row>
      <xdr:rowOff>57150</xdr:rowOff>
    </xdr:from>
    <xdr:to>
      <xdr:col>25</xdr:col>
      <xdr:colOff>495299</xdr:colOff>
      <xdr:row>79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2653B2E-89FC-4674-BAAD-95A4EF0A8A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375395</xdr:colOff>
      <xdr:row>78</xdr:row>
      <xdr:rowOff>95251</xdr:rowOff>
    </xdr:from>
    <xdr:to>
      <xdr:col>25</xdr:col>
      <xdr:colOff>527795</xdr:colOff>
      <xdr:row>99</xdr:row>
      <xdr:rowOff>95251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2768D29-BC5B-43D5-A424-812229E8B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110049</xdr:colOff>
      <xdr:row>26</xdr:row>
      <xdr:rowOff>114238</xdr:rowOff>
    </xdr:from>
    <xdr:to>
      <xdr:col>25</xdr:col>
      <xdr:colOff>131069</xdr:colOff>
      <xdr:row>56</xdr:row>
      <xdr:rowOff>93218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EBAB7A3-BA1D-48C5-A322-2961ED51C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0.17392</cdr:x>
      <cdr:y>0.44551</cdr:y>
    </cdr:from>
    <cdr:to>
      <cdr:x>0.90656</cdr:x>
      <cdr:y>0.74405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9EF2B039-4E8A-F0C1-8699-1D59F62E5DF9}"/>
            </a:ext>
          </a:extLst>
        </cdr:cNvPr>
        <cdr:cNvCxnSpPr/>
      </cdr:nvCxnSpPr>
      <cdr:spPr>
        <a:xfrm xmlns:a="http://schemas.openxmlformats.org/drawingml/2006/main" flipV="1">
          <a:off x="1367171" y="1626339"/>
          <a:ext cx="5759302" cy="1089837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chemeClr val="tx1">
              <a:lumMod val="85000"/>
              <a:lumOff val="1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0.81458</cdr:x>
      <cdr:y>0.50648</cdr:y>
    </cdr:from>
    <cdr:to>
      <cdr:x>0.92898</cdr:x>
      <cdr:y>0.6855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E020954-5EBF-B6BF-1C54-0D1DC7E567E0}"/>
            </a:ext>
          </a:extLst>
        </cdr:cNvPr>
        <cdr:cNvSpPr txBox="1"/>
      </cdr:nvSpPr>
      <cdr:spPr>
        <a:xfrm xmlns:a="http://schemas.openxmlformats.org/drawingml/2006/main">
          <a:off x="6403395" y="1848926"/>
          <a:ext cx="899299" cy="653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400" b="1" kern="1200"/>
            <a:t>Cloud 14%</a:t>
          </a:r>
          <a:br>
            <a:rPr lang="en-US" sz="1400" b="1" kern="1200"/>
          </a:br>
          <a:r>
            <a:rPr lang="en-US" sz="1400" b="1" kern="1200"/>
            <a:t> CAGR</a:t>
          </a:r>
        </a:p>
      </cdr:txBody>
    </cdr:sp>
  </cdr:relSizeAnchor>
  <cdr:relSizeAnchor xmlns:cdr="http://schemas.openxmlformats.org/drawingml/2006/chartDrawing">
    <cdr:from>
      <cdr:x>0.15476</cdr:x>
      <cdr:y>0.13483</cdr:y>
    </cdr:from>
    <cdr:to>
      <cdr:x>0.92459</cdr:x>
      <cdr:y>0.55716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95E764D9-B168-3281-02E6-D10B93719CF0}"/>
            </a:ext>
          </a:extLst>
        </cdr:cNvPr>
        <cdr:cNvCxnSpPr/>
      </cdr:nvCxnSpPr>
      <cdr:spPr>
        <a:xfrm xmlns:a="http://schemas.openxmlformats.org/drawingml/2006/main" flipV="1">
          <a:off x="1216543" y="492199"/>
          <a:ext cx="6051698" cy="1541721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chemeClr val="tx1">
              <a:lumMod val="85000"/>
              <a:lumOff val="1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0.73026</cdr:x>
      <cdr:y>0.05653</cdr:y>
    </cdr:from>
    <cdr:to>
      <cdr:x>0.84466</cdr:x>
      <cdr:y>0.23556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6ADC765E-622D-28BD-B8E5-553BE4ADB033}"/>
            </a:ext>
          </a:extLst>
        </cdr:cNvPr>
        <cdr:cNvSpPr txBox="1"/>
      </cdr:nvSpPr>
      <cdr:spPr>
        <a:xfrm xmlns:a="http://schemas.openxmlformats.org/drawingml/2006/main">
          <a:off x="5754213" y="207491"/>
          <a:ext cx="901440" cy="657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 kern="1200"/>
            <a:t>Revenue 10%</a:t>
          </a:r>
          <a:br>
            <a:rPr lang="en-US" sz="1400" b="1" kern="1200"/>
          </a:br>
          <a:r>
            <a:rPr lang="en-US" sz="1400" b="1" kern="1200"/>
            <a:t> CAGR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0.1788</cdr:x>
      <cdr:y>0.5801</cdr:y>
    </cdr:from>
    <cdr:to>
      <cdr:x>0.91277</cdr:x>
      <cdr:y>0.69121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9EF2B039-4E8A-F0C1-8699-1D59F62E5DF9}"/>
            </a:ext>
          </a:extLst>
        </cdr:cNvPr>
        <cdr:cNvCxnSpPr/>
      </cdr:nvCxnSpPr>
      <cdr:spPr>
        <a:xfrm xmlns:a="http://schemas.openxmlformats.org/drawingml/2006/main" flipV="1">
          <a:off x="1405559" y="2076542"/>
          <a:ext cx="5769731" cy="397742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chemeClr val="tx1">
              <a:lumMod val="85000"/>
              <a:lumOff val="1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0.82923</cdr:x>
      <cdr:y>0.59629</cdr:y>
    </cdr:from>
    <cdr:to>
      <cdr:x>0.94363</cdr:x>
      <cdr:y>0.77531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E020954-5EBF-B6BF-1C54-0D1DC7E567E0}"/>
            </a:ext>
          </a:extLst>
        </cdr:cNvPr>
        <cdr:cNvSpPr txBox="1"/>
      </cdr:nvSpPr>
      <cdr:spPr>
        <a:xfrm xmlns:a="http://schemas.openxmlformats.org/drawingml/2006/main">
          <a:off x="6275419" y="2434583"/>
          <a:ext cx="865718" cy="7309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400" b="1" kern="1200"/>
            <a:t>Cloud 6%</a:t>
          </a:r>
          <a:br>
            <a:rPr lang="en-US" sz="1400" b="1" kern="1200"/>
          </a:br>
          <a:r>
            <a:rPr lang="en-US" sz="1400" b="1" kern="1200"/>
            <a:t> CAGR</a:t>
          </a:r>
        </a:p>
      </cdr:txBody>
    </cdr:sp>
  </cdr:relSizeAnchor>
  <cdr:relSizeAnchor xmlns:cdr="http://schemas.openxmlformats.org/drawingml/2006/chartDrawing">
    <cdr:from>
      <cdr:x>0.14837</cdr:x>
      <cdr:y>0.20111</cdr:y>
    </cdr:from>
    <cdr:to>
      <cdr:x>0.92271</cdr:x>
      <cdr:y>0.46597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95E764D9-B168-3281-02E6-D10B93719CF0}"/>
            </a:ext>
          </a:extLst>
        </cdr:cNvPr>
        <cdr:cNvCxnSpPr/>
      </cdr:nvCxnSpPr>
      <cdr:spPr>
        <a:xfrm xmlns:a="http://schemas.openxmlformats.org/drawingml/2006/main" flipV="1">
          <a:off x="1166326" y="719912"/>
          <a:ext cx="6087140" cy="948070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chemeClr val="tx1">
              <a:lumMod val="85000"/>
              <a:lumOff val="1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0.77196</cdr:x>
      <cdr:y>0.07352</cdr:y>
    </cdr:from>
    <cdr:to>
      <cdr:x>0.88636</cdr:x>
      <cdr:y>0.25255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6ADC765E-622D-28BD-B8E5-553BE4ADB033}"/>
            </a:ext>
          </a:extLst>
        </cdr:cNvPr>
        <cdr:cNvSpPr txBox="1"/>
      </cdr:nvSpPr>
      <cdr:spPr>
        <a:xfrm xmlns:a="http://schemas.openxmlformats.org/drawingml/2006/main">
          <a:off x="5842001" y="300182"/>
          <a:ext cx="865718" cy="7309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 kern="1200"/>
            <a:t>Revenue 5%</a:t>
          </a:r>
          <a:br>
            <a:rPr lang="en-US" sz="1400" b="1" kern="1200"/>
          </a:br>
          <a:r>
            <a:rPr lang="en-US" sz="1400" b="1" kern="1200"/>
            <a:t> CAGR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0.17261</cdr:x>
      <cdr:y>0.52616</cdr:y>
    </cdr:from>
    <cdr:to>
      <cdr:x>0.9028</cdr:x>
      <cdr:y>0.70792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9EF2B039-4E8A-F0C1-8699-1D59F62E5DF9}"/>
            </a:ext>
          </a:extLst>
        </cdr:cNvPr>
        <cdr:cNvCxnSpPr/>
      </cdr:nvCxnSpPr>
      <cdr:spPr>
        <a:xfrm xmlns:a="http://schemas.openxmlformats.org/drawingml/2006/main" flipV="1">
          <a:off x="1334207" y="1923669"/>
          <a:ext cx="5644116" cy="664535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chemeClr val="tx1">
              <a:lumMod val="85000"/>
              <a:lumOff val="1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0.82923</cdr:x>
      <cdr:y>0.59629</cdr:y>
    </cdr:from>
    <cdr:to>
      <cdr:x>0.94363</cdr:x>
      <cdr:y>0.77531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E020954-5EBF-B6BF-1C54-0D1DC7E567E0}"/>
            </a:ext>
          </a:extLst>
        </cdr:cNvPr>
        <cdr:cNvSpPr txBox="1"/>
      </cdr:nvSpPr>
      <cdr:spPr>
        <a:xfrm xmlns:a="http://schemas.openxmlformats.org/drawingml/2006/main">
          <a:off x="6275419" y="2434583"/>
          <a:ext cx="865718" cy="7309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400" b="1" kern="1200"/>
            <a:t>Cloud 7%</a:t>
          </a:r>
          <a:br>
            <a:rPr lang="en-US" sz="1400" b="1" kern="1200"/>
          </a:br>
          <a:r>
            <a:rPr lang="en-US" sz="1400" b="1" kern="1200"/>
            <a:t> CAGR</a:t>
          </a:r>
        </a:p>
      </cdr:txBody>
    </cdr:sp>
  </cdr:relSizeAnchor>
  <cdr:relSizeAnchor xmlns:cdr="http://schemas.openxmlformats.org/drawingml/2006/chartDrawing">
    <cdr:from>
      <cdr:x>0.16</cdr:x>
      <cdr:y>0.11174</cdr:y>
    </cdr:from>
    <cdr:to>
      <cdr:x>0.91427</cdr:x>
      <cdr:y>0.42922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95E764D9-B168-3281-02E6-D10B93719CF0}"/>
            </a:ext>
          </a:extLst>
        </cdr:cNvPr>
        <cdr:cNvCxnSpPr/>
      </cdr:nvCxnSpPr>
      <cdr:spPr>
        <a:xfrm xmlns:a="http://schemas.openxmlformats.org/drawingml/2006/main" flipV="1">
          <a:off x="1236742" y="408529"/>
          <a:ext cx="5830186" cy="1160721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chemeClr val="tx1">
              <a:lumMod val="85000"/>
              <a:lumOff val="1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0.75505</cdr:x>
      <cdr:y>0.02207</cdr:y>
    </cdr:from>
    <cdr:to>
      <cdr:x>0.86945</cdr:x>
      <cdr:y>0.2011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6ADC765E-622D-28BD-B8E5-553BE4ADB033}"/>
            </a:ext>
          </a:extLst>
        </cdr:cNvPr>
        <cdr:cNvSpPr txBox="1"/>
      </cdr:nvSpPr>
      <cdr:spPr>
        <a:xfrm xmlns:a="http://schemas.openxmlformats.org/drawingml/2006/main">
          <a:off x="5850382" y="80773"/>
          <a:ext cx="886410" cy="6552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 kern="1200"/>
            <a:t>Revenue 6%</a:t>
          </a:r>
          <a:br>
            <a:rPr lang="en-US" sz="1400" b="1" kern="1200"/>
          </a:br>
          <a:r>
            <a:rPr lang="en-US" sz="1400" b="1" kern="1200"/>
            <a:t> CAGR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Inv.xlsx" TargetMode="External"/><Relationship Id="rId1" Type="http://schemas.openxmlformats.org/officeDocument/2006/relationships/externalLinkPath" Target="In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GOOGL"/>
      <sheetName val="META"/>
      <sheetName val="MSFT"/>
      <sheetName val="AMZN"/>
      <sheetName val="AAPL"/>
      <sheetName val="BIDU"/>
      <sheetName val="IBM FA"/>
      <sheetName val="IBM"/>
    </sheetNames>
    <sheetDataSet>
      <sheetData sheetId="0">
        <row r="15">
          <cell r="C15">
            <v>525.99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FD6AA9-F143-4DB8-9484-A03E5B540E22}" name="Table1" displayName="Table1" ref="A1:H36" totalsRowShown="0">
  <autoFilter ref="A1:H36" xr:uid="{F8FD6AA9-F143-4DB8-9484-A03E5B540E22}"/>
  <tableColumns count="8">
    <tableColumn id="1" xr3:uid="{6BA0395E-7A50-41E5-818A-11CB71BFD796}" name="Timeline" dataDxfId="4"/>
    <tableColumn id="2" xr3:uid="{CA9DF90B-DC10-4B18-B848-E874089B297E}" name="Total Revenue" dataDxfId="3"/>
    <tableColumn id="3" xr3:uid="{031B5CD9-0DB5-4760-86EF-93654194A371}" name="Forecast(Total Revenue)"/>
    <tableColumn id="4" xr3:uid="{01A985BA-E25E-45C4-8708-E282424D7931}" name="Lower Confidence Bound(Total Revenue)"/>
    <tableColumn id="5" xr3:uid="{D2A143B4-B24F-44AE-B176-38B3D18CA74D}" name="Upper Confidence Bound(Total Revenue)"/>
    <tableColumn id="6" xr3:uid="{EEC8A846-AD9A-4891-A24B-D136D34E517C}" name="Shade base" dataDxfId="2">
      <calculatedColumnFormula>MIN(Table1[[#This Row],[Lower Confidence Bound(Total Revenue)]:[Upper Confidence Bound(Total Revenue)]])</calculatedColumnFormula>
    </tableColumn>
    <tableColumn id="11" xr3:uid="{CCC9D251-3E61-4B9C-9C96-B8D37D3F42E7}" name="Column1" dataDxfId="1">
      <calculatedColumnFormula>Table1[[#This Row],[Forecast(Total Revenue)]]-Table1[[#This Row],[Shade base]]</calculatedColumnFormula>
    </tableColumn>
    <tableColumn id="7" xr3:uid="{A274FD82-C1BA-433E-8A70-BB8AF04C83A5}" name="shade gap" dataDxfId="0">
      <calculatedColumnFormula>MAX(Table1[[#This Row],[Upper Confidence Bound(Total Revenue)]],Table1[[#This Row],[Lower Confidence Bound(Total Revenue)]])-Table1[[#This Row],[Shade base]]-Table1[[#This Row],[Column1]]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D35BB-8D7F-4703-B3B2-8BF7565BE31E}">
  <dimension ref="A2:AN131"/>
  <sheetViews>
    <sheetView tabSelected="1" zoomScale="99" zoomScaleNormal="99" workbookViewId="0">
      <pane xSplit="2" ySplit="2" topLeftCell="G85" activePane="bottomRight" state="frozen"/>
      <selection pane="topRight" activeCell="C1" sqref="C1"/>
      <selection pane="bottomLeft" activeCell="A3" sqref="A3"/>
      <selection pane="bottomRight" activeCell="L107" sqref="L107"/>
    </sheetView>
  </sheetViews>
  <sheetFormatPr defaultRowHeight="13.2" x14ac:dyDescent="0.25"/>
  <cols>
    <col min="1" max="1" width="8.88671875" style="1"/>
    <col min="2" max="2" width="41.21875" style="1" bestFit="1" customWidth="1"/>
    <col min="3" max="3" width="10.109375" style="1" bestFit="1" customWidth="1"/>
    <col min="4" max="13" width="9" style="1" bestFit="1" customWidth="1"/>
    <col min="14" max="20" width="9.5546875" style="1" bestFit="1" customWidth="1"/>
    <col min="21" max="21" width="8.88671875" style="1"/>
    <col min="22" max="22" width="9.109375" style="1" bestFit="1" customWidth="1"/>
    <col min="23" max="16384" width="8.88671875" style="1"/>
  </cols>
  <sheetData>
    <row r="2" spans="1:40" x14ac:dyDescent="0.25">
      <c r="B2" s="32" t="s">
        <v>681</v>
      </c>
      <c r="C2" s="46">
        <v>39813</v>
      </c>
      <c r="D2" s="46">
        <v>40178</v>
      </c>
      <c r="E2" s="46">
        <v>40543</v>
      </c>
      <c r="F2" s="46">
        <v>40908</v>
      </c>
      <c r="G2" s="46">
        <v>41274</v>
      </c>
      <c r="H2" s="46">
        <v>41639</v>
      </c>
      <c r="I2" s="46">
        <v>42004</v>
      </c>
      <c r="J2" s="46">
        <v>42369</v>
      </c>
      <c r="K2" s="46">
        <v>42735</v>
      </c>
      <c r="L2" s="46">
        <v>43100</v>
      </c>
      <c r="M2" s="46">
        <v>43465</v>
      </c>
      <c r="N2" s="46">
        <v>43830</v>
      </c>
      <c r="O2" s="46">
        <v>44196</v>
      </c>
      <c r="P2" s="46">
        <v>44561</v>
      </c>
      <c r="Q2" s="46">
        <v>44926</v>
      </c>
      <c r="R2" s="46">
        <v>45291</v>
      </c>
      <c r="S2" s="46">
        <v>45657</v>
      </c>
      <c r="T2" s="46">
        <v>46022</v>
      </c>
    </row>
    <row r="3" spans="1:40" s="33" customFormat="1" x14ac:dyDescent="0.25">
      <c r="A3" s="1"/>
      <c r="B3" s="1" t="s">
        <v>531</v>
      </c>
      <c r="C3" s="33">
        <v>60420</v>
      </c>
      <c r="D3" s="33">
        <v>58437</v>
      </c>
      <c r="E3" s="33">
        <v>62484</v>
      </c>
      <c r="F3" s="33">
        <v>69943</v>
      </c>
      <c r="G3" s="33">
        <v>73723</v>
      </c>
      <c r="H3" s="33">
        <v>77849</v>
      </c>
      <c r="I3" s="33">
        <v>86833</v>
      </c>
      <c r="J3" s="33">
        <v>93580</v>
      </c>
      <c r="K3" s="33">
        <v>91154</v>
      </c>
      <c r="L3" s="33">
        <v>96571</v>
      </c>
      <c r="M3" s="33">
        <v>110360</v>
      </c>
      <c r="N3" s="33">
        <v>125843</v>
      </c>
      <c r="O3" s="33">
        <v>143015</v>
      </c>
      <c r="P3" s="33">
        <v>168088</v>
      </c>
      <c r="Q3" s="33">
        <v>198270</v>
      </c>
      <c r="R3" s="33">
        <v>211915</v>
      </c>
      <c r="S3" s="33">
        <v>245122</v>
      </c>
      <c r="T3" s="33">
        <v>281724</v>
      </c>
    </row>
    <row r="4" spans="1:40" s="33" customFormat="1" x14ac:dyDescent="0.25">
      <c r="A4" s="1"/>
      <c r="B4" s="1" t="s">
        <v>534</v>
      </c>
      <c r="C4" s="33">
        <v>11598</v>
      </c>
      <c r="D4" s="33">
        <v>12155</v>
      </c>
      <c r="E4" s="33">
        <v>12395</v>
      </c>
      <c r="F4" s="33">
        <v>15577</v>
      </c>
      <c r="G4" s="33">
        <v>17530</v>
      </c>
      <c r="H4" s="33">
        <v>20385</v>
      </c>
      <c r="I4" s="33">
        <v>27078</v>
      </c>
      <c r="J4" s="33">
        <v>33038</v>
      </c>
      <c r="K4" s="33">
        <v>32780</v>
      </c>
      <c r="L4" s="33">
        <v>34261</v>
      </c>
      <c r="M4" s="33">
        <v>38353</v>
      </c>
      <c r="N4" s="33">
        <v>42910</v>
      </c>
      <c r="O4" s="33">
        <v>46078</v>
      </c>
      <c r="P4" s="33">
        <v>52232</v>
      </c>
      <c r="Q4" s="33">
        <v>62650</v>
      </c>
      <c r="R4" s="33">
        <v>65863</v>
      </c>
      <c r="S4" s="33">
        <v>74114</v>
      </c>
      <c r="T4" s="33">
        <v>87831</v>
      </c>
    </row>
    <row r="5" spans="1:40" s="35" customFormat="1" x14ac:dyDescent="0.25">
      <c r="A5" s="34"/>
      <c r="B5" s="34" t="s">
        <v>535</v>
      </c>
      <c r="C5" s="35">
        <f>+C3-C4</f>
        <v>48822</v>
      </c>
      <c r="D5" s="35">
        <f t="shared" ref="D5:T5" si="0">+D3-D4</f>
        <v>46282</v>
      </c>
      <c r="E5" s="35">
        <f t="shared" si="0"/>
        <v>50089</v>
      </c>
      <c r="F5" s="35">
        <f t="shared" si="0"/>
        <v>54366</v>
      </c>
      <c r="G5" s="35">
        <f t="shared" si="0"/>
        <v>56193</v>
      </c>
      <c r="H5" s="35">
        <f t="shared" si="0"/>
        <v>57464</v>
      </c>
      <c r="I5" s="35">
        <f t="shared" si="0"/>
        <v>59755</v>
      </c>
      <c r="J5" s="35">
        <f t="shared" si="0"/>
        <v>60542</v>
      </c>
      <c r="K5" s="35">
        <f t="shared" si="0"/>
        <v>58374</v>
      </c>
      <c r="L5" s="35">
        <f t="shared" si="0"/>
        <v>62310</v>
      </c>
      <c r="M5" s="35">
        <f t="shared" si="0"/>
        <v>72007</v>
      </c>
      <c r="N5" s="35">
        <f t="shared" si="0"/>
        <v>82933</v>
      </c>
      <c r="O5" s="35">
        <f t="shared" si="0"/>
        <v>96937</v>
      </c>
      <c r="P5" s="35">
        <f t="shared" si="0"/>
        <v>115856</v>
      </c>
      <c r="Q5" s="35">
        <f t="shared" si="0"/>
        <v>135620</v>
      </c>
      <c r="R5" s="35">
        <f t="shared" si="0"/>
        <v>146052</v>
      </c>
      <c r="S5" s="35">
        <f t="shared" si="0"/>
        <v>171008</v>
      </c>
      <c r="T5" s="35">
        <f t="shared" si="0"/>
        <v>193893</v>
      </c>
    </row>
    <row r="6" spans="1:40" s="33" customFormat="1" x14ac:dyDescent="0.25">
      <c r="A6" s="1"/>
      <c r="B6" s="1" t="s">
        <v>625</v>
      </c>
      <c r="C6" s="33">
        <v>8164</v>
      </c>
      <c r="D6" s="33">
        <v>9010</v>
      </c>
      <c r="E6" s="33">
        <v>8714</v>
      </c>
      <c r="F6" s="33">
        <v>9043</v>
      </c>
      <c r="G6" s="33">
        <v>9811</v>
      </c>
      <c r="H6" s="33">
        <v>10411</v>
      </c>
      <c r="I6" s="33">
        <v>11381</v>
      </c>
      <c r="J6" s="33">
        <v>12046</v>
      </c>
      <c r="K6" s="33">
        <v>11988</v>
      </c>
      <c r="L6" s="33">
        <v>13037</v>
      </c>
      <c r="M6" s="33">
        <v>14726</v>
      </c>
      <c r="N6" s="33">
        <v>16876</v>
      </c>
      <c r="O6" s="33">
        <v>19269</v>
      </c>
      <c r="P6" s="33">
        <v>20716</v>
      </c>
      <c r="Q6" s="33">
        <v>24512</v>
      </c>
      <c r="R6" s="33">
        <v>27195</v>
      </c>
      <c r="S6" s="33">
        <v>29510</v>
      </c>
      <c r="T6" s="33">
        <v>32488</v>
      </c>
    </row>
    <row r="7" spans="1:40" s="33" customFormat="1" x14ac:dyDescent="0.25">
      <c r="A7" s="1"/>
      <c r="B7" s="1" t="s">
        <v>653</v>
      </c>
      <c r="C7" s="33">
        <v>13260</v>
      </c>
      <c r="D7" s="33">
        <v>12879</v>
      </c>
      <c r="E7" s="33">
        <v>13214</v>
      </c>
      <c r="F7" s="33">
        <v>13940</v>
      </c>
      <c r="G7" s="33">
        <v>20050</v>
      </c>
      <c r="H7" s="33">
        <v>15276</v>
      </c>
      <c r="I7" s="33">
        <v>15811</v>
      </c>
      <c r="J7" s="33">
        <v>25724</v>
      </c>
      <c r="K7" s="33">
        <v>15745</v>
      </c>
      <c r="L7" s="33">
        <v>15767</v>
      </c>
      <c r="M7" s="33">
        <v>17469</v>
      </c>
      <c r="N7" s="33">
        <v>18213</v>
      </c>
      <c r="O7" s="33">
        <v>19598</v>
      </c>
      <c r="P7" s="33">
        <v>20117</v>
      </c>
      <c r="Q7" s="33">
        <v>21825</v>
      </c>
      <c r="R7" s="33">
        <v>22759</v>
      </c>
      <c r="S7" s="33">
        <v>24456</v>
      </c>
      <c r="T7" s="33">
        <v>25654</v>
      </c>
    </row>
    <row r="8" spans="1:40" s="33" customFormat="1" x14ac:dyDescent="0.25">
      <c r="A8" s="1"/>
      <c r="B8" s="1" t="s">
        <v>652</v>
      </c>
      <c r="C8" s="33">
        <v>5127</v>
      </c>
      <c r="D8" s="33">
        <v>4030</v>
      </c>
      <c r="E8" s="33">
        <v>4063</v>
      </c>
      <c r="F8" s="33">
        <v>4222</v>
      </c>
      <c r="G8" s="33">
        <v>4569</v>
      </c>
      <c r="H8" s="33">
        <v>5013</v>
      </c>
      <c r="I8" s="33">
        <v>4677</v>
      </c>
      <c r="J8" s="33">
        <v>4611</v>
      </c>
      <c r="K8" s="33">
        <v>4563</v>
      </c>
      <c r="L8" s="33">
        <v>4481</v>
      </c>
      <c r="M8" s="33">
        <v>4754</v>
      </c>
      <c r="N8" s="33">
        <v>4885</v>
      </c>
      <c r="O8" s="33">
        <v>5111</v>
      </c>
      <c r="P8" s="33">
        <v>5107</v>
      </c>
      <c r="Q8" s="33">
        <v>5900</v>
      </c>
      <c r="R8" s="33">
        <v>7575</v>
      </c>
      <c r="S8" s="33">
        <v>7609</v>
      </c>
      <c r="T8" s="33">
        <v>7223</v>
      </c>
    </row>
    <row r="9" spans="1:40" s="33" customFormat="1" x14ac:dyDescent="0.25">
      <c r="A9" s="1"/>
      <c r="B9" s="34" t="s">
        <v>539</v>
      </c>
      <c r="C9" s="35">
        <f t="shared" ref="C9:S9" si="1">SUM(C6:C8)</f>
        <v>26551</v>
      </c>
      <c r="D9" s="35">
        <f t="shared" si="1"/>
        <v>25919</v>
      </c>
      <c r="E9" s="35">
        <f t="shared" si="1"/>
        <v>25991</v>
      </c>
      <c r="F9" s="35">
        <f t="shared" si="1"/>
        <v>27205</v>
      </c>
      <c r="G9" s="35">
        <f t="shared" si="1"/>
        <v>34430</v>
      </c>
      <c r="H9" s="35">
        <f t="shared" si="1"/>
        <v>30700</v>
      </c>
      <c r="I9" s="35">
        <f t="shared" si="1"/>
        <v>31869</v>
      </c>
      <c r="J9" s="35">
        <f t="shared" si="1"/>
        <v>42381</v>
      </c>
      <c r="K9" s="35">
        <f t="shared" si="1"/>
        <v>32296</v>
      </c>
      <c r="L9" s="35">
        <f t="shared" si="1"/>
        <v>33285</v>
      </c>
      <c r="M9" s="35">
        <f t="shared" si="1"/>
        <v>36949</v>
      </c>
      <c r="N9" s="35">
        <f t="shared" si="1"/>
        <v>39974</v>
      </c>
      <c r="O9" s="35">
        <f t="shared" si="1"/>
        <v>43978</v>
      </c>
      <c r="P9" s="35">
        <f t="shared" si="1"/>
        <v>45940</v>
      </c>
      <c r="Q9" s="35">
        <f t="shared" si="1"/>
        <v>52237</v>
      </c>
      <c r="R9" s="35">
        <f t="shared" si="1"/>
        <v>57529</v>
      </c>
      <c r="S9" s="35">
        <f t="shared" si="1"/>
        <v>61575</v>
      </c>
      <c r="T9" s="35">
        <f>SUM(T6:T8)</f>
        <v>65365</v>
      </c>
    </row>
    <row r="10" spans="1:40" s="33" customFormat="1" x14ac:dyDescent="0.25">
      <c r="A10" s="1"/>
      <c r="B10" s="34" t="s">
        <v>540</v>
      </c>
      <c r="C10" s="35">
        <f t="shared" ref="C10:S10" si="2">C5-C9</f>
        <v>22271</v>
      </c>
      <c r="D10" s="35">
        <f t="shared" si="2"/>
        <v>20363</v>
      </c>
      <c r="E10" s="35">
        <f t="shared" si="2"/>
        <v>24098</v>
      </c>
      <c r="F10" s="35">
        <f t="shared" si="2"/>
        <v>27161</v>
      </c>
      <c r="G10" s="35">
        <f t="shared" si="2"/>
        <v>21763</v>
      </c>
      <c r="H10" s="35">
        <f t="shared" si="2"/>
        <v>26764</v>
      </c>
      <c r="I10" s="35">
        <f t="shared" si="2"/>
        <v>27886</v>
      </c>
      <c r="J10" s="35">
        <f t="shared" si="2"/>
        <v>18161</v>
      </c>
      <c r="K10" s="35">
        <f t="shared" si="2"/>
        <v>26078</v>
      </c>
      <c r="L10" s="35">
        <f t="shared" si="2"/>
        <v>29025</v>
      </c>
      <c r="M10" s="35">
        <f t="shared" si="2"/>
        <v>35058</v>
      </c>
      <c r="N10" s="35">
        <f t="shared" si="2"/>
        <v>42959</v>
      </c>
      <c r="O10" s="35">
        <f t="shared" si="2"/>
        <v>52959</v>
      </c>
      <c r="P10" s="35">
        <f t="shared" si="2"/>
        <v>69916</v>
      </c>
      <c r="Q10" s="35">
        <f t="shared" si="2"/>
        <v>83383</v>
      </c>
      <c r="R10" s="35">
        <f t="shared" si="2"/>
        <v>88523</v>
      </c>
      <c r="S10" s="35">
        <f t="shared" si="2"/>
        <v>109433</v>
      </c>
      <c r="T10" s="35">
        <f>T5-T9</f>
        <v>128528</v>
      </c>
    </row>
    <row r="11" spans="1:40" s="33" customFormat="1" x14ac:dyDescent="0.25">
      <c r="A11" s="1"/>
      <c r="B11" s="1" t="s">
        <v>626</v>
      </c>
      <c r="C11" s="33">
        <v>1543</v>
      </c>
      <c r="D11" s="33">
        <v>-542</v>
      </c>
      <c r="E11" s="33">
        <v>915</v>
      </c>
      <c r="F11" s="33">
        <v>910</v>
      </c>
      <c r="G11" s="33">
        <v>504</v>
      </c>
      <c r="H11" s="33">
        <v>288</v>
      </c>
      <c r="I11" s="33">
        <v>61</v>
      </c>
      <c r="J11" s="33">
        <v>346</v>
      </c>
      <c r="K11" s="33">
        <v>-439</v>
      </c>
      <c r="L11" s="33">
        <v>876</v>
      </c>
      <c r="M11" s="33">
        <v>1416</v>
      </c>
      <c r="N11" s="33">
        <v>729</v>
      </c>
      <c r="O11" s="33">
        <v>77</v>
      </c>
      <c r="P11" s="33">
        <v>1186</v>
      </c>
      <c r="Q11" s="33">
        <v>333</v>
      </c>
      <c r="R11" s="33">
        <v>788</v>
      </c>
      <c r="S11" s="33">
        <v>-1646</v>
      </c>
      <c r="T11" s="33">
        <v>-4901</v>
      </c>
    </row>
    <row r="12" spans="1:40" s="33" customFormat="1" x14ac:dyDescent="0.25">
      <c r="A12" s="1"/>
      <c r="B12" s="34" t="s">
        <v>627</v>
      </c>
      <c r="C12" s="35">
        <f t="shared" ref="C12:S12" si="3">C10+C11</f>
        <v>23814</v>
      </c>
      <c r="D12" s="35">
        <f t="shared" si="3"/>
        <v>19821</v>
      </c>
      <c r="E12" s="35">
        <f t="shared" si="3"/>
        <v>25013</v>
      </c>
      <c r="F12" s="35">
        <f t="shared" si="3"/>
        <v>28071</v>
      </c>
      <c r="G12" s="35">
        <f t="shared" si="3"/>
        <v>22267</v>
      </c>
      <c r="H12" s="35">
        <f t="shared" si="3"/>
        <v>27052</v>
      </c>
      <c r="I12" s="35">
        <f t="shared" si="3"/>
        <v>27947</v>
      </c>
      <c r="J12" s="35">
        <f t="shared" si="3"/>
        <v>18507</v>
      </c>
      <c r="K12" s="35">
        <f t="shared" si="3"/>
        <v>25639</v>
      </c>
      <c r="L12" s="35">
        <f t="shared" si="3"/>
        <v>29901</v>
      </c>
      <c r="M12" s="35">
        <f t="shared" si="3"/>
        <v>36474</v>
      </c>
      <c r="N12" s="35">
        <f t="shared" si="3"/>
        <v>43688</v>
      </c>
      <c r="O12" s="35">
        <f t="shared" si="3"/>
        <v>53036</v>
      </c>
      <c r="P12" s="35">
        <f t="shared" si="3"/>
        <v>71102</v>
      </c>
      <c r="Q12" s="35">
        <f t="shared" si="3"/>
        <v>83716</v>
      </c>
      <c r="R12" s="35">
        <f t="shared" si="3"/>
        <v>89311</v>
      </c>
      <c r="S12" s="35">
        <f t="shared" si="3"/>
        <v>107787</v>
      </c>
      <c r="T12" s="35">
        <f>T10+T11</f>
        <v>123627</v>
      </c>
    </row>
    <row r="13" spans="1:40" s="33" customFormat="1" x14ac:dyDescent="0.25">
      <c r="A13" s="1"/>
      <c r="B13" s="1" t="s">
        <v>628</v>
      </c>
      <c r="C13" s="33">
        <v>6133</v>
      </c>
      <c r="D13" s="33">
        <v>5252</v>
      </c>
      <c r="E13" s="33">
        <v>6253</v>
      </c>
      <c r="F13" s="33">
        <v>4921</v>
      </c>
      <c r="G13" s="33">
        <v>5289</v>
      </c>
      <c r="H13" s="33">
        <v>5189</v>
      </c>
      <c r="I13" s="33">
        <v>5746</v>
      </c>
      <c r="J13" s="33">
        <v>6314</v>
      </c>
      <c r="K13" s="33">
        <v>5100</v>
      </c>
      <c r="L13" s="33">
        <v>4412</v>
      </c>
      <c r="M13" s="33">
        <v>19903</v>
      </c>
      <c r="N13" s="33">
        <v>4448</v>
      </c>
      <c r="O13" s="33">
        <v>8755</v>
      </c>
      <c r="P13" s="33">
        <v>9831</v>
      </c>
      <c r="Q13" s="33">
        <v>10978</v>
      </c>
      <c r="R13" s="33">
        <v>16950</v>
      </c>
      <c r="S13" s="33">
        <v>19651</v>
      </c>
      <c r="T13" s="33">
        <v>21795</v>
      </c>
    </row>
    <row r="14" spans="1:40" s="33" customFormat="1" x14ac:dyDescent="0.25">
      <c r="A14" s="1"/>
      <c r="B14" s="34" t="s">
        <v>544</v>
      </c>
      <c r="C14" s="35">
        <f t="shared" ref="C14:S14" si="4">C12-C13</f>
        <v>17681</v>
      </c>
      <c r="D14" s="35">
        <f t="shared" si="4"/>
        <v>14569</v>
      </c>
      <c r="E14" s="35">
        <f t="shared" si="4"/>
        <v>18760</v>
      </c>
      <c r="F14" s="35">
        <f t="shared" si="4"/>
        <v>23150</v>
      </c>
      <c r="G14" s="35">
        <f t="shared" si="4"/>
        <v>16978</v>
      </c>
      <c r="H14" s="35">
        <f t="shared" si="4"/>
        <v>21863</v>
      </c>
      <c r="I14" s="35">
        <f t="shared" si="4"/>
        <v>22201</v>
      </c>
      <c r="J14" s="35">
        <f t="shared" si="4"/>
        <v>12193</v>
      </c>
      <c r="K14" s="35">
        <f t="shared" si="4"/>
        <v>20539</v>
      </c>
      <c r="L14" s="35">
        <f t="shared" si="4"/>
        <v>25489</v>
      </c>
      <c r="M14" s="35">
        <f t="shared" si="4"/>
        <v>16571</v>
      </c>
      <c r="N14" s="35">
        <f t="shared" si="4"/>
        <v>39240</v>
      </c>
      <c r="O14" s="35">
        <f t="shared" si="4"/>
        <v>44281</v>
      </c>
      <c r="P14" s="35">
        <f t="shared" si="4"/>
        <v>61271</v>
      </c>
      <c r="Q14" s="35">
        <f t="shared" si="4"/>
        <v>72738</v>
      </c>
      <c r="R14" s="35">
        <f t="shared" si="4"/>
        <v>72361</v>
      </c>
      <c r="S14" s="35">
        <f t="shared" si="4"/>
        <v>88136</v>
      </c>
      <c r="T14" s="35">
        <f>T12-T13</f>
        <v>101832</v>
      </c>
      <c r="AN14" s="39"/>
    </row>
    <row r="15" spans="1:40" s="33" customFormat="1" x14ac:dyDescent="0.25">
      <c r="A15" s="1"/>
      <c r="B15" s="1" t="s">
        <v>662</v>
      </c>
      <c r="C15" s="33">
        <v>9328</v>
      </c>
      <c r="D15" s="33">
        <v>8945</v>
      </c>
      <c r="E15" s="33">
        <v>8813</v>
      </c>
      <c r="F15" s="33">
        <v>8490</v>
      </c>
      <c r="G15" s="33">
        <v>8396</v>
      </c>
      <c r="H15" s="33">
        <v>8375</v>
      </c>
      <c r="I15" s="33">
        <v>8299</v>
      </c>
      <c r="J15" s="33">
        <v>8177</v>
      </c>
      <c r="K15" s="33">
        <v>7925</v>
      </c>
      <c r="L15" s="33">
        <v>7746</v>
      </c>
      <c r="M15" s="33">
        <v>7700</v>
      </c>
      <c r="N15" s="33">
        <v>7673</v>
      </c>
      <c r="O15" s="33">
        <v>7610</v>
      </c>
      <c r="P15" s="33">
        <v>7547</v>
      </c>
      <c r="Q15" s="33">
        <v>7496</v>
      </c>
      <c r="R15" s="33">
        <v>7446</v>
      </c>
      <c r="S15" s="33">
        <v>7435</v>
      </c>
      <c r="T15" s="33">
        <v>7432</v>
      </c>
      <c r="AN15" s="39"/>
    </row>
    <row r="16" spans="1:40" s="36" customFormat="1" x14ac:dyDescent="0.25">
      <c r="B16" s="36" t="s">
        <v>546</v>
      </c>
      <c r="C16" s="36">
        <f>C14/C15</f>
        <v>1.8954759862778732</v>
      </c>
      <c r="D16" s="36">
        <f t="shared" ref="D16:T16" si="5">D14/D15</f>
        <v>1.6287311347121296</v>
      </c>
      <c r="E16" s="36">
        <f t="shared" si="5"/>
        <v>2.1286735504368548</v>
      </c>
      <c r="F16" s="36">
        <f t="shared" si="5"/>
        <v>2.7267373380447584</v>
      </c>
      <c r="G16" s="36">
        <f t="shared" si="5"/>
        <v>2.0221534063839925</v>
      </c>
      <c r="H16" s="36">
        <f t="shared" si="5"/>
        <v>2.610507462686567</v>
      </c>
      <c r="I16" s="36">
        <f t="shared" si="5"/>
        <v>2.6751415833232919</v>
      </c>
      <c r="J16" s="36">
        <f t="shared" si="5"/>
        <v>1.4911336676042559</v>
      </c>
      <c r="K16" s="36">
        <f t="shared" si="5"/>
        <v>2.5916719242902206</v>
      </c>
      <c r="L16" s="36">
        <f t="shared" si="5"/>
        <v>3.2906016008262329</v>
      </c>
      <c r="M16" s="36">
        <f t="shared" si="5"/>
        <v>2.1520779220779223</v>
      </c>
      <c r="N16" s="36">
        <f t="shared" si="5"/>
        <v>5.114036230939659</v>
      </c>
      <c r="O16" s="36">
        <f t="shared" si="5"/>
        <v>5.8187910643889618</v>
      </c>
      <c r="P16" s="36">
        <f t="shared" si="5"/>
        <v>8.1185901682787858</v>
      </c>
      <c r="Q16" s="36">
        <f t="shared" si="5"/>
        <v>9.7035752401280675</v>
      </c>
      <c r="R16" s="36">
        <f t="shared" si="5"/>
        <v>9.7181036798280953</v>
      </c>
      <c r="S16" s="36">
        <f t="shared" si="5"/>
        <v>11.8542030934768</v>
      </c>
      <c r="T16" s="36">
        <f t="shared" si="5"/>
        <v>13.701829924650161</v>
      </c>
      <c r="AN16" s="81"/>
    </row>
    <row r="17" spans="1:40" s="33" customFormat="1" x14ac:dyDescent="0.25">
      <c r="A17" s="1"/>
      <c r="B17" s="1"/>
      <c r="AN17" s="39"/>
    </row>
    <row r="18" spans="1:40" s="33" customFormat="1" x14ac:dyDescent="0.25">
      <c r="A18" s="1"/>
      <c r="B18" s="1" t="s">
        <v>698</v>
      </c>
      <c r="C18" s="40">
        <f t="shared" ref="C18:S18" si="6">C13/C12</f>
        <v>0.25753758293440832</v>
      </c>
      <c r="D18" s="40">
        <f t="shared" si="6"/>
        <v>0.26497149487916855</v>
      </c>
      <c r="E18" s="40">
        <f t="shared" si="6"/>
        <v>0.24999000519729742</v>
      </c>
      <c r="F18" s="40">
        <f t="shared" si="6"/>
        <v>0.17530547540166008</v>
      </c>
      <c r="G18" s="40">
        <f t="shared" si="6"/>
        <v>0.23752638433556383</v>
      </c>
      <c r="H18" s="40">
        <f t="shared" si="6"/>
        <v>0.19181576223569421</v>
      </c>
      <c r="I18" s="40">
        <f t="shared" si="6"/>
        <v>0.20560346369914481</v>
      </c>
      <c r="J18" s="40">
        <f t="shared" si="6"/>
        <v>0.34116820662452046</v>
      </c>
      <c r="K18" s="40">
        <f t="shared" si="6"/>
        <v>0.19891571434143299</v>
      </c>
      <c r="L18" s="40">
        <f t="shared" si="6"/>
        <v>0.14755359352530015</v>
      </c>
      <c r="M18" s="40">
        <f t="shared" si="6"/>
        <v>0.5456763722103416</v>
      </c>
      <c r="N18" s="40">
        <f t="shared" si="6"/>
        <v>0.10181285478850027</v>
      </c>
      <c r="O18" s="40">
        <f t="shared" si="6"/>
        <v>0.16507655177615205</v>
      </c>
      <c r="P18" s="40">
        <f t="shared" si="6"/>
        <v>0.13826615285083402</v>
      </c>
      <c r="Q18" s="40">
        <f t="shared" si="6"/>
        <v>0.13113383343685794</v>
      </c>
      <c r="R18" s="40">
        <f t="shared" si="6"/>
        <v>0.18978625253328257</v>
      </c>
      <c r="S18" s="40">
        <f t="shared" si="6"/>
        <v>0.18231326597827197</v>
      </c>
      <c r="T18" s="40">
        <f>T13/T12</f>
        <v>0.17629644009803683</v>
      </c>
      <c r="U18" s="40"/>
      <c r="V18" s="39"/>
    </row>
    <row r="19" spans="1:40" s="33" customFormat="1" x14ac:dyDescent="0.25">
      <c r="A19" s="1"/>
      <c r="B19" s="1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39"/>
    </row>
    <row r="20" spans="1:40" s="40" customFormat="1" x14ac:dyDescent="0.25">
      <c r="B20" s="66" t="s">
        <v>732</v>
      </c>
      <c r="D20" s="40">
        <f>D3/C3-1</f>
        <v>-3.2820258192651441E-2</v>
      </c>
      <c r="E20" s="40">
        <f t="shared" ref="E20:T20" si="7">E3/D3-1</f>
        <v>6.9254068484008391E-2</v>
      </c>
      <c r="F20" s="40">
        <f t="shared" si="7"/>
        <v>0.11937455988733126</v>
      </c>
      <c r="G20" s="40">
        <f t="shared" si="7"/>
        <v>5.4044007263057026E-2</v>
      </c>
      <c r="H20" s="40">
        <f t="shared" si="7"/>
        <v>5.5966252051598442E-2</v>
      </c>
      <c r="I20" s="40">
        <f t="shared" si="7"/>
        <v>0.11540289534868786</v>
      </c>
      <c r="J20" s="40">
        <f t="shared" si="7"/>
        <v>7.7700874091647165E-2</v>
      </c>
      <c r="K20" s="40">
        <f t="shared" si="7"/>
        <v>-2.5924342808292367E-2</v>
      </c>
      <c r="L20" s="40">
        <f t="shared" si="7"/>
        <v>5.9426903920837271E-2</v>
      </c>
      <c r="M20" s="40">
        <f t="shared" si="7"/>
        <v>0.14278613662486661</v>
      </c>
      <c r="N20" s="40">
        <f t="shared" si="7"/>
        <v>0.14029539688292858</v>
      </c>
      <c r="O20" s="40">
        <f t="shared" si="7"/>
        <v>0.13645574247276371</v>
      </c>
      <c r="P20" s="40">
        <f t="shared" si="7"/>
        <v>0.17531727441177503</v>
      </c>
      <c r="Q20" s="40">
        <f t="shared" si="7"/>
        <v>0.17956070629670173</v>
      </c>
      <c r="R20" s="40">
        <f t="shared" si="7"/>
        <v>6.8820295556564215E-2</v>
      </c>
      <c r="S20" s="40">
        <f t="shared" si="7"/>
        <v>0.1566996201307127</v>
      </c>
      <c r="T20" s="40">
        <f t="shared" si="7"/>
        <v>0.14932156232406713</v>
      </c>
    </row>
    <row r="21" spans="1:40" s="33" customFormat="1" x14ac:dyDescent="0.25">
      <c r="A21" s="1"/>
      <c r="B21" s="1"/>
      <c r="E21" s="41"/>
      <c r="T21" s="39"/>
    </row>
    <row r="22" spans="1:40" s="33" customFormat="1" x14ac:dyDescent="0.25">
      <c r="A22" s="1"/>
      <c r="B22" s="1"/>
    </row>
    <row r="23" spans="1:40" s="33" customFormat="1" x14ac:dyDescent="0.25">
      <c r="A23" s="1"/>
      <c r="B23" s="1"/>
    </row>
    <row r="24" spans="1:40" s="35" customFormat="1" x14ac:dyDescent="0.25">
      <c r="A24" s="34"/>
      <c r="B24" s="34" t="s">
        <v>556</v>
      </c>
      <c r="C24" s="35">
        <f>C25+C26-C39-C45</f>
        <v>23661.999</v>
      </c>
      <c r="D24" s="35">
        <f t="shared" ref="D24:T24" si="8">D25+D26-D39-D45</f>
        <v>24017</v>
      </c>
      <c r="E24" s="35">
        <f t="shared" si="8"/>
        <v>30849</v>
      </c>
      <c r="F24" s="35">
        <f t="shared" si="8"/>
        <v>40851</v>
      </c>
      <c r="G24" s="35">
        <f t="shared" si="8"/>
        <v>51096</v>
      </c>
      <c r="H24" s="35">
        <f t="shared" si="8"/>
        <v>61422</v>
      </c>
      <c r="I24" s="35">
        <f t="shared" si="8"/>
        <v>63064</v>
      </c>
      <c r="J24" s="35">
        <f t="shared" si="8"/>
        <v>61234</v>
      </c>
      <c r="K24" s="35">
        <f t="shared" si="8"/>
        <v>59779</v>
      </c>
      <c r="L24" s="35">
        <f t="shared" si="8"/>
        <v>46787</v>
      </c>
      <c r="M24" s="35">
        <f t="shared" si="8"/>
        <v>57528</v>
      </c>
      <c r="N24" s="35">
        <f t="shared" si="8"/>
        <v>61641</v>
      </c>
      <c r="O24" s="35">
        <f t="shared" si="8"/>
        <v>73200</v>
      </c>
      <c r="P24" s="35">
        <f t="shared" si="8"/>
        <v>72188</v>
      </c>
      <c r="Q24" s="35">
        <f t="shared" si="8"/>
        <v>54976</v>
      </c>
      <c r="R24" s="35">
        <f t="shared" si="8"/>
        <v>64025</v>
      </c>
      <c r="S24" s="35">
        <f t="shared" si="8"/>
        <v>23913</v>
      </c>
      <c r="T24" s="35">
        <f t="shared" si="8"/>
        <v>51414</v>
      </c>
    </row>
    <row r="25" spans="1:40" s="33" customFormat="1" x14ac:dyDescent="0.25">
      <c r="A25" s="1"/>
      <c r="B25" s="1" t="s">
        <v>631</v>
      </c>
      <c r="C25" s="33">
        <v>10339</v>
      </c>
      <c r="D25" s="33">
        <v>6076</v>
      </c>
      <c r="E25" s="33">
        <v>5505</v>
      </c>
      <c r="F25" s="33">
        <v>9610</v>
      </c>
      <c r="G25" s="33">
        <v>6938</v>
      </c>
      <c r="H25" s="33">
        <v>3804</v>
      </c>
      <c r="I25" s="33">
        <v>8669</v>
      </c>
      <c r="J25" s="33">
        <v>5595</v>
      </c>
      <c r="K25" s="33">
        <v>6510</v>
      </c>
      <c r="L25" s="33">
        <v>7663</v>
      </c>
      <c r="M25" s="33">
        <v>11946</v>
      </c>
      <c r="N25" s="33">
        <v>11356</v>
      </c>
      <c r="O25" s="33">
        <v>13576</v>
      </c>
      <c r="P25" s="33">
        <v>14224</v>
      </c>
      <c r="Q25" s="33">
        <v>13931</v>
      </c>
      <c r="R25" s="33">
        <v>34704</v>
      </c>
      <c r="S25" s="33">
        <v>18315</v>
      </c>
      <c r="T25" s="33">
        <v>30242</v>
      </c>
    </row>
    <row r="26" spans="1:40" s="33" customFormat="1" x14ac:dyDescent="0.25">
      <c r="A26" s="1"/>
      <c r="B26" s="1" t="s">
        <v>632</v>
      </c>
      <c r="C26" s="33">
        <v>13323</v>
      </c>
      <c r="D26" s="33">
        <v>25371</v>
      </c>
      <c r="E26" s="33">
        <v>31283</v>
      </c>
      <c r="F26" s="33">
        <v>43162</v>
      </c>
      <c r="G26" s="33">
        <v>56102</v>
      </c>
      <c r="H26" s="33">
        <v>73218</v>
      </c>
      <c r="I26" s="33">
        <v>77040</v>
      </c>
      <c r="J26" s="33">
        <v>90931</v>
      </c>
      <c r="K26" s="33">
        <v>106730</v>
      </c>
      <c r="L26" s="33">
        <v>125318</v>
      </c>
      <c r="M26" s="33">
        <v>121822</v>
      </c>
      <c r="N26" s="33">
        <v>122463</v>
      </c>
      <c r="O26" s="33">
        <v>122951</v>
      </c>
      <c r="P26" s="33">
        <v>116110</v>
      </c>
      <c r="Q26" s="33">
        <v>90826</v>
      </c>
      <c r="R26" s="33">
        <v>76558</v>
      </c>
      <c r="S26" s="33">
        <v>57228</v>
      </c>
      <c r="T26" s="33">
        <v>64323</v>
      </c>
    </row>
    <row r="27" spans="1:40" s="33" customFormat="1" x14ac:dyDescent="0.25">
      <c r="A27" s="1"/>
      <c r="B27" s="1" t="s">
        <v>633</v>
      </c>
      <c r="C27" s="33">
        <v>13589</v>
      </c>
      <c r="D27" s="33">
        <v>11192</v>
      </c>
      <c r="E27" s="33">
        <v>13014</v>
      </c>
      <c r="F27" s="33">
        <v>14987</v>
      </c>
      <c r="G27" s="33">
        <v>15780</v>
      </c>
      <c r="H27" s="33">
        <v>17486</v>
      </c>
      <c r="I27" s="33">
        <v>19544</v>
      </c>
      <c r="J27" s="33">
        <v>17908</v>
      </c>
      <c r="K27" s="33">
        <v>18277</v>
      </c>
      <c r="L27" s="33">
        <v>22431</v>
      </c>
      <c r="M27" s="33">
        <v>26481</v>
      </c>
      <c r="N27" s="33">
        <v>29524</v>
      </c>
      <c r="O27" s="33">
        <v>32011</v>
      </c>
      <c r="P27" s="33">
        <v>38043</v>
      </c>
      <c r="Q27" s="33">
        <v>44261</v>
      </c>
      <c r="R27" s="33">
        <v>48688</v>
      </c>
      <c r="S27" s="33">
        <v>56924</v>
      </c>
      <c r="T27" s="33">
        <v>69905</v>
      </c>
    </row>
    <row r="28" spans="1:40" s="33" customFormat="1" x14ac:dyDescent="0.25">
      <c r="A28" s="1"/>
      <c r="B28" s="1" t="s">
        <v>634</v>
      </c>
      <c r="C28" s="33">
        <v>985</v>
      </c>
      <c r="D28" s="33">
        <v>717</v>
      </c>
      <c r="E28" s="33">
        <v>740</v>
      </c>
      <c r="F28" s="33">
        <v>1372</v>
      </c>
      <c r="G28" s="33">
        <v>1137</v>
      </c>
      <c r="H28" s="33">
        <v>1938</v>
      </c>
      <c r="I28" s="33">
        <v>2660</v>
      </c>
      <c r="J28" s="33">
        <v>2902</v>
      </c>
      <c r="K28" s="33">
        <v>2251</v>
      </c>
      <c r="L28" s="33">
        <v>2181</v>
      </c>
      <c r="M28" s="33">
        <v>2662</v>
      </c>
      <c r="N28" s="33">
        <v>2063</v>
      </c>
      <c r="O28" s="33">
        <v>1895</v>
      </c>
      <c r="P28" s="33">
        <v>2636</v>
      </c>
      <c r="Q28" s="33">
        <v>3742</v>
      </c>
      <c r="R28" s="33">
        <v>2500</v>
      </c>
      <c r="S28" s="33">
        <v>1246</v>
      </c>
      <c r="T28" s="33">
        <v>938</v>
      </c>
    </row>
    <row r="29" spans="1:40" s="33" customFormat="1" x14ac:dyDescent="0.25">
      <c r="A29" s="1"/>
      <c r="B29" s="1" t="s">
        <v>635</v>
      </c>
      <c r="C29" s="33">
        <v>5006</v>
      </c>
      <c r="D29" s="33">
        <v>5924</v>
      </c>
      <c r="E29" s="33">
        <v>5134</v>
      </c>
      <c r="F29" s="33">
        <v>5787</v>
      </c>
      <c r="G29" s="33">
        <v>5127</v>
      </c>
      <c r="H29" s="33">
        <v>5020</v>
      </c>
      <c r="I29" s="33">
        <v>6333</v>
      </c>
      <c r="J29" s="33">
        <v>5461</v>
      </c>
      <c r="K29" s="33">
        <v>5892</v>
      </c>
      <c r="L29" s="33">
        <v>5103</v>
      </c>
      <c r="M29" s="33">
        <v>6751</v>
      </c>
      <c r="N29" s="33">
        <v>10146</v>
      </c>
      <c r="O29" s="33">
        <v>11482</v>
      </c>
      <c r="P29" s="33">
        <v>13393</v>
      </c>
      <c r="Q29" s="33">
        <v>16924</v>
      </c>
      <c r="R29" s="33">
        <v>21807</v>
      </c>
      <c r="S29" s="33">
        <v>26021</v>
      </c>
      <c r="T29" s="33">
        <v>25723</v>
      </c>
    </row>
    <row r="30" spans="1:40" s="35" customFormat="1" x14ac:dyDescent="0.25">
      <c r="A30" s="34"/>
      <c r="B30" s="34" t="s">
        <v>630</v>
      </c>
      <c r="C30" s="35">
        <f>SUM(C25:C29)</f>
        <v>43242</v>
      </c>
      <c r="D30" s="35">
        <f t="shared" ref="D30:S30" si="9">SUM(D25:D29)</f>
        <v>49280</v>
      </c>
      <c r="E30" s="35">
        <f t="shared" si="9"/>
        <v>55676</v>
      </c>
      <c r="F30" s="35">
        <f t="shared" si="9"/>
        <v>74918</v>
      </c>
      <c r="G30" s="35">
        <f t="shared" si="9"/>
        <v>85084</v>
      </c>
      <c r="H30" s="35">
        <f t="shared" si="9"/>
        <v>101466</v>
      </c>
      <c r="I30" s="35">
        <f t="shared" si="9"/>
        <v>114246</v>
      </c>
      <c r="J30" s="35">
        <f t="shared" si="9"/>
        <v>122797</v>
      </c>
      <c r="K30" s="35">
        <f t="shared" si="9"/>
        <v>139660</v>
      </c>
      <c r="L30" s="35">
        <f t="shared" si="9"/>
        <v>162696</v>
      </c>
      <c r="M30" s="35">
        <f t="shared" si="9"/>
        <v>169662</v>
      </c>
      <c r="N30" s="35">
        <f t="shared" si="9"/>
        <v>175552</v>
      </c>
      <c r="O30" s="35">
        <f t="shared" si="9"/>
        <v>181915</v>
      </c>
      <c r="P30" s="35">
        <f t="shared" si="9"/>
        <v>184406</v>
      </c>
      <c r="Q30" s="35">
        <f t="shared" si="9"/>
        <v>169684</v>
      </c>
      <c r="R30" s="35">
        <f t="shared" si="9"/>
        <v>184257</v>
      </c>
      <c r="S30" s="35">
        <f t="shared" si="9"/>
        <v>159734</v>
      </c>
      <c r="T30" s="35">
        <f>SUM(T25:T29)</f>
        <v>191131</v>
      </c>
    </row>
    <row r="31" spans="1:40" s="33" customFormat="1" x14ac:dyDescent="0.25">
      <c r="A31" s="1"/>
      <c r="B31" s="1" t="s">
        <v>637</v>
      </c>
      <c r="C31" s="33">
        <v>6242</v>
      </c>
      <c r="D31" s="33">
        <v>7535</v>
      </c>
      <c r="E31" s="33">
        <v>7630</v>
      </c>
      <c r="F31" s="33">
        <v>8162</v>
      </c>
      <c r="G31" s="33">
        <v>8269</v>
      </c>
      <c r="H31" s="33">
        <v>9991</v>
      </c>
      <c r="I31" s="33">
        <v>13011</v>
      </c>
      <c r="J31" s="33">
        <v>14731</v>
      </c>
      <c r="K31" s="33">
        <v>18356</v>
      </c>
      <c r="L31" s="33">
        <v>23734</v>
      </c>
      <c r="M31" s="33">
        <v>29460</v>
      </c>
      <c r="N31" s="33">
        <v>36477</v>
      </c>
      <c r="O31" s="33">
        <v>44151</v>
      </c>
      <c r="P31" s="33">
        <v>59715</v>
      </c>
      <c r="Q31" s="33">
        <v>74398</v>
      </c>
      <c r="R31" s="33">
        <v>95641</v>
      </c>
      <c r="S31" s="33">
        <v>135591</v>
      </c>
      <c r="T31" s="33">
        <v>204966</v>
      </c>
    </row>
    <row r="32" spans="1:40" s="33" customFormat="1" x14ac:dyDescent="0.25">
      <c r="A32" s="1"/>
      <c r="B32" s="1" t="s">
        <v>638</v>
      </c>
      <c r="C32" s="33">
        <v>6588</v>
      </c>
      <c r="D32" s="33">
        <v>4933</v>
      </c>
      <c r="E32" s="33">
        <v>7754</v>
      </c>
      <c r="F32" s="33">
        <v>10865</v>
      </c>
      <c r="G32" s="33">
        <v>9776</v>
      </c>
      <c r="H32" s="33">
        <v>10844</v>
      </c>
      <c r="I32" s="33">
        <v>14597</v>
      </c>
      <c r="J32" s="33">
        <v>12053</v>
      </c>
      <c r="K32" s="33">
        <v>10431</v>
      </c>
      <c r="L32" s="33">
        <v>6023</v>
      </c>
      <c r="M32" s="33">
        <v>1862</v>
      </c>
      <c r="N32" s="33">
        <v>2649</v>
      </c>
      <c r="O32" s="33">
        <v>2965</v>
      </c>
      <c r="P32" s="33">
        <v>5984</v>
      </c>
      <c r="Q32" s="33">
        <v>6891</v>
      </c>
      <c r="R32" s="33">
        <v>9879</v>
      </c>
      <c r="S32" s="33">
        <v>14600</v>
      </c>
      <c r="T32" s="33">
        <v>15405</v>
      </c>
    </row>
    <row r="33" spans="1:20" s="33" customFormat="1" x14ac:dyDescent="0.25">
      <c r="A33" s="1"/>
      <c r="B33" s="1" t="s">
        <v>576</v>
      </c>
      <c r="C33" s="33">
        <v>12108</v>
      </c>
      <c r="D33" s="33">
        <v>12503</v>
      </c>
      <c r="E33" s="33">
        <v>12394</v>
      </c>
      <c r="F33" s="33">
        <v>12581</v>
      </c>
      <c r="G33" s="33">
        <v>13452</v>
      </c>
      <c r="H33" s="33">
        <v>14655</v>
      </c>
      <c r="I33" s="33">
        <v>20127</v>
      </c>
      <c r="J33" s="33">
        <v>16939</v>
      </c>
      <c r="K33" s="33">
        <v>17872</v>
      </c>
      <c r="L33" s="33">
        <v>35122</v>
      </c>
      <c r="M33" s="33">
        <v>35683</v>
      </c>
      <c r="N33" s="33">
        <v>42026</v>
      </c>
      <c r="O33" s="33">
        <v>43351</v>
      </c>
      <c r="P33" s="33">
        <v>49711</v>
      </c>
      <c r="Q33" s="33">
        <v>67524</v>
      </c>
      <c r="R33" s="33">
        <v>67886</v>
      </c>
      <c r="S33" s="33">
        <v>119220</v>
      </c>
      <c r="T33" s="33">
        <v>119509</v>
      </c>
    </row>
    <row r="34" spans="1:20" s="33" customFormat="1" x14ac:dyDescent="0.25">
      <c r="A34" s="1"/>
      <c r="B34" s="1" t="s">
        <v>655</v>
      </c>
      <c r="C34" s="33">
        <v>1973</v>
      </c>
      <c r="D34" s="33">
        <v>1759</v>
      </c>
      <c r="E34" s="33">
        <v>1158</v>
      </c>
      <c r="F34" s="33">
        <v>744</v>
      </c>
      <c r="G34" s="33">
        <v>3170</v>
      </c>
      <c r="H34" s="33">
        <v>3083</v>
      </c>
      <c r="I34" s="33">
        <v>6981</v>
      </c>
      <c r="J34" s="33">
        <v>4835</v>
      </c>
      <c r="K34" s="33">
        <v>3733</v>
      </c>
      <c r="L34" s="33">
        <v>10106</v>
      </c>
      <c r="M34" s="33">
        <v>8053</v>
      </c>
      <c r="N34" s="33">
        <v>7750</v>
      </c>
      <c r="O34" s="33">
        <v>7038</v>
      </c>
      <c r="P34" s="33">
        <v>7800</v>
      </c>
      <c r="Q34" s="33">
        <v>11298</v>
      </c>
      <c r="R34" s="33">
        <v>9366</v>
      </c>
      <c r="S34" s="33">
        <v>27597</v>
      </c>
      <c r="T34" s="33">
        <v>22604</v>
      </c>
    </row>
    <row r="35" spans="1:20" s="33" customFormat="1" x14ac:dyDescent="0.25">
      <c r="A35" s="1"/>
      <c r="B35" s="1" t="s">
        <v>654</v>
      </c>
      <c r="C35" s="33">
        <v>2640</v>
      </c>
      <c r="D35" s="33">
        <v>1878</v>
      </c>
      <c r="E35" s="33">
        <v>1501</v>
      </c>
      <c r="F35" s="33">
        <v>1434</v>
      </c>
      <c r="G35" s="33">
        <v>1520</v>
      </c>
      <c r="H35" s="33">
        <v>2392</v>
      </c>
      <c r="I35" s="33">
        <v>3422</v>
      </c>
      <c r="J35" s="33">
        <v>3117</v>
      </c>
      <c r="K35" s="33">
        <v>3416</v>
      </c>
      <c r="L35" s="33">
        <v>12631</v>
      </c>
      <c r="M35" s="33">
        <v>14128</v>
      </c>
      <c r="N35" s="33">
        <v>22102</v>
      </c>
      <c r="O35" s="33">
        <v>21891</v>
      </c>
      <c r="P35" s="33">
        <v>26163</v>
      </c>
      <c r="Q35" s="33">
        <v>35045</v>
      </c>
      <c r="R35" s="33">
        <v>44947</v>
      </c>
      <c r="S35" s="33">
        <v>55421</v>
      </c>
      <c r="T35" s="33">
        <v>65388</v>
      </c>
    </row>
    <row r="36" spans="1:20" s="35" customFormat="1" x14ac:dyDescent="0.25">
      <c r="A36" s="34"/>
      <c r="B36" s="34" t="s">
        <v>636</v>
      </c>
      <c r="C36" s="35">
        <f>SUM(C31:C35)</f>
        <v>29551</v>
      </c>
      <c r="D36" s="35">
        <f>SUM(D31:D35)</f>
        <v>28608</v>
      </c>
      <c r="E36" s="35">
        <f t="shared" ref="E36:T36" si="10">SUM(E31:E35)</f>
        <v>30437</v>
      </c>
      <c r="F36" s="35">
        <f t="shared" si="10"/>
        <v>33786</v>
      </c>
      <c r="G36" s="35">
        <f t="shared" si="10"/>
        <v>36187</v>
      </c>
      <c r="H36" s="35">
        <f t="shared" si="10"/>
        <v>40965</v>
      </c>
      <c r="I36" s="35">
        <f t="shared" si="10"/>
        <v>58138</v>
      </c>
      <c r="J36" s="35">
        <f t="shared" si="10"/>
        <v>51675</v>
      </c>
      <c r="K36" s="35">
        <f t="shared" si="10"/>
        <v>53808</v>
      </c>
      <c r="L36" s="35">
        <f t="shared" si="10"/>
        <v>87616</v>
      </c>
      <c r="M36" s="35">
        <f t="shared" si="10"/>
        <v>89186</v>
      </c>
      <c r="N36" s="35">
        <f t="shared" si="10"/>
        <v>111004</v>
      </c>
      <c r="O36" s="35">
        <f t="shared" si="10"/>
        <v>119396</v>
      </c>
      <c r="P36" s="35">
        <f t="shared" si="10"/>
        <v>149373</v>
      </c>
      <c r="Q36" s="35">
        <f t="shared" si="10"/>
        <v>195156</v>
      </c>
      <c r="R36" s="35">
        <f t="shared" si="10"/>
        <v>227719</v>
      </c>
      <c r="S36" s="35">
        <f t="shared" si="10"/>
        <v>352429</v>
      </c>
      <c r="T36" s="35">
        <f t="shared" si="10"/>
        <v>427872</v>
      </c>
    </row>
    <row r="37" spans="1:20" s="35" customFormat="1" x14ac:dyDescent="0.25">
      <c r="A37" s="34"/>
      <c r="B37" s="34" t="s">
        <v>579</v>
      </c>
      <c r="C37" s="35">
        <f t="shared" ref="C37:T37" si="11">C30+C36</f>
        <v>72793</v>
      </c>
      <c r="D37" s="35">
        <f t="shared" si="11"/>
        <v>77888</v>
      </c>
      <c r="E37" s="35">
        <f t="shared" si="11"/>
        <v>86113</v>
      </c>
      <c r="F37" s="35">
        <f t="shared" si="11"/>
        <v>108704</v>
      </c>
      <c r="G37" s="35">
        <f t="shared" si="11"/>
        <v>121271</v>
      </c>
      <c r="H37" s="35">
        <f t="shared" si="11"/>
        <v>142431</v>
      </c>
      <c r="I37" s="35">
        <f t="shared" si="11"/>
        <v>172384</v>
      </c>
      <c r="J37" s="35">
        <f t="shared" si="11"/>
        <v>174472</v>
      </c>
      <c r="K37" s="35">
        <f t="shared" si="11"/>
        <v>193468</v>
      </c>
      <c r="L37" s="35">
        <f t="shared" si="11"/>
        <v>250312</v>
      </c>
      <c r="M37" s="35">
        <f t="shared" si="11"/>
        <v>258848</v>
      </c>
      <c r="N37" s="35">
        <f t="shared" si="11"/>
        <v>286556</v>
      </c>
      <c r="O37" s="35">
        <f t="shared" si="11"/>
        <v>301311</v>
      </c>
      <c r="P37" s="35">
        <f t="shared" si="11"/>
        <v>333779</v>
      </c>
      <c r="Q37" s="35">
        <f t="shared" si="11"/>
        <v>364840</v>
      </c>
      <c r="R37" s="35">
        <f t="shared" si="11"/>
        <v>411976</v>
      </c>
      <c r="S37" s="35">
        <f t="shared" si="11"/>
        <v>512163</v>
      </c>
      <c r="T37" s="35">
        <f t="shared" si="11"/>
        <v>619003</v>
      </c>
    </row>
    <row r="38" spans="1:20" s="33" customFormat="1" x14ac:dyDescent="0.25">
      <c r="A38" s="1"/>
      <c r="B38" s="1" t="s">
        <v>643</v>
      </c>
      <c r="C38" s="33">
        <v>4034</v>
      </c>
      <c r="D38" s="33">
        <v>3324</v>
      </c>
      <c r="E38" s="33">
        <v>4025</v>
      </c>
      <c r="F38" s="33">
        <v>4197</v>
      </c>
      <c r="G38" s="33">
        <v>4175</v>
      </c>
      <c r="H38" s="33">
        <v>4828</v>
      </c>
      <c r="I38" s="33">
        <v>7432</v>
      </c>
      <c r="J38" s="33">
        <v>6591</v>
      </c>
      <c r="K38" s="33">
        <v>6898</v>
      </c>
      <c r="L38" s="33">
        <v>7390</v>
      </c>
      <c r="M38" s="33">
        <v>8617</v>
      </c>
      <c r="N38" s="33">
        <v>9382</v>
      </c>
      <c r="O38" s="33">
        <v>12530</v>
      </c>
      <c r="P38" s="33">
        <v>15163</v>
      </c>
      <c r="Q38" s="33">
        <v>19000</v>
      </c>
      <c r="R38" s="33">
        <v>18095</v>
      </c>
      <c r="S38" s="33">
        <v>21996</v>
      </c>
      <c r="T38" s="33">
        <v>27724</v>
      </c>
    </row>
    <row r="39" spans="1:20" s="33" customFormat="1" x14ac:dyDescent="0.25">
      <c r="A39" s="1"/>
      <c r="B39" s="1" t="s">
        <v>642</v>
      </c>
      <c r="C39" s="33">
        <v>0</v>
      </c>
      <c r="D39" s="33">
        <v>3684</v>
      </c>
      <c r="E39" s="33">
        <v>1000</v>
      </c>
      <c r="F39" s="33">
        <v>0</v>
      </c>
      <c r="G39" s="33">
        <v>1231</v>
      </c>
      <c r="H39" s="33">
        <v>2999</v>
      </c>
      <c r="I39" s="33">
        <v>2000</v>
      </c>
      <c r="J39" s="33">
        <v>7484</v>
      </c>
      <c r="K39" s="33">
        <v>12904</v>
      </c>
      <c r="L39" s="33">
        <v>10121</v>
      </c>
      <c r="M39" s="33">
        <v>3998</v>
      </c>
      <c r="N39" s="33">
        <v>5516</v>
      </c>
      <c r="O39" s="33">
        <v>3749</v>
      </c>
      <c r="P39" s="33">
        <v>8072</v>
      </c>
      <c r="Q39" s="33">
        <v>2749</v>
      </c>
      <c r="R39" s="33">
        <v>5247</v>
      </c>
      <c r="S39" s="33">
        <v>8942</v>
      </c>
      <c r="T39" s="33">
        <v>2999</v>
      </c>
    </row>
    <row r="40" spans="1:20" s="33" customFormat="1" x14ac:dyDescent="0.25">
      <c r="A40" s="1"/>
      <c r="B40" s="1" t="s">
        <v>656</v>
      </c>
      <c r="C40" s="33">
        <v>2934</v>
      </c>
      <c r="D40" s="33">
        <v>3156</v>
      </c>
      <c r="E40" s="33">
        <v>3283</v>
      </c>
      <c r="F40" s="33">
        <v>3575</v>
      </c>
      <c r="G40" s="33">
        <v>3875</v>
      </c>
      <c r="H40" s="33">
        <v>4117</v>
      </c>
      <c r="I40" s="33">
        <v>4797</v>
      </c>
      <c r="J40" s="33">
        <v>5096</v>
      </c>
      <c r="K40" s="33">
        <v>5264</v>
      </c>
      <c r="L40" s="33">
        <v>5819</v>
      </c>
      <c r="M40" s="33">
        <v>6103</v>
      </c>
      <c r="N40" s="33">
        <v>6830</v>
      </c>
      <c r="O40" s="33">
        <v>7874</v>
      </c>
      <c r="P40" s="33">
        <v>10057</v>
      </c>
      <c r="Q40" s="33">
        <v>10661</v>
      </c>
      <c r="R40" s="33">
        <v>11009</v>
      </c>
      <c r="S40" s="33">
        <v>12564</v>
      </c>
      <c r="T40" s="33">
        <v>13709</v>
      </c>
    </row>
    <row r="41" spans="1:20" s="33" customFormat="1" x14ac:dyDescent="0.25">
      <c r="A41" s="1"/>
      <c r="B41" s="1" t="s">
        <v>657</v>
      </c>
      <c r="C41" s="33">
        <v>3248</v>
      </c>
      <c r="D41" s="33">
        <v>725</v>
      </c>
      <c r="E41" s="33">
        <v>1074</v>
      </c>
      <c r="F41" s="33">
        <v>580</v>
      </c>
      <c r="G41" s="33">
        <v>789</v>
      </c>
      <c r="H41" s="33">
        <v>592</v>
      </c>
      <c r="I41" s="33">
        <v>782</v>
      </c>
      <c r="J41" s="33">
        <v>606</v>
      </c>
      <c r="K41" s="33">
        <v>580</v>
      </c>
      <c r="L41" s="33">
        <v>718</v>
      </c>
      <c r="M41" s="33">
        <v>2121</v>
      </c>
      <c r="N41" s="33">
        <v>5665</v>
      </c>
      <c r="O41" s="33">
        <v>2130</v>
      </c>
      <c r="P41" s="33">
        <v>2174</v>
      </c>
      <c r="Q41" s="33">
        <v>4067</v>
      </c>
      <c r="R41" s="33">
        <v>4152</v>
      </c>
      <c r="S41" s="33">
        <v>5017</v>
      </c>
      <c r="T41" s="33">
        <v>7211</v>
      </c>
    </row>
    <row r="42" spans="1:20" s="33" customFormat="1" x14ac:dyDescent="0.25">
      <c r="A42" s="1"/>
      <c r="B42" s="1" t="s">
        <v>644</v>
      </c>
      <c r="C42" s="33">
        <v>13397</v>
      </c>
      <c r="D42" s="33">
        <v>13003</v>
      </c>
      <c r="E42" s="33">
        <v>13652</v>
      </c>
      <c r="F42" s="33">
        <v>15722</v>
      </c>
      <c r="G42" s="33">
        <v>18653</v>
      </c>
      <c r="H42" s="33">
        <v>20639</v>
      </c>
      <c r="I42" s="33">
        <v>23150</v>
      </c>
      <c r="J42" s="33">
        <v>23223</v>
      </c>
      <c r="K42" s="33">
        <v>27468</v>
      </c>
      <c r="L42" s="33">
        <v>24013</v>
      </c>
      <c r="M42" s="33">
        <v>28905</v>
      </c>
      <c r="N42" s="33">
        <v>32676</v>
      </c>
      <c r="O42" s="33">
        <v>36000</v>
      </c>
      <c r="P42" s="33">
        <v>41525</v>
      </c>
      <c r="Q42" s="33">
        <v>45538</v>
      </c>
      <c r="R42" s="33">
        <v>50901</v>
      </c>
      <c r="S42" s="33">
        <v>57582</v>
      </c>
      <c r="T42" s="33">
        <v>64555</v>
      </c>
    </row>
    <row r="43" spans="1:20" s="33" customFormat="1" x14ac:dyDescent="0.25">
      <c r="A43" s="1"/>
      <c r="B43" s="1" t="s">
        <v>645</v>
      </c>
      <c r="C43" s="33">
        <v>6273</v>
      </c>
      <c r="D43" s="33">
        <v>3142</v>
      </c>
      <c r="E43" s="33">
        <v>3113</v>
      </c>
      <c r="F43" s="33">
        <v>4700</v>
      </c>
      <c r="G43" s="33">
        <v>3965</v>
      </c>
      <c r="H43" s="33">
        <v>4242</v>
      </c>
      <c r="I43" s="33">
        <v>7464</v>
      </c>
      <c r="J43" s="33">
        <v>6647</v>
      </c>
      <c r="K43" s="33">
        <v>6243</v>
      </c>
      <c r="L43" s="33">
        <v>7684</v>
      </c>
      <c r="M43" s="33">
        <v>8744</v>
      </c>
      <c r="N43" s="33">
        <v>9351</v>
      </c>
      <c r="O43" s="33">
        <v>10027</v>
      </c>
      <c r="P43" s="33">
        <v>11666</v>
      </c>
      <c r="Q43" s="33">
        <v>13067</v>
      </c>
      <c r="R43" s="33">
        <v>14745</v>
      </c>
      <c r="S43" s="33">
        <v>19185</v>
      </c>
      <c r="T43" s="33">
        <v>25020</v>
      </c>
    </row>
    <row r="44" spans="1:20" s="35" customFormat="1" x14ac:dyDescent="0.25">
      <c r="A44" s="34"/>
      <c r="B44" s="34" t="s">
        <v>641</v>
      </c>
      <c r="C44" s="35">
        <f>SUM(C38:C43)</f>
        <v>29886</v>
      </c>
      <c r="D44" s="35">
        <f>SUM(D38:D43)</f>
        <v>27034</v>
      </c>
      <c r="E44" s="35">
        <f>SUM(E38:E43)</f>
        <v>26147</v>
      </c>
      <c r="F44" s="35">
        <f t="shared" ref="F44:T44" si="12">SUM(F38:F43)</f>
        <v>28774</v>
      </c>
      <c r="G44" s="35">
        <f t="shared" si="12"/>
        <v>32688</v>
      </c>
      <c r="H44" s="35">
        <f t="shared" si="12"/>
        <v>37417</v>
      </c>
      <c r="I44" s="35">
        <f t="shared" si="12"/>
        <v>45625</v>
      </c>
      <c r="J44" s="35">
        <f t="shared" si="12"/>
        <v>49647</v>
      </c>
      <c r="K44" s="35">
        <f t="shared" si="12"/>
        <v>59357</v>
      </c>
      <c r="L44" s="35">
        <f t="shared" si="12"/>
        <v>55745</v>
      </c>
      <c r="M44" s="35">
        <f t="shared" si="12"/>
        <v>58488</v>
      </c>
      <c r="N44" s="35">
        <f t="shared" si="12"/>
        <v>69420</v>
      </c>
      <c r="O44" s="35">
        <f t="shared" si="12"/>
        <v>72310</v>
      </c>
      <c r="P44" s="35">
        <f t="shared" si="12"/>
        <v>88657</v>
      </c>
      <c r="Q44" s="35">
        <f t="shared" si="12"/>
        <v>95082</v>
      </c>
      <c r="R44" s="35">
        <f t="shared" si="12"/>
        <v>104149</v>
      </c>
      <c r="S44" s="35">
        <f t="shared" si="12"/>
        <v>125286</v>
      </c>
      <c r="T44" s="35">
        <f t="shared" si="12"/>
        <v>141218</v>
      </c>
    </row>
    <row r="45" spans="1:20" s="33" customFormat="1" x14ac:dyDescent="0.25">
      <c r="A45" s="1"/>
      <c r="B45" s="1" t="s">
        <v>646</v>
      </c>
      <c r="C45" s="33">
        <v>1E-3</v>
      </c>
      <c r="D45" s="33">
        <v>3746</v>
      </c>
      <c r="E45" s="33">
        <v>4939</v>
      </c>
      <c r="F45" s="33">
        <v>11921</v>
      </c>
      <c r="G45" s="33">
        <v>10713</v>
      </c>
      <c r="H45" s="33">
        <v>12601</v>
      </c>
      <c r="I45" s="33">
        <v>20645</v>
      </c>
      <c r="J45" s="33">
        <v>27808</v>
      </c>
      <c r="K45" s="33">
        <v>40557</v>
      </c>
      <c r="L45" s="33">
        <v>76073</v>
      </c>
      <c r="M45" s="33">
        <v>72242</v>
      </c>
      <c r="N45" s="33">
        <v>66662</v>
      </c>
      <c r="O45" s="33">
        <v>59578</v>
      </c>
      <c r="P45" s="33">
        <v>50074</v>
      </c>
      <c r="Q45" s="33">
        <v>47032</v>
      </c>
      <c r="R45" s="33">
        <v>41990</v>
      </c>
      <c r="S45" s="33">
        <v>42688</v>
      </c>
      <c r="T45" s="33">
        <v>40152</v>
      </c>
    </row>
    <row r="46" spans="1:20" s="33" customFormat="1" x14ac:dyDescent="0.25">
      <c r="A46" s="1"/>
      <c r="B46" s="1" t="s">
        <v>658</v>
      </c>
      <c r="C46" s="33">
        <v>1900</v>
      </c>
      <c r="D46" s="33">
        <v>1281</v>
      </c>
      <c r="E46" s="33">
        <v>1178</v>
      </c>
      <c r="F46" s="33">
        <v>1398</v>
      </c>
      <c r="G46" s="33">
        <v>1406</v>
      </c>
      <c r="H46" s="33">
        <v>1760</v>
      </c>
      <c r="I46" s="33">
        <v>2008</v>
      </c>
      <c r="J46" s="33">
        <v>2095</v>
      </c>
      <c r="K46" s="33">
        <v>6441</v>
      </c>
      <c r="L46" s="33">
        <v>10377</v>
      </c>
      <c r="M46" s="33">
        <v>3815</v>
      </c>
      <c r="N46" s="33">
        <v>4530</v>
      </c>
      <c r="O46" s="33">
        <v>3180</v>
      </c>
      <c r="P46" s="33">
        <v>2616</v>
      </c>
      <c r="Q46" s="33">
        <v>2870</v>
      </c>
      <c r="R46" s="33">
        <v>2912</v>
      </c>
      <c r="S46" s="33">
        <v>2602</v>
      </c>
      <c r="T46" s="33">
        <v>2710</v>
      </c>
    </row>
    <row r="47" spans="1:20" s="33" customFormat="1" x14ac:dyDescent="0.25">
      <c r="A47" s="1"/>
      <c r="B47" s="1" t="s">
        <v>647</v>
      </c>
      <c r="C47" s="33">
        <v>6544</v>
      </c>
      <c r="D47" s="33">
        <v>6269</v>
      </c>
      <c r="E47" s="33">
        <v>7674</v>
      </c>
      <c r="F47" s="33">
        <v>9528</v>
      </c>
      <c r="G47" s="33">
        <v>10101</v>
      </c>
      <c r="H47" s="33">
        <v>11709</v>
      </c>
      <c r="I47" s="33">
        <v>14322</v>
      </c>
      <c r="J47" s="33">
        <v>14839</v>
      </c>
      <c r="K47" s="33">
        <v>15116</v>
      </c>
      <c r="L47" s="33">
        <v>20406</v>
      </c>
      <c r="M47" s="33">
        <v>41585</v>
      </c>
      <c r="N47" s="33">
        <v>43614</v>
      </c>
      <c r="O47" s="33">
        <v>47939</v>
      </c>
      <c r="P47" s="33">
        <v>50444</v>
      </c>
      <c r="Q47" s="33">
        <v>53314</v>
      </c>
      <c r="R47" s="33">
        <v>56702</v>
      </c>
      <c r="S47" s="33">
        <v>73110</v>
      </c>
      <c r="T47" s="33">
        <v>91444</v>
      </c>
    </row>
    <row r="48" spans="1:20" s="35" customFormat="1" x14ac:dyDescent="0.25">
      <c r="A48" s="34"/>
      <c r="B48" s="35" t="s">
        <v>659</v>
      </c>
      <c r="C48" s="35">
        <f>SUM(C45:C47)</f>
        <v>8444.0010000000002</v>
      </c>
      <c r="D48" s="35">
        <f t="shared" ref="D48" si="13">SUM(D45:D47)</f>
        <v>11296</v>
      </c>
      <c r="E48" s="35">
        <f t="shared" ref="E48" si="14">SUM(E45:E47)</f>
        <v>13791</v>
      </c>
      <c r="F48" s="35">
        <f t="shared" ref="F48" si="15">SUM(F45:F47)</f>
        <v>22847</v>
      </c>
      <c r="G48" s="35">
        <f t="shared" ref="G48" si="16">SUM(G45:G47)</f>
        <v>22220</v>
      </c>
      <c r="H48" s="35">
        <f t="shared" ref="H48" si="17">SUM(H45:H47)</f>
        <v>26070</v>
      </c>
      <c r="I48" s="35">
        <f t="shared" ref="I48" si="18">SUM(I45:I47)</f>
        <v>36975</v>
      </c>
      <c r="J48" s="35">
        <f t="shared" ref="J48" si="19">SUM(J45:J47)</f>
        <v>44742</v>
      </c>
      <c r="K48" s="35">
        <f t="shared" ref="K48" si="20">SUM(K45:K47)</f>
        <v>62114</v>
      </c>
      <c r="L48" s="35">
        <f t="shared" ref="L48" si="21">SUM(L45:L47)</f>
        <v>106856</v>
      </c>
      <c r="M48" s="35">
        <f t="shared" ref="M48" si="22">SUM(M45:M47)</f>
        <v>117642</v>
      </c>
      <c r="N48" s="35">
        <f t="shared" ref="N48" si="23">SUM(N45:N47)</f>
        <v>114806</v>
      </c>
      <c r="O48" s="35">
        <f t="shared" ref="O48" si="24">SUM(O45:O47)</f>
        <v>110697</v>
      </c>
      <c r="P48" s="35">
        <f t="shared" ref="P48" si="25">SUM(P45:P47)</f>
        <v>103134</v>
      </c>
      <c r="Q48" s="35">
        <f t="shared" ref="Q48" si="26">SUM(Q45:Q47)</f>
        <v>103216</v>
      </c>
      <c r="R48" s="35">
        <f t="shared" ref="R48" si="27">SUM(R45:R47)</f>
        <v>101604</v>
      </c>
      <c r="S48" s="35">
        <f t="shared" ref="S48" si="28">SUM(S45:S47)</f>
        <v>118400</v>
      </c>
      <c r="T48" s="35">
        <f t="shared" ref="T48" si="29">SUM(T45:T47)</f>
        <v>134306</v>
      </c>
    </row>
    <row r="49" spans="1:23" s="35" customFormat="1" x14ac:dyDescent="0.25">
      <c r="A49" s="34"/>
      <c r="B49" s="34" t="s">
        <v>587</v>
      </c>
      <c r="C49" s="35">
        <f t="shared" ref="C49" si="30">C44+C48</f>
        <v>38330.001000000004</v>
      </c>
      <c r="D49" s="35">
        <f>D44+D48</f>
        <v>38330</v>
      </c>
      <c r="E49" s="35">
        <f t="shared" ref="E49:T49" si="31">E44+E48</f>
        <v>39938</v>
      </c>
      <c r="F49" s="35">
        <f t="shared" si="31"/>
        <v>51621</v>
      </c>
      <c r="G49" s="35">
        <f t="shared" si="31"/>
        <v>54908</v>
      </c>
      <c r="H49" s="35">
        <f t="shared" si="31"/>
        <v>63487</v>
      </c>
      <c r="I49" s="35">
        <f t="shared" si="31"/>
        <v>82600</v>
      </c>
      <c r="J49" s="35">
        <f t="shared" si="31"/>
        <v>94389</v>
      </c>
      <c r="K49" s="35">
        <f t="shared" si="31"/>
        <v>121471</v>
      </c>
      <c r="L49" s="35">
        <f t="shared" si="31"/>
        <v>162601</v>
      </c>
      <c r="M49" s="35">
        <f t="shared" si="31"/>
        <v>176130</v>
      </c>
      <c r="N49" s="35">
        <f t="shared" si="31"/>
        <v>184226</v>
      </c>
      <c r="O49" s="35">
        <f t="shared" si="31"/>
        <v>183007</v>
      </c>
      <c r="P49" s="35">
        <f t="shared" si="31"/>
        <v>191791</v>
      </c>
      <c r="Q49" s="35">
        <f t="shared" si="31"/>
        <v>198298</v>
      </c>
      <c r="R49" s="35">
        <f t="shared" si="31"/>
        <v>205753</v>
      </c>
      <c r="S49" s="35">
        <f t="shared" si="31"/>
        <v>243686</v>
      </c>
      <c r="T49" s="35">
        <f t="shared" si="31"/>
        <v>275524</v>
      </c>
    </row>
    <row r="50" spans="1:23" s="33" customFormat="1" x14ac:dyDescent="0.25">
      <c r="A50" s="1"/>
      <c r="B50" s="1" t="s">
        <v>660</v>
      </c>
      <c r="C50" s="33">
        <v>39558</v>
      </c>
      <c r="D50" s="33">
        <v>39558</v>
      </c>
      <c r="E50" s="33">
        <v>46175</v>
      </c>
      <c r="F50" s="33">
        <v>57083</v>
      </c>
      <c r="G50" s="33">
        <v>66363</v>
      </c>
      <c r="H50" s="33">
        <v>78944</v>
      </c>
      <c r="I50" s="33">
        <v>89784</v>
      </c>
      <c r="J50" s="33">
        <v>80083</v>
      </c>
      <c r="K50" s="33">
        <v>71997</v>
      </c>
      <c r="L50" s="33">
        <v>87711</v>
      </c>
      <c r="M50" s="33">
        <v>82718</v>
      </c>
      <c r="N50" s="33">
        <v>102330</v>
      </c>
      <c r="O50" s="33">
        <v>118304</v>
      </c>
      <c r="P50" s="33">
        <v>141988</v>
      </c>
      <c r="Q50" s="33">
        <v>166542</v>
      </c>
      <c r="R50" s="33">
        <v>206223</v>
      </c>
      <c r="S50" s="33">
        <v>268477</v>
      </c>
      <c r="T50" s="33">
        <v>343479</v>
      </c>
    </row>
    <row r="51" spans="1:23" s="35" customFormat="1" x14ac:dyDescent="0.25">
      <c r="A51" s="34"/>
      <c r="B51" s="34" t="s">
        <v>661</v>
      </c>
      <c r="C51" s="35">
        <f>+C50+C49</f>
        <v>77888.001000000004</v>
      </c>
      <c r="D51" s="35">
        <f t="shared" ref="D51:T51" si="32">+D50+D49</f>
        <v>77888</v>
      </c>
      <c r="E51" s="35">
        <f t="shared" si="32"/>
        <v>86113</v>
      </c>
      <c r="F51" s="35">
        <f t="shared" si="32"/>
        <v>108704</v>
      </c>
      <c r="G51" s="35">
        <f t="shared" si="32"/>
        <v>121271</v>
      </c>
      <c r="H51" s="35">
        <f t="shared" si="32"/>
        <v>142431</v>
      </c>
      <c r="I51" s="35">
        <f t="shared" si="32"/>
        <v>172384</v>
      </c>
      <c r="J51" s="35">
        <f>+J50+J49</f>
        <v>174472</v>
      </c>
      <c r="K51" s="35">
        <f t="shared" si="32"/>
        <v>193468</v>
      </c>
      <c r="L51" s="35">
        <f t="shared" si="32"/>
        <v>250312</v>
      </c>
      <c r="M51" s="35">
        <f t="shared" si="32"/>
        <v>258848</v>
      </c>
      <c r="N51" s="35">
        <f t="shared" si="32"/>
        <v>286556</v>
      </c>
      <c r="O51" s="35">
        <f t="shared" si="32"/>
        <v>301311</v>
      </c>
      <c r="P51" s="35">
        <f t="shared" si="32"/>
        <v>333779</v>
      </c>
      <c r="Q51" s="35">
        <f t="shared" si="32"/>
        <v>364840</v>
      </c>
      <c r="R51" s="35">
        <f t="shared" si="32"/>
        <v>411976</v>
      </c>
      <c r="S51" s="35">
        <f t="shared" si="32"/>
        <v>512163</v>
      </c>
      <c r="T51" s="35">
        <f t="shared" si="32"/>
        <v>619003</v>
      </c>
    </row>
    <row r="52" spans="1:23" s="33" customFormat="1" x14ac:dyDescent="0.25">
      <c r="A52" s="1"/>
      <c r="B52" s="1"/>
    </row>
    <row r="53" spans="1:23" s="33" customFormat="1" x14ac:dyDescent="0.25">
      <c r="A53" s="1"/>
      <c r="B53" s="1"/>
    </row>
    <row r="54" spans="1:23" s="33" customFormat="1" ht="14.4" x14ac:dyDescent="0.3">
      <c r="A54" s="1"/>
      <c r="B54" t="s">
        <v>672</v>
      </c>
      <c r="C54" s="42">
        <f>(C39+C45)/C50</f>
        <v>2.5279336670205776E-8</v>
      </c>
      <c r="D54" s="42">
        <f t="shared" ref="D54:S54" si="33">(D39+D45)/D50</f>
        <v>0.18782547145962891</v>
      </c>
      <c r="E54" s="42">
        <f t="shared" si="33"/>
        <v>0.12861938278289117</v>
      </c>
      <c r="F54" s="42">
        <f t="shared" si="33"/>
        <v>0.2088362559781371</v>
      </c>
      <c r="G54" s="42">
        <f t="shared" si="33"/>
        <v>0.17997980802555641</v>
      </c>
      <c r="H54" s="42">
        <f t="shared" si="33"/>
        <v>0.19760843129306851</v>
      </c>
      <c r="I54" s="42">
        <f t="shared" si="33"/>
        <v>0.25221643054441772</v>
      </c>
      <c r="J54" s="42">
        <f t="shared" si="33"/>
        <v>0.44069278123946404</v>
      </c>
      <c r="K54" s="42">
        <f t="shared" si="33"/>
        <v>0.74254482825673296</v>
      </c>
      <c r="L54" s="42">
        <f t="shared" si="33"/>
        <v>0.98270456385174032</v>
      </c>
      <c r="M54" s="42">
        <f t="shared" si="33"/>
        <v>0.92168572741120436</v>
      </c>
      <c r="N54" s="42">
        <f t="shared" si="33"/>
        <v>0.70534545099188894</v>
      </c>
      <c r="O54" s="42">
        <f t="shared" si="33"/>
        <v>0.5352904381931296</v>
      </c>
      <c r="P54" s="42">
        <f t="shared" si="33"/>
        <v>0.4095134800123954</v>
      </c>
      <c r="Q54" s="42">
        <f t="shared" si="33"/>
        <v>0.29890958436910808</v>
      </c>
      <c r="R54" s="42">
        <f t="shared" si="33"/>
        <v>0.2290578645446919</v>
      </c>
      <c r="S54" s="42">
        <f t="shared" si="33"/>
        <v>0.19230697601656752</v>
      </c>
      <c r="T54" s="42">
        <f>(T39+T45)/T50</f>
        <v>0.12562922332951942</v>
      </c>
      <c r="U54" s="42"/>
      <c r="V54" s="42"/>
      <c r="W54" s="42"/>
    </row>
    <row r="55" spans="1:23" s="33" customFormat="1" x14ac:dyDescent="0.25">
      <c r="A55" s="1"/>
      <c r="B55" s="1"/>
      <c r="T55" s="42"/>
    </row>
    <row r="56" spans="1:23" s="33" customFormat="1" x14ac:dyDescent="0.25">
      <c r="A56" s="1"/>
      <c r="B56" s="1"/>
    </row>
    <row r="57" spans="1:23" s="33" customFormat="1" x14ac:dyDescent="0.25">
      <c r="A57" s="1"/>
      <c r="B57" s="1"/>
    </row>
    <row r="58" spans="1:23" s="33" customFormat="1" x14ac:dyDescent="0.25">
      <c r="A58" s="1"/>
      <c r="B58" s="1"/>
    </row>
    <row r="59" spans="1:23" s="33" customFormat="1" x14ac:dyDescent="0.25">
      <c r="A59" s="1"/>
      <c r="B59" s="1" t="s">
        <v>677</v>
      </c>
      <c r="C59" s="33">
        <f>C10*(1-$T$65)</f>
        <v>18068.090010823249</v>
      </c>
      <c r="D59" s="33">
        <f t="shared" ref="D59:T59" si="34">D10*(1-$T$65)</f>
        <v>16520.16150556301</v>
      </c>
      <c r="E59" s="33">
        <f t="shared" si="34"/>
        <v>19550.304570105458</v>
      </c>
      <c r="F59" s="33">
        <f t="shared" si="34"/>
        <v>22035.265268015366</v>
      </c>
      <c r="G59" s="33">
        <f t="shared" si="34"/>
        <v>17655.958102714128</v>
      </c>
      <c r="H59" s="33">
        <f t="shared" si="34"/>
        <v>21713.185804394659</v>
      </c>
      <c r="I59" s="33">
        <f t="shared" si="34"/>
        <v>22623.445648682911</v>
      </c>
      <c r="J59" s="33">
        <f t="shared" si="34"/>
        <v>14733.715714901038</v>
      </c>
      <c r="K59" s="33">
        <f t="shared" si="34"/>
        <v>21156.645471790609</v>
      </c>
      <c r="L59" s="33">
        <f t="shared" si="34"/>
        <v>23547.497308793714</v>
      </c>
      <c r="M59" s="33">
        <f t="shared" si="34"/>
        <v>28441.969359231352</v>
      </c>
      <c r="N59" s="33">
        <f t="shared" si="34"/>
        <v>34851.918583582054</v>
      </c>
      <c r="O59" s="33">
        <f t="shared" si="34"/>
        <v>42964.751420375753</v>
      </c>
      <c r="P59" s="33">
        <f t="shared" si="34"/>
        <v>56721.682061726831</v>
      </c>
      <c r="Q59" s="33">
        <f t="shared" si="34"/>
        <v>67647.234043036908</v>
      </c>
      <c r="R59" s="33">
        <f t="shared" si="34"/>
        <v>71817.230121148867</v>
      </c>
      <c r="S59" s="33">
        <f t="shared" si="34"/>
        <v>88781.163582884488</v>
      </c>
      <c r="T59" s="33">
        <f t="shared" si="34"/>
        <v>104272.61788474207</v>
      </c>
    </row>
    <row r="60" spans="1:23" s="33" customFormat="1" x14ac:dyDescent="0.25">
      <c r="A60" s="1"/>
      <c r="B60" s="1" t="s">
        <v>676</v>
      </c>
      <c r="C60" s="33">
        <f>C39+C45+C50</f>
        <v>39558.000999999997</v>
      </c>
      <c r="D60" s="33">
        <f t="shared" ref="D60:T60" si="35">D39+D45+D50</f>
        <v>46988</v>
      </c>
      <c r="E60" s="33">
        <f t="shared" si="35"/>
        <v>52114</v>
      </c>
      <c r="F60" s="33">
        <f t="shared" si="35"/>
        <v>69004</v>
      </c>
      <c r="G60" s="33">
        <f t="shared" si="35"/>
        <v>78307</v>
      </c>
      <c r="H60" s="33">
        <f t="shared" si="35"/>
        <v>94544</v>
      </c>
      <c r="I60" s="33">
        <f t="shared" si="35"/>
        <v>112429</v>
      </c>
      <c r="J60" s="33">
        <f t="shared" si="35"/>
        <v>115375</v>
      </c>
      <c r="K60" s="33">
        <f t="shared" si="35"/>
        <v>125458</v>
      </c>
      <c r="L60" s="33">
        <f t="shared" si="35"/>
        <v>173905</v>
      </c>
      <c r="M60" s="33">
        <f t="shared" si="35"/>
        <v>158958</v>
      </c>
      <c r="N60" s="33">
        <f t="shared" si="35"/>
        <v>174508</v>
      </c>
      <c r="O60" s="33">
        <f t="shared" si="35"/>
        <v>181631</v>
      </c>
      <c r="P60" s="33">
        <f t="shared" si="35"/>
        <v>200134</v>
      </c>
      <c r="Q60" s="33">
        <f t="shared" si="35"/>
        <v>216323</v>
      </c>
      <c r="R60" s="33">
        <f t="shared" si="35"/>
        <v>253460</v>
      </c>
      <c r="S60" s="33">
        <f t="shared" si="35"/>
        <v>320107</v>
      </c>
      <c r="T60" s="33">
        <f t="shared" si="35"/>
        <v>386630</v>
      </c>
    </row>
    <row r="61" spans="1:23" s="35" customFormat="1" x14ac:dyDescent="0.25">
      <c r="A61" s="34"/>
      <c r="B61" s="34" t="s">
        <v>678</v>
      </c>
      <c r="C61" s="35">
        <f>C59-(C60*WACC!D16)</f>
        <v>14838.989126379876</v>
      </c>
      <c r="D61" s="35">
        <f>D59-(D60*WACC!E16)</f>
        <v>16520.16150556301</v>
      </c>
      <c r="E61" s="35">
        <f>E59-(E60*WACC!F16)</f>
        <v>19550.304570105458</v>
      </c>
      <c r="F61" s="35">
        <f>F59-(F60*WACC!G16)</f>
        <v>22035.265268015366</v>
      </c>
      <c r="G61" s="35">
        <f>G59-(G60*WACC!H16)</f>
        <v>17655.958102714128</v>
      </c>
      <c r="H61" s="35">
        <f>H59-(H60*WACC!I16)</f>
        <v>21713.185804394659</v>
      </c>
      <c r="I61" s="35">
        <f>I59-(I60*WACC!J16)</f>
        <v>22623.445648682911</v>
      </c>
      <c r="J61" s="35">
        <f>J59-(J60*WACC!K16)</f>
        <v>14733.715714901038</v>
      </c>
      <c r="K61" s="35">
        <f>K59-(K60*WACC!L16)</f>
        <v>21156.645471790609</v>
      </c>
      <c r="L61" s="35">
        <f>L59-(L60*WACC!M16)</f>
        <v>23547.497308793714</v>
      </c>
      <c r="M61" s="35">
        <f>M59-(M60*WACC!N16)</f>
        <v>28441.969359231352</v>
      </c>
      <c r="N61" s="35">
        <f>N59-(N60*WACC!O16)</f>
        <v>34851.918583582054</v>
      </c>
      <c r="O61" s="35">
        <f>O59-(O60*WACC!P16)</f>
        <v>42964.751420375753</v>
      </c>
      <c r="P61" s="35">
        <f>P59-(P60*WACC!Q16)</f>
        <v>56721.682061726831</v>
      </c>
      <c r="Q61" s="35">
        <f>Q59-(Q60*WACC!R16)</f>
        <v>67647.234043036908</v>
      </c>
      <c r="R61" s="35">
        <f>R59-(R60*WACC!S16)</f>
        <v>71817.230121148867</v>
      </c>
      <c r="S61" s="35">
        <f>S59-(S60*WACC!T16)</f>
        <v>88781.163582884488</v>
      </c>
      <c r="T61" s="35">
        <f>T59-(T60*WACC!U16)</f>
        <v>104272.61788474207</v>
      </c>
    </row>
    <row r="62" spans="1:23" s="40" customFormat="1" x14ac:dyDescent="0.25">
      <c r="B62" s="66" t="s">
        <v>732</v>
      </c>
      <c r="D62" s="40">
        <f>D61/C61-1</f>
        <v>0.11329426586036417</v>
      </c>
      <c r="E62" s="40">
        <f t="shared" ref="E62:T62" si="36">E61/D61-1</f>
        <v>0.18342091047488096</v>
      </c>
      <c r="F62" s="40">
        <f t="shared" si="36"/>
        <v>0.12710598389907868</v>
      </c>
      <c r="G62" s="40">
        <f t="shared" si="36"/>
        <v>-0.19874084164795103</v>
      </c>
      <c r="H62" s="40">
        <f t="shared" si="36"/>
        <v>0.22979368653218768</v>
      </c>
      <c r="I62" s="40">
        <f t="shared" si="36"/>
        <v>4.1921984755641795E-2</v>
      </c>
      <c r="J62" s="40">
        <f t="shared" si="36"/>
        <v>-0.34874130388008318</v>
      </c>
      <c r="K62" s="40">
        <f t="shared" si="36"/>
        <v>0.43593414459556179</v>
      </c>
      <c r="L62" s="40">
        <f t="shared" si="36"/>
        <v>0.11300713244880756</v>
      </c>
      <c r="M62" s="40">
        <f t="shared" si="36"/>
        <v>0.20785529715762263</v>
      </c>
      <c r="N62" s="40">
        <f t="shared" si="36"/>
        <v>0.22536938787152705</v>
      </c>
      <c r="O62" s="40">
        <f t="shared" si="36"/>
        <v>0.23278009264647692</v>
      </c>
      <c r="P62" s="40">
        <f t="shared" si="36"/>
        <v>0.32019109122151113</v>
      </c>
      <c r="Q62" s="40">
        <f t="shared" si="36"/>
        <v>0.19261685451112776</v>
      </c>
      <c r="R62" s="40">
        <f t="shared" si="36"/>
        <v>6.1643260616672357E-2</v>
      </c>
      <c r="S62" s="40">
        <f t="shared" si="36"/>
        <v>0.23620979858341884</v>
      </c>
      <c r="T62" s="40">
        <f t="shared" si="36"/>
        <v>0.17449032741494808</v>
      </c>
    </row>
    <row r="63" spans="1:23" s="35" customFormat="1" x14ac:dyDescent="0.25">
      <c r="A63" s="34"/>
      <c r="B63" s="34" t="s">
        <v>548</v>
      </c>
      <c r="C63" s="45">
        <f>C59/C60</f>
        <v>0.45674931882486303</v>
      </c>
      <c r="D63" s="45">
        <f t="shared" ref="D63:T63" si="37">D59/D60</f>
        <v>0.35158256375166019</v>
      </c>
      <c r="E63" s="45">
        <f t="shared" si="37"/>
        <v>0.37514496239216827</v>
      </c>
      <c r="F63" s="45">
        <f t="shared" si="37"/>
        <v>0.31933315848378885</v>
      </c>
      <c r="G63" s="45">
        <f t="shared" si="37"/>
        <v>0.22547100645809606</v>
      </c>
      <c r="H63" s="45">
        <f t="shared" si="37"/>
        <v>0.22966222927308619</v>
      </c>
      <c r="I63" s="45">
        <f t="shared" si="37"/>
        <v>0.20122428953991328</v>
      </c>
      <c r="J63" s="45">
        <f t="shared" si="37"/>
        <v>0.12770284476620619</v>
      </c>
      <c r="K63" s="45">
        <f t="shared" si="37"/>
        <v>0.16863528409340664</v>
      </c>
      <c r="L63" s="45">
        <f t="shared" si="37"/>
        <v>0.13540437197776783</v>
      </c>
      <c r="M63" s="45">
        <f t="shared" si="37"/>
        <v>0.17892757432297432</v>
      </c>
      <c r="N63" s="45">
        <f t="shared" si="37"/>
        <v>0.19971530579447391</v>
      </c>
      <c r="O63" s="45">
        <f t="shared" si="37"/>
        <v>0.23654966068774466</v>
      </c>
      <c r="P63" s="45">
        <f t="shared" si="37"/>
        <v>0.28341851990030098</v>
      </c>
      <c r="Q63" s="45">
        <f t="shared" si="37"/>
        <v>0.31271401581448532</v>
      </c>
      <c r="R63" s="45">
        <f t="shared" si="37"/>
        <v>0.28334739257140718</v>
      </c>
      <c r="S63" s="45">
        <f t="shared" si="37"/>
        <v>0.27734839782599097</v>
      </c>
      <c r="T63" s="49">
        <f t="shared" si="37"/>
        <v>0.26969613812881066</v>
      </c>
    </row>
    <row r="64" spans="1:23" s="33" customFormat="1" x14ac:dyDescent="0.25">
      <c r="A64" s="1"/>
      <c r="B64" s="1" t="s">
        <v>671</v>
      </c>
      <c r="C64" s="47">
        <v>8.1629526336362973E-2</v>
      </c>
      <c r="D64" s="47">
        <v>8.1629526336362973E-2</v>
      </c>
      <c r="E64" s="47">
        <v>8.1629526336362973E-2</v>
      </c>
      <c r="F64" s="47">
        <v>8.1629526336362973E-2</v>
      </c>
      <c r="G64" s="47">
        <v>8.1629526336362973E-2</v>
      </c>
      <c r="H64" s="47">
        <v>8.1629526336362973E-2</v>
      </c>
      <c r="I64" s="47">
        <v>8.1629526336362973E-2</v>
      </c>
      <c r="J64" s="47">
        <v>8.1629526336362973E-2</v>
      </c>
      <c r="K64" s="47">
        <v>8.1629526336362973E-2</v>
      </c>
      <c r="L64" s="47">
        <v>8.1629526336362973E-2</v>
      </c>
      <c r="M64" s="47">
        <v>8.1629526336362973E-2</v>
      </c>
      <c r="N64" s="47">
        <v>8.1629526336362973E-2</v>
      </c>
      <c r="O64" s="47">
        <v>8.1629526336362973E-2</v>
      </c>
      <c r="P64" s="47">
        <v>8.1629526336362973E-2</v>
      </c>
      <c r="Q64" s="47">
        <v>8.1629526336362973E-2</v>
      </c>
      <c r="R64" s="47">
        <v>8.1629526336362973E-2</v>
      </c>
      <c r="S64" s="47">
        <v>8.1629526336362973E-2</v>
      </c>
      <c r="T64" s="40">
        <v>8.1629526336362973E-2</v>
      </c>
    </row>
    <row r="65" spans="1:20" s="33" customFormat="1" x14ac:dyDescent="0.25">
      <c r="A65" s="1"/>
      <c r="B65" s="1" t="s">
        <v>699</v>
      </c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0">
        <f>HARMEAN(C18:T18)</f>
        <v>0.18871671632063008</v>
      </c>
    </row>
    <row r="66" spans="1:20" s="33" customFormat="1" x14ac:dyDescent="0.25">
      <c r="A66" s="1"/>
      <c r="B66" s="1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0"/>
    </row>
    <row r="67" spans="1:20" s="33" customFormat="1" x14ac:dyDescent="0.25">
      <c r="A67" s="1"/>
      <c r="B67" s="48" t="s">
        <v>688</v>
      </c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0"/>
    </row>
    <row r="68" spans="1:20" s="33" customFormat="1" x14ac:dyDescent="0.25">
      <c r="A68" s="1"/>
      <c r="B68" s="47" t="s">
        <v>548</v>
      </c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0">
        <f>T74*T75</f>
        <v>0.51020287804207032</v>
      </c>
    </row>
    <row r="69" spans="1:20" s="35" customFormat="1" x14ac:dyDescent="0.25">
      <c r="A69" s="34"/>
      <c r="B69" s="34" t="s">
        <v>690</v>
      </c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9"/>
    </row>
    <row r="70" spans="1:20" s="35" customFormat="1" x14ac:dyDescent="0.25">
      <c r="A70" s="34"/>
      <c r="B70" s="1" t="s">
        <v>683</v>
      </c>
      <c r="C70" s="47">
        <f>C59/C3</f>
        <v>0.29904154271471778</v>
      </c>
      <c r="D70" s="47">
        <f t="shared" ref="D70:T70" si="38">D59/D3</f>
        <v>0.28270036972402773</v>
      </c>
      <c r="E70" s="47">
        <f t="shared" si="38"/>
        <v>0.31288497167443596</v>
      </c>
      <c r="F70" s="47">
        <f t="shared" si="38"/>
        <v>0.31504604131957975</v>
      </c>
      <c r="G70" s="47">
        <f t="shared" si="38"/>
        <v>0.23949049960954014</v>
      </c>
      <c r="H70" s="47">
        <f t="shared" si="38"/>
        <v>0.27891412612101196</v>
      </c>
      <c r="I70" s="47">
        <f t="shared" si="38"/>
        <v>0.26053972163443517</v>
      </c>
      <c r="J70" s="47">
        <f t="shared" si="38"/>
        <v>0.15744513480338787</v>
      </c>
      <c r="K70" s="47">
        <f t="shared" si="38"/>
        <v>0.23209782863934231</v>
      </c>
      <c r="L70" s="47">
        <f t="shared" si="38"/>
        <v>0.24383611341700628</v>
      </c>
      <c r="M70" s="47">
        <f t="shared" si="38"/>
        <v>0.25771991083029494</v>
      </c>
      <c r="N70" s="47">
        <f t="shared" si="38"/>
        <v>0.27694761396010947</v>
      </c>
      <c r="O70" s="47">
        <f t="shared" si="38"/>
        <v>0.3004212944123047</v>
      </c>
      <c r="P70" s="47">
        <f t="shared" si="38"/>
        <v>0.3374522991630981</v>
      </c>
      <c r="Q70" s="47">
        <f t="shared" si="38"/>
        <v>0.34118744158489389</v>
      </c>
      <c r="R70" s="47">
        <f t="shared" si="38"/>
        <v>0.33889639771204899</v>
      </c>
      <c r="S70" s="47">
        <f t="shared" si="38"/>
        <v>0.36219173955370992</v>
      </c>
      <c r="T70" s="40">
        <f t="shared" si="38"/>
        <v>0.37012330466961307</v>
      </c>
    </row>
    <row r="71" spans="1:20" s="35" customFormat="1" x14ac:dyDescent="0.25">
      <c r="A71" s="34"/>
      <c r="B71" s="1" t="s">
        <v>689</v>
      </c>
      <c r="C71" s="42">
        <f>C3/C60</f>
        <v>1.5273774830027433</v>
      </c>
      <c r="D71" s="42">
        <f t="shared" ref="D71:T71" si="39">D3/D60</f>
        <v>1.2436579552226101</v>
      </c>
      <c r="E71" s="42">
        <f t="shared" si="39"/>
        <v>1.1989868365506391</v>
      </c>
      <c r="F71" s="42">
        <f t="shared" si="39"/>
        <v>1.0136079067880124</v>
      </c>
      <c r="G71" s="42">
        <f t="shared" si="39"/>
        <v>0.94146117205358393</v>
      </c>
      <c r="H71" s="42">
        <f t="shared" si="39"/>
        <v>0.8234155525469623</v>
      </c>
      <c r="I71" s="42">
        <f t="shared" si="39"/>
        <v>0.77233631892127474</v>
      </c>
      <c r="J71" s="42">
        <f t="shared" si="39"/>
        <v>0.81109425785482125</v>
      </c>
      <c r="K71" s="42">
        <f t="shared" si="39"/>
        <v>0.72656984807664715</v>
      </c>
      <c r="L71" s="42">
        <f t="shared" si="39"/>
        <v>0.55530893303815299</v>
      </c>
      <c r="M71" s="42">
        <f t="shared" si="39"/>
        <v>0.69427144277104647</v>
      </c>
      <c r="N71" s="42">
        <f t="shared" si="39"/>
        <v>0.72113026336901465</v>
      </c>
      <c r="O71" s="42">
        <f t="shared" si="39"/>
        <v>0.78739312121829419</v>
      </c>
      <c r="P71" s="42">
        <f t="shared" si="39"/>
        <v>0.83987728222091196</v>
      </c>
      <c r="Q71" s="42">
        <f t="shared" si="39"/>
        <v>0.91654609079940641</v>
      </c>
      <c r="R71" s="42">
        <f t="shared" si="39"/>
        <v>0.83608853468002842</v>
      </c>
      <c r="S71" s="42">
        <f t="shared" si="39"/>
        <v>0.7657502022761139</v>
      </c>
      <c r="T71" s="40">
        <f t="shared" si="39"/>
        <v>0.72866564932881561</v>
      </c>
    </row>
    <row r="72" spans="1:20" s="35" customFormat="1" x14ac:dyDescent="0.25">
      <c r="A72" s="34"/>
      <c r="B72" s="1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0"/>
    </row>
    <row r="73" spans="1:20" s="35" customFormat="1" x14ac:dyDescent="0.25">
      <c r="A73" s="34"/>
      <c r="B73" s="48" t="s">
        <v>688</v>
      </c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0"/>
    </row>
    <row r="74" spans="1:20" s="35" customFormat="1" x14ac:dyDescent="0.25">
      <c r="A74" s="34"/>
      <c r="B74" s="1" t="s">
        <v>683</v>
      </c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0">
        <f>(T83-T84-T85)/T86</f>
        <v>0.3318869721663667</v>
      </c>
    </row>
    <row r="75" spans="1:20" s="35" customFormat="1" x14ac:dyDescent="0.25">
      <c r="A75" s="34"/>
      <c r="B75" s="1" t="s">
        <v>689</v>
      </c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0">
        <f>1/(T93+T94+T95)</f>
        <v>1.5372790161414298</v>
      </c>
    </row>
    <row r="76" spans="1:20" s="35" customFormat="1" x14ac:dyDescent="0.25">
      <c r="A76" s="34"/>
      <c r="B76" s="34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9"/>
    </row>
    <row r="77" spans="1:20" s="33" customFormat="1" x14ac:dyDescent="0.25">
      <c r="A77" s="1"/>
      <c r="B77" s="1" t="s">
        <v>559</v>
      </c>
      <c r="C77" s="47">
        <f>C5/C3</f>
        <v>0.80804369414101296</v>
      </c>
      <c r="D77" s="47">
        <f t="shared" ref="D77:T77" si="40">D5/D3</f>
        <v>0.79199822030562828</v>
      </c>
      <c r="E77" s="47">
        <f t="shared" si="40"/>
        <v>0.80162921707957235</v>
      </c>
      <c r="F77" s="47">
        <f t="shared" si="40"/>
        <v>0.77729007906438097</v>
      </c>
      <c r="G77" s="47">
        <f t="shared" si="40"/>
        <v>0.76221803236439101</v>
      </c>
      <c r="H77" s="47">
        <f t="shared" si="40"/>
        <v>0.73814692545825888</v>
      </c>
      <c r="I77" s="47">
        <f t="shared" si="40"/>
        <v>0.68816003132449644</v>
      </c>
      <c r="J77" s="47">
        <f t="shared" si="40"/>
        <v>0.64695447745244705</v>
      </c>
      <c r="K77" s="47">
        <f t="shared" si="40"/>
        <v>0.64038879259275516</v>
      </c>
      <c r="L77" s="47">
        <f t="shared" si="40"/>
        <v>0.64522475691460168</v>
      </c>
      <c r="M77" s="47">
        <f t="shared" si="40"/>
        <v>0.65247372236317502</v>
      </c>
      <c r="N77" s="47">
        <f t="shared" si="40"/>
        <v>0.65901957200638894</v>
      </c>
      <c r="O77" s="47">
        <f t="shared" si="40"/>
        <v>0.67781001992797962</v>
      </c>
      <c r="P77" s="47">
        <f t="shared" si="40"/>
        <v>0.68925800771024703</v>
      </c>
      <c r="Q77" s="47">
        <f t="shared" si="40"/>
        <v>0.68401674484289099</v>
      </c>
      <c r="R77" s="47">
        <f t="shared" si="40"/>
        <v>0.68920085883491022</v>
      </c>
      <c r="S77" s="47">
        <f t="shared" si="40"/>
        <v>0.69764443827971379</v>
      </c>
      <c r="T77" s="40">
        <f t="shared" si="40"/>
        <v>0.68823742386165188</v>
      </c>
    </row>
    <row r="78" spans="1:20" s="33" customFormat="1" x14ac:dyDescent="0.25">
      <c r="A78" s="1"/>
      <c r="B78" s="1" t="s">
        <v>566</v>
      </c>
      <c r="C78" s="47">
        <f>(C7+C8)/C3</f>
        <v>0.30431976166832175</v>
      </c>
      <c r="D78" s="47">
        <f t="shared" ref="D78:T78" si="41">(D7+D8)/D3</f>
        <v>0.28935434741687627</v>
      </c>
      <c r="E78" s="47">
        <f t="shared" si="41"/>
        <v>0.27650278471288647</v>
      </c>
      <c r="F78" s="47">
        <f t="shared" si="41"/>
        <v>0.25966858727821224</v>
      </c>
      <c r="G78" s="47">
        <f t="shared" si="41"/>
        <v>0.3339392048614408</v>
      </c>
      <c r="H78" s="47">
        <f t="shared" si="41"/>
        <v>0.26061991804647461</v>
      </c>
      <c r="I78" s="47">
        <f t="shared" si="41"/>
        <v>0.23594716294496332</v>
      </c>
      <c r="J78" s="47">
        <f t="shared" si="41"/>
        <v>0.32416114554391962</v>
      </c>
      <c r="K78" s="47">
        <f t="shared" si="41"/>
        <v>0.22278780964082762</v>
      </c>
      <c r="L78" s="47">
        <f t="shared" si="41"/>
        <v>0.2096695695395098</v>
      </c>
      <c r="M78" s="47">
        <f t="shared" si="41"/>
        <v>0.20136824936571221</v>
      </c>
      <c r="N78" s="47">
        <f t="shared" si="41"/>
        <v>0.18354616466549589</v>
      </c>
      <c r="O78" s="47">
        <f t="shared" si="41"/>
        <v>0.17277208684403733</v>
      </c>
      <c r="P78" s="47">
        <f t="shared" si="41"/>
        <v>0.15006425205844556</v>
      </c>
      <c r="Q78" s="47">
        <f t="shared" si="41"/>
        <v>0.13983456902204064</v>
      </c>
      <c r="R78" s="47">
        <f t="shared" si="41"/>
        <v>0.14314229761932851</v>
      </c>
      <c r="S78" s="47">
        <f t="shared" si="41"/>
        <v>0.13081241177862452</v>
      </c>
      <c r="T78" s="40">
        <f t="shared" si="41"/>
        <v>0.11669932274140649</v>
      </c>
    </row>
    <row r="79" spans="1:20" s="33" customFormat="1" x14ac:dyDescent="0.25">
      <c r="A79" s="1"/>
      <c r="B79" s="33" t="s">
        <v>567</v>
      </c>
      <c r="C79" s="47">
        <f>C6/C3</f>
        <v>0.13512082092022509</v>
      </c>
      <c r="D79" s="47">
        <f t="shared" ref="D79:T79" si="42">D6/D3</f>
        <v>0.15418313739582798</v>
      </c>
      <c r="E79" s="47">
        <f t="shared" si="42"/>
        <v>0.139459701683631</v>
      </c>
      <c r="F79" s="47">
        <f t="shared" si="42"/>
        <v>0.12929099409519179</v>
      </c>
      <c r="G79" s="47">
        <f t="shared" si="42"/>
        <v>0.13307922900587332</v>
      </c>
      <c r="H79" s="47">
        <f t="shared" si="42"/>
        <v>0.13373325283561768</v>
      </c>
      <c r="I79" s="47">
        <f t="shared" si="42"/>
        <v>0.13106768164177213</v>
      </c>
      <c r="J79" s="47">
        <f t="shared" si="42"/>
        <v>0.12872408634323573</v>
      </c>
      <c r="K79" s="47">
        <f t="shared" si="42"/>
        <v>0.13151370208657875</v>
      </c>
      <c r="L79" s="47">
        <f t="shared" si="42"/>
        <v>0.13499911981857907</v>
      </c>
      <c r="M79" s="47">
        <f t="shared" si="42"/>
        <v>0.13343602754621239</v>
      </c>
      <c r="N79" s="47">
        <f t="shared" si="42"/>
        <v>0.13410360528595155</v>
      </c>
      <c r="O79" s="47">
        <f t="shared" si="42"/>
        <v>0.1347341187987274</v>
      </c>
      <c r="P79" s="47">
        <f t="shared" si="42"/>
        <v>0.12324496692208843</v>
      </c>
      <c r="Q79" s="47">
        <f t="shared" si="42"/>
        <v>0.12362939426035205</v>
      </c>
      <c r="R79" s="47">
        <f t="shared" si="42"/>
        <v>0.12832975485454073</v>
      </c>
      <c r="S79" s="47">
        <f t="shared" si="42"/>
        <v>0.12038903076835208</v>
      </c>
      <c r="T79" s="40">
        <f t="shared" si="42"/>
        <v>0.11531853871164686</v>
      </c>
    </row>
    <row r="80" spans="1:20" s="47" customFormat="1" x14ac:dyDescent="0.25">
      <c r="B80" s="47" t="s">
        <v>682</v>
      </c>
      <c r="C80" s="47">
        <f>1-$T$65</f>
        <v>0.81128328367936997</v>
      </c>
      <c r="D80" s="47">
        <f t="shared" ref="D80:T80" si="43">1-$T$65</f>
        <v>0.81128328367936997</v>
      </c>
      <c r="E80" s="47">
        <f t="shared" si="43"/>
        <v>0.81128328367936997</v>
      </c>
      <c r="F80" s="47">
        <f t="shared" si="43"/>
        <v>0.81128328367936997</v>
      </c>
      <c r="G80" s="47">
        <f t="shared" si="43"/>
        <v>0.81128328367936997</v>
      </c>
      <c r="H80" s="47">
        <f t="shared" si="43"/>
        <v>0.81128328367936997</v>
      </c>
      <c r="I80" s="47">
        <f t="shared" si="43"/>
        <v>0.81128328367936997</v>
      </c>
      <c r="J80" s="47">
        <f t="shared" si="43"/>
        <v>0.81128328367936997</v>
      </c>
      <c r="K80" s="47">
        <f t="shared" si="43"/>
        <v>0.81128328367936997</v>
      </c>
      <c r="L80" s="47">
        <f t="shared" si="43"/>
        <v>0.81128328367936997</v>
      </c>
      <c r="M80" s="47">
        <f t="shared" si="43"/>
        <v>0.81128328367936997</v>
      </c>
      <c r="N80" s="47">
        <f t="shared" si="43"/>
        <v>0.81128328367936997</v>
      </c>
      <c r="O80" s="47">
        <f t="shared" si="43"/>
        <v>0.81128328367936997</v>
      </c>
      <c r="P80" s="47">
        <f t="shared" si="43"/>
        <v>0.81128328367936997</v>
      </c>
      <c r="Q80" s="47">
        <f t="shared" si="43"/>
        <v>0.81128328367936997</v>
      </c>
      <c r="R80" s="47">
        <f t="shared" si="43"/>
        <v>0.81128328367936997</v>
      </c>
      <c r="S80" s="47">
        <f t="shared" si="43"/>
        <v>0.81128328367936997</v>
      </c>
      <c r="T80" s="47">
        <f t="shared" si="43"/>
        <v>0.81128328367936997</v>
      </c>
    </row>
    <row r="81" spans="1:20" s="47" customFormat="1" x14ac:dyDescent="0.25">
      <c r="T81" s="40"/>
    </row>
    <row r="82" spans="1:20" s="47" customFormat="1" x14ac:dyDescent="0.25">
      <c r="B82" s="48" t="s">
        <v>688</v>
      </c>
      <c r="T82" s="40"/>
    </row>
    <row r="83" spans="1:20" s="47" customFormat="1" x14ac:dyDescent="0.25">
      <c r="A83" s="80"/>
      <c r="B83" s="1" t="s">
        <v>559</v>
      </c>
      <c r="T83" s="40">
        <v>0.71719999999999995</v>
      </c>
    </row>
    <row r="84" spans="1:20" s="47" customFormat="1" x14ac:dyDescent="0.25">
      <c r="A84" s="80"/>
      <c r="B84" s="1" t="s">
        <v>566</v>
      </c>
      <c r="T84" s="40">
        <v>0.1598</v>
      </c>
    </row>
    <row r="85" spans="1:20" s="47" customFormat="1" x14ac:dyDescent="0.25">
      <c r="A85" s="80"/>
      <c r="B85" s="33" t="s">
        <v>567</v>
      </c>
      <c r="T85" s="40">
        <v>0.24379999999999999</v>
      </c>
    </row>
    <row r="86" spans="1:20" s="47" customFormat="1" x14ac:dyDescent="0.25">
      <c r="A86" s="80"/>
      <c r="B86" s="47" t="s">
        <v>682</v>
      </c>
      <c r="T86" s="40">
        <f>+(1-0.0551)</f>
        <v>0.94489999999999996</v>
      </c>
    </row>
    <row r="87" spans="1:20" s="47" customFormat="1" x14ac:dyDescent="0.25">
      <c r="T87" s="40"/>
    </row>
    <row r="88" spans="1:20" s="47" customFormat="1" x14ac:dyDescent="0.25">
      <c r="B88" s="47" t="s">
        <v>684</v>
      </c>
      <c r="C88" s="47">
        <f>(C31+C34)/C3</f>
        <v>0.13596491228070176</v>
      </c>
      <c r="D88" s="47">
        <f t="shared" ref="D88:T88" si="44">(D31+D34)/D3</f>
        <v>0.1590430720262847</v>
      </c>
      <c r="E88" s="47">
        <f t="shared" si="44"/>
        <v>0.1406440048652455</v>
      </c>
      <c r="F88" s="47">
        <f t="shared" si="44"/>
        <v>0.12733225626581646</v>
      </c>
      <c r="G88" s="47">
        <f t="shared" si="44"/>
        <v>0.15516188977659617</v>
      </c>
      <c r="H88" s="47">
        <f t="shared" si="44"/>
        <v>0.16794050019910339</v>
      </c>
      <c r="I88" s="47">
        <f t="shared" si="44"/>
        <v>0.2302350488869439</v>
      </c>
      <c r="J88" s="47">
        <f t="shared" si="44"/>
        <v>0.20908313742252618</v>
      </c>
      <c r="K88" s="47">
        <f t="shared" si="44"/>
        <v>0.24232617328915901</v>
      </c>
      <c r="L88" s="47">
        <f t="shared" si="44"/>
        <v>0.35041575628294208</v>
      </c>
      <c r="M88" s="47">
        <f t="shared" si="44"/>
        <v>0.33991482421167091</v>
      </c>
      <c r="N88" s="47">
        <f t="shared" si="44"/>
        <v>0.35144584919304211</v>
      </c>
      <c r="O88" s="47">
        <f t="shared" si="44"/>
        <v>0.35792749012341363</v>
      </c>
      <c r="P88" s="47">
        <f t="shared" si="44"/>
        <v>0.40166460425491407</v>
      </c>
      <c r="Q88" s="47">
        <f t="shared" si="44"/>
        <v>0.43221869168305843</v>
      </c>
      <c r="R88" s="47">
        <f t="shared" si="44"/>
        <v>0.49551471108699241</v>
      </c>
      <c r="S88" s="47">
        <f t="shared" si="44"/>
        <v>0.66574195706627715</v>
      </c>
      <c r="T88" s="40">
        <f t="shared" si="44"/>
        <v>0.80777640527608585</v>
      </c>
    </row>
    <row r="89" spans="1:20" s="47" customFormat="1" x14ac:dyDescent="0.25">
      <c r="B89" s="47" t="s">
        <v>685</v>
      </c>
      <c r="C89" s="47">
        <f>(C28+C27-C38)/C3</f>
        <v>0.17444554783184377</v>
      </c>
      <c r="D89" s="47">
        <f t="shared" ref="D89:T89" si="45">(D28+D27-D38)/D3</f>
        <v>0.14691034789602478</v>
      </c>
      <c r="E89" s="47">
        <f t="shared" si="45"/>
        <v>0.15570386018820817</v>
      </c>
      <c r="F89" s="47">
        <f t="shared" si="45"/>
        <v>0.17388444876542328</v>
      </c>
      <c r="G89" s="47">
        <f t="shared" si="45"/>
        <v>0.17283615696594007</v>
      </c>
      <c r="H89" s="47">
        <f t="shared" si="45"/>
        <v>0.18749116880114067</v>
      </c>
      <c r="I89" s="47">
        <f t="shared" si="45"/>
        <v>0.17011965496988471</v>
      </c>
      <c r="J89" s="47">
        <f t="shared" si="45"/>
        <v>0.15194486001282326</v>
      </c>
      <c r="K89" s="47">
        <f t="shared" si="45"/>
        <v>0.14952717379379951</v>
      </c>
      <c r="L89" s="47">
        <f t="shared" si="45"/>
        <v>0.17833511095463442</v>
      </c>
      <c r="M89" s="47">
        <f t="shared" si="45"/>
        <v>0.18599130119608553</v>
      </c>
      <c r="N89" s="47">
        <f t="shared" si="45"/>
        <v>0.17645002105798496</v>
      </c>
      <c r="O89" s="47">
        <f t="shared" si="45"/>
        <v>0.14946683914274728</v>
      </c>
      <c r="P89" s="47">
        <f t="shared" si="45"/>
        <v>0.1518014373423445</v>
      </c>
      <c r="Q89" s="47">
        <f t="shared" si="45"/>
        <v>0.14628032480960307</v>
      </c>
      <c r="R89" s="47">
        <f t="shared" si="45"/>
        <v>0.15616166859353986</v>
      </c>
      <c r="S89" s="47">
        <f t="shared" si="45"/>
        <v>0.14757549301980238</v>
      </c>
      <c r="T89" s="40">
        <f t="shared" si="45"/>
        <v>0.15305405290284108</v>
      </c>
    </row>
    <row r="90" spans="1:20" s="33" customFormat="1" x14ac:dyDescent="0.25">
      <c r="A90" s="1"/>
      <c r="B90" s="33" t="s">
        <v>686</v>
      </c>
      <c r="C90" s="47">
        <f>(C29+C35+C33)/C3</f>
        <v>0.32694472029129429</v>
      </c>
      <c r="D90" s="47">
        <f t="shared" ref="D90:T90" si="46">(D29+D35+D33)/D3</f>
        <v>0.34746821363177438</v>
      </c>
      <c r="E90" s="47">
        <f t="shared" si="46"/>
        <v>0.30454196274246209</v>
      </c>
      <c r="F90" s="47">
        <f t="shared" si="46"/>
        <v>0.28311625180504124</v>
      </c>
      <c r="G90" s="47">
        <f t="shared" si="46"/>
        <v>0.27262862336041671</v>
      </c>
      <c r="H90" s="47">
        <f t="shared" si="46"/>
        <v>0.28345900396922247</v>
      </c>
      <c r="I90" s="47">
        <f t="shared" si="46"/>
        <v>0.34413183927769397</v>
      </c>
      <c r="J90" s="47">
        <f t="shared" si="46"/>
        <v>0.27267578542423593</v>
      </c>
      <c r="K90" s="47">
        <f t="shared" si="46"/>
        <v>0.29817671193803891</v>
      </c>
      <c r="L90" s="47">
        <f t="shared" si="46"/>
        <v>0.54732787275683181</v>
      </c>
      <c r="M90" s="47">
        <f t="shared" si="46"/>
        <v>0.51252265313519396</v>
      </c>
      <c r="N90" s="47">
        <f t="shared" si="46"/>
        <v>0.59021161288271895</v>
      </c>
      <c r="O90" s="47">
        <f t="shared" si="46"/>
        <v>0.53647519490962492</v>
      </c>
      <c r="P90" s="47">
        <f t="shared" si="46"/>
        <v>0.53107300937604107</v>
      </c>
      <c r="Q90" s="47">
        <f t="shared" si="46"/>
        <v>0.6026781661370858</v>
      </c>
      <c r="R90" s="47">
        <f t="shared" si="46"/>
        <v>0.63534907864002077</v>
      </c>
      <c r="S90" s="47">
        <f t="shared" si="46"/>
        <v>0.81862093161772509</v>
      </c>
      <c r="T90" s="40">
        <f t="shared" si="46"/>
        <v>0.74761113714131566</v>
      </c>
    </row>
    <row r="91" spans="1:20" s="33" customFormat="1" x14ac:dyDescent="0.25">
      <c r="A91" s="1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40"/>
    </row>
    <row r="92" spans="1:20" s="33" customFormat="1" x14ac:dyDescent="0.25">
      <c r="A92" s="1"/>
      <c r="B92" s="48" t="s">
        <v>687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40"/>
    </row>
    <row r="93" spans="1:20" s="33" customFormat="1" x14ac:dyDescent="0.25">
      <c r="A93" s="1"/>
      <c r="B93" s="47" t="s">
        <v>684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40">
        <v>0.14000000000000001</v>
      </c>
    </row>
    <row r="94" spans="1:20" s="33" customFormat="1" x14ac:dyDescent="0.25">
      <c r="A94" s="1"/>
      <c r="B94" s="47" t="s">
        <v>685</v>
      </c>
      <c r="C94" s="39"/>
      <c r="T94" s="40">
        <v>0.10050000000000001</v>
      </c>
    </row>
    <row r="95" spans="1:20" s="33" customFormat="1" x14ac:dyDescent="0.25">
      <c r="A95" s="1"/>
      <c r="B95" s="33" t="s">
        <v>686</v>
      </c>
      <c r="C95" s="39"/>
      <c r="T95" s="40">
        <v>0.41</v>
      </c>
    </row>
    <row r="96" spans="1:20" s="33" customFormat="1" x14ac:dyDescent="0.25">
      <c r="A96" s="1"/>
      <c r="C96" s="39"/>
    </row>
    <row r="97" spans="1:23" s="33" customFormat="1" x14ac:dyDescent="0.25">
      <c r="A97" s="1"/>
      <c r="B97" s="1"/>
    </row>
    <row r="98" spans="1:23" s="42" customFormat="1" x14ac:dyDescent="0.25">
      <c r="B98" s="42" t="s">
        <v>679</v>
      </c>
      <c r="C98" s="42">
        <v>19.440000000000001</v>
      </c>
      <c r="D98" s="42">
        <v>30.48</v>
      </c>
      <c r="E98" s="42">
        <v>27.91</v>
      </c>
      <c r="F98" s="42">
        <v>25.96</v>
      </c>
      <c r="G98" s="42">
        <v>26.71</v>
      </c>
      <c r="H98" s="42">
        <v>37.409999999999997</v>
      </c>
      <c r="I98" s="42">
        <v>46.45</v>
      </c>
      <c r="J98" s="42">
        <v>55.48</v>
      </c>
      <c r="K98" s="42">
        <v>62.14</v>
      </c>
      <c r="L98" s="42">
        <v>85.54</v>
      </c>
      <c r="M98" s="42">
        <v>101.57</v>
      </c>
      <c r="N98" s="42">
        <v>157.69999999999999</v>
      </c>
      <c r="O98" s="42">
        <v>222.42</v>
      </c>
      <c r="P98" s="42">
        <v>336.32</v>
      </c>
      <c r="Q98" s="42">
        <v>239.82</v>
      </c>
      <c r="R98" s="42">
        <v>376.04</v>
      </c>
      <c r="S98" s="42">
        <v>421.5</v>
      </c>
      <c r="T98" s="42">
        <v>483.62</v>
      </c>
    </row>
    <row r="99" spans="1:23" s="33" customFormat="1" x14ac:dyDescent="0.25">
      <c r="A99" s="1"/>
      <c r="B99" s="1" t="s">
        <v>680</v>
      </c>
      <c r="C99" s="33">
        <f>C98*C15</f>
        <v>181336.32000000001</v>
      </c>
      <c r="D99" s="33">
        <f t="shared" ref="D99:T99" si="47">D98*D15</f>
        <v>272643.59999999998</v>
      </c>
      <c r="E99" s="33">
        <f t="shared" si="47"/>
        <v>245970.83</v>
      </c>
      <c r="F99" s="33">
        <f t="shared" si="47"/>
        <v>220400.4</v>
      </c>
      <c r="G99" s="33">
        <f t="shared" si="47"/>
        <v>224257.16</v>
      </c>
      <c r="H99" s="33">
        <f t="shared" si="47"/>
        <v>313308.75</v>
      </c>
      <c r="I99" s="33">
        <f t="shared" si="47"/>
        <v>385488.55000000005</v>
      </c>
      <c r="J99" s="33">
        <f t="shared" si="47"/>
        <v>453659.95999999996</v>
      </c>
      <c r="K99" s="33">
        <f t="shared" si="47"/>
        <v>492459.5</v>
      </c>
      <c r="L99" s="33">
        <f t="shared" si="47"/>
        <v>662592.84000000008</v>
      </c>
      <c r="M99" s="33">
        <f t="shared" si="47"/>
        <v>782089</v>
      </c>
      <c r="N99" s="33">
        <f t="shared" si="47"/>
        <v>1210032.0999999999</v>
      </c>
      <c r="O99" s="33">
        <f t="shared" si="47"/>
        <v>1692616.2</v>
      </c>
      <c r="P99" s="33">
        <f t="shared" si="47"/>
        <v>2538207.04</v>
      </c>
      <c r="Q99" s="33">
        <f t="shared" si="47"/>
        <v>1797690.72</v>
      </c>
      <c r="R99" s="33">
        <f t="shared" si="47"/>
        <v>2799993.8400000003</v>
      </c>
      <c r="S99" s="33">
        <f t="shared" si="47"/>
        <v>3133852.5</v>
      </c>
      <c r="T99" s="33">
        <f t="shared" si="47"/>
        <v>3594263.84</v>
      </c>
    </row>
    <row r="100" spans="1:23" s="33" customFormat="1" x14ac:dyDescent="0.25">
      <c r="A100" s="1"/>
      <c r="B100" s="1"/>
    </row>
    <row r="101" spans="1:23" s="33" customFormat="1" x14ac:dyDescent="0.25">
      <c r="A101" s="1"/>
      <c r="B101" s="1"/>
    </row>
    <row r="102" spans="1:23" s="33" customFormat="1" x14ac:dyDescent="0.25">
      <c r="A102" s="1"/>
      <c r="B102" s="1" t="s">
        <v>691</v>
      </c>
      <c r="C102" s="33">
        <f>+D6/5</f>
        <v>1802</v>
      </c>
      <c r="D102" s="33">
        <f>(SUM(C6:D6)/5)</f>
        <v>3434.8</v>
      </c>
      <c r="E102" s="33">
        <f>SUM(C6:E6)/5</f>
        <v>5177.6000000000004</v>
      </c>
      <c r="F102" s="33">
        <f>SUM(C6:F6)/5</f>
        <v>6986.2</v>
      </c>
      <c r="G102" s="33">
        <f>SUM(C6:G6)/5</f>
        <v>8948.4</v>
      </c>
      <c r="H102" s="33">
        <f t="shared" ref="H102:K102" si="48">SUM(D6:H6)/5</f>
        <v>9397.7999999999993</v>
      </c>
      <c r="I102" s="33">
        <f t="shared" si="48"/>
        <v>9872</v>
      </c>
      <c r="J102" s="33">
        <f t="shared" si="48"/>
        <v>10538.4</v>
      </c>
      <c r="K102" s="33">
        <f t="shared" si="48"/>
        <v>11127.4</v>
      </c>
      <c r="L102" s="33">
        <f t="shared" ref="L102" si="49">SUM(H6:L6)/5</f>
        <v>11772.6</v>
      </c>
      <c r="M102" s="33">
        <f t="shared" ref="M102" si="50">SUM(I6:M6)/5</f>
        <v>12635.6</v>
      </c>
      <c r="N102" s="33">
        <f t="shared" ref="N102" si="51">SUM(J6:N6)/5</f>
        <v>13734.6</v>
      </c>
      <c r="O102" s="33">
        <f t="shared" ref="O102" si="52">SUM(K6:O6)/5</f>
        <v>15179.2</v>
      </c>
      <c r="P102" s="33">
        <f t="shared" ref="P102" si="53">SUM(L6:P6)/5</f>
        <v>16924.8</v>
      </c>
      <c r="Q102" s="33">
        <f t="shared" ref="Q102" si="54">SUM(M6:Q6)/5</f>
        <v>19219.8</v>
      </c>
      <c r="R102" s="33">
        <f t="shared" ref="R102" si="55">SUM(N6:R6)/5</f>
        <v>21713.599999999999</v>
      </c>
      <c r="S102" s="33">
        <f t="shared" ref="S102:T102" si="56">SUM(O6:S6)/5</f>
        <v>24240.400000000001</v>
      </c>
      <c r="T102" s="33">
        <f t="shared" si="56"/>
        <v>26884.2</v>
      </c>
    </row>
    <row r="103" spans="1:23" s="33" customFormat="1" x14ac:dyDescent="0.25">
      <c r="A103" s="1"/>
      <c r="B103" s="1" t="s">
        <v>692</v>
      </c>
      <c r="C103" s="33">
        <f>C6-C102</f>
        <v>6362</v>
      </c>
      <c r="D103" s="33">
        <f>C103+D6-D102</f>
        <v>11937.2</v>
      </c>
      <c r="E103" s="33">
        <f t="shared" ref="E103:T103" si="57">D103+E6-E102</f>
        <v>15473.6</v>
      </c>
      <c r="F103" s="33">
        <f t="shared" si="57"/>
        <v>17530.399999999998</v>
      </c>
      <c r="G103" s="33">
        <f t="shared" si="57"/>
        <v>18393</v>
      </c>
      <c r="H103" s="33">
        <f t="shared" si="57"/>
        <v>19406.2</v>
      </c>
      <c r="I103" s="33">
        <f t="shared" si="57"/>
        <v>20915.2</v>
      </c>
      <c r="J103" s="33">
        <f t="shared" si="57"/>
        <v>22422.799999999996</v>
      </c>
      <c r="K103" s="33">
        <f t="shared" si="57"/>
        <v>23283.399999999994</v>
      </c>
      <c r="L103" s="33">
        <f t="shared" si="57"/>
        <v>24547.799999999996</v>
      </c>
      <c r="M103" s="33">
        <f t="shared" si="57"/>
        <v>26638.199999999997</v>
      </c>
      <c r="N103" s="33">
        <f t="shared" si="57"/>
        <v>29779.599999999999</v>
      </c>
      <c r="O103" s="33">
        <f t="shared" si="57"/>
        <v>33869.399999999994</v>
      </c>
      <c r="P103" s="33">
        <f t="shared" si="57"/>
        <v>37660.599999999991</v>
      </c>
      <c r="Q103" s="33">
        <f t="shared" si="57"/>
        <v>42952.799999999988</v>
      </c>
      <c r="R103" s="33">
        <f t="shared" si="57"/>
        <v>48434.19999999999</v>
      </c>
      <c r="S103" s="33">
        <f t="shared" si="57"/>
        <v>53703.799999999981</v>
      </c>
      <c r="T103" s="33">
        <f t="shared" si="57"/>
        <v>59307.599999999991</v>
      </c>
    </row>
    <row r="104" spans="1:23" s="33" customFormat="1" x14ac:dyDescent="0.25">
      <c r="A104" s="1"/>
      <c r="B104" s="1" t="s">
        <v>693</v>
      </c>
      <c r="C104" s="33">
        <f>C60</f>
        <v>39558.000999999997</v>
      </c>
      <c r="D104" s="33">
        <f t="shared" ref="D104:T104" si="58">D60+D103</f>
        <v>58925.2</v>
      </c>
      <c r="E104" s="33">
        <f t="shared" si="58"/>
        <v>67587.600000000006</v>
      </c>
      <c r="F104" s="33">
        <f t="shared" si="58"/>
        <v>86534.399999999994</v>
      </c>
      <c r="G104" s="33">
        <f t="shared" si="58"/>
        <v>96700</v>
      </c>
      <c r="H104" s="33">
        <f t="shared" si="58"/>
        <v>113950.2</v>
      </c>
      <c r="I104" s="33">
        <f t="shared" si="58"/>
        <v>133344.20000000001</v>
      </c>
      <c r="J104" s="33">
        <f t="shared" si="58"/>
        <v>137797.79999999999</v>
      </c>
      <c r="K104" s="33">
        <f t="shared" si="58"/>
        <v>148741.4</v>
      </c>
      <c r="L104" s="33">
        <f t="shared" si="58"/>
        <v>198452.8</v>
      </c>
      <c r="M104" s="33">
        <f t="shared" si="58"/>
        <v>185596.2</v>
      </c>
      <c r="N104" s="33">
        <f t="shared" si="58"/>
        <v>204287.6</v>
      </c>
      <c r="O104" s="33">
        <f t="shared" si="58"/>
        <v>215500.4</v>
      </c>
      <c r="P104" s="33">
        <f t="shared" si="58"/>
        <v>237794.59999999998</v>
      </c>
      <c r="Q104" s="33">
        <f t="shared" si="58"/>
        <v>259275.8</v>
      </c>
      <c r="R104" s="33">
        <f t="shared" si="58"/>
        <v>301894.2</v>
      </c>
      <c r="S104" s="33">
        <f t="shared" si="58"/>
        <v>373810.8</v>
      </c>
      <c r="T104" s="33">
        <f t="shared" si="58"/>
        <v>445937.6</v>
      </c>
    </row>
    <row r="105" spans="1:23" s="33" customFormat="1" x14ac:dyDescent="0.25">
      <c r="A105" s="1"/>
      <c r="B105" s="1" t="s">
        <v>694</v>
      </c>
      <c r="C105" s="33">
        <f>(C5-C7-C8-C102+C114)*(1-$T$65)</f>
        <v>25967.555344009274</v>
      </c>
      <c r="D105" s="33">
        <f t="shared" ref="D105:T105" si="59">(D5-D7-D8-D102+D114)*(1-$T$65)</f>
        <v>22115.744569756363</v>
      </c>
      <c r="E105" s="33">
        <f t="shared" si="59"/>
        <v>24203.338715320118</v>
      </c>
      <c r="F105" s="33">
        <f t="shared" si="59"/>
        <v>27013.137240015247</v>
      </c>
      <c r="G105" s="33">
        <f t="shared" si="59"/>
        <v>27199.570138604766</v>
      </c>
      <c r="H105" s="33">
        <f t="shared" si="59"/>
        <v>26274.382681896812</v>
      </c>
      <c r="I105" s="33">
        <f t="shared" si="59"/>
        <v>27621.761959431511</v>
      </c>
      <c r="J105" s="33">
        <f t="shared" si="59"/>
        <v>23414.933620240503</v>
      </c>
      <c r="K105" s="33">
        <f t="shared" si="59"/>
        <v>24349.531963039139</v>
      </c>
      <c r="L105" s="33">
        <f t="shared" si="59"/>
        <v>25541.144850107397</v>
      </c>
      <c r="M105" s="33">
        <f t="shared" si="59"/>
        <v>31539.773449632659</v>
      </c>
      <c r="N105" s="33">
        <f t="shared" si="59"/>
        <v>40532.037365934797</v>
      </c>
      <c r="O105" s="33">
        <f t="shared" si="59"/>
        <v>50395.94404222205</v>
      </c>
      <c r="P105" s="33">
        <f t="shared" si="59"/>
        <v>63747.557555046908</v>
      </c>
      <c r="Q105" s="33">
        <f t="shared" si="59"/>
        <v>77695.13976806264</v>
      </c>
      <c r="R105" s="33">
        <f t="shared" si="59"/>
        <v>84220.453475352537</v>
      </c>
      <c r="S105" s="33">
        <f t="shared" si="59"/>
        <v>102012.05814309788</v>
      </c>
      <c r="T105" s="33">
        <f t="shared" si="59"/>
        <v>119027.26470836202</v>
      </c>
    </row>
    <row r="106" spans="1:23" s="33" customFormat="1" x14ac:dyDescent="0.25">
      <c r="A106" s="1"/>
      <c r="B106" s="1"/>
    </row>
    <row r="107" spans="1:23" s="33" customFormat="1" x14ac:dyDescent="0.25">
      <c r="A107" s="1"/>
      <c r="B107" s="1" t="s">
        <v>695</v>
      </c>
      <c r="C107" s="33">
        <f>+C105-(C104*WACC!$D$16)</f>
        <v>22738.454459565903</v>
      </c>
      <c r="D107" s="33">
        <f>+D105-(D104*WACC!$D$16)</f>
        <v>17305.708404480909</v>
      </c>
      <c r="E107" s="33">
        <f>+E105-(E104*WACC!$D$16)</f>
        <v>18686.194941108552</v>
      </c>
      <c r="F107" s="33">
        <f>+F105-(F104*WACC!$D$16)</f>
        <v>19949.375156213879</v>
      </c>
      <c r="G107" s="33">
        <f>+G105-(G104*WACC!$D$16)</f>
        <v>19305.994941878467</v>
      </c>
      <c r="H107" s="33">
        <f>+H105-(H104*WACC!$D$16)</f>
        <v>16972.681829962985</v>
      </c>
      <c r="I107" s="33">
        <f>+I105-(I104*WACC!$D$16)</f>
        <v>16736.938073730256</v>
      </c>
      <c r="J107" s="33">
        <f>+J105-(J104*WACC!$D$16)</f>
        <v>12166.564476047626</v>
      </c>
      <c r="K107" s="33">
        <f>+K105-(K104*WACC!$D$16)</f>
        <v>12207.841934431639</v>
      </c>
      <c r="L107" s="33">
        <f>+L105-(L104*WACC!$D$16)</f>
        <v>9341.5367859824237</v>
      </c>
      <c r="M107" s="33">
        <f>+M105-(M104*WACC!$D$16)</f>
        <v>16389.643553803769</v>
      </c>
      <c r="N107" s="33">
        <f>+N105-(N104*WACC!$D$16)</f>
        <v>23856.137341542413</v>
      </c>
      <c r="O107" s="33">
        <f>+O105-(O104*WACC!$D$16)</f>
        <v>32804.748464925295</v>
      </c>
      <c r="P107" s="33">
        <f>+P105-(P104*WACC!$D$16)</f>
        <v>44336.496991702006</v>
      </c>
      <c r="Q107" s="33">
        <f>+Q105-(Q104*WACC!$D$16)</f>
        <v>56530.579023581056</v>
      </c>
      <c r="R107" s="33">
        <f>+R105-(R104*WACC!$D$16)</f>
        <v>59576.972925657305</v>
      </c>
      <c r="S107" s="33">
        <f>+S105-(S104*WACC!$D$16)</f>
        <v>71498.059599680972</v>
      </c>
      <c r="T107" s="33">
        <f>+T105-(T104*WACC!$D$16)</f>
        <v>82625.589644787528</v>
      </c>
    </row>
    <row r="108" spans="1:23" s="33" customFormat="1" x14ac:dyDescent="0.25">
      <c r="A108" s="1"/>
      <c r="B108" s="1" t="s">
        <v>696</v>
      </c>
      <c r="C108" s="47">
        <f>C105/C104</f>
        <v>0.65644255744897917</v>
      </c>
      <c r="D108" s="47">
        <f t="shared" ref="D108:T108" si="60">D105/D104</f>
        <v>0.37531895640161367</v>
      </c>
      <c r="E108" s="47">
        <f t="shared" si="60"/>
        <v>0.35810324253739023</v>
      </c>
      <c r="F108" s="47">
        <f t="shared" si="60"/>
        <v>0.31216645911932422</v>
      </c>
      <c r="G108" s="47">
        <f t="shared" si="60"/>
        <v>0.28127787113345154</v>
      </c>
      <c r="H108" s="47">
        <f t="shared" si="60"/>
        <v>0.23057776714649744</v>
      </c>
      <c r="I108" s="47">
        <f t="shared" si="60"/>
        <v>0.20714633226965634</v>
      </c>
      <c r="J108" s="47">
        <f t="shared" si="60"/>
        <v>0.16992240529413755</v>
      </c>
      <c r="K108" s="47">
        <f t="shared" si="60"/>
        <v>0.163703797080296</v>
      </c>
      <c r="L108" s="47">
        <f t="shared" si="60"/>
        <v>0.12870135795568216</v>
      </c>
      <c r="M108" s="47">
        <f t="shared" si="60"/>
        <v>0.16993760351576517</v>
      </c>
      <c r="N108" s="47">
        <f t="shared" si="60"/>
        <v>0.19840674307170281</v>
      </c>
      <c r="O108" s="47">
        <f t="shared" si="60"/>
        <v>0.23385545475656683</v>
      </c>
      <c r="P108" s="47">
        <f t="shared" si="60"/>
        <v>0.26807823876171666</v>
      </c>
      <c r="Q108" s="47">
        <f t="shared" si="60"/>
        <v>0.29966213494688915</v>
      </c>
      <c r="R108" s="47">
        <f t="shared" si="60"/>
        <v>0.27897340682713523</v>
      </c>
      <c r="S108" s="47">
        <f t="shared" si="60"/>
        <v>0.27289756781531693</v>
      </c>
      <c r="T108" s="47">
        <f t="shared" si="60"/>
        <v>0.26691461923901916</v>
      </c>
    </row>
    <row r="109" spans="1:23" s="40" customFormat="1" x14ac:dyDescent="0.25">
      <c r="B109" s="66" t="s">
        <v>772</v>
      </c>
      <c r="C109" s="40">
        <f>C107/C61-1</f>
        <v>0.53234524709926667</v>
      </c>
      <c r="D109" s="40">
        <f t="shared" ref="D109:T109" si="61">D107/D61-1</f>
        <v>4.7550800193652654E-2</v>
      </c>
      <c r="E109" s="40">
        <f t="shared" si="61"/>
        <v>-4.4199292440600835E-2</v>
      </c>
      <c r="F109" s="40">
        <f t="shared" si="61"/>
        <v>-9.4661447748904504E-2</v>
      </c>
      <c r="G109" s="40">
        <f t="shared" si="61"/>
        <v>9.3454958918977704E-2</v>
      </c>
      <c r="H109" s="40">
        <f t="shared" si="61"/>
        <v>-0.21832374194818593</v>
      </c>
      <c r="I109" s="40">
        <f t="shared" si="61"/>
        <v>-0.26019500594045697</v>
      </c>
      <c r="J109" s="40">
        <f t="shared" si="61"/>
        <v>-0.17423651226398429</v>
      </c>
      <c r="K109" s="40">
        <f t="shared" si="61"/>
        <v>-0.42297837572080754</v>
      </c>
      <c r="L109" s="40">
        <f t="shared" si="61"/>
        <v>-0.6032896123320135</v>
      </c>
      <c r="M109" s="40">
        <f t="shared" si="61"/>
        <v>-0.42375145170866246</v>
      </c>
      <c r="N109" s="40">
        <f t="shared" si="61"/>
        <v>-0.31550002665332466</v>
      </c>
      <c r="O109" s="40">
        <f t="shared" si="61"/>
        <v>-0.23647298354045976</v>
      </c>
      <c r="P109" s="40">
        <f t="shared" si="61"/>
        <v>-0.21835010210992623</v>
      </c>
      <c r="Q109" s="40">
        <f t="shared" si="61"/>
        <v>-0.16433273550228944</v>
      </c>
      <c r="R109" s="40">
        <f t="shared" si="61"/>
        <v>-0.17043621948163978</v>
      </c>
      <c r="S109" s="40">
        <f t="shared" si="61"/>
        <v>-0.19467084329288298</v>
      </c>
      <c r="T109" s="40">
        <f t="shared" si="61"/>
        <v>-0.2076003142443601</v>
      </c>
    </row>
    <row r="111" spans="1:23" x14ac:dyDescent="0.25">
      <c r="B111" s="54" t="s">
        <v>544</v>
      </c>
      <c r="C111" s="33">
        <v>17681</v>
      </c>
      <c r="D111" s="33">
        <v>14569</v>
      </c>
      <c r="E111" s="33">
        <v>18760</v>
      </c>
      <c r="F111" s="33">
        <v>23150</v>
      </c>
      <c r="G111" s="33">
        <v>16978</v>
      </c>
      <c r="H111" s="33">
        <v>21863</v>
      </c>
      <c r="I111" s="33">
        <v>22074</v>
      </c>
      <c r="J111" s="33">
        <v>12193</v>
      </c>
      <c r="K111" s="33">
        <v>20539</v>
      </c>
      <c r="L111" s="33">
        <v>25489</v>
      </c>
      <c r="M111" s="33">
        <v>16571</v>
      </c>
      <c r="N111" s="33">
        <v>39240</v>
      </c>
      <c r="O111" s="33">
        <v>44281</v>
      </c>
      <c r="P111" s="33">
        <v>61271</v>
      </c>
      <c r="Q111" s="33">
        <v>72738</v>
      </c>
      <c r="R111" s="33">
        <v>72361</v>
      </c>
      <c r="S111" s="33">
        <v>88136</v>
      </c>
      <c r="T111" s="33">
        <v>101832</v>
      </c>
      <c r="U111" s="33"/>
      <c r="V111" s="33"/>
      <c r="W111" s="33"/>
    </row>
    <row r="112" spans="1:23" x14ac:dyDescent="0.25">
      <c r="B112" s="54" t="s">
        <v>594</v>
      </c>
      <c r="C112" s="33">
        <v>2056</v>
      </c>
      <c r="D112" s="33">
        <v>2562</v>
      </c>
      <c r="E112" s="33">
        <v>2673</v>
      </c>
      <c r="F112" s="33">
        <v>2766</v>
      </c>
      <c r="G112" s="33">
        <v>2967</v>
      </c>
      <c r="H112" s="33">
        <v>3755</v>
      </c>
      <c r="I112" s="33">
        <v>5212</v>
      </c>
      <c r="J112" s="33">
        <v>5957</v>
      </c>
      <c r="K112" s="33">
        <v>6622</v>
      </c>
      <c r="L112" s="33">
        <v>8778</v>
      </c>
      <c r="M112" s="33">
        <v>10261</v>
      </c>
      <c r="N112" s="33">
        <v>11682</v>
      </c>
      <c r="O112" s="33">
        <v>12796</v>
      </c>
      <c r="P112" s="33">
        <v>11686</v>
      </c>
      <c r="Q112" s="33">
        <v>14460</v>
      </c>
      <c r="R112" s="33">
        <v>13861</v>
      </c>
      <c r="S112" s="33">
        <v>22287</v>
      </c>
      <c r="T112" s="33">
        <v>34153</v>
      </c>
      <c r="W112" s="33"/>
    </row>
    <row r="113" spans="2:23" x14ac:dyDescent="0.25">
      <c r="B113" s="1" t="s">
        <v>758</v>
      </c>
      <c r="C113" s="1">
        <v>935</v>
      </c>
      <c r="D113" s="1">
        <v>762</v>
      </c>
      <c r="E113" s="1">
        <v>-220</v>
      </c>
      <c r="F113" s="1">
        <v>2</v>
      </c>
      <c r="G113" s="1">
        <v>954</v>
      </c>
      <c r="H113" s="1">
        <v>-19</v>
      </c>
      <c r="I113" s="1">
        <v>-331</v>
      </c>
      <c r="J113" s="1">
        <v>224</v>
      </c>
      <c r="K113" s="33">
        <v>2479</v>
      </c>
      <c r="L113" s="1">
        <v>-829</v>
      </c>
      <c r="M113" s="33">
        <v>-5143</v>
      </c>
      <c r="N113" s="33">
        <v>-6463</v>
      </c>
      <c r="O113" s="1">
        <v>11</v>
      </c>
      <c r="P113" s="1">
        <v>-150</v>
      </c>
      <c r="Q113" s="33">
        <v>-5702</v>
      </c>
      <c r="R113" s="33">
        <v>-6059</v>
      </c>
      <c r="S113" s="33">
        <v>-4738</v>
      </c>
      <c r="T113" s="33">
        <v>-7056</v>
      </c>
    </row>
    <row r="114" spans="2:23" x14ac:dyDescent="0.25">
      <c r="B114" s="1" t="s">
        <v>759</v>
      </c>
      <c r="C114" s="33">
        <v>3375</v>
      </c>
      <c r="D114" s="33">
        <v>1322</v>
      </c>
      <c r="E114" s="33">
        <v>2199</v>
      </c>
      <c r="F114" s="33">
        <v>4079</v>
      </c>
      <c r="G114" s="33">
        <v>10901</v>
      </c>
      <c r="H114" s="33">
        <v>4609</v>
      </c>
      <c r="I114" s="33">
        <v>4652</v>
      </c>
      <c r="J114" s="33">
        <v>9193</v>
      </c>
      <c r="K114" s="33">
        <v>3075</v>
      </c>
      <c r="L114" s="33">
        <v>1193</v>
      </c>
      <c r="M114" s="33">
        <v>1728</v>
      </c>
      <c r="N114" s="33">
        <v>3860</v>
      </c>
      <c r="O114" s="33">
        <v>5070</v>
      </c>
      <c r="P114" s="33">
        <v>4869</v>
      </c>
      <c r="Q114" s="33">
        <v>7093</v>
      </c>
      <c r="R114" s="33">
        <v>9807</v>
      </c>
      <c r="S114" s="33">
        <v>11039</v>
      </c>
      <c r="T114" s="33">
        <v>12583</v>
      </c>
      <c r="U114" s="33"/>
      <c r="V114" s="33"/>
      <c r="W114" s="33"/>
    </row>
    <row r="115" spans="2:23" x14ac:dyDescent="0.25">
      <c r="B115" s="1" t="s">
        <v>760</v>
      </c>
      <c r="C115" s="33">
        <v>5400</v>
      </c>
      <c r="D115" s="33">
        <v>6600</v>
      </c>
      <c r="E115" s="33">
        <v>4100</v>
      </c>
      <c r="F115" s="33">
        <v>5300</v>
      </c>
      <c r="G115" s="33">
        <v>3500</v>
      </c>
      <c r="H115" s="33">
        <v>3900</v>
      </c>
      <c r="I115" s="33">
        <v>5500</v>
      </c>
      <c r="J115" s="33">
        <v>4400</v>
      </c>
      <c r="K115" s="33">
        <v>3900</v>
      </c>
      <c r="L115" s="33">
        <v>1600</v>
      </c>
      <c r="M115" s="33">
        <v>5500</v>
      </c>
      <c r="N115" s="33">
        <v>8400</v>
      </c>
      <c r="O115" s="33">
        <v>12500</v>
      </c>
      <c r="P115" s="33">
        <v>13400</v>
      </c>
      <c r="Q115" s="33">
        <v>16000</v>
      </c>
      <c r="R115" s="33">
        <v>23100</v>
      </c>
      <c r="S115" s="33">
        <v>23400</v>
      </c>
      <c r="T115" s="33">
        <v>28700</v>
      </c>
      <c r="U115" s="33"/>
      <c r="V115" s="33"/>
      <c r="W115" s="33"/>
    </row>
    <row r="116" spans="2:23" x14ac:dyDescent="0.25">
      <c r="B116" s="1" t="s">
        <v>650</v>
      </c>
      <c r="C116" s="1" t="s">
        <v>648</v>
      </c>
      <c r="D116" s="1" t="s">
        <v>648</v>
      </c>
      <c r="E116" s="1">
        <v>145</v>
      </c>
      <c r="F116" s="1">
        <v>197</v>
      </c>
      <c r="G116" s="1">
        <v>344</v>
      </c>
      <c r="H116" s="1">
        <v>371</v>
      </c>
      <c r="I116" s="1">
        <v>509</v>
      </c>
      <c r="J116" s="1">
        <v>620</v>
      </c>
      <c r="K116" s="33">
        <v>1100</v>
      </c>
      <c r="L116" s="33">
        <v>1600</v>
      </c>
      <c r="M116" s="33">
        <v>2400</v>
      </c>
      <c r="N116" s="33">
        <v>2400</v>
      </c>
      <c r="O116" s="33">
        <v>2400</v>
      </c>
      <c r="P116" s="33">
        <v>2000</v>
      </c>
      <c r="Q116" s="33">
        <v>1900</v>
      </c>
      <c r="R116" s="33">
        <v>1700</v>
      </c>
      <c r="S116" s="33">
        <v>1700</v>
      </c>
      <c r="T116" s="33">
        <v>1600</v>
      </c>
    </row>
    <row r="117" spans="2:23" x14ac:dyDescent="0.25">
      <c r="B117" s="1" t="s">
        <v>761</v>
      </c>
      <c r="C117" s="33">
        <v>-2435</v>
      </c>
      <c r="D117" s="1">
        <v>-178</v>
      </c>
      <c r="E117" s="1">
        <v>661</v>
      </c>
      <c r="F117" s="33">
        <v>-3003</v>
      </c>
      <c r="G117" s="1">
        <v>-174</v>
      </c>
      <c r="H117" s="33">
        <v>-1375</v>
      </c>
      <c r="I117" s="1">
        <v>624</v>
      </c>
      <c r="J117" s="33">
        <v>1513</v>
      </c>
      <c r="K117" s="1">
        <v>610</v>
      </c>
      <c r="L117" s="33">
        <v>4876</v>
      </c>
      <c r="M117" s="33">
        <v>20467</v>
      </c>
      <c r="N117" s="33">
        <v>3866</v>
      </c>
      <c r="O117" s="33">
        <v>-1483</v>
      </c>
      <c r="P117" s="1">
        <v>-936</v>
      </c>
      <c r="Q117" s="1">
        <v>446</v>
      </c>
      <c r="R117" s="33">
        <v>-2388</v>
      </c>
      <c r="S117" s="33">
        <v>1824</v>
      </c>
      <c r="T117" s="33">
        <v>-5350</v>
      </c>
      <c r="V117" s="33"/>
    </row>
    <row r="118" spans="2:23" s="34" customFormat="1" x14ac:dyDescent="0.25">
      <c r="B118" s="34" t="s">
        <v>762</v>
      </c>
      <c r="C118" s="35">
        <v>21612</v>
      </c>
      <c r="D118" s="35">
        <v>19037</v>
      </c>
      <c r="E118" s="35">
        <v>24073</v>
      </c>
      <c r="F118" s="35">
        <v>26994</v>
      </c>
      <c r="G118" s="35">
        <v>31626</v>
      </c>
      <c r="H118" s="35">
        <v>28833</v>
      </c>
      <c r="I118" s="35">
        <v>32231</v>
      </c>
      <c r="J118" s="35">
        <v>29080</v>
      </c>
      <c r="K118" s="35">
        <v>33325</v>
      </c>
      <c r="L118" s="35">
        <v>39507</v>
      </c>
      <c r="M118" s="35">
        <v>43884</v>
      </c>
      <c r="N118" s="35">
        <v>52185</v>
      </c>
      <c r="O118" s="35">
        <v>60675</v>
      </c>
      <c r="P118" s="35">
        <v>76740</v>
      </c>
      <c r="Q118" s="35">
        <v>89035</v>
      </c>
      <c r="R118" s="35">
        <v>87582</v>
      </c>
      <c r="S118" s="35">
        <v>118548</v>
      </c>
      <c r="T118" s="35">
        <v>136162</v>
      </c>
      <c r="U118" s="35"/>
      <c r="V118" s="35"/>
      <c r="W118" s="35"/>
    </row>
    <row r="120" spans="2:23" x14ac:dyDescent="0.25">
      <c r="B120" s="1" t="s">
        <v>763</v>
      </c>
      <c r="C120" s="33">
        <v>-3182</v>
      </c>
      <c r="D120" s="33">
        <v>-3119</v>
      </c>
      <c r="E120" s="33">
        <v>-1977</v>
      </c>
      <c r="F120" s="33">
        <v>-2355</v>
      </c>
      <c r="G120" s="33">
        <v>-2305</v>
      </c>
      <c r="H120" s="33">
        <v>-4257</v>
      </c>
      <c r="I120" s="33">
        <v>-5485</v>
      </c>
      <c r="J120" s="33">
        <v>-5944</v>
      </c>
      <c r="K120" s="33">
        <v>-8343</v>
      </c>
      <c r="L120" s="33">
        <v>-8129</v>
      </c>
      <c r="M120" s="33">
        <v>-11632</v>
      </c>
      <c r="N120" s="33">
        <v>-13925</v>
      </c>
      <c r="O120" s="33">
        <v>-15441</v>
      </c>
      <c r="P120" s="33">
        <v>-20622</v>
      </c>
      <c r="Q120" s="33">
        <v>-23886</v>
      </c>
      <c r="R120" s="33">
        <v>-28107</v>
      </c>
      <c r="S120" s="33">
        <v>-44477</v>
      </c>
      <c r="T120" s="33">
        <v>-64551</v>
      </c>
      <c r="V120" s="33"/>
      <c r="W120" s="33"/>
    </row>
    <row r="121" spans="2:23" x14ac:dyDescent="0.25">
      <c r="B121" s="1" t="s">
        <v>764</v>
      </c>
      <c r="C121" s="33">
        <v>-1405</v>
      </c>
      <c r="D121" s="33">
        <v>-12651</v>
      </c>
      <c r="E121" s="33">
        <v>-9337</v>
      </c>
      <c r="F121" s="33">
        <v>-12261</v>
      </c>
      <c r="G121" s="33">
        <v>-22481</v>
      </c>
      <c r="H121" s="33">
        <v>-19554</v>
      </c>
      <c r="I121" s="33">
        <v>-13348</v>
      </c>
      <c r="J121" s="33">
        <v>-17057</v>
      </c>
      <c r="K121" s="33">
        <v>-15607</v>
      </c>
      <c r="L121" s="33">
        <v>-38652</v>
      </c>
      <c r="M121" s="33">
        <v>5571</v>
      </c>
      <c r="N121" s="33">
        <v>-1848</v>
      </c>
      <c r="O121" s="33">
        <v>3218</v>
      </c>
      <c r="P121" s="33">
        <v>-6955</v>
      </c>
      <c r="Q121" s="33">
        <v>-6425</v>
      </c>
      <c r="R121" s="33">
        <v>5427</v>
      </c>
      <c r="S121" s="33">
        <v>-52493</v>
      </c>
      <c r="T121" s="33">
        <v>-8048</v>
      </c>
      <c r="U121" s="33"/>
      <c r="V121" s="33"/>
      <c r="W121" s="33"/>
    </row>
    <row r="122" spans="2:23" s="34" customFormat="1" x14ac:dyDescent="0.25">
      <c r="B122" s="34" t="s">
        <v>765</v>
      </c>
      <c r="C122" s="35">
        <v>-4587</v>
      </c>
      <c r="D122" s="35">
        <v>-15770</v>
      </c>
      <c r="E122" s="35">
        <v>-11314</v>
      </c>
      <c r="F122" s="35">
        <v>-14616</v>
      </c>
      <c r="G122" s="35">
        <v>-24786</v>
      </c>
      <c r="H122" s="35">
        <v>-23811</v>
      </c>
      <c r="I122" s="35">
        <v>-18833</v>
      </c>
      <c r="J122" s="35">
        <v>-23001</v>
      </c>
      <c r="K122" s="35">
        <v>-23950</v>
      </c>
      <c r="L122" s="35">
        <v>-46781</v>
      </c>
      <c r="M122" s="35">
        <v>-6061</v>
      </c>
      <c r="N122" s="35">
        <v>-15773</v>
      </c>
      <c r="O122" s="35">
        <v>-12223</v>
      </c>
      <c r="P122" s="35">
        <v>-27577</v>
      </c>
      <c r="Q122" s="35">
        <v>-30311</v>
      </c>
      <c r="R122" s="35">
        <v>-22680</v>
      </c>
      <c r="S122" s="35">
        <v>-96970</v>
      </c>
      <c r="T122" s="35">
        <v>-72599</v>
      </c>
      <c r="U122" s="35"/>
      <c r="V122" s="35"/>
      <c r="W122" s="35"/>
    </row>
    <row r="124" spans="2:23" x14ac:dyDescent="0.25">
      <c r="B124" s="1" t="s">
        <v>766</v>
      </c>
      <c r="C124" s="1">
        <v>120</v>
      </c>
      <c r="D124" s="1">
        <v>33</v>
      </c>
      <c r="E124" s="1">
        <v>55</v>
      </c>
      <c r="F124" s="1">
        <v>-23</v>
      </c>
      <c r="G124" s="1">
        <v>93</v>
      </c>
      <c r="H124" s="1">
        <v>199</v>
      </c>
      <c r="I124" s="1">
        <v>232</v>
      </c>
      <c r="J124" s="1">
        <v>950</v>
      </c>
      <c r="K124" s="1">
        <v>-369</v>
      </c>
      <c r="L124" s="1">
        <v>-190</v>
      </c>
      <c r="M124" s="1">
        <v>-971</v>
      </c>
      <c r="N124" s="1">
        <v>-675</v>
      </c>
      <c r="O124" s="33">
        <v>-3751</v>
      </c>
      <c r="P124" s="33">
        <v>-2523</v>
      </c>
      <c r="Q124" s="1">
        <v>-863</v>
      </c>
      <c r="R124" s="33">
        <v>-1006</v>
      </c>
      <c r="S124" s="33">
        <v>-1309</v>
      </c>
      <c r="T124" s="33">
        <v>-2291</v>
      </c>
    </row>
    <row r="125" spans="2:23" x14ac:dyDescent="0.25">
      <c r="B125" s="1" t="s">
        <v>767</v>
      </c>
      <c r="C125" s="33">
        <v>-4015</v>
      </c>
      <c r="D125" s="33">
        <v>-4468</v>
      </c>
      <c r="E125" s="33">
        <v>-4578</v>
      </c>
      <c r="F125" s="33">
        <v>-5180</v>
      </c>
      <c r="G125" s="33">
        <v>-6385</v>
      </c>
      <c r="H125" s="33">
        <v>-7455</v>
      </c>
      <c r="I125" s="33">
        <v>-8879</v>
      </c>
      <c r="J125" s="33">
        <v>-9882</v>
      </c>
      <c r="K125" s="33">
        <v>-11006</v>
      </c>
      <c r="L125" s="33">
        <v>-11845</v>
      </c>
      <c r="M125" s="33">
        <v>-12699</v>
      </c>
      <c r="N125" s="33">
        <v>-13811</v>
      </c>
      <c r="O125" s="33">
        <v>-15137</v>
      </c>
      <c r="P125" s="33">
        <v>-16521</v>
      </c>
      <c r="Q125" s="33">
        <v>-18135</v>
      </c>
      <c r="R125" s="33">
        <v>-19800</v>
      </c>
      <c r="S125" s="33">
        <v>-21771</v>
      </c>
      <c r="T125" s="33">
        <v>-24082</v>
      </c>
      <c r="U125" s="33"/>
      <c r="V125" s="33"/>
      <c r="W125" s="33"/>
    </row>
    <row r="126" spans="2:23" x14ac:dyDescent="0.25">
      <c r="B126" s="1" t="s">
        <v>768</v>
      </c>
      <c r="C126" s="33">
        <v>-9039</v>
      </c>
      <c r="D126" s="33">
        <v>-8774</v>
      </c>
      <c r="E126" s="33">
        <v>-8958</v>
      </c>
      <c r="F126" s="33">
        <v>-9133</v>
      </c>
      <c r="G126" s="33">
        <v>-3116</v>
      </c>
      <c r="H126" s="33">
        <v>-4429</v>
      </c>
      <c r="I126" s="33">
        <v>-6709</v>
      </c>
      <c r="J126" s="33">
        <v>-13809</v>
      </c>
      <c r="K126" s="33">
        <v>-15301</v>
      </c>
      <c r="L126" s="33">
        <v>-11016</v>
      </c>
      <c r="M126" s="33">
        <v>-9719</v>
      </c>
      <c r="N126" s="33">
        <v>-18401</v>
      </c>
      <c r="O126" s="33">
        <v>-21625</v>
      </c>
      <c r="P126" s="33">
        <v>-25692</v>
      </c>
      <c r="Q126" s="33">
        <v>-30855</v>
      </c>
      <c r="R126" s="33">
        <v>-20379</v>
      </c>
      <c r="S126" s="33">
        <v>-15252</v>
      </c>
      <c r="T126" s="33">
        <v>-16364</v>
      </c>
      <c r="U126" s="33"/>
      <c r="V126" s="33"/>
      <c r="W126" s="33"/>
    </row>
    <row r="127" spans="2:23" x14ac:dyDescent="0.25">
      <c r="B127" s="1" t="s">
        <v>769</v>
      </c>
      <c r="C127" s="1" t="s">
        <v>648</v>
      </c>
      <c r="D127" s="33">
        <v>5746</v>
      </c>
      <c r="E127" s="1">
        <v>190</v>
      </c>
      <c r="F127" s="33">
        <v>5960</v>
      </c>
      <c r="G127" s="1" t="s">
        <v>648</v>
      </c>
      <c r="H127" s="33">
        <v>3537</v>
      </c>
      <c r="I127" s="33">
        <v>6962</v>
      </c>
      <c r="J127" s="33">
        <v>13661</v>
      </c>
      <c r="K127" s="33">
        <v>18283</v>
      </c>
      <c r="L127" s="33">
        <v>31459</v>
      </c>
      <c r="M127" s="33">
        <v>-10201</v>
      </c>
      <c r="N127" s="33">
        <v>-4000</v>
      </c>
      <c r="O127" s="33">
        <v>-5518</v>
      </c>
      <c r="P127" s="33">
        <v>-3750</v>
      </c>
      <c r="Q127" s="33">
        <v>-9023</v>
      </c>
      <c r="R127" s="33">
        <v>-2750</v>
      </c>
      <c r="S127" s="1">
        <v>575</v>
      </c>
      <c r="T127" s="33">
        <v>-8962</v>
      </c>
    </row>
    <row r="128" spans="2:23" s="34" customFormat="1" x14ac:dyDescent="0.25">
      <c r="B128" s="34" t="s">
        <v>770</v>
      </c>
      <c r="C128" s="35">
        <v>-12934</v>
      </c>
      <c r="D128" s="35">
        <v>-7463</v>
      </c>
      <c r="E128" s="35">
        <v>-13291</v>
      </c>
      <c r="F128" s="35">
        <v>-8376</v>
      </c>
      <c r="G128" s="35">
        <v>-9408</v>
      </c>
      <c r="H128" s="35">
        <v>-8148</v>
      </c>
      <c r="I128" s="35">
        <v>-8394</v>
      </c>
      <c r="J128" s="35">
        <v>-9080</v>
      </c>
      <c r="K128" s="35">
        <v>-8393</v>
      </c>
      <c r="L128" s="35">
        <v>8408</v>
      </c>
      <c r="M128" s="35">
        <v>-33590</v>
      </c>
      <c r="N128" s="35">
        <v>-36887</v>
      </c>
      <c r="O128" s="35">
        <v>-46031</v>
      </c>
      <c r="P128" s="35">
        <v>-48486</v>
      </c>
      <c r="Q128" s="35">
        <v>-58876</v>
      </c>
      <c r="R128" s="35">
        <v>-43935</v>
      </c>
      <c r="S128" s="35">
        <v>-37757</v>
      </c>
      <c r="T128" s="35">
        <v>-51699</v>
      </c>
      <c r="U128" s="35"/>
      <c r="V128" s="35"/>
      <c r="W128" s="35"/>
    </row>
    <row r="130" spans="2:22" x14ac:dyDescent="0.25">
      <c r="B130" s="1" t="s">
        <v>771</v>
      </c>
      <c r="C130" s="1">
        <v>137</v>
      </c>
      <c r="D130" s="1">
        <v>-67</v>
      </c>
      <c r="E130" s="1">
        <v>-39</v>
      </c>
      <c r="F130" s="1">
        <v>103</v>
      </c>
      <c r="G130" s="1">
        <v>-104</v>
      </c>
      <c r="H130" s="1">
        <v>-8</v>
      </c>
      <c r="I130" s="1">
        <v>-139</v>
      </c>
      <c r="J130" s="1">
        <v>-73</v>
      </c>
      <c r="K130" s="1">
        <v>-67</v>
      </c>
      <c r="L130" s="1">
        <v>19</v>
      </c>
      <c r="M130" s="1">
        <v>50</v>
      </c>
      <c r="N130" s="1">
        <v>-115</v>
      </c>
      <c r="O130" s="1">
        <v>-201</v>
      </c>
      <c r="P130" s="1">
        <v>-29</v>
      </c>
      <c r="Q130" s="1">
        <v>-141</v>
      </c>
      <c r="R130" s="1">
        <v>-194</v>
      </c>
      <c r="S130" s="1">
        <v>-210</v>
      </c>
      <c r="T130" s="1">
        <v>63</v>
      </c>
    </row>
    <row r="131" spans="2:22" s="34" customFormat="1" x14ac:dyDescent="0.25">
      <c r="B131" s="34" t="s">
        <v>651</v>
      </c>
      <c r="C131" s="35">
        <v>4228</v>
      </c>
      <c r="D131" s="35">
        <v>-4263</v>
      </c>
      <c r="E131" s="34">
        <v>-571</v>
      </c>
      <c r="F131" s="35">
        <v>4105</v>
      </c>
      <c r="G131" s="35">
        <v>-2672</v>
      </c>
      <c r="H131" s="35">
        <v>-3134</v>
      </c>
      <c r="I131" s="35">
        <v>4865</v>
      </c>
      <c r="J131" s="35">
        <v>-3074</v>
      </c>
      <c r="K131" s="34">
        <v>915</v>
      </c>
      <c r="L131" s="35">
        <v>1153</v>
      </c>
      <c r="M131" s="35">
        <v>4283</v>
      </c>
      <c r="N131" s="34">
        <v>-590</v>
      </c>
      <c r="O131" s="35">
        <v>2220</v>
      </c>
      <c r="P131" s="34">
        <v>648</v>
      </c>
      <c r="Q131" s="34">
        <v>-293</v>
      </c>
      <c r="R131" s="35">
        <v>20773</v>
      </c>
      <c r="S131" s="35">
        <v>-16389</v>
      </c>
      <c r="T131" s="35">
        <v>11927</v>
      </c>
      <c r="U131" s="35"/>
      <c r="V131" s="35"/>
    </row>
  </sheetData>
  <mergeCells count="1">
    <mergeCell ref="A83:A86"/>
  </mergeCells>
  <phoneticPr fontId="10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AD53C-ED21-4933-AD6D-BDC1C29E8102}">
  <dimension ref="A2:DR86"/>
  <sheetViews>
    <sheetView zoomScale="70" zoomScaleNormal="70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E152" sqref="E152"/>
    </sheetView>
  </sheetViews>
  <sheetFormatPr defaultRowHeight="13.2" x14ac:dyDescent="0.25"/>
  <cols>
    <col min="1" max="1" width="19.77734375" style="1" bestFit="1" customWidth="1"/>
    <col min="2" max="2" width="52" style="1" customWidth="1"/>
    <col min="3" max="3" width="10.109375" style="1" bestFit="1" customWidth="1"/>
    <col min="4" max="9" width="9" style="1" bestFit="1" customWidth="1"/>
    <col min="10" max="10" width="9.44140625" style="1" bestFit="1" customWidth="1"/>
    <col min="11" max="12" width="9" style="1" bestFit="1" customWidth="1"/>
    <col min="13" max="16384" width="8.88671875" style="1"/>
  </cols>
  <sheetData>
    <row r="2" spans="1:12" x14ac:dyDescent="0.25">
      <c r="B2" s="32" t="s">
        <v>681</v>
      </c>
      <c r="C2" s="50">
        <v>42735</v>
      </c>
      <c r="D2" s="50">
        <v>43100</v>
      </c>
      <c r="E2" s="50">
        <v>43465</v>
      </c>
      <c r="F2" s="50">
        <v>43830</v>
      </c>
      <c r="G2" s="50">
        <v>44196</v>
      </c>
      <c r="H2" s="50">
        <v>44561</v>
      </c>
      <c r="I2" s="50">
        <v>44926</v>
      </c>
      <c r="J2" s="50">
        <v>45291</v>
      </c>
      <c r="K2" s="50">
        <v>45657</v>
      </c>
      <c r="L2" s="1">
        <v>2025</v>
      </c>
    </row>
    <row r="3" spans="1:12" x14ac:dyDescent="0.25">
      <c r="A3" s="1" t="s">
        <v>720</v>
      </c>
      <c r="B3" s="1" t="s">
        <v>700</v>
      </c>
      <c r="C3" s="33">
        <v>19062</v>
      </c>
      <c r="D3" s="33">
        <v>21649</v>
      </c>
      <c r="E3" s="33">
        <v>26129</v>
      </c>
      <c r="F3" s="33">
        <v>32622</v>
      </c>
      <c r="G3" s="33">
        <v>41379</v>
      </c>
      <c r="H3" s="33">
        <v>52589</v>
      </c>
      <c r="I3" s="33">
        <v>67350</v>
      </c>
      <c r="J3" s="33">
        <v>79970</v>
      </c>
      <c r="K3" s="33">
        <v>97726</v>
      </c>
      <c r="L3" s="33">
        <v>114163.68737918926</v>
      </c>
    </row>
    <row r="4" spans="1:12" x14ac:dyDescent="0.25">
      <c r="A4" s="1" t="s">
        <v>713</v>
      </c>
      <c r="B4" s="1" t="s">
        <v>701</v>
      </c>
      <c r="C4" s="33">
        <v>23868</v>
      </c>
      <c r="D4" s="33">
        <v>25573</v>
      </c>
      <c r="E4" s="33">
        <v>28316</v>
      </c>
      <c r="F4" s="33">
        <v>31769</v>
      </c>
      <c r="G4" s="33">
        <v>35316</v>
      </c>
      <c r="H4" s="33">
        <v>39872</v>
      </c>
      <c r="I4" s="33">
        <v>44970</v>
      </c>
      <c r="J4" s="33">
        <v>48848</v>
      </c>
      <c r="K4" s="33">
        <v>54875</v>
      </c>
      <c r="L4" s="33">
        <v>64105.072804913849</v>
      </c>
    </row>
    <row r="5" spans="1:12" x14ac:dyDescent="0.25">
      <c r="A5" s="1" t="s">
        <v>702</v>
      </c>
      <c r="B5" s="1" t="s">
        <v>702</v>
      </c>
      <c r="C5" s="33">
        <v>17548</v>
      </c>
      <c r="D5" s="33">
        <v>18593</v>
      </c>
      <c r="E5" s="33">
        <v>19518</v>
      </c>
      <c r="F5" s="33">
        <v>20395</v>
      </c>
      <c r="G5" s="33">
        <v>21510</v>
      </c>
      <c r="H5" s="33">
        <v>22488</v>
      </c>
      <c r="I5" s="33">
        <v>24732</v>
      </c>
      <c r="J5" s="33">
        <v>21507</v>
      </c>
      <c r="K5" s="33">
        <v>23244</v>
      </c>
      <c r="L5" s="33">
        <v>27153.682228290068</v>
      </c>
    </row>
    <row r="6" spans="1:12" x14ac:dyDescent="0.25">
      <c r="A6" s="1" t="s">
        <v>520</v>
      </c>
      <c r="B6" s="1" t="s">
        <v>520</v>
      </c>
      <c r="C6" s="33">
        <v>9202</v>
      </c>
      <c r="D6" s="33">
        <v>9051</v>
      </c>
      <c r="E6" s="33">
        <v>10353</v>
      </c>
      <c r="F6" s="33">
        <v>11386</v>
      </c>
      <c r="G6" s="33">
        <v>11575</v>
      </c>
      <c r="H6" s="33">
        <v>15370</v>
      </c>
      <c r="I6" s="33">
        <v>16230</v>
      </c>
      <c r="J6" s="33">
        <v>15466</v>
      </c>
      <c r="K6" s="33">
        <v>21503</v>
      </c>
      <c r="L6" s="33">
        <v>23455</v>
      </c>
    </row>
    <row r="7" spans="1:12" x14ac:dyDescent="0.25">
      <c r="A7" s="1" t="s">
        <v>714</v>
      </c>
      <c r="B7" s="1" t="s">
        <v>703</v>
      </c>
      <c r="C7" s="33">
        <v>5428</v>
      </c>
      <c r="D7" s="33">
        <v>6219</v>
      </c>
      <c r="E7" s="33">
        <v>7012</v>
      </c>
      <c r="F7" s="33">
        <v>7628</v>
      </c>
      <c r="G7" s="33">
        <v>8524</v>
      </c>
      <c r="H7" s="33">
        <v>9267</v>
      </c>
      <c r="I7" s="33">
        <v>11526</v>
      </c>
      <c r="J7" s="33">
        <v>12125</v>
      </c>
      <c r="K7" s="33">
        <v>12306</v>
      </c>
      <c r="L7" s="33">
        <v>13878</v>
      </c>
    </row>
    <row r="8" spans="1:12" x14ac:dyDescent="0.25">
      <c r="A8" s="1" t="s">
        <v>715</v>
      </c>
      <c r="B8" s="1" t="s">
        <v>704</v>
      </c>
      <c r="C8" s="33">
        <v>5659</v>
      </c>
      <c r="D8" s="33">
        <v>5542</v>
      </c>
      <c r="E8" s="33">
        <v>5846</v>
      </c>
      <c r="F8" s="33">
        <v>6124</v>
      </c>
      <c r="G8" s="33">
        <v>6409</v>
      </c>
      <c r="H8" s="33">
        <v>6943</v>
      </c>
      <c r="I8" s="33">
        <v>7605</v>
      </c>
      <c r="J8" s="33">
        <v>7900</v>
      </c>
      <c r="K8" s="33">
        <v>7594</v>
      </c>
      <c r="L8" s="33">
        <v>7885</v>
      </c>
    </row>
    <row r="9" spans="1:12" x14ac:dyDescent="0.25">
      <c r="A9" s="1" t="s">
        <v>705</v>
      </c>
      <c r="B9" s="1" t="s">
        <v>705</v>
      </c>
      <c r="C9" s="33">
        <v>7888</v>
      </c>
      <c r="D9" s="33">
        <v>5062</v>
      </c>
      <c r="E9" s="33">
        <v>5134</v>
      </c>
      <c r="F9" s="33">
        <v>6095</v>
      </c>
      <c r="G9" s="33">
        <v>6457</v>
      </c>
      <c r="H9" s="33">
        <v>7143</v>
      </c>
      <c r="I9" s="33">
        <v>7306</v>
      </c>
      <c r="J9" s="33">
        <v>5521</v>
      </c>
      <c r="K9" s="33">
        <v>4706</v>
      </c>
      <c r="L9" s="33">
        <v>5497.557587606826</v>
      </c>
    </row>
    <row r="10" spans="1:12" x14ac:dyDescent="0.25">
      <c r="A10" s="1" t="s">
        <v>723</v>
      </c>
      <c r="B10" s="1" t="s">
        <v>706</v>
      </c>
      <c r="C10" s="33">
        <v>2499</v>
      </c>
      <c r="D10" s="33">
        <v>2611</v>
      </c>
      <c r="E10" s="33">
        <v>2793</v>
      </c>
      <c r="F10" s="33">
        <v>3070</v>
      </c>
      <c r="G10" s="33">
        <v>3768</v>
      </c>
      <c r="H10" s="33">
        <v>4479</v>
      </c>
      <c r="I10" s="33">
        <v>5291</v>
      </c>
      <c r="J10" s="33">
        <v>0</v>
      </c>
      <c r="K10" s="33">
        <v>0</v>
      </c>
      <c r="L10" s="33">
        <v>0</v>
      </c>
    </row>
    <row r="11" spans="1:12" x14ac:dyDescent="0.25">
      <c r="A11" s="1" t="s">
        <v>521</v>
      </c>
      <c r="B11" s="1" t="s">
        <v>521</v>
      </c>
      <c r="C11" s="33">
        <v>0</v>
      </c>
      <c r="D11" s="33">
        <v>2271</v>
      </c>
      <c r="E11" s="33">
        <v>5259</v>
      </c>
      <c r="F11" s="33">
        <v>6754</v>
      </c>
      <c r="G11" s="33">
        <v>8077</v>
      </c>
      <c r="H11" s="33">
        <v>10289</v>
      </c>
      <c r="I11" s="33">
        <v>13631</v>
      </c>
      <c r="J11" s="33">
        <v>14989</v>
      </c>
      <c r="K11" s="33">
        <v>16372</v>
      </c>
      <c r="L11" s="33">
        <v>17812</v>
      </c>
    </row>
    <row r="12" spans="1:12" x14ac:dyDescent="0.25">
      <c r="A12" s="1" t="s">
        <v>716</v>
      </c>
      <c r="B12" s="1" t="s">
        <v>707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3754</v>
      </c>
      <c r="I12" s="33">
        <v>4687</v>
      </c>
      <c r="J12" s="33">
        <v>5796</v>
      </c>
      <c r="K12" s="33">
        <v>6831</v>
      </c>
      <c r="L12" s="33">
        <v>7702</v>
      </c>
    </row>
    <row r="13" spans="1:12" x14ac:dyDescent="0.25">
      <c r="A13" s="1" t="s">
        <v>721</v>
      </c>
      <c r="B13" s="1" t="s">
        <v>708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373</v>
      </c>
      <c r="I13" s="33">
        <v>233</v>
      </c>
      <c r="J13" s="33">
        <v>119</v>
      </c>
      <c r="K13" s="33">
        <v>45</v>
      </c>
      <c r="L13" s="33">
        <v>72</v>
      </c>
    </row>
    <row r="14" spans="1:12" x14ac:dyDescent="0.25">
      <c r="A14" s="1" t="s">
        <v>600</v>
      </c>
      <c r="B14" s="1" t="s">
        <v>600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-4479</v>
      </c>
      <c r="I14" s="33">
        <v>-5291</v>
      </c>
      <c r="J14" s="33">
        <v>-155846</v>
      </c>
      <c r="K14" s="33">
        <v>-180551</v>
      </c>
      <c r="L14" s="33">
        <f>-SUM(L15:L18)</f>
        <v>-210920</v>
      </c>
    </row>
    <row r="15" spans="1:12" x14ac:dyDescent="0.25">
      <c r="A15" s="1" t="s">
        <v>722</v>
      </c>
      <c r="B15" s="1" t="s">
        <v>709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65007</v>
      </c>
      <c r="K15" s="33">
        <v>79828</v>
      </c>
      <c r="L15" s="33">
        <v>98435</v>
      </c>
    </row>
    <row r="16" spans="1:12" x14ac:dyDescent="0.25">
      <c r="A16" s="1" t="s">
        <v>717</v>
      </c>
      <c r="B16" s="1" t="s">
        <v>710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66949</v>
      </c>
      <c r="K16" s="33">
        <v>76969</v>
      </c>
      <c r="L16" s="33">
        <v>87767</v>
      </c>
    </row>
    <row r="17" spans="1:15" x14ac:dyDescent="0.25">
      <c r="A17" s="1" t="s">
        <v>718</v>
      </c>
      <c r="B17" s="1" t="s">
        <v>522</v>
      </c>
      <c r="C17" s="33">
        <v>0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17147</v>
      </c>
      <c r="K17" s="33">
        <v>17026</v>
      </c>
      <c r="L17" s="33">
        <v>17314</v>
      </c>
    </row>
    <row r="18" spans="1:15" x14ac:dyDescent="0.25">
      <c r="A18" s="1" t="s">
        <v>719</v>
      </c>
      <c r="B18" s="1" t="s">
        <v>711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6417</v>
      </c>
      <c r="K18" s="33">
        <v>6648</v>
      </c>
      <c r="L18" s="33">
        <v>7404</v>
      </c>
    </row>
    <row r="19" spans="1:15" s="34" customFormat="1" x14ac:dyDescent="0.25">
      <c r="B19" s="34" t="s">
        <v>712</v>
      </c>
      <c r="C19" s="35">
        <f t="shared" ref="C19:K19" si="0">SUM(C3:C18)</f>
        <v>91154</v>
      </c>
      <c r="D19" s="35">
        <f t="shared" si="0"/>
        <v>96571</v>
      </c>
      <c r="E19" s="35">
        <f t="shared" si="0"/>
        <v>110360</v>
      </c>
      <c r="F19" s="35">
        <f t="shared" si="0"/>
        <v>125843</v>
      </c>
      <c r="G19" s="35">
        <f t="shared" si="0"/>
        <v>143015</v>
      </c>
      <c r="H19" s="35">
        <f t="shared" si="0"/>
        <v>168088</v>
      </c>
      <c r="I19" s="35">
        <f t="shared" si="0"/>
        <v>198270</v>
      </c>
      <c r="J19" s="35">
        <f t="shared" si="0"/>
        <v>211915</v>
      </c>
      <c r="K19" s="35">
        <f t="shared" si="0"/>
        <v>245122</v>
      </c>
      <c r="L19" s="35">
        <f t="shared" ref="L19" si="1">SUM(L3:L18)</f>
        <v>281724</v>
      </c>
      <c r="N19" s="34">
        <f>L19/C19</f>
        <v>3.0906378217083179</v>
      </c>
    </row>
    <row r="21" spans="1:15" x14ac:dyDescent="0.25">
      <c r="A21" s="54" t="s">
        <v>600</v>
      </c>
      <c r="C21" s="33">
        <f t="shared" ref="C21:L21" si="2">C10+C13</f>
        <v>2499</v>
      </c>
      <c r="D21" s="33">
        <f t="shared" si="2"/>
        <v>2611</v>
      </c>
      <c r="E21" s="33">
        <f t="shared" si="2"/>
        <v>2793</v>
      </c>
      <c r="F21" s="33">
        <f t="shared" si="2"/>
        <v>3070</v>
      </c>
      <c r="G21" s="33">
        <f t="shared" si="2"/>
        <v>3768</v>
      </c>
      <c r="H21" s="33">
        <f t="shared" si="2"/>
        <v>4852</v>
      </c>
      <c r="I21" s="33">
        <f t="shared" si="2"/>
        <v>5524</v>
      </c>
      <c r="J21" s="33">
        <f t="shared" si="2"/>
        <v>119</v>
      </c>
      <c r="K21" s="33">
        <f t="shared" si="2"/>
        <v>45</v>
      </c>
      <c r="L21" s="33">
        <f t="shared" si="2"/>
        <v>72</v>
      </c>
    </row>
    <row r="22" spans="1:15" x14ac:dyDescent="0.25">
      <c r="J22" s="33"/>
      <c r="K22" s="33"/>
    </row>
    <row r="23" spans="1:15" x14ac:dyDescent="0.25">
      <c r="B23" s="55" t="s">
        <v>724</v>
      </c>
      <c r="J23" s="33"/>
      <c r="K23" s="33"/>
      <c r="N23" s="54" t="s">
        <v>726</v>
      </c>
      <c r="O23" s="54"/>
    </row>
    <row r="24" spans="1:15" x14ac:dyDescent="0.25">
      <c r="B24" s="1" t="s">
        <v>720</v>
      </c>
      <c r="D24" s="47">
        <f>D3/C3-1</f>
        <v>0.13571503514846284</v>
      </c>
      <c r="E24" s="47">
        <f t="shared" ref="E24:L24" si="3">E3/D3-1</f>
        <v>0.20693796480206927</v>
      </c>
      <c r="F24" s="47">
        <f t="shared" si="3"/>
        <v>0.24849783765165134</v>
      </c>
      <c r="G24" s="47">
        <f t="shared" si="3"/>
        <v>0.26843847710134261</v>
      </c>
      <c r="H24" s="47">
        <f t="shared" si="3"/>
        <v>0.27091036516107203</v>
      </c>
      <c r="I24" s="47">
        <f t="shared" si="3"/>
        <v>0.28068607503470311</v>
      </c>
      <c r="J24" s="47">
        <f t="shared" si="3"/>
        <v>0.18737936154417234</v>
      </c>
      <c r="K24" s="47">
        <f t="shared" si="3"/>
        <v>0.22203326247342758</v>
      </c>
      <c r="L24" s="47">
        <f t="shared" si="3"/>
        <v>0.16820178232189242</v>
      </c>
      <c r="N24" s="47">
        <f>(L3/C3)^(1/10)-1</f>
        <v>0.1960131432684542</v>
      </c>
    </row>
    <row r="25" spans="1:15" x14ac:dyDescent="0.25">
      <c r="B25" s="1" t="s">
        <v>713</v>
      </c>
      <c r="D25" s="47">
        <f t="shared" ref="D25:L30" si="4">D4/C4-1</f>
        <v>7.143455672867427E-2</v>
      </c>
      <c r="E25" s="47">
        <f t="shared" si="4"/>
        <v>0.10726156493176386</v>
      </c>
      <c r="F25" s="47">
        <f t="shared" si="4"/>
        <v>0.12194518999858728</v>
      </c>
      <c r="G25" s="47">
        <f t="shared" si="4"/>
        <v>0.11164972142654794</v>
      </c>
      <c r="H25" s="47">
        <f t="shared" si="4"/>
        <v>0.12900668252350211</v>
      </c>
      <c r="I25" s="47">
        <f t="shared" si="4"/>
        <v>0.1278591492776886</v>
      </c>
      <c r="J25" s="47">
        <f t="shared" si="4"/>
        <v>8.623526795641534E-2</v>
      </c>
      <c r="K25" s="47">
        <f t="shared" si="4"/>
        <v>0.12338273829020641</v>
      </c>
      <c r="L25" s="47">
        <f t="shared" si="4"/>
        <v>0.16820178232189242</v>
      </c>
      <c r="N25" s="47">
        <f t="shared" ref="N25:N30" si="5">(L4/C4)^(1/10)-1</f>
        <v>0.10384383606051295</v>
      </c>
    </row>
    <row r="26" spans="1:15" x14ac:dyDescent="0.25">
      <c r="B26" s="1" t="s">
        <v>702</v>
      </c>
      <c r="D26" s="47">
        <f t="shared" si="4"/>
        <v>5.9550945976749592E-2</v>
      </c>
      <c r="E26" s="47">
        <f t="shared" si="4"/>
        <v>4.9749905878556433E-2</v>
      </c>
      <c r="F26" s="47">
        <f t="shared" si="4"/>
        <v>4.4932882467465962E-2</v>
      </c>
      <c r="G26" s="47">
        <f t="shared" si="4"/>
        <v>5.4670262319195917E-2</v>
      </c>
      <c r="H26" s="47">
        <f t="shared" si="4"/>
        <v>4.5467224546722473E-2</v>
      </c>
      <c r="I26" s="47">
        <f t="shared" si="4"/>
        <v>9.9786552828174946E-2</v>
      </c>
      <c r="J26" s="47">
        <f t="shared" si="4"/>
        <v>-0.13039786511402229</v>
      </c>
      <c r="K26" s="47">
        <f t="shared" si="4"/>
        <v>8.0764402287627268E-2</v>
      </c>
      <c r="L26" s="47">
        <f t="shared" si="4"/>
        <v>0.16820178232189242</v>
      </c>
      <c r="N26" s="47">
        <f t="shared" si="5"/>
        <v>4.4624267283196239E-2</v>
      </c>
    </row>
    <row r="27" spans="1:15" x14ac:dyDescent="0.25">
      <c r="B27" s="1" t="s">
        <v>520</v>
      </c>
      <c r="D27" s="47">
        <f t="shared" si="4"/>
        <v>-1.640947620082589E-2</v>
      </c>
      <c r="E27" s="47">
        <f t="shared" si="4"/>
        <v>0.14385150812064973</v>
      </c>
      <c r="F27" s="47">
        <f t="shared" si="4"/>
        <v>9.9777842171351327E-2</v>
      </c>
      <c r="G27" s="47">
        <f t="shared" si="4"/>
        <v>1.6599332513613119E-2</v>
      </c>
      <c r="H27" s="47">
        <f t="shared" si="4"/>
        <v>0.32786177105831538</v>
      </c>
      <c r="I27" s="47">
        <f t="shared" si="4"/>
        <v>5.595315549772284E-2</v>
      </c>
      <c r="J27" s="47">
        <f t="shared" si="4"/>
        <v>-4.7073321010474456E-2</v>
      </c>
      <c r="K27" s="47">
        <f t="shared" si="4"/>
        <v>0.39034010086641668</v>
      </c>
      <c r="L27" s="47">
        <f t="shared" si="4"/>
        <v>9.077803097242243E-2</v>
      </c>
      <c r="N27" s="47">
        <f t="shared" si="5"/>
        <v>9.8083386293454033E-2</v>
      </c>
    </row>
    <row r="28" spans="1:15" x14ac:dyDescent="0.25">
      <c r="B28" s="1" t="s">
        <v>714</v>
      </c>
      <c r="D28" s="47">
        <f t="shared" si="4"/>
        <v>0.14572586588061909</v>
      </c>
      <c r="E28" s="47">
        <f t="shared" si="4"/>
        <v>0.12751246181058051</v>
      </c>
      <c r="F28" s="47">
        <f t="shared" si="4"/>
        <v>8.7849401026811158E-2</v>
      </c>
      <c r="G28" s="47">
        <f t="shared" si="4"/>
        <v>0.11746198217094905</v>
      </c>
      <c r="H28" s="47">
        <f t="shared" si="4"/>
        <v>8.7165649929610511E-2</v>
      </c>
      <c r="I28" s="47">
        <f t="shared" si="4"/>
        <v>0.24376820977662672</v>
      </c>
      <c r="J28" s="47">
        <f t="shared" si="4"/>
        <v>5.1969460350511865E-2</v>
      </c>
      <c r="K28" s="47">
        <f t="shared" si="4"/>
        <v>1.492783505154649E-2</v>
      </c>
      <c r="L28" s="47">
        <f t="shared" si="4"/>
        <v>0.12774256460263289</v>
      </c>
      <c r="N28" s="47">
        <f t="shared" si="5"/>
        <v>9.8420689194653743E-2</v>
      </c>
    </row>
    <row r="29" spans="1:15" x14ac:dyDescent="0.25">
      <c r="B29" s="1" t="s">
        <v>715</v>
      </c>
      <c r="D29" s="47">
        <f t="shared" si="4"/>
        <v>-2.067503092419154E-2</v>
      </c>
      <c r="E29" s="47">
        <f t="shared" si="4"/>
        <v>5.4853843377841827E-2</v>
      </c>
      <c r="F29" s="47">
        <f t="shared" si="4"/>
        <v>4.7553882996920871E-2</v>
      </c>
      <c r="G29" s="47">
        <f t="shared" si="4"/>
        <v>4.6538210320052231E-2</v>
      </c>
      <c r="H29" s="47">
        <f t="shared" si="4"/>
        <v>8.3320330784833807E-2</v>
      </c>
      <c r="I29" s="47">
        <f t="shared" si="4"/>
        <v>9.5347832349128581E-2</v>
      </c>
      <c r="J29" s="47">
        <f t="shared" si="4"/>
        <v>3.8790269559500379E-2</v>
      </c>
      <c r="K29" s="47">
        <f t="shared" si="4"/>
        <v>-3.8734177215189902E-2</v>
      </c>
      <c r="L29" s="47">
        <f t="shared" si="4"/>
        <v>3.8319726099552254E-2</v>
      </c>
      <c r="N29" s="47">
        <f t="shared" si="5"/>
        <v>3.3727810659699209E-2</v>
      </c>
    </row>
    <row r="30" spans="1:15" x14ac:dyDescent="0.25">
      <c r="B30" s="1" t="s">
        <v>705</v>
      </c>
      <c r="D30" s="47">
        <f t="shared" si="4"/>
        <v>-0.35826572008113589</v>
      </c>
      <c r="E30" s="47">
        <f t="shared" si="4"/>
        <v>1.4223627024891439E-2</v>
      </c>
      <c r="F30" s="47">
        <f t="shared" si="4"/>
        <v>0.18718348266458906</v>
      </c>
      <c r="G30" s="47">
        <f t="shared" si="4"/>
        <v>5.9392945036915501E-2</v>
      </c>
      <c r="H30" s="47">
        <f t="shared" si="4"/>
        <v>0.10624128852408243</v>
      </c>
      <c r="I30" s="47">
        <f t="shared" si="4"/>
        <v>2.2819543609127857E-2</v>
      </c>
      <c r="J30" s="47">
        <f t="shared" si="4"/>
        <v>-0.24431973720229949</v>
      </c>
      <c r="K30" s="47">
        <f t="shared" si="4"/>
        <v>-0.14761818511139291</v>
      </c>
      <c r="L30" s="47">
        <f t="shared" si="4"/>
        <v>0.16820178232189242</v>
      </c>
      <c r="N30" s="47">
        <f t="shared" si="5"/>
        <v>-3.5459898372603993E-2</v>
      </c>
    </row>
    <row r="31" spans="1:15" x14ac:dyDescent="0.25">
      <c r="B31" s="1" t="s">
        <v>521</v>
      </c>
      <c r="D31" s="47" t="e">
        <f t="shared" ref="D31:L31" si="6">D11/C11-1</f>
        <v>#DIV/0!</v>
      </c>
      <c r="E31" s="47">
        <f t="shared" si="6"/>
        <v>1.3157199471598413</v>
      </c>
      <c r="F31" s="47">
        <f t="shared" si="6"/>
        <v>0.28427457691576352</v>
      </c>
      <c r="G31" s="47">
        <f t="shared" si="6"/>
        <v>0.19588392063962101</v>
      </c>
      <c r="H31" s="47">
        <f t="shared" si="6"/>
        <v>0.27386405843753869</v>
      </c>
      <c r="I31" s="47">
        <f t="shared" si="6"/>
        <v>0.32481290698804544</v>
      </c>
      <c r="J31" s="47">
        <f t="shared" si="6"/>
        <v>9.9625852835448558E-2</v>
      </c>
      <c r="K31" s="47">
        <f t="shared" si="6"/>
        <v>9.2267662952832064E-2</v>
      </c>
      <c r="L31" s="47">
        <f t="shared" si="6"/>
        <v>8.7955045199120452E-2</v>
      </c>
      <c r="N31" s="47" t="e">
        <f>(L11/C11)^(1/10)-1</f>
        <v>#DIV/0!</v>
      </c>
    </row>
    <row r="32" spans="1:15" x14ac:dyDescent="0.25">
      <c r="B32" s="1" t="s">
        <v>716</v>
      </c>
      <c r="D32" s="47" t="e">
        <f t="shared" ref="D32:L32" si="7">D12/C12-1</f>
        <v>#DIV/0!</v>
      </c>
      <c r="E32" s="47" t="e">
        <f t="shared" si="7"/>
        <v>#DIV/0!</v>
      </c>
      <c r="F32" s="47" t="e">
        <f t="shared" si="7"/>
        <v>#DIV/0!</v>
      </c>
      <c r="G32" s="47" t="e">
        <f t="shared" si="7"/>
        <v>#DIV/0!</v>
      </c>
      <c r="H32" s="47" t="e">
        <f t="shared" si="7"/>
        <v>#DIV/0!</v>
      </c>
      <c r="I32" s="47">
        <f t="shared" si="7"/>
        <v>0.24853489611081514</v>
      </c>
      <c r="J32" s="47">
        <f t="shared" si="7"/>
        <v>0.2366119052698954</v>
      </c>
      <c r="K32" s="47">
        <f t="shared" si="7"/>
        <v>0.1785714285714286</v>
      </c>
      <c r="L32" s="47">
        <f t="shared" si="7"/>
        <v>0.12750695359391018</v>
      </c>
      <c r="N32" s="47" t="e">
        <f>(L12/C12)^(1/10)-1</f>
        <v>#DIV/0!</v>
      </c>
    </row>
    <row r="33" spans="2:14" x14ac:dyDescent="0.25">
      <c r="B33" s="54" t="s">
        <v>725</v>
      </c>
      <c r="D33" s="47">
        <f>D19/C19-1</f>
        <v>5.9426903920837271E-2</v>
      </c>
      <c r="E33" s="47">
        <f t="shared" ref="E33:L33" si="8">E19/D19-1</f>
        <v>0.14278613662486661</v>
      </c>
      <c r="F33" s="47">
        <f t="shared" si="8"/>
        <v>0.14029539688292858</v>
      </c>
      <c r="G33" s="47">
        <f t="shared" si="8"/>
        <v>0.13645574247276371</v>
      </c>
      <c r="H33" s="47">
        <f t="shared" si="8"/>
        <v>0.17531727441177503</v>
      </c>
      <c r="I33" s="47">
        <f t="shared" si="8"/>
        <v>0.17956070629670173</v>
      </c>
      <c r="J33" s="47">
        <f t="shared" si="8"/>
        <v>6.8820295556564215E-2</v>
      </c>
      <c r="K33" s="47">
        <f t="shared" si="8"/>
        <v>0.1566996201307127</v>
      </c>
      <c r="L33" s="47">
        <f t="shared" si="8"/>
        <v>0.14932156232406713</v>
      </c>
      <c r="N33" s="47">
        <f>(L19/C19)^(1/10)-1</f>
        <v>0.11945028565767135</v>
      </c>
    </row>
    <row r="36" spans="2:14" x14ac:dyDescent="0.25">
      <c r="B36" s="55" t="s">
        <v>727</v>
      </c>
    </row>
    <row r="37" spans="2:14" x14ac:dyDescent="0.25">
      <c r="B37" s="54" t="s">
        <v>728</v>
      </c>
      <c r="C37" s="39">
        <f t="shared" ref="C37:K38" si="9">C3/C$19</f>
        <v>0.20911863439892928</v>
      </c>
      <c r="D37" s="39">
        <f t="shared" si="9"/>
        <v>0.22417703037143655</v>
      </c>
      <c r="E37" s="39">
        <f t="shared" si="9"/>
        <v>0.23676150779267852</v>
      </c>
      <c r="F37" s="39">
        <f t="shared" si="9"/>
        <v>0.25922776793305946</v>
      </c>
      <c r="G37" s="39">
        <f t="shared" si="9"/>
        <v>0.28933328671817643</v>
      </c>
      <c r="H37" s="39">
        <f t="shared" si="9"/>
        <v>0.31286587977725955</v>
      </c>
      <c r="I37" s="39">
        <f t="shared" si="9"/>
        <v>0.33968830382811316</v>
      </c>
      <c r="J37" s="39">
        <f t="shared" si="9"/>
        <v>0.37736828445367249</v>
      </c>
      <c r="K37" s="39">
        <f t="shared" si="9"/>
        <v>0.39868310473968066</v>
      </c>
      <c r="L37" s="39">
        <f>L3/L$19</f>
        <v>0.40523238126389394</v>
      </c>
    </row>
    <row r="38" spans="2:14" x14ac:dyDescent="0.25">
      <c r="B38" s="1" t="s">
        <v>713</v>
      </c>
      <c r="C38" s="39">
        <f t="shared" si="9"/>
        <v>0.26184259604625137</v>
      </c>
      <c r="D38" s="39">
        <f t="shared" si="9"/>
        <v>0.26481034679147986</v>
      </c>
      <c r="E38" s="39">
        <f t="shared" si="9"/>
        <v>0.25657847046031168</v>
      </c>
      <c r="F38" s="39">
        <f t="shared" si="9"/>
        <v>0.25244948070214474</v>
      </c>
      <c r="G38" s="39">
        <f t="shared" si="9"/>
        <v>0.24693913225885397</v>
      </c>
      <c r="H38" s="39">
        <f t="shared" si="9"/>
        <v>0.23720908095759363</v>
      </c>
      <c r="I38" s="39">
        <f t="shared" si="9"/>
        <v>0.22681192313511878</v>
      </c>
      <c r="J38" s="39">
        <f t="shared" si="9"/>
        <v>0.23050751480546444</v>
      </c>
      <c r="K38" s="39">
        <f t="shared" si="9"/>
        <v>0.22386811465311152</v>
      </c>
      <c r="L38" s="39">
        <f t="shared" ref="L38" si="10">L4/L$19</f>
        <v>0.22754565746941635</v>
      </c>
    </row>
    <row r="39" spans="2:14" x14ac:dyDescent="0.25">
      <c r="B39" s="1" t="s">
        <v>702</v>
      </c>
      <c r="C39" s="39">
        <f t="shared" ref="C39:K39" si="11">C5/C$19</f>
        <v>0.19250937973100468</v>
      </c>
      <c r="D39" s="39">
        <f t="shared" si="11"/>
        <v>0.1925319195203529</v>
      </c>
      <c r="E39" s="39">
        <f t="shared" si="11"/>
        <v>0.1768575570859007</v>
      </c>
      <c r="F39" s="39">
        <f t="shared" si="11"/>
        <v>0.16206702001700532</v>
      </c>
      <c r="G39" s="39">
        <f t="shared" si="11"/>
        <v>0.15040380379680454</v>
      </c>
      <c r="H39" s="39">
        <f t="shared" si="11"/>
        <v>0.13378706391889963</v>
      </c>
      <c r="I39" s="39">
        <f t="shared" si="11"/>
        <v>0.12473899228325011</v>
      </c>
      <c r="J39" s="39">
        <f t="shared" si="11"/>
        <v>0.10148880447349173</v>
      </c>
      <c r="K39" s="39">
        <f t="shared" si="11"/>
        <v>9.4826249785820937E-2</v>
      </c>
      <c r="L39" s="39">
        <f>L5/L$19</f>
        <v>9.6383986555245799E-2</v>
      </c>
    </row>
    <row r="40" spans="2:14" x14ac:dyDescent="0.25">
      <c r="B40" s="1" t="s">
        <v>520</v>
      </c>
      <c r="C40" s="39">
        <f t="shared" ref="C40:K40" si="12">C6/C$19</f>
        <v>0.1009500405906488</v>
      </c>
      <c r="D40" s="39">
        <f t="shared" si="12"/>
        <v>9.3723788715038669E-2</v>
      </c>
      <c r="E40" s="39">
        <f t="shared" si="12"/>
        <v>9.3811163465023564E-2</v>
      </c>
      <c r="F40" s="39">
        <f t="shared" si="12"/>
        <v>9.0477817598118293E-2</v>
      </c>
      <c r="G40" s="39">
        <f t="shared" si="12"/>
        <v>8.0935566199349718E-2</v>
      </c>
      <c r="H40" s="39">
        <f t="shared" si="12"/>
        <v>9.1440197991528249E-2</v>
      </c>
      <c r="I40" s="39">
        <f t="shared" si="12"/>
        <v>8.1858072325616579E-2</v>
      </c>
      <c r="J40" s="39">
        <f t="shared" si="12"/>
        <v>7.2982091876459904E-2</v>
      </c>
      <c r="K40" s="39">
        <f t="shared" si="12"/>
        <v>8.7723664134594204E-2</v>
      </c>
      <c r="L40" s="39">
        <f>L6/L$19</f>
        <v>8.3255242719825082E-2</v>
      </c>
    </row>
    <row r="41" spans="2:14" x14ac:dyDescent="0.25">
      <c r="B41" s="1" t="s">
        <v>714</v>
      </c>
      <c r="C41" s="39">
        <f t="shared" ref="C41:K41" si="13">C7/C$19</f>
        <v>5.9547578822651777E-2</v>
      </c>
      <c r="D41" s="39">
        <f t="shared" si="13"/>
        <v>6.4398214784976857E-2</v>
      </c>
      <c r="E41" s="39">
        <f t="shared" si="13"/>
        <v>6.3537513591881117E-2</v>
      </c>
      <c r="F41" s="39">
        <f t="shared" si="13"/>
        <v>6.061521101690201E-2</v>
      </c>
      <c r="G41" s="39">
        <f t="shared" si="13"/>
        <v>5.9602139635702552E-2</v>
      </c>
      <c r="H41" s="39">
        <f t="shared" si="13"/>
        <v>5.5131835705106852E-2</v>
      </c>
      <c r="I41" s="39">
        <f t="shared" si="13"/>
        <v>5.8132849145105157E-2</v>
      </c>
      <c r="J41" s="39">
        <f t="shared" si="13"/>
        <v>5.7216336738786774E-2</v>
      </c>
      <c r="K41" s="39">
        <f t="shared" si="13"/>
        <v>5.0203572098791623E-2</v>
      </c>
      <c r="L41" s="39">
        <f>L7/L$19</f>
        <v>4.9260978830344596E-2</v>
      </c>
    </row>
    <row r="42" spans="2:14" x14ac:dyDescent="0.25">
      <c r="B42" s="1" t="s">
        <v>715</v>
      </c>
      <c r="C42" s="39">
        <f t="shared" ref="C42:K42" si="14">C8/C$19</f>
        <v>6.2081751760756525E-2</v>
      </c>
      <c r="D42" s="39">
        <f t="shared" si="14"/>
        <v>5.7387828644209958E-2</v>
      </c>
      <c r="E42" s="39">
        <f t="shared" si="14"/>
        <v>5.2972091337441102E-2</v>
      </c>
      <c r="F42" s="39">
        <f t="shared" si="14"/>
        <v>4.8663811256883578E-2</v>
      </c>
      <c r="G42" s="39">
        <f t="shared" si="14"/>
        <v>4.4813481103380765E-2</v>
      </c>
      <c r="H42" s="39">
        <f t="shared" si="14"/>
        <v>4.1305744609966208E-2</v>
      </c>
      <c r="I42" s="39">
        <f t="shared" si="14"/>
        <v>3.8356786200635498E-2</v>
      </c>
      <c r="J42" s="39">
        <f t="shared" si="14"/>
        <v>3.7279097751456949E-2</v>
      </c>
      <c r="K42" s="39">
        <f t="shared" si="14"/>
        <v>3.0980491347165903E-2</v>
      </c>
      <c r="L42" s="39">
        <f>L8/L$19</f>
        <v>2.7988385796027318E-2</v>
      </c>
    </row>
    <row r="43" spans="2:14" x14ac:dyDescent="0.25">
      <c r="B43" s="1" t="s">
        <v>705</v>
      </c>
      <c r="C43" s="39">
        <f t="shared" ref="C43:K43" si="15">C9/C$19</f>
        <v>8.6534875046624396E-2</v>
      </c>
      <c r="D43" s="39">
        <f t="shared" si="15"/>
        <v>5.241739238487745E-2</v>
      </c>
      <c r="E43" s="39">
        <f t="shared" si="15"/>
        <v>4.6520478434215293E-2</v>
      </c>
      <c r="F43" s="39">
        <f t="shared" si="15"/>
        <v>4.8433365383851304E-2</v>
      </c>
      <c r="G43" s="39">
        <f t="shared" si="15"/>
        <v>4.5149110233192326E-2</v>
      </c>
      <c r="H43" s="39">
        <f t="shared" si="15"/>
        <v>4.2495597544143546E-2</v>
      </c>
      <c r="I43" s="39">
        <f t="shared" si="15"/>
        <v>3.6848741614969489E-2</v>
      </c>
      <c r="J43" s="39">
        <f t="shared" si="15"/>
        <v>2.6052898567822003E-2</v>
      </c>
      <c r="K43" s="39">
        <f t="shared" si="15"/>
        <v>1.9198603144556587E-2</v>
      </c>
      <c r="L43" s="39">
        <f>L9/L$19</f>
        <v>1.9513983855144842E-2</v>
      </c>
    </row>
    <row r="44" spans="2:14" x14ac:dyDescent="0.25">
      <c r="B44" s="1" t="s">
        <v>521</v>
      </c>
      <c r="C44" s="39">
        <f t="shared" ref="C44:K44" si="16">C11/C$19</f>
        <v>0</v>
      </c>
      <c r="D44" s="39">
        <f t="shared" si="16"/>
        <v>2.3516376551966946E-2</v>
      </c>
      <c r="E44" s="39">
        <f t="shared" si="16"/>
        <v>4.7653135193910838E-2</v>
      </c>
      <c r="F44" s="39">
        <f t="shared" si="16"/>
        <v>5.3670049188274276E-2</v>
      </c>
      <c r="G44" s="39">
        <f t="shared" si="16"/>
        <v>5.647659336433241E-2</v>
      </c>
      <c r="H44" s="39">
        <f t="shared" si="16"/>
        <v>6.1211984198753032E-2</v>
      </c>
      <c r="I44" s="39">
        <f t="shared" si="16"/>
        <v>6.8749684773288952E-2</v>
      </c>
      <c r="J44" s="39">
        <f t="shared" si="16"/>
        <v>7.073118939197319E-2</v>
      </c>
      <c r="K44" s="39">
        <f t="shared" si="16"/>
        <v>6.6791230489307366E-2</v>
      </c>
      <c r="L44" s="39">
        <f>L11/L$19</f>
        <v>6.3225000354957331E-2</v>
      </c>
    </row>
    <row r="45" spans="2:14" x14ac:dyDescent="0.25">
      <c r="B45" s="1" t="s">
        <v>716</v>
      </c>
      <c r="C45" s="39">
        <f t="shared" ref="C45:K45" si="17">C12/C$19</f>
        <v>0</v>
      </c>
      <c r="D45" s="39">
        <f t="shared" si="17"/>
        <v>0</v>
      </c>
      <c r="E45" s="39">
        <f t="shared" si="17"/>
        <v>0</v>
      </c>
      <c r="F45" s="39">
        <f t="shared" si="17"/>
        <v>0</v>
      </c>
      <c r="G45" s="39">
        <f t="shared" si="17"/>
        <v>0</v>
      </c>
      <c r="H45" s="39">
        <f t="shared" si="17"/>
        <v>2.2333539574508589E-2</v>
      </c>
      <c r="I45" s="39">
        <f t="shared" si="17"/>
        <v>2.3639481515105663E-2</v>
      </c>
      <c r="J45" s="39">
        <f t="shared" si="17"/>
        <v>2.7350588679423353E-2</v>
      </c>
      <c r="K45" s="39">
        <f t="shared" si="17"/>
        <v>2.7867755648207832E-2</v>
      </c>
      <c r="L45" s="39">
        <f>L12/L$19</f>
        <v>2.7338813874572276E-2</v>
      </c>
    </row>
    <row r="46" spans="2:14" x14ac:dyDescent="0.25">
      <c r="B46" s="54" t="s">
        <v>600</v>
      </c>
      <c r="C46" s="39">
        <f t="shared" ref="C46:K46" si="18">C21/C$19</f>
        <v>2.7415143603133161E-2</v>
      </c>
      <c r="D46" s="39">
        <f t="shared" si="18"/>
        <v>2.7037102235660811E-2</v>
      </c>
      <c r="E46" s="39">
        <f t="shared" si="18"/>
        <v>2.5308082638637187E-2</v>
      </c>
      <c r="F46" s="39">
        <f t="shared" si="18"/>
        <v>2.4395476903761034E-2</v>
      </c>
      <c r="G46" s="39">
        <f t="shared" si="18"/>
        <v>2.6346886690207322E-2</v>
      </c>
      <c r="H46" s="39">
        <f t="shared" si="18"/>
        <v>2.8865832183142162E-2</v>
      </c>
      <c r="I46" s="39">
        <f t="shared" si="18"/>
        <v>2.7860997629495132E-2</v>
      </c>
      <c r="J46" s="39">
        <f t="shared" si="18"/>
        <v>5.6154590283840223E-4</v>
      </c>
      <c r="K46" s="39">
        <f t="shared" si="18"/>
        <v>1.8358205301849691E-4</v>
      </c>
      <c r="L46" s="39">
        <f>L21/L$19</f>
        <v>2.5556928057247517E-4</v>
      </c>
    </row>
    <row r="47" spans="2:14" x14ac:dyDescent="0.25">
      <c r="C47" s="39"/>
    </row>
    <row r="48" spans="2:14" x14ac:dyDescent="0.25">
      <c r="B48" s="54"/>
    </row>
    <row r="63" spans="20:122" x14ac:dyDescent="0.25">
      <c r="T63" s="54" t="s">
        <v>731</v>
      </c>
      <c r="W63" s="1">
        <v>1</v>
      </c>
      <c r="X63" s="1">
        <f>1+W63</f>
        <v>2</v>
      </c>
      <c r="Y63" s="1">
        <f t="shared" ref="Y63:BR63" si="19">1+X63</f>
        <v>3</v>
      </c>
      <c r="Z63" s="1">
        <f t="shared" si="19"/>
        <v>4</v>
      </c>
      <c r="AA63" s="1">
        <f t="shared" si="19"/>
        <v>5</v>
      </c>
      <c r="AB63" s="1">
        <f t="shared" si="19"/>
        <v>6</v>
      </c>
      <c r="AC63" s="1">
        <f t="shared" si="19"/>
        <v>7</v>
      </c>
      <c r="AD63" s="1">
        <f t="shared" si="19"/>
        <v>8</v>
      </c>
      <c r="AE63" s="1">
        <f t="shared" si="19"/>
        <v>9</v>
      </c>
      <c r="AF63" s="1">
        <f t="shared" si="19"/>
        <v>10</v>
      </c>
      <c r="AG63" s="1">
        <f t="shared" si="19"/>
        <v>11</v>
      </c>
      <c r="AH63" s="1">
        <f t="shared" si="19"/>
        <v>12</v>
      </c>
      <c r="AI63" s="1">
        <f t="shared" si="19"/>
        <v>13</v>
      </c>
      <c r="AJ63" s="1">
        <f t="shared" si="19"/>
        <v>14</v>
      </c>
      <c r="AK63" s="1">
        <f t="shared" si="19"/>
        <v>15</v>
      </c>
      <c r="AL63" s="1">
        <f t="shared" si="19"/>
        <v>16</v>
      </c>
      <c r="AM63" s="1">
        <f t="shared" si="19"/>
        <v>17</v>
      </c>
      <c r="AN63" s="1">
        <f t="shared" si="19"/>
        <v>18</v>
      </c>
      <c r="AO63" s="1">
        <f t="shared" si="19"/>
        <v>19</v>
      </c>
      <c r="AP63" s="1">
        <f t="shared" si="19"/>
        <v>20</v>
      </c>
      <c r="AQ63" s="1">
        <f t="shared" si="19"/>
        <v>21</v>
      </c>
      <c r="AR63" s="1">
        <f t="shared" si="19"/>
        <v>22</v>
      </c>
      <c r="AS63" s="1">
        <f t="shared" si="19"/>
        <v>23</v>
      </c>
      <c r="AT63" s="1">
        <f t="shared" si="19"/>
        <v>24</v>
      </c>
      <c r="AU63" s="1">
        <f t="shared" si="19"/>
        <v>25</v>
      </c>
      <c r="AV63" s="1">
        <f t="shared" si="19"/>
        <v>26</v>
      </c>
      <c r="AW63" s="1">
        <f t="shared" si="19"/>
        <v>27</v>
      </c>
      <c r="AX63" s="1">
        <f t="shared" si="19"/>
        <v>28</v>
      </c>
      <c r="AY63" s="1">
        <f t="shared" si="19"/>
        <v>29</v>
      </c>
      <c r="AZ63" s="1">
        <f t="shared" si="19"/>
        <v>30</v>
      </c>
      <c r="BA63" s="1">
        <f t="shared" si="19"/>
        <v>31</v>
      </c>
      <c r="BB63" s="1">
        <f t="shared" si="19"/>
        <v>32</v>
      </c>
      <c r="BC63" s="1">
        <f t="shared" si="19"/>
        <v>33</v>
      </c>
      <c r="BD63" s="1">
        <f t="shared" si="19"/>
        <v>34</v>
      </c>
      <c r="BE63" s="1">
        <f t="shared" si="19"/>
        <v>35</v>
      </c>
      <c r="BF63" s="1">
        <f t="shared" si="19"/>
        <v>36</v>
      </c>
      <c r="BG63" s="1">
        <f t="shared" si="19"/>
        <v>37</v>
      </c>
      <c r="BH63" s="1">
        <f t="shared" si="19"/>
        <v>38</v>
      </c>
      <c r="BI63" s="1">
        <f t="shared" si="19"/>
        <v>39</v>
      </c>
      <c r="BJ63" s="1">
        <f t="shared" si="19"/>
        <v>40</v>
      </c>
      <c r="BK63" s="1">
        <f t="shared" si="19"/>
        <v>41</v>
      </c>
      <c r="BL63" s="1">
        <f t="shared" si="19"/>
        <v>42</v>
      </c>
      <c r="BM63" s="1">
        <f t="shared" si="19"/>
        <v>43</v>
      </c>
      <c r="BN63" s="1">
        <f t="shared" si="19"/>
        <v>44</v>
      </c>
      <c r="BO63" s="1">
        <f t="shared" si="19"/>
        <v>45</v>
      </c>
      <c r="BP63" s="1">
        <f t="shared" si="19"/>
        <v>46</v>
      </c>
      <c r="BQ63" s="1">
        <f t="shared" si="19"/>
        <v>47</v>
      </c>
      <c r="BR63" s="1">
        <f t="shared" si="19"/>
        <v>48</v>
      </c>
      <c r="BS63" s="1">
        <f t="shared" ref="BS63:BT63" si="20">1+BR63</f>
        <v>49</v>
      </c>
      <c r="BT63" s="1">
        <f t="shared" si="20"/>
        <v>50</v>
      </c>
      <c r="BU63" s="1">
        <f t="shared" ref="BU63:DR63" si="21">1+BT63</f>
        <v>51</v>
      </c>
      <c r="BV63" s="1">
        <f t="shared" si="21"/>
        <v>52</v>
      </c>
      <c r="BW63" s="1">
        <f t="shared" si="21"/>
        <v>53</v>
      </c>
      <c r="BX63" s="1">
        <f t="shared" si="21"/>
        <v>54</v>
      </c>
      <c r="BY63" s="1">
        <f t="shared" si="21"/>
        <v>55</v>
      </c>
      <c r="BZ63" s="1">
        <f t="shared" si="21"/>
        <v>56</v>
      </c>
      <c r="CA63" s="1">
        <f t="shared" si="21"/>
        <v>57</v>
      </c>
      <c r="CB63" s="1">
        <f t="shared" si="21"/>
        <v>58</v>
      </c>
      <c r="CC63" s="1">
        <f t="shared" si="21"/>
        <v>59</v>
      </c>
      <c r="CD63" s="1">
        <f t="shared" si="21"/>
        <v>60</v>
      </c>
      <c r="CE63" s="1">
        <f t="shared" si="21"/>
        <v>61</v>
      </c>
      <c r="CF63" s="1">
        <f t="shared" si="21"/>
        <v>62</v>
      </c>
      <c r="CG63" s="1">
        <f t="shared" si="21"/>
        <v>63</v>
      </c>
      <c r="CH63" s="1">
        <f t="shared" si="21"/>
        <v>64</v>
      </c>
      <c r="CI63" s="1">
        <f t="shared" si="21"/>
        <v>65</v>
      </c>
      <c r="CJ63" s="1">
        <f t="shared" si="21"/>
        <v>66</v>
      </c>
      <c r="CK63" s="1">
        <f t="shared" si="21"/>
        <v>67</v>
      </c>
      <c r="CL63" s="1">
        <f t="shared" si="21"/>
        <v>68</v>
      </c>
      <c r="CM63" s="1">
        <f t="shared" si="21"/>
        <v>69</v>
      </c>
      <c r="CN63" s="1">
        <f t="shared" si="21"/>
        <v>70</v>
      </c>
      <c r="CO63" s="1">
        <f t="shared" si="21"/>
        <v>71</v>
      </c>
      <c r="CP63" s="1">
        <f t="shared" si="21"/>
        <v>72</v>
      </c>
      <c r="CQ63" s="1">
        <f t="shared" si="21"/>
        <v>73</v>
      </c>
      <c r="CR63" s="1">
        <f t="shared" si="21"/>
        <v>74</v>
      </c>
      <c r="CS63" s="1">
        <f t="shared" si="21"/>
        <v>75</v>
      </c>
      <c r="CT63" s="1">
        <f t="shared" si="21"/>
        <v>76</v>
      </c>
      <c r="CU63" s="1">
        <f t="shared" si="21"/>
        <v>77</v>
      </c>
      <c r="CV63" s="1">
        <f t="shared" si="21"/>
        <v>78</v>
      </c>
      <c r="CW63" s="1">
        <f t="shared" si="21"/>
        <v>79</v>
      </c>
      <c r="CX63" s="1">
        <f t="shared" si="21"/>
        <v>80</v>
      </c>
      <c r="CY63" s="1">
        <f t="shared" si="21"/>
        <v>81</v>
      </c>
      <c r="CZ63" s="1">
        <f t="shared" si="21"/>
        <v>82</v>
      </c>
      <c r="DA63" s="1">
        <f t="shared" si="21"/>
        <v>83</v>
      </c>
      <c r="DB63" s="1">
        <f t="shared" si="21"/>
        <v>84</v>
      </c>
      <c r="DC63" s="1">
        <f t="shared" si="21"/>
        <v>85</v>
      </c>
      <c r="DD63" s="1">
        <f t="shared" si="21"/>
        <v>86</v>
      </c>
      <c r="DE63" s="1">
        <f t="shared" si="21"/>
        <v>87</v>
      </c>
      <c r="DF63" s="1">
        <f t="shared" si="21"/>
        <v>88</v>
      </c>
      <c r="DG63" s="1">
        <f t="shared" si="21"/>
        <v>89</v>
      </c>
      <c r="DH63" s="1">
        <f t="shared" si="21"/>
        <v>90</v>
      </c>
      <c r="DI63" s="1">
        <f t="shared" si="21"/>
        <v>91</v>
      </c>
      <c r="DJ63" s="1">
        <f t="shared" si="21"/>
        <v>92</v>
      </c>
      <c r="DK63" s="1">
        <f t="shared" si="21"/>
        <v>93</v>
      </c>
      <c r="DL63" s="1">
        <f t="shared" si="21"/>
        <v>94</v>
      </c>
      <c r="DM63" s="1">
        <f t="shared" si="21"/>
        <v>95</v>
      </c>
      <c r="DN63" s="1">
        <f t="shared" si="21"/>
        <v>96</v>
      </c>
      <c r="DO63" s="1">
        <f t="shared" si="21"/>
        <v>97</v>
      </c>
      <c r="DP63" s="1">
        <f t="shared" si="21"/>
        <v>98</v>
      </c>
      <c r="DQ63" s="1">
        <f t="shared" si="21"/>
        <v>99</v>
      </c>
      <c r="DR63" s="1">
        <f t="shared" si="21"/>
        <v>100</v>
      </c>
    </row>
    <row r="64" spans="20:122" x14ac:dyDescent="0.25">
      <c r="V64" s="54" t="s">
        <v>728</v>
      </c>
      <c r="W64" s="56">
        <f>10746*W63-3837.8</f>
        <v>6908.2</v>
      </c>
      <c r="X64" s="56">
        <f t="shared" ref="X64:AP64" si="22">10746*X63-3837.8</f>
        <v>17654.2</v>
      </c>
      <c r="Y64" s="56">
        <f t="shared" si="22"/>
        <v>28400.2</v>
      </c>
      <c r="Z64" s="56">
        <f t="shared" si="22"/>
        <v>39146.199999999997</v>
      </c>
      <c r="AA64" s="56">
        <f t="shared" si="22"/>
        <v>49892.2</v>
      </c>
      <c r="AB64" s="56">
        <f t="shared" si="22"/>
        <v>60638.2</v>
      </c>
      <c r="AC64" s="56">
        <f t="shared" si="22"/>
        <v>71384.2</v>
      </c>
      <c r="AD64" s="56">
        <f t="shared" si="22"/>
        <v>82130.2</v>
      </c>
      <c r="AE64" s="56">
        <f t="shared" si="22"/>
        <v>92876.2</v>
      </c>
      <c r="AF64" s="56">
        <f>10746*AF63-3837.8</f>
        <v>103622.2</v>
      </c>
      <c r="AG64" s="56">
        <f t="shared" si="22"/>
        <v>114368.2</v>
      </c>
      <c r="AH64" s="56">
        <f t="shared" si="22"/>
        <v>125114.2</v>
      </c>
      <c r="AI64" s="56">
        <f t="shared" si="22"/>
        <v>135860.20000000001</v>
      </c>
      <c r="AJ64" s="56">
        <f t="shared" si="22"/>
        <v>146606.20000000001</v>
      </c>
      <c r="AK64" s="56">
        <f t="shared" si="22"/>
        <v>157352.20000000001</v>
      </c>
      <c r="AL64" s="56">
        <f t="shared" si="22"/>
        <v>168098.2</v>
      </c>
      <c r="AM64" s="56">
        <f t="shared" si="22"/>
        <v>178844.2</v>
      </c>
      <c r="AN64" s="56">
        <f t="shared" si="22"/>
        <v>189590.2</v>
      </c>
      <c r="AO64" s="56">
        <f t="shared" si="22"/>
        <v>200336.2</v>
      </c>
      <c r="AP64" s="56">
        <f t="shared" si="22"/>
        <v>211082.2</v>
      </c>
      <c r="AQ64" s="56">
        <f t="shared" ref="AQ64" si="23">10746*AQ63-3837.8</f>
        <v>221828.2</v>
      </c>
      <c r="AR64" s="56">
        <f t="shared" ref="AR64" si="24">10746*AR63-3837.8</f>
        <v>232574.2</v>
      </c>
      <c r="AS64" s="56">
        <f t="shared" ref="AS64" si="25">10746*AS63-3837.8</f>
        <v>243320.2</v>
      </c>
      <c r="AT64" s="56">
        <f t="shared" ref="AT64" si="26">10746*AT63-3837.8</f>
        <v>254066.2</v>
      </c>
      <c r="AU64" s="56">
        <f t="shared" ref="AU64" si="27">10746*AU63-3837.8</f>
        <v>264812.2</v>
      </c>
      <c r="AV64" s="56">
        <f t="shared" ref="AV64" si="28">10746*AV63-3837.8</f>
        <v>275558.2</v>
      </c>
      <c r="AW64" s="56">
        <f t="shared" ref="AW64" si="29">10746*AW63-3837.8</f>
        <v>286304.2</v>
      </c>
      <c r="AX64" s="56">
        <f t="shared" ref="AX64" si="30">10746*AX63-3837.8</f>
        <v>297050.2</v>
      </c>
      <c r="AY64" s="56">
        <f t="shared" ref="AY64" si="31">10746*AY63-3837.8</f>
        <v>307796.2</v>
      </c>
      <c r="AZ64" s="56">
        <f t="shared" ref="AZ64" si="32">10746*AZ63-3837.8</f>
        <v>318542.2</v>
      </c>
      <c r="BA64" s="56">
        <f t="shared" ref="BA64" si="33">10746*BA63-3837.8</f>
        <v>329288.2</v>
      </c>
      <c r="BB64" s="56">
        <f t="shared" ref="BB64" si="34">10746*BB63-3837.8</f>
        <v>340034.2</v>
      </c>
      <c r="BC64" s="56">
        <f t="shared" ref="BC64" si="35">10746*BC63-3837.8</f>
        <v>350780.2</v>
      </c>
      <c r="BD64" s="56">
        <f t="shared" ref="BD64" si="36">10746*BD63-3837.8</f>
        <v>361526.2</v>
      </c>
      <c r="BE64" s="56">
        <f t="shared" ref="BE64" si="37">10746*BE63-3837.8</f>
        <v>372272.2</v>
      </c>
      <c r="BF64" s="56">
        <f t="shared" ref="BF64" si="38">10746*BF63-3837.8</f>
        <v>383018.2</v>
      </c>
      <c r="BG64" s="56">
        <f t="shared" ref="BG64" si="39">10746*BG63-3837.8</f>
        <v>393764.2</v>
      </c>
      <c r="BH64" s="56">
        <f t="shared" ref="BH64" si="40">10746*BH63-3837.8</f>
        <v>404510.2</v>
      </c>
      <c r="BI64" s="56">
        <f t="shared" ref="BI64" si="41">10746*BI63-3837.8</f>
        <v>415256.2</v>
      </c>
      <c r="BJ64" s="56">
        <f t="shared" ref="BJ64" si="42">10746*BJ63-3837.8</f>
        <v>426002.2</v>
      </c>
      <c r="BK64" s="56">
        <f t="shared" ref="BK64" si="43">10746*BK63-3837.8</f>
        <v>436748.2</v>
      </c>
      <c r="BL64" s="56">
        <f t="shared" ref="BL64" si="44">10746*BL63-3837.8</f>
        <v>447494.2</v>
      </c>
      <c r="BM64" s="56">
        <f t="shared" ref="BM64" si="45">10746*BM63-3837.8</f>
        <v>458240.2</v>
      </c>
      <c r="BN64" s="56">
        <f t="shared" ref="BN64" si="46">10746*BN63-3837.8</f>
        <v>468986.2</v>
      </c>
      <c r="BO64" s="56">
        <f t="shared" ref="BO64" si="47">10746*BO63-3837.8</f>
        <v>479732.2</v>
      </c>
      <c r="BP64" s="56">
        <f t="shared" ref="BP64" si="48">10746*BP63-3837.8</f>
        <v>490478.2</v>
      </c>
      <c r="BQ64" s="56">
        <f t="shared" ref="BQ64" si="49">10746*BQ63-3837.8</f>
        <v>501224.2</v>
      </c>
      <c r="BR64" s="56">
        <f t="shared" ref="BR64" si="50">10746*BR63-3837.8</f>
        <v>511970.2</v>
      </c>
      <c r="BS64" s="56">
        <f t="shared" ref="BS64" si="51">10746*BS63-3837.8</f>
        <v>522716.2</v>
      </c>
      <c r="BT64" s="56">
        <f t="shared" ref="BT64" si="52">10746*BT63-3837.8</f>
        <v>533462.19999999995</v>
      </c>
      <c r="BU64" s="56">
        <f t="shared" ref="BU64" si="53">10746*BU63-3837.8</f>
        <v>544208.19999999995</v>
      </c>
      <c r="BV64" s="56">
        <f t="shared" ref="BV64" si="54">10746*BV63-3837.8</f>
        <v>554954.19999999995</v>
      </c>
      <c r="BW64" s="56">
        <f t="shared" ref="BW64" si="55">10746*BW63-3837.8</f>
        <v>565700.19999999995</v>
      </c>
      <c r="BX64" s="56">
        <f t="shared" ref="BX64" si="56">10746*BX63-3837.8</f>
        <v>576446.19999999995</v>
      </c>
      <c r="BY64" s="56">
        <f t="shared" ref="BY64" si="57">10746*BY63-3837.8</f>
        <v>587192.19999999995</v>
      </c>
      <c r="BZ64" s="56">
        <f t="shared" ref="BZ64" si="58">10746*BZ63-3837.8</f>
        <v>597938.19999999995</v>
      </c>
      <c r="CA64" s="56">
        <f t="shared" ref="CA64" si="59">10746*CA63-3837.8</f>
        <v>608684.19999999995</v>
      </c>
      <c r="CB64" s="56">
        <f t="shared" ref="CB64" si="60">10746*CB63-3837.8</f>
        <v>619430.19999999995</v>
      </c>
      <c r="CC64" s="56">
        <f t="shared" ref="CC64" si="61">10746*CC63-3837.8</f>
        <v>630176.19999999995</v>
      </c>
      <c r="CD64" s="56">
        <f t="shared" ref="CD64" si="62">10746*CD63-3837.8</f>
        <v>640922.19999999995</v>
      </c>
      <c r="CE64" s="56">
        <f t="shared" ref="CE64" si="63">10746*CE63-3837.8</f>
        <v>651668.19999999995</v>
      </c>
      <c r="CF64" s="56">
        <f t="shared" ref="CF64" si="64">10746*CF63-3837.8</f>
        <v>662414.19999999995</v>
      </c>
      <c r="CG64" s="56">
        <f t="shared" ref="CG64" si="65">10746*CG63-3837.8</f>
        <v>673160.2</v>
      </c>
      <c r="CH64" s="56">
        <f t="shared" ref="CH64" si="66">10746*CH63-3837.8</f>
        <v>683906.2</v>
      </c>
      <c r="CI64" s="56">
        <f t="shared" ref="CI64" si="67">10746*CI63-3837.8</f>
        <v>694652.2</v>
      </c>
      <c r="CJ64" s="56">
        <f t="shared" ref="CJ64" si="68">10746*CJ63-3837.8</f>
        <v>705398.2</v>
      </c>
      <c r="CK64" s="56">
        <f t="shared" ref="CK64" si="69">10746*CK63-3837.8</f>
        <v>716144.2</v>
      </c>
      <c r="CL64" s="56">
        <f t="shared" ref="CL64" si="70">10746*CL63-3837.8</f>
        <v>726890.2</v>
      </c>
      <c r="CM64" s="56">
        <f t="shared" ref="CM64" si="71">10746*CM63-3837.8</f>
        <v>737636.2</v>
      </c>
      <c r="CN64" s="56">
        <f t="shared" ref="CN64" si="72">10746*CN63-3837.8</f>
        <v>748382.2</v>
      </c>
      <c r="CO64" s="56">
        <f t="shared" ref="CO64" si="73">10746*CO63-3837.8</f>
        <v>759128.2</v>
      </c>
      <c r="CP64" s="56">
        <f t="shared" ref="CP64" si="74">10746*CP63-3837.8</f>
        <v>769874.2</v>
      </c>
      <c r="CQ64" s="56">
        <f t="shared" ref="CQ64" si="75">10746*CQ63-3837.8</f>
        <v>780620.2</v>
      </c>
      <c r="CR64" s="56">
        <f t="shared" ref="CR64" si="76">10746*CR63-3837.8</f>
        <v>791366.2</v>
      </c>
      <c r="CS64" s="56">
        <f t="shared" ref="CS64" si="77">10746*CS63-3837.8</f>
        <v>802112.2</v>
      </c>
      <c r="CT64" s="56">
        <f t="shared" ref="CT64" si="78">10746*CT63-3837.8</f>
        <v>812858.2</v>
      </c>
      <c r="CU64" s="56">
        <f t="shared" ref="CU64" si="79">10746*CU63-3837.8</f>
        <v>823604.2</v>
      </c>
      <c r="CV64" s="56">
        <f t="shared" ref="CV64" si="80">10746*CV63-3837.8</f>
        <v>834350.2</v>
      </c>
      <c r="CW64" s="56">
        <f t="shared" ref="CW64" si="81">10746*CW63-3837.8</f>
        <v>845096.2</v>
      </c>
      <c r="CX64" s="56">
        <f t="shared" ref="CX64" si="82">10746*CX63-3837.8</f>
        <v>855842.2</v>
      </c>
      <c r="CY64" s="56">
        <f t="shared" ref="CY64" si="83">10746*CY63-3837.8</f>
        <v>866588.2</v>
      </c>
      <c r="CZ64" s="56">
        <f t="shared" ref="CZ64" si="84">10746*CZ63-3837.8</f>
        <v>877334.2</v>
      </c>
      <c r="DA64" s="56">
        <f t="shared" ref="DA64" si="85">10746*DA63-3837.8</f>
        <v>888080.2</v>
      </c>
      <c r="DB64" s="56">
        <f t="shared" ref="DB64" si="86">10746*DB63-3837.8</f>
        <v>898826.2</v>
      </c>
      <c r="DC64" s="56">
        <f t="shared" ref="DC64" si="87">10746*DC63-3837.8</f>
        <v>909572.2</v>
      </c>
      <c r="DD64" s="56">
        <f t="shared" ref="DD64" si="88">10746*DD63-3837.8</f>
        <v>920318.2</v>
      </c>
      <c r="DE64" s="56">
        <f t="shared" ref="DE64" si="89">10746*DE63-3837.8</f>
        <v>931064.2</v>
      </c>
      <c r="DF64" s="56">
        <f t="shared" ref="DF64" si="90">10746*DF63-3837.8</f>
        <v>941810.2</v>
      </c>
      <c r="DG64" s="56">
        <f t="shared" ref="DG64" si="91">10746*DG63-3837.8</f>
        <v>952556.2</v>
      </c>
      <c r="DH64" s="56">
        <f t="shared" ref="DH64" si="92">10746*DH63-3837.8</f>
        <v>963302.2</v>
      </c>
      <c r="DI64" s="56">
        <f t="shared" ref="DI64" si="93">10746*DI63-3837.8</f>
        <v>974048.2</v>
      </c>
      <c r="DJ64" s="56">
        <f t="shared" ref="DJ64" si="94">10746*DJ63-3837.8</f>
        <v>984794.2</v>
      </c>
      <c r="DK64" s="56">
        <f t="shared" ref="DK64" si="95">10746*DK63-3837.8</f>
        <v>995540.2</v>
      </c>
      <c r="DL64" s="56">
        <f t="shared" ref="DL64" si="96">10746*DL63-3837.8</f>
        <v>1006286.2</v>
      </c>
      <c r="DM64" s="56">
        <f t="shared" ref="DM64" si="97">10746*DM63-3837.8</f>
        <v>1017032.2</v>
      </c>
      <c r="DN64" s="56">
        <f t="shared" ref="DN64" si="98">10746*DN63-3837.8</f>
        <v>1027778.2</v>
      </c>
      <c r="DO64" s="56">
        <f t="shared" ref="DO64" si="99">10746*DO63-3837.8</f>
        <v>1038524.2</v>
      </c>
      <c r="DP64" s="56">
        <f t="shared" ref="DP64" si="100">10746*DP63-3837.8</f>
        <v>1049270.2</v>
      </c>
      <c r="DQ64" s="56">
        <f t="shared" ref="DQ64" si="101">10746*DQ63-3837.8</f>
        <v>1060016.2</v>
      </c>
      <c r="DR64" s="56">
        <f t="shared" ref="DR64" si="102">10746*DR63-3837.8</f>
        <v>1070762.2</v>
      </c>
    </row>
    <row r="65" spans="22:122" x14ac:dyDescent="0.25">
      <c r="V65" s="1" t="s">
        <v>713</v>
      </c>
      <c r="W65" s="54">
        <f>4327.7*W63 + 15949</f>
        <v>20276.7</v>
      </c>
      <c r="X65" s="54">
        <f t="shared" ref="X65:AP65" si="103">4327.7*X63 + 15949</f>
        <v>24604.400000000001</v>
      </c>
      <c r="Y65" s="54">
        <f t="shared" si="103"/>
        <v>28932.1</v>
      </c>
      <c r="Z65" s="54">
        <f t="shared" si="103"/>
        <v>33259.800000000003</v>
      </c>
      <c r="AA65" s="54">
        <f t="shared" si="103"/>
        <v>37587.5</v>
      </c>
      <c r="AB65" s="54">
        <f t="shared" si="103"/>
        <v>41915.199999999997</v>
      </c>
      <c r="AC65" s="54">
        <f t="shared" si="103"/>
        <v>46242.899999999994</v>
      </c>
      <c r="AD65" s="54">
        <f t="shared" si="103"/>
        <v>50570.6</v>
      </c>
      <c r="AE65" s="54">
        <f t="shared" si="103"/>
        <v>54898.299999999996</v>
      </c>
      <c r="AF65" s="54">
        <f t="shared" si="103"/>
        <v>59226</v>
      </c>
      <c r="AG65" s="54">
        <f t="shared" si="103"/>
        <v>63553.7</v>
      </c>
      <c r="AH65" s="54">
        <f t="shared" si="103"/>
        <v>67881.399999999994</v>
      </c>
      <c r="AI65" s="54">
        <f t="shared" si="103"/>
        <v>72209.100000000006</v>
      </c>
      <c r="AJ65" s="54">
        <f t="shared" si="103"/>
        <v>76536.799999999988</v>
      </c>
      <c r="AK65" s="54">
        <f t="shared" si="103"/>
        <v>80864.5</v>
      </c>
      <c r="AL65" s="54">
        <f t="shared" si="103"/>
        <v>85192.2</v>
      </c>
      <c r="AM65" s="54">
        <f t="shared" si="103"/>
        <v>89519.9</v>
      </c>
      <c r="AN65" s="54">
        <f t="shared" si="103"/>
        <v>93847.599999999991</v>
      </c>
      <c r="AO65" s="54">
        <f t="shared" si="103"/>
        <v>98175.3</v>
      </c>
      <c r="AP65" s="54">
        <f t="shared" si="103"/>
        <v>102503</v>
      </c>
      <c r="AQ65" s="54">
        <f t="shared" ref="AQ65:BR65" si="104">4327.7*AQ63 + 15949</f>
        <v>106830.7</v>
      </c>
      <c r="AR65" s="54">
        <f t="shared" si="104"/>
        <v>111158.39999999999</v>
      </c>
      <c r="AS65" s="54">
        <f t="shared" si="104"/>
        <v>115486.09999999999</v>
      </c>
      <c r="AT65" s="54">
        <f t="shared" si="104"/>
        <v>119813.79999999999</v>
      </c>
      <c r="AU65" s="54">
        <f t="shared" si="104"/>
        <v>124141.5</v>
      </c>
      <c r="AV65" s="54">
        <f t="shared" si="104"/>
        <v>128469.2</v>
      </c>
      <c r="AW65" s="54">
        <f t="shared" si="104"/>
        <v>132796.9</v>
      </c>
      <c r="AX65" s="54">
        <f t="shared" si="104"/>
        <v>137124.59999999998</v>
      </c>
      <c r="AY65" s="54">
        <f t="shared" si="104"/>
        <v>141452.29999999999</v>
      </c>
      <c r="AZ65" s="54">
        <f t="shared" si="104"/>
        <v>145780</v>
      </c>
      <c r="BA65" s="54">
        <f t="shared" si="104"/>
        <v>150107.69999999998</v>
      </c>
      <c r="BB65" s="54">
        <f t="shared" si="104"/>
        <v>154435.4</v>
      </c>
      <c r="BC65" s="54">
        <f t="shared" si="104"/>
        <v>158763.1</v>
      </c>
      <c r="BD65" s="54">
        <f t="shared" si="104"/>
        <v>163090.79999999999</v>
      </c>
      <c r="BE65" s="54">
        <f t="shared" si="104"/>
        <v>167418.5</v>
      </c>
      <c r="BF65" s="54">
        <f t="shared" si="104"/>
        <v>171746.19999999998</v>
      </c>
      <c r="BG65" s="54">
        <f t="shared" si="104"/>
        <v>176073.9</v>
      </c>
      <c r="BH65" s="54">
        <f t="shared" si="104"/>
        <v>180401.6</v>
      </c>
      <c r="BI65" s="54">
        <f t="shared" si="104"/>
        <v>184729.3</v>
      </c>
      <c r="BJ65" s="54">
        <f t="shared" si="104"/>
        <v>189057</v>
      </c>
      <c r="BK65" s="54">
        <f t="shared" si="104"/>
        <v>193384.69999999998</v>
      </c>
      <c r="BL65" s="54">
        <f t="shared" si="104"/>
        <v>197712.4</v>
      </c>
      <c r="BM65" s="54">
        <f t="shared" si="104"/>
        <v>202040.1</v>
      </c>
      <c r="BN65" s="54">
        <f t="shared" si="104"/>
        <v>206367.8</v>
      </c>
      <c r="BO65" s="54">
        <f t="shared" si="104"/>
        <v>210695.5</v>
      </c>
      <c r="BP65" s="54">
        <f t="shared" si="104"/>
        <v>215023.19999999998</v>
      </c>
      <c r="BQ65" s="54">
        <f t="shared" si="104"/>
        <v>219350.9</v>
      </c>
      <c r="BR65" s="54">
        <f t="shared" si="104"/>
        <v>223678.59999999998</v>
      </c>
      <c r="BS65" s="54">
        <f t="shared" ref="BS65:BT65" si="105">4327.7*BS63 + 15949</f>
        <v>228006.3</v>
      </c>
      <c r="BT65" s="54">
        <f t="shared" si="105"/>
        <v>232334</v>
      </c>
      <c r="BU65" s="54">
        <f t="shared" ref="BU65:DR65" si="106">4327.7*BU63 + 15949</f>
        <v>236661.69999999998</v>
      </c>
      <c r="BV65" s="54">
        <f t="shared" si="106"/>
        <v>240989.4</v>
      </c>
      <c r="BW65" s="54">
        <f t="shared" si="106"/>
        <v>245317.09999999998</v>
      </c>
      <c r="BX65" s="54">
        <f t="shared" si="106"/>
        <v>249644.79999999999</v>
      </c>
      <c r="BY65" s="54">
        <f t="shared" si="106"/>
        <v>253972.5</v>
      </c>
      <c r="BZ65" s="54">
        <f t="shared" si="106"/>
        <v>258300.19999999998</v>
      </c>
      <c r="CA65" s="54">
        <f t="shared" si="106"/>
        <v>262627.90000000002</v>
      </c>
      <c r="CB65" s="54">
        <f t="shared" si="106"/>
        <v>266955.59999999998</v>
      </c>
      <c r="CC65" s="54">
        <f t="shared" si="106"/>
        <v>271283.3</v>
      </c>
      <c r="CD65" s="54">
        <f t="shared" si="106"/>
        <v>275611</v>
      </c>
      <c r="CE65" s="54">
        <f t="shared" si="106"/>
        <v>279938.7</v>
      </c>
      <c r="CF65" s="54">
        <f t="shared" si="106"/>
        <v>284266.39999999997</v>
      </c>
      <c r="CG65" s="54">
        <f t="shared" si="106"/>
        <v>288594.09999999998</v>
      </c>
      <c r="CH65" s="54">
        <f t="shared" si="106"/>
        <v>292921.8</v>
      </c>
      <c r="CI65" s="54">
        <f t="shared" si="106"/>
        <v>297249.5</v>
      </c>
      <c r="CJ65" s="54">
        <f t="shared" si="106"/>
        <v>301577.2</v>
      </c>
      <c r="CK65" s="54">
        <f t="shared" si="106"/>
        <v>305904.89999999997</v>
      </c>
      <c r="CL65" s="54">
        <f t="shared" si="106"/>
        <v>310232.59999999998</v>
      </c>
      <c r="CM65" s="54">
        <f t="shared" si="106"/>
        <v>314560.3</v>
      </c>
      <c r="CN65" s="54">
        <f t="shared" si="106"/>
        <v>318888</v>
      </c>
      <c r="CO65" s="54">
        <f t="shared" si="106"/>
        <v>323215.7</v>
      </c>
      <c r="CP65" s="54">
        <f t="shared" si="106"/>
        <v>327543.39999999997</v>
      </c>
      <c r="CQ65" s="54">
        <f t="shared" si="106"/>
        <v>331871.09999999998</v>
      </c>
      <c r="CR65" s="54">
        <f t="shared" si="106"/>
        <v>336198.8</v>
      </c>
      <c r="CS65" s="54">
        <f t="shared" si="106"/>
        <v>340526.5</v>
      </c>
      <c r="CT65" s="54">
        <f t="shared" si="106"/>
        <v>344854.2</v>
      </c>
      <c r="CU65" s="54">
        <f t="shared" si="106"/>
        <v>349181.89999999997</v>
      </c>
      <c r="CV65" s="54">
        <f t="shared" si="106"/>
        <v>353509.6</v>
      </c>
      <c r="CW65" s="54">
        <f t="shared" si="106"/>
        <v>357837.3</v>
      </c>
      <c r="CX65" s="54">
        <f t="shared" si="106"/>
        <v>362165</v>
      </c>
      <c r="CY65" s="54">
        <f t="shared" si="106"/>
        <v>366492.7</v>
      </c>
      <c r="CZ65" s="54">
        <f t="shared" si="106"/>
        <v>370820.39999999997</v>
      </c>
      <c r="DA65" s="54">
        <f t="shared" si="106"/>
        <v>375148.1</v>
      </c>
      <c r="DB65" s="54">
        <f t="shared" si="106"/>
        <v>379475.8</v>
      </c>
      <c r="DC65" s="54">
        <f t="shared" si="106"/>
        <v>383803.5</v>
      </c>
      <c r="DD65" s="54">
        <f t="shared" si="106"/>
        <v>388131.2</v>
      </c>
      <c r="DE65" s="54">
        <f t="shared" si="106"/>
        <v>392458.89999999997</v>
      </c>
      <c r="DF65" s="54">
        <f t="shared" si="106"/>
        <v>396786.6</v>
      </c>
      <c r="DG65" s="54">
        <f t="shared" si="106"/>
        <v>401114.3</v>
      </c>
      <c r="DH65" s="54">
        <f t="shared" si="106"/>
        <v>405442</v>
      </c>
      <c r="DI65" s="54">
        <f t="shared" si="106"/>
        <v>409769.7</v>
      </c>
      <c r="DJ65" s="54">
        <f t="shared" si="106"/>
        <v>414097.39999999997</v>
      </c>
      <c r="DK65" s="54">
        <f t="shared" si="106"/>
        <v>418425.1</v>
      </c>
      <c r="DL65" s="54">
        <f t="shared" si="106"/>
        <v>422752.8</v>
      </c>
      <c r="DM65" s="54">
        <f t="shared" si="106"/>
        <v>427080.5</v>
      </c>
      <c r="DN65" s="54">
        <f t="shared" si="106"/>
        <v>431408.19999999995</v>
      </c>
      <c r="DO65" s="54">
        <f t="shared" si="106"/>
        <v>435735.89999999997</v>
      </c>
      <c r="DP65" s="54">
        <f t="shared" si="106"/>
        <v>440063.6</v>
      </c>
      <c r="DQ65" s="54">
        <f t="shared" si="106"/>
        <v>444391.3</v>
      </c>
      <c r="DR65" s="54">
        <f t="shared" si="106"/>
        <v>448719</v>
      </c>
    </row>
    <row r="66" spans="22:122" x14ac:dyDescent="0.25">
      <c r="V66" s="1" t="s">
        <v>702</v>
      </c>
      <c r="W66" s="1">
        <f>866.32*W63 + 16904</f>
        <v>17770.32</v>
      </c>
      <c r="X66" s="1">
        <f t="shared" ref="X66:AP66" si="107">866.32*X63 + 16904</f>
        <v>18636.64</v>
      </c>
      <c r="Y66" s="1">
        <f t="shared" si="107"/>
        <v>19502.96</v>
      </c>
      <c r="Z66" s="1">
        <f t="shared" si="107"/>
        <v>20369.28</v>
      </c>
      <c r="AA66" s="1">
        <f t="shared" si="107"/>
        <v>21235.599999999999</v>
      </c>
      <c r="AB66" s="1">
        <f t="shared" si="107"/>
        <v>22101.919999999998</v>
      </c>
      <c r="AC66" s="1">
        <f t="shared" si="107"/>
        <v>22968.240000000002</v>
      </c>
      <c r="AD66" s="1">
        <f t="shared" si="107"/>
        <v>23834.560000000001</v>
      </c>
      <c r="AE66" s="1">
        <f t="shared" si="107"/>
        <v>24700.880000000001</v>
      </c>
      <c r="AF66" s="1">
        <f t="shared" si="107"/>
        <v>25567.200000000001</v>
      </c>
      <c r="AG66" s="1">
        <f t="shared" si="107"/>
        <v>26433.52</v>
      </c>
      <c r="AH66" s="1">
        <f t="shared" si="107"/>
        <v>27299.84</v>
      </c>
      <c r="AI66" s="1">
        <f t="shared" si="107"/>
        <v>28166.16</v>
      </c>
      <c r="AJ66" s="1">
        <f t="shared" si="107"/>
        <v>29032.480000000003</v>
      </c>
      <c r="AK66" s="1">
        <f t="shared" si="107"/>
        <v>29898.800000000003</v>
      </c>
      <c r="AL66" s="1">
        <f t="shared" si="107"/>
        <v>30765.120000000003</v>
      </c>
      <c r="AM66" s="1">
        <f t="shared" si="107"/>
        <v>31631.440000000002</v>
      </c>
      <c r="AN66" s="1">
        <f t="shared" si="107"/>
        <v>32497.760000000002</v>
      </c>
      <c r="AO66" s="1">
        <f t="shared" si="107"/>
        <v>33364.080000000002</v>
      </c>
      <c r="AP66" s="1">
        <f t="shared" si="107"/>
        <v>34230.400000000001</v>
      </c>
      <c r="AQ66" s="1">
        <f t="shared" ref="AQ66:BR66" si="108">866.32*AQ63 + 16904</f>
        <v>35096.720000000001</v>
      </c>
      <c r="AR66" s="1">
        <f t="shared" si="108"/>
        <v>35963.040000000001</v>
      </c>
      <c r="AS66" s="1">
        <f t="shared" si="108"/>
        <v>36829.360000000001</v>
      </c>
      <c r="AT66" s="1">
        <f t="shared" si="108"/>
        <v>37695.68</v>
      </c>
      <c r="AU66" s="1">
        <f t="shared" si="108"/>
        <v>38562</v>
      </c>
      <c r="AV66" s="1">
        <f t="shared" si="108"/>
        <v>39428.32</v>
      </c>
      <c r="AW66" s="1">
        <f t="shared" si="108"/>
        <v>40294.639999999999</v>
      </c>
      <c r="AX66" s="1">
        <f t="shared" si="108"/>
        <v>41160.960000000006</v>
      </c>
      <c r="AY66" s="1">
        <f t="shared" si="108"/>
        <v>42027.28</v>
      </c>
      <c r="AZ66" s="1">
        <f t="shared" si="108"/>
        <v>42893.600000000006</v>
      </c>
      <c r="BA66" s="1">
        <f t="shared" si="108"/>
        <v>43759.92</v>
      </c>
      <c r="BB66" s="1">
        <f t="shared" si="108"/>
        <v>44626.240000000005</v>
      </c>
      <c r="BC66" s="1">
        <f t="shared" si="108"/>
        <v>45492.56</v>
      </c>
      <c r="BD66" s="1">
        <f t="shared" si="108"/>
        <v>46358.880000000005</v>
      </c>
      <c r="BE66" s="1">
        <f t="shared" si="108"/>
        <v>47225.2</v>
      </c>
      <c r="BF66" s="1">
        <f t="shared" si="108"/>
        <v>48091.520000000004</v>
      </c>
      <c r="BG66" s="1">
        <f t="shared" si="108"/>
        <v>48957.84</v>
      </c>
      <c r="BH66" s="1">
        <f t="shared" si="108"/>
        <v>49824.160000000003</v>
      </c>
      <c r="BI66" s="1">
        <f t="shared" si="108"/>
        <v>50690.48</v>
      </c>
      <c r="BJ66" s="1">
        <f t="shared" si="108"/>
        <v>51556.800000000003</v>
      </c>
      <c r="BK66" s="1">
        <f t="shared" si="108"/>
        <v>52423.12</v>
      </c>
      <c r="BL66" s="1">
        <f t="shared" si="108"/>
        <v>53289.440000000002</v>
      </c>
      <c r="BM66" s="1">
        <f t="shared" si="108"/>
        <v>54155.76</v>
      </c>
      <c r="BN66" s="1">
        <f t="shared" si="108"/>
        <v>55022.080000000002</v>
      </c>
      <c r="BO66" s="1">
        <f t="shared" si="108"/>
        <v>55888.4</v>
      </c>
      <c r="BP66" s="1">
        <f t="shared" si="108"/>
        <v>56754.720000000001</v>
      </c>
      <c r="BQ66" s="1">
        <f t="shared" si="108"/>
        <v>57621.04</v>
      </c>
      <c r="BR66" s="1">
        <f t="shared" si="108"/>
        <v>58487.360000000001</v>
      </c>
      <c r="BS66" s="1">
        <f t="shared" ref="BS66:BT66" si="109">866.32*BS63 + 16904</f>
        <v>59353.68</v>
      </c>
      <c r="BT66" s="1">
        <f t="shared" si="109"/>
        <v>60220</v>
      </c>
      <c r="BU66" s="1">
        <f t="shared" ref="BU66:DR66" si="110">866.32*BU63 + 16904</f>
        <v>61086.32</v>
      </c>
      <c r="BV66" s="1">
        <f t="shared" si="110"/>
        <v>61952.639999999999</v>
      </c>
      <c r="BW66" s="1">
        <f t="shared" si="110"/>
        <v>62818.96</v>
      </c>
      <c r="BX66" s="1">
        <f t="shared" si="110"/>
        <v>63685.280000000006</v>
      </c>
      <c r="BY66" s="1">
        <f t="shared" si="110"/>
        <v>64551.600000000006</v>
      </c>
      <c r="BZ66" s="1">
        <f t="shared" si="110"/>
        <v>65417.920000000006</v>
      </c>
      <c r="CA66" s="1">
        <f t="shared" si="110"/>
        <v>66284.240000000005</v>
      </c>
      <c r="CB66" s="1">
        <f t="shared" si="110"/>
        <v>67150.559999999998</v>
      </c>
      <c r="CC66" s="1">
        <f t="shared" si="110"/>
        <v>68016.88</v>
      </c>
      <c r="CD66" s="1">
        <f t="shared" si="110"/>
        <v>68883.200000000012</v>
      </c>
      <c r="CE66" s="1">
        <f t="shared" si="110"/>
        <v>69749.52</v>
      </c>
      <c r="CF66" s="1">
        <f t="shared" si="110"/>
        <v>70615.839999999997</v>
      </c>
      <c r="CG66" s="1">
        <f t="shared" si="110"/>
        <v>71482.16</v>
      </c>
      <c r="CH66" s="1">
        <f t="shared" si="110"/>
        <v>72348.48000000001</v>
      </c>
      <c r="CI66" s="1">
        <f t="shared" si="110"/>
        <v>73214.8</v>
      </c>
      <c r="CJ66" s="1">
        <f t="shared" si="110"/>
        <v>74081.119999999995</v>
      </c>
      <c r="CK66" s="1">
        <f t="shared" si="110"/>
        <v>74947.44</v>
      </c>
      <c r="CL66" s="1">
        <f t="shared" si="110"/>
        <v>75813.760000000009</v>
      </c>
      <c r="CM66" s="1">
        <f t="shared" si="110"/>
        <v>76680.08</v>
      </c>
      <c r="CN66" s="1">
        <f t="shared" si="110"/>
        <v>77546.399999999994</v>
      </c>
      <c r="CO66" s="1">
        <f t="shared" si="110"/>
        <v>78412.72</v>
      </c>
      <c r="CP66" s="1">
        <f t="shared" si="110"/>
        <v>79279.040000000008</v>
      </c>
      <c r="CQ66" s="1">
        <f t="shared" si="110"/>
        <v>80145.36</v>
      </c>
      <c r="CR66" s="1">
        <f t="shared" si="110"/>
        <v>81011.679999999993</v>
      </c>
      <c r="CS66" s="1">
        <f t="shared" si="110"/>
        <v>81878</v>
      </c>
      <c r="CT66" s="1">
        <f t="shared" si="110"/>
        <v>82744.320000000007</v>
      </c>
      <c r="CU66" s="1">
        <f t="shared" si="110"/>
        <v>83610.64</v>
      </c>
      <c r="CV66" s="1">
        <f t="shared" si="110"/>
        <v>84476.96</v>
      </c>
      <c r="CW66" s="1">
        <f t="shared" si="110"/>
        <v>85343.28</v>
      </c>
      <c r="CX66" s="1">
        <f t="shared" si="110"/>
        <v>86209.600000000006</v>
      </c>
      <c r="CY66" s="1">
        <f t="shared" si="110"/>
        <v>87075.92</v>
      </c>
      <c r="CZ66" s="1">
        <f t="shared" si="110"/>
        <v>87942.24</v>
      </c>
      <c r="DA66" s="1">
        <f t="shared" si="110"/>
        <v>88808.56</v>
      </c>
      <c r="DB66" s="1">
        <f t="shared" si="110"/>
        <v>89674.880000000005</v>
      </c>
      <c r="DC66" s="1">
        <f t="shared" si="110"/>
        <v>90541.2</v>
      </c>
      <c r="DD66" s="1">
        <f t="shared" si="110"/>
        <v>91407.52</v>
      </c>
      <c r="DE66" s="1">
        <f t="shared" si="110"/>
        <v>92273.840000000011</v>
      </c>
      <c r="DF66" s="1">
        <f t="shared" si="110"/>
        <v>93140.160000000003</v>
      </c>
      <c r="DG66" s="1">
        <f t="shared" si="110"/>
        <v>94006.48000000001</v>
      </c>
      <c r="DH66" s="1">
        <f t="shared" si="110"/>
        <v>94872.8</v>
      </c>
      <c r="DI66" s="1">
        <f t="shared" si="110"/>
        <v>95739.12000000001</v>
      </c>
      <c r="DJ66" s="1">
        <f t="shared" si="110"/>
        <v>96605.440000000002</v>
      </c>
      <c r="DK66" s="1">
        <f t="shared" si="110"/>
        <v>97471.760000000009</v>
      </c>
      <c r="DL66" s="1">
        <f t="shared" si="110"/>
        <v>98338.08</v>
      </c>
      <c r="DM66" s="1">
        <f t="shared" si="110"/>
        <v>99204.400000000009</v>
      </c>
      <c r="DN66" s="1">
        <f t="shared" si="110"/>
        <v>100070.72</v>
      </c>
      <c r="DO66" s="1">
        <f t="shared" si="110"/>
        <v>100937.04000000001</v>
      </c>
      <c r="DP66" s="1">
        <f t="shared" si="110"/>
        <v>101803.36</v>
      </c>
      <c r="DQ66" s="1">
        <f t="shared" si="110"/>
        <v>102669.68000000001</v>
      </c>
      <c r="DR66" s="1">
        <f t="shared" si="110"/>
        <v>103536</v>
      </c>
    </row>
    <row r="67" spans="22:122" ht="14.4" x14ac:dyDescent="0.3">
      <c r="V67" s="1" t="s">
        <v>520</v>
      </c>
      <c r="W67">
        <f>1571.7*W63 + 5714.7</f>
        <v>7286.4</v>
      </c>
      <c r="X67">
        <f t="shared" ref="X67:AP67" si="111">1571.7*X63 + 5714.7</f>
        <v>8858.1</v>
      </c>
      <c r="Y67">
        <f t="shared" si="111"/>
        <v>10429.799999999999</v>
      </c>
      <c r="Z67">
        <f t="shared" si="111"/>
        <v>12001.5</v>
      </c>
      <c r="AA67">
        <f t="shared" si="111"/>
        <v>13573.2</v>
      </c>
      <c r="AB67">
        <f t="shared" si="111"/>
        <v>15144.900000000001</v>
      </c>
      <c r="AC67">
        <f t="shared" si="111"/>
        <v>16716.599999999999</v>
      </c>
      <c r="AD67">
        <f t="shared" si="111"/>
        <v>18288.3</v>
      </c>
      <c r="AE67">
        <f t="shared" si="111"/>
        <v>19860</v>
      </c>
      <c r="AF67">
        <f t="shared" si="111"/>
        <v>21431.7</v>
      </c>
      <c r="AG67">
        <f t="shared" si="111"/>
        <v>23003.4</v>
      </c>
      <c r="AH67">
        <f t="shared" si="111"/>
        <v>24575.100000000002</v>
      </c>
      <c r="AI67">
        <f t="shared" si="111"/>
        <v>26146.800000000003</v>
      </c>
      <c r="AJ67">
        <f t="shared" si="111"/>
        <v>27718.5</v>
      </c>
      <c r="AK67">
        <f t="shared" si="111"/>
        <v>29290.2</v>
      </c>
      <c r="AL67">
        <f t="shared" si="111"/>
        <v>30861.9</v>
      </c>
      <c r="AM67">
        <f t="shared" si="111"/>
        <v>32433.600000000002</v>
      </c>
      <c r="AN67">
        <f t="shared" si="111"/>
        <v>34005.300000000003</v>
      </c>
      <c r="AO67">
        <f t="shared" si="111"/>
        <v>35577</v>
      </c>
      <c r="AP67">
        <f t="shared" si="111"/>
        <v>37148.699999999997</v>
      </c>
      <c r="AQ67">
        <f t="shared" ref="AQ67:BR67" si="112">1571.7*AQ63 + 5714.7</f>
        <v>38720.400000000001</v>
      </c>
      <c r="AR67">
        <f t="shared" si="112"/>
        <v>40292.1</v>
      </c>
      <c r="AS67">
        <f t="shared" si="112"/>
        <v>41863.799999999996</v>
      </c>
      <c r="AT67">
        <f t="shared" si="112"/>
        <v>43435.5</v>
      </c>
      <c r="AU67">
        <f t="shared" si="112"/>
        <v>45007.199999999997</v>
      </c>
      <c r="AV67">
        <f t="shared" si="112"/>
        <v>46578.9</v>
      </c>
      <c r="AW67">
        <f t="shared" si="112"/>
        <v>48150.6</v>
      </c>
      <c r="AX67">
        <f t="shared" si="112"/>
        <v>49722.299999999996</v>
      </c>
      <c r="AY67">
        <f t="shared" si="112"/>
        <v>51294</v>
      </c>
      <c r="AZ67">
        <f t="shared" si="112"/>
        <v>52865.7</v>
      </c>
      <c r="BA67">
        <f t="shared" si="112"/>
        <v>54437.4</v>
      </c>
      <c r="BB67">
        <f t="shared" si="112"/>
        <v>56009.1</v>
      </c>
      <c r="BC67">
        <f t="shared" si="112"/>
        <v>57580.799999999996</v>
      </c>
      <c r="BD67">
        <f t="shared" si="112"/>
        <v>59152.5</v>
      </c>
      <c r="BE67">
        <f t="shared" si="112"/>
        <v>60724.2</v>
      </c>
      <c r="BF67">
        <f t="shared" si="112"/>
        <v>62295.9</v>
      </c>
      <c r="BG67">
        <f t="shared" si="112"/>
        <v>63867.6</v>
      </c>
      <c r="BH67">
        <f t="shared" si="112"/>
        <v>65439.299999999996</v>
      </c>
      <c r="BI67">
        <f t="shared" si="112"/>
        <v>67011</v>
      </c>
      <c r="BJ67">
        <f t="shared" si="112"/>
        <v>68582.7</v>
      </c>
      <c r="BK67">
        <f t="shared" si="112"/>
        <v>70154.400000000009</v>
      </c>
      <c r="BL67">
        <f t="shared" si="112"/>
        <v>71726.100000000006</v>
      </c>
      <c r="BM67">
        <f t="shared" si="112"/>
        <v>73297.8</v>
      </c>
      <c r="BN67">
        <f t="shared" si="112"/>
        <v>74869.5</v>
      </c>
      <c r="BO67">
        <f t="shared" si="112"/>
        <v>76441.2</v>
      </c>
      <c r="BP67">
        <f t="shared" si="112"/>
        <v>78012.899999999994</v>
      </c>
      <c r="BQ67">
        <f t="shared" si="112"/>
        <v>79584.600000000006</v>
      </c>
      <c r="BR67">
        <f t="shared" si="112"/>
        <v>81156.3</v>
      </c>
      <c r="BS67">
        <f t="shared" ref="BS67:BT67" si="113">1571.7*BS63 + 5714.7</f>
        <v>82728</v>
      </c>
      <c r="BT67">
        <f t="shared" si="113"/>
        <v>84299.7</v>
      </c>
      <c r="BU67">
        <f t="shared" ref="BU67:DR67" si="114">1571.7*BU63 + 5714.7</f>
        <v>85871.4</v>
      </c>
      <c r="BV67">
        <f t="shared" si="114"/>
        <v>87443.1</v>
      </c>
      <c r="BW67">
        <f t="shared" si="114"/>
        <v>89014.8</v>
      </c>
      <c r="BX67">
        <f t="shared" si="114"/>
        <v>90586.5</v>
      </c>
      <c r="BY67">
        <f t="shared" si="114"/>
        <v>92158.2</v>
      </c>
      <c r="BZ67">
        <f t="shared" si="114"/>
        <v>93729.9</v>
      </c>
      <c r="CA67">
        <f t="shared" si="114"/>
        <v>95301.6</v>
      </c>
      <c r="CB67">
        <f t="shared" si="114"/>
        <v>96873.3</v>
      </c>
      <c r="CC67">
        <f t="shared" si="114"/>
        <v>98445</v>
      </c>
      <c r="CD67">
        <f t="shared" si="114"/>
        <v>100016.7</v>
      </c>
      <c r="CE67">
        <f t="shared" si="114"/>
        <v>101588.4</v>
      </c>
      <c r="CF67">
        <f t="shared" si="114"/>
        <v>103160.1</v>
      </c>
      <c r="CG67">
        <f t="shared" si="114"/>
        <v>104731.8</v>
      </c>
      <c r="CH67">
        <f t="shared" si="114"/>
        <v>106303.5</v>
      </c>
      <c r="CI67">
        <f t="shared" si="114"/>
        <v>107875.2</v>
      </c>
      <c r="CJ67">
        <f t="shared" si="114"/>
        <v>109446.9</v>
      </c>
      <c r="CK67">
        <f t="shared" si="114"/>
        <v>111018.6</v>
      </c>
      <c r="CL67">
        <f t="shared" si="114"/>
        <v>112590.3</v>
      </c>
      <c r="CM67">
        <f t="shared" si="114"/>
        <v>114162</v>
      </c>
      <c r="CN67">
        <f t="shared" si="114"/>
        <v>115733.7</v>
      </c>
      <c r="CO67">
        <f t="shared" si="114"/>
        <v>117305.4</v>
      </c>
      <c r="CP67">
        <f t="shared" si="114"/>
        <v>118877.1</v>
      </c>
      <c r="CQ67">
        <f t="shared" si="114"/>
        <v>120448.8</v>
      </c>
      <c r="CR67">
        <f t="shared" si="114"/>
        <v>122020.5</v>
      </c>
      <c r="CS67">
        <f t="shared" si="114"/>
        <v>123592.2</v>
      </c>
      <c r="CT67">
        <f t="shared" si="114"/>
        <v>125163.9</v>
      </c>
      <c r="CU67">
        <f t="shared" si="114"/>
        <v>126735.6</v>
      </c>
      <c r="CV67">
        <f t="shared" si="114"/>
        <v>128307.3</v>
      </c>
      <c r="CW67">
        <f t="shared" si="114"/>
        <v>129879</v>
      </c>
      <c r="CX67">
        <f t="shared" si="114"/>
        <v>131450.70000000001</v>
      </c>
      <c r="CY67">
        <f t="shared" si="114"/>
        <v>133022.39999999999</v>
      </c>
      <c r="CZ67">
        <f t="shared" si="114"/>
        <v>134594.1</v>
      </c>
      <c r="DA67">
        <f t="shared" si="114"/>
        <v>136165.80000000002</v>
      </c>
      <c r="DB67">
        <f t="shared" si="114"/>
        <v>137737.50000000003</v>
      </c>
      <c r="DC67">
        <f t="shared" si="114"/>
        <v>139309.20000000001</v>
      </c>
      <c r="DD67">
        <f t="shared" si="114"/>
        <v>140880.90000000002</v>
      </c>
      <c r="DE67">
        <f t="shared" si="114"/>
        <v>142452.6</v>
      </c>
      <c r="DF67">
        <f t="shared" si="114"/>
        <v>144024.30000000002</v>
      </c>
      <c r="DG67">
        <f t="shared" si="114"/>
        <v>145596.00000000003</v>
      </c>
      <c r="DH67">
        <f t="shared" si="114"/>
        <v>147167.70000000001</v>
      </c>
      <c r="DI67">
        <f t="shared" si="114"/>
        <v>148739.40000000002</v>
      </c>
      <c r="DJ67">
        <f t="shared" si="114"/>
        <v>150311.1</v>
      </c>
      <c r="DK67">
        <f t="shared" si="114"/>
        <v>151882.80000000002</v>
      </c>
      <c r="DL67">
        <f t="shared" si="114"/>
        <v>153454.50000000003</v>
      </c>
      <c r="DM67">
        <f t="shared" si="114"/>
        <v>155026.20000000001</v>
      </c>
      <c r="DN67">
        <f t="shared" si="114"/>
        <v>156597.90000000002</v>
      </c>
      <c r="DO67">
        <f t="shared" si="114"/>
        <v>158169.60000000001</v>
      </c>
      <c r="DP67">
        <f t="shared" si="114"/>
        <v>159741.30000000002</v>
      </c>
      <c r="DQ67">
        <f t="shared" si="114"/>
        <v>161313.00000000003</v>
      </c>
      <c r="DR67">
        <f t="shared" si="114"/>
        <v>162884.70000000001</v>
      </c>
    </row>
    <row r="68" spans="22:122" x14ac:dyDescent="0.25">
      <c r="V68" s="1" t="s">
        <v>714</v>
      </c>
      <c r="W68" s="54">
        <f>949.46*W63 + 4169.3</f>
        <v>5118.76</v>
      </c>
      <c r="X68" s="54">
        <f t="shared" ref="X68:AP68" si="115">949.46*X63 + 4169.3</f>
        <v>6068.22</v>
      </c>
      <c r="Y68" s="54">
        <f t="shared" si="115"/>
        <v>7017.68</v>
      </c>
      <c r="Z68" s="54">
        <f t="shared" si="115"/>
        <v>7967.14</v>
      </c>
      <c r="AA68" s="54">
        <f t="shared" si="115"/>
        <v>8916.6</v>
      </c>
      <c r="AB68" s="54">
        <f t="shared" si="115"/>
        <v>9866.0600000000013</v>
      </c>
      <c r="AC68" s="54">
        <f t="shared" si="115"/>
        <v>10815.52</v>
      </c>
      <c r="AD68" s="54">
        <f t="shared" si="115"/>
        <v>11764.98</v>
      </c>
      <c r="AE68" s="54">
        <f t="shared" si="115"/>
        <v>12714.439999999999</v>
      </c>
      <c r="AF68" s="54">
        <f t="shared" si="115"/>
        <v>13663.900000000001</v>
      </c>
      <c r="AG68" s="54">
        <f t="shared" si="115"/>
        <v>14613.36</v>
      </c>
      <c r="AH68" s="54">
        <f t="shared" si="115"/>
        <v>15562.82</v>
      </c>
      <c r="AI68" s="54">
        <f t="shared" si="115"/>
        <v>16512.28</v>
      </c>
      <c r="AJ68" s="54">
        <f t="shared" si="115"/>
        <v>17461.740000000002</v>
      </c>
      <c r="AK68" s="54">
        <f t="shared" si="115"/>
        <v>18411.2</v>
      </c>
      <c r="AL68" s="54">
        <f t="shared" si="115"/>
        <v>19360.66</v>
      </c>
      <c r="AM68" s="54">
        <f t="shared" si="115"/>
        <v>20310.12</v>
      </c>
      <c r="AN68" s="54">
        <f t="shared" si="115"/>
        <v>21259.579999999998</v>
      </c>
      <c r="AO68" s="54">
        <f t="shared" si="115"/>
        <v>22209.040000000001</v>
      </c>
      <c r="AP68" s="54">
        <f t="shared" si="115"/>
        <v>23158.5</v>
      </c>
      <c r="AQ68" s="54">
        <f t="shared" ref="AQ68:BR68" si="116">949.46*AQ63 + 4169.3</f>
        <v>24107.96</v>
      </c>
      <c r="AR68" s="54">
        <f t="shared" si="116"/>
        <v>25057.420000000002</v>
      </c>
      <c r="AS68" s="54">
        <f t="shared" si="116"/>
        <v>26006.880000000001</v>
      </c>
      <c r="AT68" s="54">
        <f t="shared" si="116"/>
        <v>26956.34</v>
      </c>
      <c r="AU68" s="54">
        <f t="shared" si="116"/>
        <v>27905.8</v>
      </c>
      <c r="AV68" s="54">
        <f t="shared" si="116"/>
        <v>28855.26</v>
      </c>
      <c r="AW68" s="54">
        <f t="shared" si="116"/>
        <v>29804.720000000001</v>
      </c>
      <c r="AX68" s="54">
        <f t="shared" si="116"/>
        <v>30754.18</v>
      </c>
      <c r="AY68" s="54">
        <f t="shared" si="116"/>
        <v>31703.64</v>
      </c>
      <c r="AZ68" s="54">
        <f t="shared" si="116"/>
        <v>32653.100000000002</v>
      </c>
      <c r="BA68" s="54">
        <f t="shared" si="116"/>
        <v>33602.560000000005</v>
      </c>
      <c r="BB68" s="54">
        <f t="shared" si="116"/>
        <v>34552.020000000004</v>
      </c>
      <c r="BC68" s="54">
        <f t="shared" si="116"/>
        <v>35501.480000000003</v>
      </c>
      <c r="BD68" s="54">
        <f t="shared" si="116"/>
        <v>36450.94</v>
      </c>
      <c r="BE68" s="54">
        <f t="shared" si="116"/>
        <v>37400.400000000001</v>
      </c>
      <c r="BF68" s="54">
        <f t="shared" si="116"/>
        <v>38349.86</v>
      </c>
      <c r="BG68" s="54">
        <f t="shared" si="116"/>
        <v>39299.320000000007</v>
      </c>
      <c r="BH68" s="54">
        <f t="shared" si="116"/>
        <v>40248.780000000006</v>
      </c>
      <c r="BI68" s="54">
        <f t="shared" si="116"/>
        <v>41198.240000000005</v>
      </c>
      <c r="BJ68" s="54">
        <f t="shared" si="116"/>
        <v>42147.700000000004</v>
      </c>
      <c r="BK68" s="54">
        <f t="shared" si="116"/>
        <v>43097.16</v>
      </c>
      <c r="BL68" s="54">
        <f t="shared" si="116"/>
        <v>44046.62</v>
      </c>
      <c r="BM68" s="54">
        <f t="shared" si="116"/>
        <v>44996.08</v>
      </c>
      <c r="BN68" s="54">
        <f t="shared" si="116"/>
        <v>45945.540000000008</v>
      </c>
      <c r="BO68" s="54">
        <f t="shared" si="116"/>
        <v>46895.000000000007</v>
      </c>
      <c r="BP68" s="54">
        <f t="shared" si="116"/>
        <v>47844.460000000006</v>
      </c>
      <c r="BQ68" s="54">
        <f t="shared" si="116"/>
        <v>48793.920000000006</v>
      </c>
      <c r="BR68" s="54">
        <f t="shared" si="116"/>
        <v>49743.380000000005</v>
      </c>
      <c r="BS68" s="54">
        <f t="shared" ref="BS68:BT68" si="117">949.46*BS63 + 4169.3</f>
        <v>50692.840000000004</v>
      </c>
      <c r="BT68" s="54">
        <f t="shared" si="117"/>
        <v>51642.3</v>
      </c>
      <c r="BU68" s="54">
        <f t="shared" ref="BU68:DR68" si="118">949.46*BU63 + 4169.3</f>
        <v>52591.76</v>
      </c>
      <c r="BV68" s="54">
        <f t="shared" si="118"/>
        <v>53541.22</v>
      </c>
      <c r="BW68" s="54">
        <f t="shared" si="118"/>
        <v>54490.680000000008</v>
      </c>
      <c r="BX68" s="54">
        <f t="shared" si="118"/>
        <v>55440.140000000007</v>
      </c>
      <c r="BY68" s="54">
        <f t="shared" si="118"/>
        <v>56389.600000000006</v>
      </c>
      <c r="BZ68" s="54">
        <f t="shared" si="118"/>
        <v>57339.060000000005</v>
      </c>
      <c r="CA68" s="54">
        <f t="shared" si="118"/>
        <v>58288.520000000004</v>
      </c>
      <c r="CB68" s="54">
        <f t="shared" si="118"/>
        <v>59237.98</v>
      </c>
      <c r="CC68" s="54">
        <f t="shared" si="118"/>
        <v>60187.44</v>
      </c>
      <c r="CD68" s="54">
        <f t="shared" si="118"/>
        <v>61136.900000000009</v>
      </c>
      <c r="CE68" s="54">
        <f t="shared" si="118"/>
        <v>62086.360000000008</v>
      </c>
      <c r="CF68" s="54">
        <f t="shared" si="118"/>
        <v>63035.820000000007</v>
      </c>
      <c r="CG68" s="54">
        <f t="shared" si="118"/>
        <v>63985.280000000006</v>
      </c>
      <c r="CH68" s="54">
        <f t="shared" si="118"/>
        <v>64934.740000000005</v>
      </c>
      <c r="CI68" s="54">
        <f t="shared" si="118"/>
        <v>65884.2</v>
      </c>
      <c r="CJ68" s="54">
        <f t="shared" si="118"/>
        <v>66833.66</v>
      </c>
      <c r="CK68" s="54">
        <f t="shared" si="118"/>
        <v>67783.12</v>
      </c>
      <c r="CL68" s="54">
        <f t="shared" si="118"/>
        <v>68732.58</v>
      </c>
      <c r="CM68" s="54">
        <f t="shared" si="118"/>
        <v>69682.040000000008</v>
      </c>
      <c r="CN68" s="54">
        <f t="shared" si="118"/>
        <v>70631.5</v>
      </c>
      <c r="CO68" s="54">
        <f t="shared" si="118"/>
        <v>71580.960000000006</v>
      </c>
      <c r="CP68" s="54">
        <f t="shared" si="118"/>
        <v>72530.42</v>
      </c>
      <c r="CQ68" s="54">
        <f t="shared" si="118"/>
        <v>73479.88</v>
      </c>
      <c r="CR68" s="54">
        <f t="shared" si="118"/>
        <v>74429.340000000011</v>
      </c>
      <c r="CS68" s="54">
        <f t="shared" si="118"/>
        <v>75378.8</v>
      </c>
      <c r="CT68" s="54">
        <f t="shared" si="118"/>
        <v>76328.260000000009</v>
      </c>
      <c r="CU68" s="54">
        <f t="shared" si="118"/>
        <v>77277.72</v>
      </c>
      <c r="CV68" s="54">
        <f t="shared" si="118"/>
        <v>78227.180000000008</v>
      </c>
      <c r="CW68" s="54">
        <f t="shared" si="118"/>
        <v>79176.639999999999</v>
      </c>
      <c r="CX68" s="54">
        <f t="shared" si="118"/>
        <v>80126.100000000006</v>
      </c>
      <c r="CY68" s="54">
        <f t="shared" si="118"/>
        <v>81075.560000000012</v>
      </c>
      <c r="CZ68" s="54">
        <f t="shared" si="118"/>
        <v>82025.02</v>
      </c>
      <c r="DA68" s="54">
        <f t="shared" si="118"/>
        <v>82974.48000000001</v>
      </c>
      <c r="DB68" s="54">
        <f t="shared" si="118"/>
        <v>83923.94</v>
      </c>
      <c r="DC68" s="54">
        <f t="shared" si="118"/>
        <v>84873.400000000009</v>
      </c>
      <c r="DD68" s="54">
        <f t="shared" si="118"/>
        <v>85822.86</v>
      </c>
      <c r="DE68" s="54">
        <f t="shared" si="118"/>
        <v>86772.32</v>
      </c>
      <c r="DF68" s="54">
        <f t="shared" si="118"/>
        <v>87721.780000000013</v>
      </c>
      <c r="DG68" s="54">
        <f t="shared" si="118"/>
        <v>88671.24</v>
      </c>
      <c r="DH68" s="54">
        <f t="shared" si="118"/>
        <v>89620.700000000012</v>
      </c>
      <c r="DI68" s="54">
        <f t="shared" si="118"/>
        <v>90570.16</v>
      </c>
      <c r="DJ68" s="54">
        <f t="shared" si="118"/>
        <v>91519.62000000001</v>
      </c>
      <c r="DK68" s="54">
        <f t="shared" si="118"/>
        <v>92469.08</v>
      </c>
      <c r="DL68" s="54">
        <f t="shared" si="118"/>
        <v>93418.540000000008</v>
      </c>
      <c r="DM68" s="54">
        <f t="shared" si="118"/>
        <v>94368</v>
      </c>
      <c r="DN68" s="54">
        <f t="shared" si="118"/>
        <v>95317.46</v>
      </c>
      <c r="DO68" s="54">
        <f t="shared" si="118"/>
        <v>96266.920000000013</v>
      </c>
      <c r="DP68" s="54">
        <f t="shared" si="118"/>
        <v>97216.38</v>
      </c>
      <c r="DQ68" s="54">
        <f t="shared" si="118"/>
        <v>98165.840000000011</v>
      </c>
      <c r="DR68" s="54">
        <f t="shared" si="118"/>
        <v>99115.3</v>
      </c>
    </row>
    <row r="69" spans="22:122" x14ac:dyDescent="0.25">
      <c r="V69" s="1" t="s">
        <v>715</v>
      </c>
      <c r="W69" s="1">
        <f>300.88*W63 + 5095.9</f>
        <v>5396.78</v>
      </c>
      <c r="X69" s="1">
        <f t="shared" ref="X69:AP69" si="119">300.88*X63 + 5095.9</f>
        <v>5697.66</v>
      </c>
      <c r="Y69" s="1">
        <f t="shared" si="119"/>
        <v>5998.54</v>
      </c>
      <c r="Z69" s="1">
        <f t="shared" si="119"/>
        <v>6299.42</v>
      </c>
      <c r="AA69" s="1">
        <f t="shared" si="119"/>
        <v>6600.2999999999993</v>
      </c>
      <c r="AB69" s="1">
        <f t="shared" si="119"/>
        <v>6901.1799999999994</v>
      </c>
      <c r="AC69" s="1">
        <f t="shared" si="119"/>
        <v>7202.0599999999995</v>
      </c>
      <c r="AD69" s="1">
        <f t="shared" si="119"/>
        <v>7502.94</v>
      </c>
      <c r="AE69" s="1">
        <f t="shared" si="119"/>
        <v>7803.82</v>
      </c>
      <c r="AF69" s="1">
        <f t="shared" si="119"/>
        <v>8104.7</v>
      </c>
      <c r="AG69" s="1">
        <f t="shared" si="119"/>
        <v>8405.58</v>
      </c>
      <c r="AH69" s="1">
        <f t="shared" si="119"/>
        <v>8706.4599999999991</v>
      </c>
      <c r="AI69" s="1">
        <f t="shared" si="119"/>
        <v>9007.34</v>
      </c>
      <c r="AJ69" s="1">
        <f t="shared" si="119"/>
        <v>9308.2199999999993</v>
      </c>
      <c r="AK69" s="1">
        <f t="shared" si="119"/>
        <v>9609.0999999999985</v>
      </c>
      <c r="AL69" s="1">
        <f t="shared" si="119"/>
        <v>9909.98</v>
      </c>
      <c r="AM69" s="1">
        <f t="shared" si="119"/>
        <v>10210.86</v>
      </c>
      <c r="AN69" s="1">
        <f t="shared" si="119"/>
        <v>10511.74</v>
      </c>
      <c r="AO69" s="1">
        <f t="shared" si="119"/>
        <v>10812.619999999999</v>
      </c>
      <c r="AP69" s="1">
        <f t="shared" si="119"/>
        <v>11113.5</v>
      </c>
      <c r="AQ69" s="1">
        <f t="shared" ref="AQ69:BR69" si="120">300.88*AQ63 + 5095.9</f>
        <v>11414.38</v>
      </c>
      <c r="AR69" s="1">
        <f t="shared" si="120"/>
        <v>11715.259999999998</v>
      </c>
      <c r="AS69" s="1">
        <f t="shared" si="120"/>
        <v>12016.14</v>
      </c>
      <c r="AT69" s="1">
        <f t="shared" si="120"/>
        <v>12317.02</v>
      </c>
      <c r="AU69" s="1">
        <f t="shared" si="120"/>
        <v>12617.9</v>
      </c>
      <c r="AV69" s="1">
        <f t="shared" si="120"/>
        <v>12918.779999999999</v>
      </c>
      <c r="AW69" s="1">
        <f t="shared" si="120"/>
        <v>13219.66</v>
      </c>
      <c r="AX69" s="1">
        <f t="shared" si="120"/>
        <v>13520.539999999999</v>
      </c>
      <c r="AY69" s="1">
        <f t="shared" si="120"/>
        <v>13821.42</v>
      </c>
      <c r="AZ69" s="1">
        <f t="shared" si="120"/>
        <v>14122.3</v>
      </c>
      <c r="BA69" s="1">
        <f t="shared" si="120"/>
        <v>14423.18</v>
      </c>
      <c r="BB69" s="1">
        <f t="shared" si="120"/>
        <v>14724.06</v>
      </c>
      <c r="BC69" s="1">
        <f t="shared" si="120"/>
        <v>15024.939999999999</v>
      </c>
      <c r="BD69" s="1">
        <f t="shared" si="120"/>
        <v>15325.82</v>
      </c>
      <c r="BE69" s="1">
        <f t="shared" si="120"/>
        <v>15626.699999999999</v>
      </c>
      <c r="BF69" s="1">
        <f t="shared" si="120"/>
        <v>15927.58</v>
      </c>
      <c r="BG69" s="1">
        <f t="shared" si="120"/>
        <v>16228.46</v>
      </c>
      <c r="BH69" s="1">
        <f t="shared" si="120"/>
        <v>16529.34</v>
      </c>
      <c r="BI69" s="1">
        <f t="shared" si="120"/>
        <v>16830.22</v>
      </c>
      <c r="BJ69" s="1">
        <f t="shared" si="120"/>
        <v>17131.099999999999</v>
      </c>
      <c r="BK69" s="1">
        <f t="shared" si="120"/>
        <v>17431.98</v>
      </c>
      <c r="BL69" s="1">
        <f t="shared" si="120"/>
        <v>17732.86</v>
      </c>
      <c r="BM69" s="1">
        <f t="shared" si="120"/>
        <v>18033.739999999998</v>
      </c>
      <c r="BN69" s="1">
        <f t="shared" si="120"/>
        <v>18334.62</v>
      </c>
      <c r="BO69" s="1">
        <f t="shared" si="120"/>
        <v>18635.5</v>
      </c>
      <c r="BP69" s="1">
        <f t="shared" si="120"/>
        <v>18936.379999999997</v>
      </c>
      <c r="BQ69" s="1">
        <f t="shared" si="120"/>
        <v>19237.260000000002</v>
      </c>
      <c r="BR69" s="1">
        <f t="shared" si="120"/>
        <v>19538.14</v>
      </c>
      <c r="BS69" s="1">
        <f t="shared" ref="BS69:BT69" si="121">300.88*BS63 + 5095.9</f>
        <v>19839.019999999997</v>
      </c>
      <c r="BT69" s="1">
        <f t="shared" si="121"/>
        <v>20139.900000000001</v>
      </c>
      <c r="BU69" s="1">
        <f t="shared" ref="BU69:DR69" si="122">300.88*BU63 + 5095.9</f>
        <v>20440.78</v>
      </c>
      <c r="BV69" s="1">
        <f t="shared" si="122"/>
        <v>20741.66</v>
      </c>
      <c r="BW69" s="1">
        <f t="shared" si="122"/>
        <v>21042.54</v>
      </c>
      <c r="BX69" s="1">
        <f t="shared" si="122"/>
        <v>21343.42</v>
      </c>
      <c r="BY69" s="1">
        <f t="shared" si="122"/>
        <v>21644.300000000003</v>
      </c>
      <c r="BZ69" s="1">
        <f t="shared" si="122"/>
        <v>21945.18</v>
      </c>
      <c r="CA69" s="1">
        <f t="shared" si="122"/>
        <v>22246.059999999998</v>
      </c>
      <c r="CB69" s="1">
        <f t="shared" si="122"/>
        <v>22546.940000000002</v>
      </c>
      <c r="CC69" s="1">
        <f t="shared" si="122"/>
        <v>22847.82</v>
      </c>
      <c r="CD69" s="1">
        <f t="shared" si="122"/>
        <v>23148.699999999997</v>
      </c>
      <c r="CE69" s="1">
        <f t="shared" si="122"/>
        <v>23449.58</v>
      </c>
      <c r="CF69" s="1">
        <f t="shared" si="122"/>
        <v>23750.46</v>
      </c>
      <c r="CG69" s="1">
        <f t="shared" si="122"/>
        <v>24051.339999999997</v>
      </c>
      <c r="CH69" s="1">
        <f t="shared" si="122"/>
        <v>24352.22</v>
      </c>
      <c r="CI69" s="1">
        <f t="shared" si="122"/>
        <v>24653.1</v>
      </c>
      <c r="CJ69" s="1">
        <f t="shared" si="122"/>
        <v>24953.979999999996</v>
      </c>
      <c r="CK69" s="1">
        <f t="shared" si="122"/>
        <v>25254.86</v>
      </c>
      <c r="CL69" s="1">
        <f t="shared" si="122"/>
        <v>25555.739999999998</v>
      </c>
      <c r="CM69" s="1">
        <f t="shared" si="122"/>
        <v>25856.620000000003</v>
      </c>
      <c r="CN69" s="1">
        <f t="shared" si="122"/>
        <v>26157.5</v>
      </c>
      <c r="CO69" s="1">
        <f t="shared" si="122"/>
        <v>26458.379999999997</v>
      </c>
      <c r="CP69" s="1">
        <f t="shared" si="122"/>
        <v>26759.260000000002</v>
      </c>
      <c r="CQ69" s="1">
        <f t="shared" si="122"/>
        <v>27060.14</v>
      </c>
      <c r="CR69" s="1">
        <f t="shared" si="122"/>
        <v>27361.019999999997</v>
      </c>
      <c r="CS69" s="1">
        <f t="shared" si="122"/>
        <v>27661.9</v>
      </c>
      <c r="CT69" s="1">
        <f t="shared" si="122"/>
        <v>27962.78</v>
      </c>
      <c r="CU69" s="1">
        <f t="shared" si="122"/>
        <v>28263.659999999996</v>
      </c>
      <c r="CV69" s="1">
        <f t="shared" si="122"/>
        <v>28564.54</v>
      </c>
      <c r="CW69" s="1">
        <f t="shared" si="122"/>
        <v>28865.42</v>
      </c>
      <c r="CX69" s="1">
        <f t="shared" si="122"/>
        <v>29166.300000000003</v>
      </c>
      <c r="CY69" s="1">
        <f t="shared" si="122"/>
        <v>29467.18</v>
      </c>
      <c r="CZ69" s="1">
        <f t="shared" si="122"/>
        <v>29768.059999999998</v>
      </c>
      <c r="DA69" s="1">
        <f t="shared" si="122"/>
        <v>30068.940000000002</v>
      </c>
      <c r="DB69" s="1">
        <f t="shared" si="122"/>
        <v>30369.82</v>
      </c>
      <c r="DC69" s="1">
        <f t="shared" si="122"/>
        <v>30670.699999999997</v>
      </c>
      <c r="DD69" s="1">
        <f t="shared" si="122"/>
        <v>30971.58</v>
      </c>
      <c r="DE69" s="1">
        <f t="shared" si="122"/>
        <v>31272.46</v>
      </c>
      <c r="DF69" s="1">
        <f t="shared" si="122"/>
        <v>31573.339999999997</v>
      </c>
      <c r="DG69" s="1">
        <f t="shared" si="122"/>
        <v>31874.22</v>
      </c>
      <c r="DH69" s="1">
        <f t="shared" si="122"/>
        <v>32175.1</v>
      </c>
      <c r="DI69" s="1">
        <f t="shared" si="122"/>
        <v>32475.979999999996</v>
      </c>
      <c r="DJ69" s="1">
        <f t="shared" si="122"/>
        <v>32776.86</v>
      </c>
      <c r="DK69" s="1">
        <f t="shared" si="122"/>
        <v>33077.74</v>
      </c>
      <c r="DL69" s="1">
        <f t="shared" si="122"/>
        <v>33378.620000000003</v>
      </c>
      <c r="DM69" s="1">
        <f t="shared" si="122"/>
        <v>33679.5</v>
      </c>
      <c r="DN69" s="1">
        <f t="shared" si="122"/>
        <v>33980.379999999997</v>
      </c>
      <c r="DO69" s="1">
        <f t="shared" si="122"/>
        <v>34281.26</v>
      </c>
      <c r="DP69" s="1">
        <f t="shared" si="122"/>
        <v>34582.14</v>
      </c>
      <c r="DQ69" s="1">
        <f t="shared" si="122"/>
        <v>34883.019999999997</v>
      </c>
      <c r="DR69" s="1">
        <f t="shared" si="122"/>
        <v>35183.9</v>
      </c>
    </row>
    <row r="70" spans="22:122" x14ac:dyDescent="0.25">
      <c r="V70" s="1" t="s">
        <v>705</v>
      </c>
      <c r="W70" s="54">
        <f>107.59*W63 + 6672.7</f>
        <v>6780.29</v>
      </c>
      <c r="X70" s="54">
        <f t="shared" ref="X70:AP70" si="123">107.59*X63 + 6672.7</f>
        <v>6887.88</v>
      </c>
      <c r="Y70" s="54">
        <f t="shared" si="123"/>
        <v>6995.4699999999993</v>
      </c>
      <c r="Z70" s="54">
        <f t="shared" si="123"/>
        <v>7103.0599999999995</v>
      </c>
      <c r="AA70" s="54">
        <f t="shared" si="123"/>
        <v>7210.65</v>
      </c>
      <c r="AB70" s="54">
        <f t="shared" si="123"/>
        <v>7318.24</v>
      </c>
      <c r="AC70" s="54">
        <f t="shared" si="123"/>
        <v>7425.83</v>
      </c>
      <c r="AD70" s="54">
        <f t="shared" si="123"/>
        <v>7533.42</v>
      </c>
      <c r="AE70" s="54">
        <f t="shared" si="123"/>
        <v>7641.01</v>
      </c>
      <c r="AF70" s="54">
        <f t="shared" si="123"/>
        <v>7748.6</v>
      </c>
      <c r="AG70" s="54">
        <f t="shared" si="123"/>
        <v>7856.19</v>
      </c>
      <c r="AH70" s="54">
        <f t="shared" si="123"/>
        <v>7963.78</v>
      </c>
      <c r="AI70" s="54">
        <f t="shared" si="123"/>
        <v>8071.37</v>
      </c>
      <c r="AJ70" s="54">
        <f t="shared" si="123"/>
        <v>8178.96</v>
      </c>
      <c r="AK70" s="54">
        <f t="shared" si="123"/>
        <v>8286.5499999999993</v>
      </c>
      <c r="AL70" s="54">
        <f t="shared" si="123"/>
        <v>8394.14</v>
      </c>
      <c r="AM70" s="54">
        <f t="shared" si="123"/>
        <v>8501.73</v>
      </c>
      <c r="AN70" s="54">
        <f t="shared" si="123"/>
        <v>8609.32</v>
      </c>
      <c r="AO70" s="54">
        <f t="shared" si="123"/>
        <v>8716.91</v>
      </c>
      <c r="AP70" s="54">
        <f t="shared" si="123"/>
        <v>8824.5</v>
      </c>
      <c r="AQ70" s="54">
        <f t="shared" ref="AQ70:BR70" si="124">107.59*AQ63 + 6672.7</f>
        <v>8932.09</v>
      </c>
      <c r="AR70" s="54">
        <f t="shared" si="124"/>
        <v>9039.68</v>
      </c>
      <c r="AS70" s="54">
        <f t="shared" si="124"/>
        <v>9147.27</v>
      </c>
      <c r="AT70" s="54">
        <f t="shared" si="124"/>
        <v>9254.86</v>
      </c>
      <c r="AU70" s="54">
        <f t="shared" si="124"/>
        <v>9362.4500000000007</v>
      </c>
      <c r="AV70" s="54">
        <f t="shared" si="124"/>
        <v>9470.0400000000009</v>
      </c>
      <c r="AW70" s="54">
        <f t="shared" si="124"/>
        <v>9577.630000000001</v>
      </c>
      <c r="AX70" s="54">
        <f t="shared" si="124"/>
        <v>9685.2199999999993</v>
      </c>
      <c r="AY70" s="54">
        <f t="shared" si="124"/>
        <v>9792.81</v>
      </c>
      <c r="AZ70" s="54">
        <f t="shared" si="124"/>
        <v>9900.4</v>
      </c>
      <c r="BA70" s="54">
        <f t="shared" si="124"/>
        <v>10007.99</v>
      </c>
      <c r="BB70" s="54">
        <f t="shared" si="124"/>
        <v>10115.58</v>
      </c>
      <c r="BC70" s="54">
        <f t="shared" si="124"/>
        <v>10223.17</v>
      </c>
      <c r="BD70" s="54">
        <f t="shared" si="124"/>
        <v>10330.76</v>
      </c>
      <c r="BE70" s="54">
        <f t="shared" si="124"/>
        <v>10438.35</v>
      </c>
      <c r="BF70" s="54">
        <f t="shared" si="124"/>
        <v>10545.94</v>
      </c>
      <c r="BG70" s="54">
        <f t="shared" si="124"/>
        <v>10653.529999999999</v>
      </c>
      <c r="BH70" s="54">
        <f t="shared" si="124"/>
        <v>10761.119999999999</v>
      </c>
      <c r="BI70" s="54">
        <f t="shared" si="124"/>
        <v>10868.71</v>
      </c>
      <c r="BJ70" s="54">
        <f t="shared" si="124"/>
        <v>10976.3</v>
      </c>
      <c r="BK70" s="54">
        <f t="shared" si="124"/>
        <v>11083.89</v>
      </c>
      <c r="BL70" s="54">
        <f t="shared" si="124"/>
        <v>11191.48</v>
      </c>
      <c r="BM70" s="54">
        <f t="shared" si="124"/>
        <v>11299.07</v>
      </c>
      <c r="BN70" s="54">
        <f t="shared" si="124"/>
        <v>11406.66</v>
      </c>
      <c r="BO70" s="54">
        <f t="shared" si="124"/>
        <v>11514.25</v>
      </c>
      <c r="BP70" s="54">
        <f t="shared" si="124"/>
        <v>11621.84</v>
      </c>
      <c r="BQ70" s="54">
        <f t="shared" si="124"/>
        <v>11729.43</v>
      </c>
      <c r="BR70" s="54">
        <f t="shared" si="124"/>
        <v>11837.02</v>
      </c>
      <c r="BS70" s="54">
        <f t="shared" ref="BS70:BT70" si="125">107.59*BS63 + 6672.7</f>
        <v>11944.61</v>
      </c>
      <c r="BT70" s="54">
        <f t="shared" si="125"/>
        <v>12052.2</v>
      </c>
      <c r="BU70" s="54">
        <f t="shared" ref="BU70:DR70" si="126">107.59*BU63 + 6672.7</f>
        <v>12159.79</v>
      </c>
      <c r="BV70" s="54">
        <f t="shared" si="126"/>
        <v>12267.380000000001</v>
      </c>
      <c r="BW70" s="54">
        <f t="shared" si="126"/>
        <v>12374.970000000001</v>
      </c>
      <c r="BX70" s="54">
        <f t="shared" si="126"/>
        <v>12482.560000000001</v>
      </c>
      <c r="BY70" s="54">
        <f t="shared" si="126"/>
        <v>12590.15</v>
      </c>
      <c r="BZ70" s="54">
        <f t="shared" si="126"/>
        <v>12697.74</v>
      </c>
      <c r="CA70" s="54">
        <f t="shared" si="126"/>
        <v>12805.33</v>
      </c>
      <c r="CB70" s="54">
        <f t="shared" si="126"/>
        <v>12912.92</v>
      </c>
      <c r="CC70" s="54">
        <f t="shared" si="126"/>
        <v>13020.51</v>
      </c>
      <c r="CD70" s="54">
        <f t="shared" si="126"/>
        <v>13128.1</v>
      </c>
      <c r="CE70" s="54">
        <f t="shared" si="126"/>
        <v>13235.689999999999</v>
      </c>
      <c r="CF70" s="54">
        <f t="shared" si="126"/>
        <v>13343.279999999999</v>
      </c>
      <c r="CG70" s="54">
        <f t="shared" si="126"/>
        <v>13450.869999999999</v>
      </c>
      <c r="CH70" s="54">
        <f t="shared" si="126"/>
        <v>13558.46</v>
      </c>
      <c r="CI70" s="54">
        <f t="shared" si="126"/>
        <v>13666.05</v>
      </c>
      <c r="CJ70" s="54">
        <f t="shared" si="126"/>
        <v>13773.64</v>
      </c>
      <c r="CK70" s="54">
        <f t="shared" si="126"/>
        <v>13881.23</v>
      </c>
      <c r="CL70" s="54">
        <f t="shared" si="126"/>
        <v>13988.82</v>
      </c>
      <c r="CM70" s="54">
        <f t="shared" si="126"/>
        <v>14096.41</v>
      </c>
      <c r="CN70" s="54">
        <f t="shared" si="126"/>
        <v>14204</v>
      </c>
      <c r="CO70" s="54">
        <f t="shared" si="126"/>
        <v>14311.59</v>
      </c>
      <c r="CP70" s="54">
        <f t="shared" si="126"/>
        <v>14419.18</v>
      </c>
      <c r="CQ70" s="54">
        <f t="shared" si="126"/>
        <v>14526.77</v>
      </c>
      <c r="CR70" s="54">
        <f t="shared" si="126"/>
        <v>14634.36</v>
      </c>
      <c r="CS70" s="54">
        <f t="shared" si="126"/>
        <v>14741.95</v>
      </c>
      <c r="CT70" s="54">
        <f t="shared" si="126"/>
        <v>14849.54</v>
      </c>
      <c r="CU70" s="54">
        <f t="shared" si="126"/>
        <v>14957.130000000001</v>
      </c>
      <c r="CV70" s="54">
        <f t="shared" si="126"/>
        <v>15064.720000000001</v>
      </c>
      <c r="CW70" s="54">
        <f t="shared" si="126"/>
        <v>15172.310000000001</v>
      </c>
      <c r="CX70" s="54">
        <f t="shared" si="126"/>
        <v>15279.900000000001</v>
      </c>
      <c r="CY70" s="54">
        <f t="shared" si="126"/>
        <v>15387.490000000002</v>
      </c>
      <c r="CZ70" s="54">
        <f t="shared" si="126"/>
        <v>15495.080000000002</v>
      </c>
      <c r="DA70" s="54">
        <f t="shared" si="126"/>
        <v>15602.670000000002</v>
      </c>
      <c r="DB70" s="54">
        <f t="shared" si="126"/>
        <v>15710.259999999998</v>
      </c>
      <c r="DC70" s="54">
        <f t="shared" si="126"/>
        <v>15817.849999999999</v>
      </c>
      <c r="DD70" s="54">
        <f t="shared" si="126"/>
        <v>15925.439999999999</v>
      </c>
      <c r="DE70" s="54">
        <f t="shared" si="126"/>
        <v>16033.029999999999</v>
      </c>
      <c r="DF70" s="54">
        <f t="shared" si="126"/>
        <v>16140.619999999999</v>
      </c>
      <c r="DG70" s="54">
        <f t="shared" si="126"/>
        <v>16248.21</v>
      </c>
      <c r="DH70" s="54">
        <f t="shared" si="126"/>
        <v>16355.8</v>
      </c>
      <c r="DI70" s="54">
        <f t="shared" si="126"/>
        <v>16463.39</v>
      </c>
      <c r="DJ70" s="54">
        <f t="shared" si="126"/>
        <v>16570.98</v>
      </c>
      <c r="DK70" s="54">
        <f t="shared" si="126"/>
        <v>16678.57</v>
      </c>
      <c r="DL70" s="54">
        <f t="shared" si="126"/>
        <v>16786.16</v>
      </c>
      <c r="DM70" s="54">
        <f t="shared" si="126"/>
        <v>16893.75</v>
      </c>
      <c r="DN70" s="54">
        <f t="shared" si="126"/>
        <v>17001.34</v>
      </c>
      <c r="DO70" s="54">
        <f t="shared" si="126"/>
        <v>17108.93</v>
      </c>
      <c r="DP70" s="54">
        <f t="shared" si="126"/>
        <v>17216.52</v>
      </c>
      <c r="DQ70" s="54">
        <f t="shared" si="126"/>
        <v>17324.11</v>
      </c>
      <c r="DR70" s="54">
        <f t="shared" si="126"/>
        <v>17431.7</v>
      </c>
    </row>
    <row r="71" spans="22:122" x14ac:dyDescent="0.25">
      <c r="V71" s="1" t="s">
        <v>521</v>
      </c>
      <c r="W71" s="1">
        <f xml:space="preserve"> 2003.1*W63 - 1471.5</f>
        <v>531.59999999999991</v>
      </c>
      <c r="X71" s="1">
        <f t="shared" ref="X71:AP71" si="127" xml:space="preserve"> 2003.1*X63 - 1471.5</f>
        <v>2534.6999999999998</v>
      </c>
      <c r="Y71" s="1">
        <f t="shared" si="127"/>
        <v>4537.7999999999993</v>
      </c>
      <c r="Z71" s="1">
        <f t="shared" si="127"/>
        <v>6540.9</v>
      </c>
      <c r="AA71" s="1">
        <f t="shared" si="127"/>
        <v>8544</v>
      </c>
      <c r="AB71" s="1">
        <f t="shared" si="127"/>
        <v>10547.099999999999</v>
      </c>
      <c r="AC71" s="1">
        <f t="shared" si="127"/>
        <v>12550.199999999999</v>
      </c>
      <c r="AD71" s="1">
        <f t="shared" si="127"/>
        <v>14553.3</v>
      </c>
      <c r="AE71" s="1">
        <f t="shared" si="127"/>
        <v>16556.399999999998</v>
      </c>
      <c r="AF71" s="1">
        <f t="shared" si="127"/>
        <v>18559.5</v>
      </c>
      <c r="AG71" s="1">
        <f t="shared" si="127"/>
        <v>20562.599999999999</v>
      </c>
      <c r="AH71" s="1">
        <f t="shared" si="127"/>
        <v>22565.699999999997</v>
      </c>
      <c r="AI71" s="1">
        <f t="shared" si="127"/>
        <v>24568.799999999999</v>
      </c>
      <c r="AJ71" s="1">
        <f t="shared" si="127"/>
        <v>26571.899999999998</v>
      </c>
      <c r="AK71" s="1">
        <f t="shared" si="127"/>
        <v>28575</v>
      </c>
      <c r="AL71" s="1">
        <f t="shared" si="127"/>
        <v>30578.1</v>
      </c>
      <c r="AM71" s="1">
        <f t="shared" si="127"/>
        <v>32581.199999999997</v>
      </c>
      <c r="AN71" s="1">
        <f t="shared" si="127"/>
        <v>34584.299999999996</v>
      </c>
      <c r="AO71" s="1">
        <f t="shared" si="127"/>
        <v>36587.4</v>
      </c>
      <c r="AP71" s="1">
        <f t="shared" si="127"/>
        <v>38590.5</v>
      </c>
      <c r="AQ71" s="1">
        <f t="shared" ref="AQ71:BR71" si="128" xml:space="preserve"> 2003.1*AQ63 - 1471.5</f>
        <v>40593.599999999999</v>
      </c>
      <c r="AR71" s="1">
        <f t="shared" si="128"/>
        <v>42596.7</v>
      </c>
      <c r="AS71" s="1">
        <f t="shared" si="128"/>
        <v>44599.799999999996</v>
      </c>
      <c r="AT71" s="1">
        <f t="shared" si="128"/>
        <v>46602.899999999994</v>
      </c>
      <c r="AU71" s="1">
        <f t="shared" si="128"/>
        <v>48606</v>
      </c>
      <c r="AV71" s="1">
        <f t="shared" si="128"/>
        <v>50609.1</v>
      </c>
      <c r="AW71" s="1">
        <f t="shared" si="128"/>
        <v>52612.2</v>
      </c>
      <c r="AX71" s="1">
        <f t="shared" si="128"/>
        <v>54615.299999999996</v>
      </c>
      <c r="AY71" s="1">
        <f t="shared" si="128"/>
        <v>56618.399999999994</v>
      </c>
      <c r="AZ71" s="1">
        <f t="shared" si="128"/>
        <v>58621.5</v>
      </c>
      <c r="BA71" s="1">
        <f t="shared" si="128"/>
        <v>60624.6</v>
      </c>
      <c r="BB71" s="1">
        <f t="shared" si="128"/>
        <v>62627.7</v>
      </c>
      <c r="BC71" s="1">
        <f t="shared" si="128"/>
        <v>64630.8</v>
      </c>
      <c r="BD71" s="1">
        <f t="shared" si="128"/>
        <v>66633.899999999994</v>
      </c>
      <c r="BE71" s="1">
        <f t="shared" si="128"/>
        <v>68637</v>
      </c>
      <c r="BF71" s="1">
        <f t="shared" si="128"/>
        <v>70640.099999999991</v>
      </c>
      <c r="BG71" s="1">
        <f t="shared" si="128"/>
        <v>72643.199999999997</v>
      </c>
      <c r="BH71" s="1">
        <f t="shared" si="128"/>
        <v>74646.3</v>
      </c>
      <c r="BI71" s="1">
        <f t="shared" si="128"/>
        <v>76649.399999999994</v>
      </c>
      <c r="BJ71" s="1">
        <f t="shared" si="128"/>
        <v>78652.5</v>
      </c>
      <c r="BK71" s="1">
        <f t="shared" si="128"/>
        <v>80655.599999999991</v>
      </c>
      <c r="BL71" s="1">
        <f t="shared" si="128"/>
        <v>82658.7</v>
      </c>
      <c r="BM71" s="1">
        <f t="shared" si="128"/>
        <v>84661.8</v>
      </c>
      <c r="BN71" s="1">
        <f t="shared" si="128"/>
        <v>86664.9</v>
      </c>
      <c r="BO71" s="1">
        <f t="shared" si="128"/>
        <v>88668</v>
      </c>
      <c r="BP71" s="1">
        <f t="shared" si="128"/>
        <v>90671.099999999991</v>
      </c>
      <c r="BQ71" s="1">
        <f t="shared" si="128"/>
        <v>92674.2</v>
      </c>
      <c r="BR71" s="1">
        <f t="shared" si="128"/>
        <v>94677.299999999988</v>
      </c>
      <c r="BS71" s="1">
        <f t="shared" ref="BS71:BT71" si="129" xml:space="preserve"> 2003.1*BS63 - 1471.5</f>
        <v>96680.4</v>
      </c>
      <c r="BT71" s="1">
        <f t="shared" si="129"/>
        <v>98683.5</v>
      </c>
      <c r="BU71" s="1">
        <f t="shared" ref="BU71:DR71" si="130" xml:space="preserve"> 2003.1*BU63 - 1471.5</f>
        <v>100686.59999999999</v>
      </c>
      <c r="BV71" s="1">
        <f t="shared" si="130"/>
        <v>102689.7</v>
      </c>
      <c r="BW71" s="1">
        <f t="shared" si="130"/>
        <v>104692.79999999999</v>
      </c>
      <c r="BX71" s="1">
        <f t="shared" si="130"/>
        <v>106695.9</v>
      </c>
      <c r="BY71" s="1">
        <f t="shared" si="130"/>
        <v>108699</v>
      </c>
      <c r="BZ71" s="1">
        <f t="shared" si="130"/>
        <v>110702.09999999999</v>
      </c>
      <c r="CA71" s="1">
        <f t="shared" si="130"/>
        <v>112705.2</v>
      </c>
      <c r="CB71" s="1">
        <f t="shared" si="130"/>
        <v>114708.29999999999</v>
      </c>
      <c r="CC71" s="1">
        <f t="shared" si="130"/>
        <v>116711.4</v>
      </c>
      <c r="CD71" s="1">
        <f t="shared" si="130"/>
        <v>118714.5</v>
      </c>
      <c r="CE71" s="1">
        <f t="shared" si="130"/>
        <v>120717.59999999999</v>
      </c>
      <c r="CF71" s="1">
        <f t="shared" si="130"/>
        <v>122720.7</v>
      </c>
      <c r="CG71" s="1">
        <f t="shared" si="130"/>
        <v>124723.79999999999</v>
      </c>
      <c r="CH71" s="1">
        <f t="shared" si="130"/>
        <v>126726.9</v>
      </c>
      <c r="CI71" s="1">
        <f t="shared" si="130"/>
        <v>128730</v>
      </c>
      <c r="CJ71" s="1">
        <f t="shared" si="130"/>
        <v>130733.1</v>
      </c>
      <c r="CK71" s="1">
        <f t="shared" si="130"/>
        <v>132736.19999999998</v>
      </c>
      <c r="CL71" s="1">
        <f t="shared" si="130"/>
        <v>134739.29999999999</v>
      </c>
      <c r="CM71" s="1">
        <f t="shared" si="130"/>
        <v>136742.39999999999</v>
      </c>
      <c r="CN71" s="1">
        <f t="shared" si="130"/>
        <v>138745.5</v>
      </c>
      <c r="CO71" s="1">
        <f t="shared" si="130"/>
        <v>140748.6</v>
      </c>
      <c r="CP71" s="1">
        <f t="shared" si="130"/>
        <v>142751.69999999998</v>
      </c>
      <c r="CQ71" s="1">
        <f t="shared" si="130"/>
        <v>144754.79999999999</v>
      </c>
      <c r="CR71" s="1">
        <f t="shared" si="130"/>
        <v>146757.9</v>
      </c>
      <c r="CS71" s="1">
        <f t="shared" si="130"/>
        <v>148761</v>
      </c>
      <c r="CT71" s="1">
        <f t="shared" si="130"/>
        <v>150764.1</v>
      </c>
      <c r="CU71" s="1">
        <f t="shared" si="130"/>
        <v>152767.19999999998</v>
      </c>
      <c r="CV71" s="1">
        <f t="shared" si="130"/>
        <v>154770.29999999999</v>
      </c>
      <c r="CW71" s="1">
        <f t="shared" si="130"/>
        <v>156773.4</v>
      </c>
      <c r="CX71" s="1">
        <f t="shared" si="130"/>
        <v>158776.5</v>
      </c>
      <c r="CY71" s="1">
        <f t="shared" si="130"/>
        <v>160779.6</v>
      </c>
      <c r="CZ71" s="1">
        <f t="shared" si="130"/>
        <v>162782.69999999998</v>
      </c>
      <c r="DA71" s="1">
        <f t="shared" si="130"/>
        <v>164785.79999999999</v>
      </c>
      <c r="DB71" s="1">
        <f t="shared" si="130"/>
        <v>166788.9</v>
      </c>
      <c r="DC71" s="1">
        <f t="shared" si="130"/>
        <v>168792</v>
      </c>
      <c r="DD71" s="1">
        <f t="shared" si="130"/>
        <v>170795.1</v>
      </c>
      <c r="DE71" s="1">
        <f t="shared" si="130"/>
        <v>172798.19999999998</v>
      </c>
      <c r="DF71" s="1">
        <f t="shared" si="130"/>
        <v>174801.3</v>
      </c>
      <c r="DG71" s="1">
        <f t="shared" si="130"/>
        <v>176804.4</v>
      </c>
      <c r="DH71" s="1">
        <f t="shared" si="130"/>
        <v>178807.5</v>
      </c>
      <c r="DI71" s="1">
        <f t="shared" si="130"/>
        <v>180810.6</v>
      </c>
      <c r="DJ71" s="1">
        <f t="shared" si="130"/>
        <v>182813.69999999998</v>
      </c>
      <c r="DK71" s="1">
        <f t="shared" si="130"/>
        <v>184816.8</v>
      </c>
      <c r="DL71" s="1">
        <f t="shared" si="130"/>
        <v>186819.9</v>
      </c>
      <c r="DM71" s="1">
        <f t="shared" si="130"/>
        <v>188823</v>
      </c>
      <c r="DN71" s="1">
        <f t="shared" si="130"/>
        <v>190826.09999999998</v>
      </c>
      <c r="DO71" s="1">
        <f t="shared" si="130"/>
        <v>192829.19999999998</v>
      </c>
      <c r="DP71" s="1">
        <f t="shared" si="130"/>
        <v>194832.3</v>
      </c>
      <c r="DQ71" s="1">
        <f t="shared" si="130"/>
        <v>196835.4</v>
      </c>
      <c r="DR71" s="1">
        <f t="shared" si="130"/>
        <v>198838.5</v>
      </c>
    </row>
    <row r="72" spans="22:122" x14ac:dyDescent="0.25">
      <c r="V72" s="1" t="s">
        <v>716</v>
      </c>
      <c r="W72" s="1">
        <f>993.52*W63 - 2587.3</f>
        <v>-1593.7800000000002</v>
      </c>
      <c r="X72" s="1">
        <f t="shared" ref="X72:AP72" si="131">993.52*X63 - 2587.3</f>
        <v>-600.26000000000022</v>
      </c>
      <c r="Y72" s="1">
        <f t="shared" si="131"/>
        <v>393.25999999999976</v>
      </c>
      <c r="Z72" s="1">
        <f t="shared" si="131"/>
        <v>1386.7799999999997</v>
      </c>
      <c r="AA72" s="1">
        <f t="shared" si="131"/>
        <v>2380.3000000000002</v>
      </c>
      <c r="AB72" s="1">
        <f t="shared" si="131"/>
        <v>3373.8199999999997</v>
      </c>
      <c r="AC72" s="1">
        <f t="shared" si="131"/>
        <v>4367.3399999999992</v>
      </c>
      <c r="AD72" s="1">
        <f t="shared" si="131"/>
        <v>5360.86</v>
      </c>
      <c r="AE72" s="1">
        <f t="shared" si="131"/>
        <v>6354.38</v>
      </c>
      <c r="AF72" s="1">
        <f t="shared" si="131"/>
        <v>7347.9000000000005</v>
      </c>
      <c r="AG72" s="1">
        <f t="shared" si="131"/>
        <v>8341.4199999999983</v>
      </c>
      <c r="AH72" s="1">
        <f t="shared" si="131"/>
        <v>9334.9399999999987</v>
      </c>
      <c r="AI72" s="1">
        <f t="shared" si="131"/>
        <v>10328.459999999999</v>
      </c>
      <c r="AJ72" s="1">
        <f t="shared" si="131"/>
        <v>11321.98</v>
      </c>
      <c r="AK72" s="1">
        <f t="shared" si="131"/>
        <v>12315.5</v>
      </c>
      <c r="AL72" s="1">
        <f t="shared" si="131"/>
        <v>13309.02</v>
      </c>
      <c r="AM72" s="1">
        <f t="shared" si="131"/>
        <v>14302.54</v>
      </c>
      <c r="AN72" s="1">
        <f t="shared" si="131"/>
        <v>15296.060000000001</v>
      </c>
      <c r="AO72" s="1">
        <f t="shared" si="131"/>
        <v>16289.580000000002</v>
      </c>
      <c r="AP72" s="1">
        <f t="shared" si="131"/>
        <v>17283.100000000002</v>
      </c>
      <c r="AQ72" s="1">
        <f t="shared" ref="AQ72:BR72" si="132">993.52*AQ63 - 2587.3</f>
        <v>18276.62</v>
      </c>
      <c r="AR72" s="1">
        <f t="shared" si="132"/>
        <v>19270.14</v>
      </c>
      <c r="AS72" s="1">
        <f t="shared" si="132"/>
        <v>20263.66</v>
      </c>
      <c r="AT72" s="1">
        <f t="shared" si="132"/>
        <v>21257.18</v>
      </c>
      <c r="AU72" s="1">
        <f t="shared" si="132"/>
        <v>22250.7</v>
      </c>
      <c r="AV72" s="1">
        <f t="shared" si="132"/>
        <v>23244.22</v>
      </c>
      <c r="AW72" s="1">
        <f t="shared" si="132"/>
        <v>24237.74</v>
      </c>
      <c r="AX72" s="1">
        <f t="shared" si="132"/>
        <v>25231.26</v>
      </c>
      <c r="AY72" s="1">
        <f t="shared" si="132"/>
        <v>26224.78</v>
      </c>
      <c r="AZ72" s="1">
        <f t="shared" si="132"/>
        <v>27218.3</v>
      </c>
      <c r="BA72" s="1">
        <f t="shared" si="132"/>
        <v>28211.82</v>
      </c>
      <c r="BB72" s="1">
        <f t="shared" si="132"/>
        <v>29205.34</v>
      </c>
      <c r="BC72" s="1">
        <f t="shared" si="132"/>
        <v>30198.859999999997</v>
      </c>
      <c r="BD72" s="1">
        <f t="shared" si="132"/>
        <v>31192.38</v>
      </c>
      <c r="BE72" s="1">
        <f t="shared" si="132"/>
        <v>32185.899999999998</v>
      </c>
      <c r="BF72" s="1">
        <f t="shared" si="132"/>
        <v>33179.42</v>
      </c>
      <c r="BG72" s="1">
        <f t="shared" si="132"/>
        <v>34172.939999999995</v>
      </c>
      <c r="BH72" s="1">
        <f t="shared" si="132"/>
        <v>35166.46</v>
      </c>
      <c r="BI72" s="1">
        <f t="shared" si="132"/>
        <v>36159.979999999996</v>
      </c>
      <c r="BJ72" s="1">
        <f t="shared" si="132"/>
        <v>37153.5</v>
      </c>
      <c r="BK72" s="1">
        <f t="shared" si="132"/>
        <v>38147.019999999997</v>
      </c>
      <c r="BL72" s="1">
        <f t="shared" si="132"/>
        <v>39140.539999999994</v>
      </c>
      <c r="BM72" s="1">
        <f t="shared" si="132"/>
        <v>40134.06</v>
      </c>
      <c r="BN72" s="1">
        <f t="shared" si="132"/>
        <v>41127.579999999994</v>
      </c>
      <c r="BO72" s="1">
        <f t="shared" si="132"/>
        <v>42121.1</v>
      </c>
      <c r="BP72" s="1">
        <f t="shared" si="132"/>
        <v>43114.619999999995</v>
      </c>
      <c r="BQ72" s="1">
        <f t="shared" si="132"/>
        <v>44108.14</v>
      </c>
      <c r="BR72" s="1">
        <f t="shared" si="132"/>
        <v>45101.659999999996</v>
      </c>
      <c r="BS72" s="1">
        <f t="shared" ref="BS72:BT72" si="133">993.52*BS63 - 2587.3</f>
        <v>46095.179999999993</v>
      </c>
      <c r="BT72" s="1">
        <f t="shared" si="133"/>
        <v>47088.7</v>
      </c>
      <c r="BU72" s="1">
        <f t="shared" ref="BU72:DR72" si="134">993.52*BU63 - 2587.3</f>
        <v>48082.219999999994</v>
      </c>
      <c r="BV72" s="1">
        <f t="shared" si="134"/>
        <v>49075.74</v>
      </c>
      <c r="BW72" s="1">
        <f t="shared" si="134"/>
        <v>50069.259999999995</v>
      </c>
      <c r="BX72" s="1">
        <f t="shared" si="134"/>
        <v>51062.78</v>
      </c>
      <c r="BY72" s="1">
        <f t="shared" si="134"/>
        <v>52056.299999999996</v>
      </c>
      <c r="BZ72" s="1">
        <f t="shared" si="134"/>
        <v>53049.819999999992</v>
      </c>
      <c r="CA72" s="1">
        <f t="shared" si="134"/>
        <v>54043.34</v>
      </c>
      <c r="CB72" s="1">
        <f t="shared" si="134"/>
        <v>55036.859999999993</v>
      </c>
      <c r="CC72" s="1">
        <f t="shared" si="134"/>
        <v>56030.38</v>
      </c>
      <c r="CD72" s="1">
        <f t="shared" si="134"/>
        <v>57023.899999999994</v>
      </c>
      <c r="CE72" s="1">
        <f t="shared" si="134"/>
        <v>58017.42</v>
      </c>
      <c r="CF72" s="1">
        <f t="shared" si="134"/>
        <v>59010.939999999995</v>
      </c>
      <c r="CG72" s="1">
        <f t="shared" si="134"/>
        <v>60004.46</v>
      </c>
      <c r="CH72" s="1">
        <f t="shared" si="134"/>
        <v>60997.979999999996</v>
      </c>
      <c r="CI72" s="1">
        <f t="shared" si="134"/>
        <v>61991.499999999993</v>
      </c>
      <c r="CJ72" s="1">
        <f t="shared" si="134"/>
        <v>62985.01999999999</v>
      </c>
      <c r="CK72" s="1">
        <f t="shared" si="134"/>
        <v>63978.539999999994</v>
      </c>
      <c r="CL72" s="1">
        <f t="shared" si="134"/>
        <v>64972.06</v>
      </c>
      <c r="CM72" s="1">
        <f t="shared" si="134"/>
        <v>65965.58</v>
      </c>
      <c r="CN72" s="1">
        <f t="shared" si="134"/>
        <v>66959.099999999991</v>
      </c>
      <c r="CO72" s="1">
        <f t="shared" si="134"/>
        <v>67952.62</v>
      </c>
      <c r="CP72" s="1">
        <f t="shared" si="134"/>
        <v>68946.14</v>
      </c>
      <c r="CQ72" s="1">
        <f t="shared" si="134"/>
        <v>69939.659999999989</v>
      </c>
      <c r="CR72" s="1">
        <f t="shared" si="134"/>
        <v>70933.179999999993</v>
      </c>
      <c r="CS72" s="1">
        <f t="shared" si="134"/>
        <v>71926.7</v>
      </c>
      <c r="CT72" s="1">
        <f t="shared" si="134"/>
        <v>72920.22</v>
      </c>
      <c r="CU72" s="1">
        <f t="shared" si="134"/>
        <v>73913.739999999991</v>
      </c>
      <c r="CV72" s="1">
        <f t="shared" si="134"/>
        <v>74907.259999999995</v>
      </c>
      <c r="CW72" s="1">
        <f t="shared" si="134"/>
        <v>75900.78</v>
      </c>
      <c r="CX72" s="1">
        <f t="shared" si="134"/>
        <v>76894.3</v>
      </c>
      <c r="CY72" s="1">
        <f t="shared" si="134"/>
        <v>77887.819999999992</v>
      </c>
      <c r="CZ72" s="1">
        <f t="shared" si="134"/>
        <v>78881.34</v>
      </c>
      <c r="DA72" s="1">
        <f t="shared" si="134"/>
        <v>79874.86</v>
      </c>
      <c r="DB72" s="1">
        <f t="shared" si="134"/>
        <v>80868.37999999999</v>
      </c>
      <c r="DC72" s="1">
        <f t="shared" si="134"/>
        <v>81861.899999999994</v>
      </c>
      <c r="DD72" s="1">
        <f t="shared" si="134"/>
        <v>82855.42</v>
      </c>
      <c r="DE72" s="1">
        <f t="shared" si="134"/>
        <v>83848.94</v>
      </c>
      <c r="DF72" s="1">
        <f t="shared" si="134"/>
        <v>84842.459999999992</v>
      </c>
      <c r="DG72" s="1">
        <f t="shared" si="134"/>
        <v>85835.98</v>
      </c>
      <c r="DH72" s="1">
        <f t="shared" si="134"/>
        <v>86829.5</v>
      </c>
      <c r="DI72" s="1">
        <f t="shared" si="134"/>
        <v>87823.01999999999</v>
      </c>
      <c r="DJ72" s="1">
        <f t="shared" si="134"/>
        <v>88816.54</v>
      </c>
      <c r="DK72" s="1">
        <f t="shared" si="134"/>
        <v>89810.06</v>
      </c>
      <c r="DL72" s="1">
        <f t="shared" si="134"/>
        <v>90803.58</v>
      </c>
      <c r="DM72" s="1">
        <f t="shared" si="134"/>
        <v>91797.099999999991</v>
      </c>
      <c r="DN72" s="1">
        <f t="shared" si="134"/>
        <v>92790.62</v>
      </c>
      <c r="DO72" s="1">
        <f t="shared" si="134"/>
        <v>93784.14</v>
      </c>
      <c r="DP72" s="1">
        <f t="shared" si="134"/>
        <v>94777.659999999989</v>
      </c>
      <c r="DQ72" s="1">
        <f t="shared" si="134"/>
        <v>95771.18</v>
      </c>
      <c r="DR72" s="1">
        <f t="shared" si="134"/>
        <v>96764.7</v>
      </c>
    </row>
    <row r="73" spans="22:122" x14ac:dyDescent="0.25">
      <c r="V73" s="54" t="s">
        <v>600</v>
      </c>
    </row>
    <row r="75" spans="22:122" x14ac:dyDescent="0.25">
      <c r="V75" s="34" t="s">
        <v>730</v>
      </c>
    </row>
    <row r="76" spans="22:122" x14ac:dyDescent="0.25">
      <c r="V76" s="54" t="s">
        <v>728</v>
      </c>
      <c r="AG76" s="1">
        <f>AG64/AF64-1</f>
        <v>0.10370364651590114</v>
      </c>
      <c r="AH76" s="1">
        <f t="shared" ref="AH76:AP76" si="135">AH64/AG64-1</f>
        <v>9.3959684597641591E-2</v>
      </c>
      <c r="AI76" s="1">
        <f t="shared" si="135"/>
        <v>8.5889531324182311E-2</v>
      </c>
      <c r="AJ76" s="1">
        <f t="shared" si="135"/>
        <v>7.9096011929910226E-2</v>
      </c>
      <c r="AK76" s="1">
        <f t="shared" si="135"/>
        <v>7.3298400749763681E-2</v>
      </c>
      <c r="AL76" s="1">
        <f t="shared" si="135"/>
        <v>6.8292658126165362E-2</v>
      </c>
      <c r="AM76" s="1">
        <f t="shared" si="135"/>
        <v>6.3926918908114416E-2</v>
      </c>
      <c r="AN76" s="1">
        <f t="shared" si="135"/>
        <v>6.0085817711728939E-2</v>
      </c>
      <c r="AO76" s="1">
        <f t="shared" si="135"/>
        <v>5.6680144859808212E-2</v>
      </c>
      <c r="AP76" s="1">
        <f t="shared" si="135"/>
        <v>5.3639831443343722E-2</v>
      </c>
      <c r="AQ76" s="1">
        <f t="shared" ref="AQ76:BT76" si="136">AQ64/AP64-1</f>
        <v>5.0909077127299307E-2</v>
      </c>
      <c r="AR76" s="1">
        <f t="shared" si="136"/>
        <v>4.8442894095520828E-2</v>
      </c>
      <c r="AS76" s="1">
        <f t="shared" si="136"/>
        <v>4.6204609109694816E-2</v>
      </c>
      <c r="AT76" s="1">
        <f t="shared" si="136"/>
        <v>4.41640274831272E-2</v>
      </c>
      <c r="AU76" s="1">
        <f t="shared" si="136"/>
        <v>4.2296062994605421E-2</v>
      </c>
      <c r="AV76" s="1">
        <f t="shared" si="136"/>
        <v>4.0579701388380185E-2</v>
      </c>
      <c r="AW76" s="1">
        <f t="shared" si="136"/>
        <v>3.8997206397777262E-2</v>
      </c>
      <c r="AX76" s="1">
        <f t="shared" si="136"/>
        <v>3.7533504573108001E-2</v>
      </c>
      <c r="AY76" s="1">
        <f t="shared" si="136"/>
        <v>3.6175703635277889E-2</v>
      </c>
      <c r="AZ76" s="1">
        <f t="shared" si="136"/>
        <v>3.491271172288668E-2</v>
      </c>
      <c r="BA76" s="1">
        <f t="shared" si="136"/>
        <v>3.3734933707370685E-2</v>
      </c>
      <c r="BB76" s="1">
        <f t="shared" si="136"/>
        <v>3.2634026970902674E-2</v>
      </c>
      <c r="BC76" s="1">
        <f t="shared" si="136"/>
        <v>3.1602703492766393E-2</v>
      </c>
      <c r="BD76" s="1">
        <f t="shared" si="136"/>
        <v>3.0634568313719024E-2</v>
      </c>
      <c r="BE76" s="1">
        <f t="shared" si="136"/>
        <v>2.9723986809254699E-2</v>
      </c>
      <c r="BF76" s="1">
        <f t="shared" si="136"/>
        <v>2.8865974950587292E-2</v>
      </c>
      <c r="BG76" s="1">
        <f t="shared" si="136"/>
        <v>2.8056108038730265E-2</v>
      </c>
      <c r="BH76" s="1">
        <f t="shared" si="136"/>
        <v>2.7290444382704226E-2</v>
      </c>
      <c r="BI76" s="1">
        <f t="shared" si="136"/>
        <v>2.6565461142883384E-2</v>
      </c>
      <c r="BJ76" s="1">
        <f t="shared" si="136"/>
        <v>2.5878000135819867E-2</v>
      </c>
      <c r="BK76" s="1">
        <f t="shared" si="136"/>
        <v>2.5225221841577383E-2</v>
      </c>
      <c r="BL76" s="1">
        <f t="shared" si="136"/>
        <v>2.4604566200845168E-2</v>
      </c>
      <c r="BM76" s="1">
        <f t="shared" si="136"/>
        <v>2.4013719060492766E-2</v>
      </c>
      <c r="BN76" s="1">
        <f t="shared" si="136"/>
        <v>2.3450583340352882E-2</v>
      </c>
      <c r="BO76" s="1">
        <f t="shared" si="136"/>
        <v>2.2913254163981822E-2</v>
      </c>
      <c r="BP76" s="1">
        <f t="shared" si="136"/>
        <v>2.2399997331844723E-2</v>
      </c>
      <c r="BQ76" s="1">
        <f t="shared" si="136"/>
        <v>2.1909230624317155E-2</v>
      </c>
      <c r="BR76" s="1">
        <f t="shared" si="136"/>
        <v>2.1439507509813049E-2</v>
      </c>
      <c r="BS76" s="1">
        <f t="shared" si="136"/>
        <v>2.0989502904661173E-2</v>
      </c>
      <c r="BT76" s="1">
        <f t="shared" si="136"/>
        <v>2.0558000689475442E-2</v>
      </c>
      <c r="BU76" s="1">
        <f t="shared" ref="BU76:DR76" si="137">BU64/BT64-1</f>
        <v>2.0143882734334317E-2</v>
      </c>
      <c r="BV76" s="1">
        <f t="shared" si="137"/>
        <v>1.9746119224223424E-2</v>
      </c>
      <c r="BW76" s="1">
        <f t="shared" si="137"/>
        <v>1.9363760108491945E-2</v>
      </c>
      <c r="BX76" s="1">
        <f t="shared" si="137"/>
        <v>1.8995927524862122E-2</v>
      </c>
      <c r="BY76" s="1">
        <f t="shared" si="137"/>
        <v>1.864180907082047E-2</v>
      </c>
      <c r="BZ76" s="1">
        <f t="shared" si="137"/>
        <v>1.8300651813835334E-2</v>
      </c>
      <c r="CA76" s="1">
        <f t="shared" si="137"/>
        <v>1.7971756947457118E-2</v>
      </c>
      <c r="CB76" s="1">
        <f t="shared" si="137"/>
        <v>1.7654475013479942E-2</v>
      </c>
      <c r="CC76" s="1">
        <f t="shared" si="137"/>
        <v>1.7348201621425696E-2</v>
      </c>
      <c r="CD76" s="1">
        <f t="shared" si="137"/>
        <v>1.7052373605985105E-2</v>
      </c>
      <c r="CE76" s="1">
        <f t="shared" si="137"/>
        <v>1.6766465571016242E-2</v>
      </c>
      <c r="CF76" s="1">
        <f t="shared" si="137"/>
        <v>1.6489986775478638E-2</v>
      </c>
      <c r="CG76" s="1">
        <f t="shared" si="137"/>
        <v>1.6222478322475586E-2</v>
      </c>
      <c r="CH76" s="1">
        <f t="shared" si="137"/>
        <v>1.5963510617531984E-2</v>
      </c>
      <c r="CI76" s="1">
        <f t="shared" si="137"/>
        <v>1.5712681066497147E-2</v>
      </c>
      <c r="CJ76" s="1">
        <f t="shared" si="137"/>
        <v>1.5469611987120935E-2</v>
      </c>
      <c r="CK76" s="1">
        <f t="shared" si="137"/>
        <v>1.5233948711522061E-2</v>
      </c>
      <c r="CL76" s="1">
        <f t="shared" si="137"/>
        <v>1.5005357859492641E-2</v>
      </c>
      <c r="CM76" s="1">
        <f t="shared" si="137"/>
        <v>1.4783525764964223E-2</v>
      </c>
      <c r="CN76" s="1">
        <f t="shared" si="137"/>
        <v>1.4568157040015128E-2</v>
      </c>
      <c r="CO76" s="1">
        <f t="shared" si="137"/>
        <v>1.4358973262592389E-2</v>
      </c>
      <c r="CP76" s="1">
        <f t="shared" si="137"/>
        <v>1.4155711775692081E-2</v>
      </c>
      <c r="CQ76" s="1">
        <f t="shared" si="137"/>
        <v>1.3958124587107879E-2</v>
      </c>
      <c r="CR76" s="1">
        <f t="shared" si="137"/>
        <v>1.3765977360052917E-2</v>
      </c>
      <c r="CS76" s="1">
        <f t="shared" si="137"/>
        <v>1.3579048486023204E-2</v>
      </c>
      <c r="CT76" s="1">
        <f t="shared" si="137"/>
        <v>1.3397128232184974E-2</v>
      </c>
      <c r="CU76" s="1">
        <f t="shared" si="137"/>
        <v>1.3220017956391494E-2</v>
      </c>
      <c r="CV76" s="1">
        <f t="shared" si="137"/>
        <v>1.3047529383652945E-2</v>
      </c>
      <c r="CW76" s="1">
        <f t="shared" si="137"/>
        <v>1.2879483938518899E-2</v>
      </c>
      <c r="CX76" s="1">
        <f t="shared" si="137"/>
        <v>1.2715712128394285E-2</v>
      </c>
      <c r="CY76" s="1">
        <f t="shared" si="137"/>
        <v>1.2556052973316856E-2</v>
      </c>
      <c r="CZ76" s="1">
        <f t="shared" si="137"/>
        <v>1.2400353478157156E-2</v>
      </c>
      <c r="DA76" s="1">
        <f t="shared" si="137"/>
        <v>1.224846814361058E-2</v>
      </c>
      <c r="DB76" s="1">
        <f t="shared" si="137"/>
        <v>1.2100258512688367E-2</v>
      </c>
      <c r="DC76" s="1">
        <f t="shared" si="137"/>
        <v>1.1955592749744115E-2</v>
      </c>
      <c r="DD76" s="1">
        <f t="shared" si="137"/>
        <v>1.1814345249337999E-2</v>
      </c>
      <c r="DE76" s="1">
        <f t="shared" si="137"/>
        <v>1.1676396272506606E-2</v>
      </c>
      <c r="DF76" s="1">
        <f t="shared" si="137"/>
        <v>1.1541631608217751E-2</v>
      </c>
      <c r="DG76" s="1">
        <f t="shared" si="137"/>
        <v>1.1409942258004957E-2</v>
      </c>
      <c r="DH76" s="1">
        <f t="shared" si="137"/>
        <v>1.1281224141945545E-2</v>
      </c>
      <c r="DI76" s="1">
        <f t="shared" si="137"/>
        <v>1.1155377824321411E-2</v>
      </c>
      <c r="DJ76" s="1">
        <f t="shared" si="137"/>
        <v>1.1032308257435286E-2</v>
      </c>
      <c r="DK76" s="1">
        <f t="shared" si="137"/>
        <v>1.0911924542203799E-2</v>
      </c>
      <c r="DL76" s="1">
        <f t="shared" si="137"/>
        <v>1.0794139704253025E-2</v>
      </c>
      <c r="DM76" s="1">
        <f t="shared" si="137"/>
        <v>1.0678870484361225E-2</v>
      </c>
      <c r="DN76" s="1">
        <f t="shared" si="137"/>
        <v>1.0566037142186735E-2</v>
      </c>
      <c r="DO76" s="1">
        <f t="shared" si="137"/>
        <v>1.0455563272309121E-2</v>
      </c>
      <c r="DP76" s="1">
        <f t="shared" si="137"/>
        <v>1.0347375631689637E-2</v>
      </c>
      <c r="DQ76" s="1">
        <f t="shared" si="137"/>
        <v>1.0241403977736097E-2</v>
      </c>
      <c r="DR76" s="1">
        <f t="shared" si="137"/>
        <v>1.0137580916216082E-2</v>
      </c>
    </row>
    <row r="77" spans="22:122" x14ac:dyDescent="0.25">
      <c r="V77" s="1" t="s">
        <v>713</v>
      </c>
      <c r="AG77" s="1">
        <f t="shared" ref="AG77:AP82" si="138">AG65/AF65-1</f>
        <v>7.307094856988483E-2</v>
      </c>
      <c r="AH77" s="1">
        <f t="shared" si="138"/>
        <v>6.8095169911429165E-2</v>
      </c>
      <c r="AI77" s="1">
        <f t="shared" si="138"/>
        <v>6.3753841258430421E-2</v>
      </c>
      <c r="AJ77" s="1">
        <f t="shared" si="138"/>
        <v>5.9932889344971541E-2</v>
      </c>
      <c r="AK77" s="1">
        <f t="shared" si="138"/>
        <v>5.6544041559093206E-2</v>
      </c>
      <c r="AL77" s="1">
        <f t="shared" si="138"/>
        <v>5.3517921955864356E-2</v>
      </c>
      <c r="AM77" s="1">
        <f t="shared" si="138"/>
        <v>5.0799251574674686E-2</v>
      </c>
      <c r="AN77" s="1">
        <f t="shared" si="138"/>
        <v>4.8343440955586292E-2</v>
      </c>
      <c r="AO77" s="1">
        <f t="shared" si="138"/>
        <v>4.6114125454460364E-2</v>
      </c>
      <c r="AP77" s="1">
        <f t="shared" si="138"/>
        <v>4.4081352437934873E-2</v>
      </c>
      <c r="AQ77" s="1">
        <f t="shared" ref="AQ77:BT77" si="139">AQ65/AP65-1</f>
        <v>4.2220227700652702E-2</v>
      </c>
      <c r="AR77" s="1">
        <f t="shared" si="139"/>
        <v>4.0509890883425825E-2</v>
      </c>
      <c r="AS77" s="1">
        <f t="shared" si="139"/>
        <v>3.8932730230013979E-2</v>
      </c>
      <c r="AT77" s="1">
        <f t="shared" si="139"/>
        <v>3.7473773900062346E-2</v>
      </c>
      <c r="AU77" s="1">
        <f t="shared" si="139"/>
        <v>3.6120213197478268E-2</v>
      </c>
      <c r="AV77" s="1">
        <f t="shared" si="139"/>
        <v>3.4861025523293954E-2</v>
      </c>
      <c r="AW77" s="1">
        <f t="shared" si="139"/>
        <v>3.3686673537314693E-2</v>
      </c>
      <c r="AX77" s="1">
        <f t="shared" si="139"/>
        <v>3.2588863143642621E-2</v>
      </c>
      <c r="AY77" s="1">
        <f t="shared" si="139"/>
        <v>3.1560347304568248E-2</v>
      </c>
      <c r="AZ77" s="1">
        <f t="shared" si="139"/>
        <v>3.0594765868070084E-2</v>
      </c>
      <c r="BA77" s="1">
        <f t="shared" si="139"/>
        <v>2.9686513925092584E-2</v>
      </c>
      <c r="BB77" s="1">
        <f t="shared" si="139"/>
        <v>2.8830632938883216E-2</v>
      </c>
      <c r="BC77" s="1">
        <f t="shared" si="139"/>
        <v>2.8022720179440741E-2</v>
      </c>
      <c r="BD77" s="1">
        <f t="shared" si="139"/>
        <v>2.7258852970242886E-2</v>
      </c>
      <c r="BE77" s="1">
        <f t="shared" si="139"/>
        <v>2.6535524995891846E-2</v>
      </c>
      <c r="BF77" s="1">
        <f t="shared" si="139"/>
        <v>2.5849592488285333E-2</v>
      </c>
      <c r="BG77" s="1">
        <f t="shared" si="139"/>
        <v>2.5198228548870549E-2</v>
      </c>
      <c r="BH77" s="1">
        <f t="shared" si="139"/>
        <v>2.4578884207142604E-2</v>
      </c>
      <c r="BI77" s="1">
        <f t="shared" si="139"/>
        <v>2.3989255084212013E-2</v>
      </c>
      <c r="BJ77" s="1">
        <f t="shared" si="139"/>
        <v>2.3427252742255877E-2</v>
      </c>
      <c r="BK77" s="1">
        <f t="shared" si="139"/>
        <v>2.2890979969004022E-2</v>
      </c>
      <c r="BL77" s="1">
        <f t="shared" si="139"/>
        <v>2.2378709380835193E-2</v>
      </c>
      <c r="BM77" s="1">
        <f t="shared" si="139"/>
        <v>2.188886483599406E-2</v>
      </c>
      <c r="BN77" s="1">
        <f t="shared" si="139"/>
        <v>2.142000523658405E-2</v>
      </c>
      <c r="BO77" s="1">
        <f t="shared" si="139"/>
        <v>2.0970810368671877E-2</v>
      </c>
      <c r="BP77" s="1">
        <f t="shared" si="139"/>
        <v>2.0540068487461705E-2</v>
      </c>
      <c r="BQ77" s="1">
        <f t="shared" si="139"/>
        <v>2.012666540168695E-2</v>
      </c>
      <c r="BR77" s="1">
        <f t="shared" si="139"/>
        <v>1.9729574850160025E-2</v>
      </c>
      <c r="BS77" s="1">
        <f t="shared" si="139"/>
        <v>1.9347849995484667E-2</v>
      </c>
      <c r="BT77" s="1">
        <f t="shared" si="139"/>
        <v>1.8980615886490915E-2</v>
      </c>
      <c r="BU77" s="1">
        <f t="shared" ref="BU77:DR77" si="140">BU65/BT65-1</f>
        <v>1.8627062763090896E-2</v>
      </c>
      <c r="BV77" s="1">
        <f t="shared" si="140"/>
        <v>1.8286440095714784E-2</v>
      </c>
      <c r="BW77" s="1">
        <f t="shared" si="140"/>
        <v>1.795805126698502E-2</v>
      </c>
      <c r="BX77" s="1">
        <f t="shared" si="140"/>
        <v>1.7641248816328003E-2</v>
      </c>
      <c r="BY77" s="1">
        <f t="shared" si="140"/>
        <v>1.7335430179198585E-2</v>
      </c>
      <c r="BZ77" s="1">
        <f t="shared" si="140"/>
        <v>1.7040033861933868E-2</v>
      </c>
      <c r="CA77" s="1">
        <f t="shared" si="140"/>
        <v>1.6754536001133635E-2</v>
      </c>
      <c r="CB77" s="1">
        <f t="shared" si="140"/>
        <v>1.6478447263218898E-2</v>
      </c>
      <c r="CC77" s="1">
        <f t="shared" si="140"/>
        <v>1.6211310045565641E-2</v>
      </c>
      <c r="CD77" s="1">
        <f t="shared" si="140"/>
        <v>1.595269594553006E-2</v>
      </c>
      <c r="CE77" s="1">
        <f t="shared" si="140"/>
        <v>1.5702203467931275E-2</v>
      </c>
      <c r="CF77" s="1">
        <f t="shared" si="140"/>
        <v>1.5459455945176392E-2</v>
      </c>
      <c r="CG77" s="1">
        <f t="shared" si="140"/>
        <v>1.5224099647373146E-2</v>
      </c>
      <c r="CH77" s="1">
        <f t="shared" si="140"/>
        <v>1.4995802062481633E-2</v>
      </c>
      <c r="CI77" s="1">
        <f t="shared" si="140"/>
        <v>1.477425032892743E-2</v>
      </c>
      <c r="CJ77" s="1">
        <f t="shared" si="140"/>
        <v>1.4559149805130067E-2</v>
      </c>
      <c r="CK77" s="1">
        <f t="shared" si="140"/>
        <v>1.4350222762198106E-2</v>
      </c>
      <c r="CL77" s="1">
        <f t="shared" si="140"/>
        <v>1.4147207187593214E-2</v>
      </c>
      <c r="CM77" s="1">
        <f t="shared" si="140"/>
        <v>1.3949855688925039E-2</v>
      </c>
      <c r="CN77" s="1">
        <f t="shared" si="140"/>
        <v>1.3757934488236367E-2</v>
      </c>
      <c r="CO77" s="1">
        <f t="shared" si="140"/>
        <v>1.3571222498181212E-2</v>
      </c>
      <c r="CP77" s="1">
        <f t="shared" si="140"/>
        <v>1.3389510472418209E-2</v>
      </c>
      <c r="CQ77" s="1">
        <f t="shared" si="140"/>
        <v>1.3212600223359683E-2</v>
      </c>
      <c r="CR77" s="1">
        <f t="shared" si="140"/>
        <v>1.3040303901123096E-2</v>
      </c>
      <c r="CS77" s="1">
        <f t="shared" si="140"/>
        <v>1.2872443328173722E-2</v>
      </c>
      <c r="CT77" s="1">
        <f t="shared" si="140"/>
        <v>1.2708849384702736E-2</v>
      </c>
      <c r="CU77" s="1">
        <f t="shared" si="140"/>
        <v>1.2549361440283846E-2</v>
      </c>
      <c r="CV77" s="1">
        <f t="shared" si="140"/>
        <v>1.2393826827793886E-2</v>
      </c>
      <c r="CW77" s="1">
        <f t="shared" si="140"/>
        <v>1.2242100355973395E-2</v>
      </c>
      <c r="CX77" s="1">
        <f t="shared" si="140"/>
        <v>1.2094043857362013E-2</v>
      </c>
      <c r="CY77" s="1">
        <f t="shared" si="140"/>
        <v>1.19495257686415E-2</v>
      </c>
      <c r="CZ77" s="1">
        <f t="shared" si="140"/>
        <v>1.1808420740713199E-2</v>
      </c>
      <c r="DA77" s="1">
        <f t="shared" si="140"/>
        <v>1.1670609276080768E-2</v>
      </c>
      <c r="DB77" s="1">
        <f t="shared" si="140"/>
        <v>1.1535977391329055E-2</v>
      </c>
      <c r="DC77" s="1">
        <f t="shared" si="140"/>
        <v>1.1404416302699616E-2</v>
      </c>
      <c r="DD77" s="1">
        <f t="shared" si="140"/>
        <v>1.1275822132940538E-2</v>
      </c>
      <c r="DE77" s="1">
        <f t="shared" si="140"/>
        <v>1.1150095637763702E-2</v>
      </c>
      <c r="DF77" s="1">
        <f t="shared" si="140"/>
        <v>1.102714195040555E-2</v>
      </c>
      <c r="DG77" s="1">
        <f t="shared" si="140"/>
        <v>1.0906870342899611E-2</v>
      </c>
      <c r="DH77" s="1">
        <f t="shared" si="140"/>
        <v>1.0789194002806646E-2</v>
      </c>
      <c r="DI77" s="1">
        <f t="shared" si="140"/>
        <v>1.0674029824241149E-2</v>
      </c>
      <c r="DJ77" s="1">
        <f t="shared" si="140"/>
        <v>1.0561298212141912E-2</v>
      </c>
      <c r="DK77" s="1">
        <f t="shared" si="140"/>
        <v>1.0450922898815662E-2</v>
      </c>
      <c r="DL77" s="1">
        <f t="shared" si="140"/>
        <v>1.0342830771863376E-2</v>
      </c>
      <c r="DM77" s="1">
        <f t="shared" si="140"/>
        <v>1.0236951712679465E-2</v>
      </c>
      <c r="DN77" s="1">
        <f t="shared" si="140"/>
        <v>1.0133218444766223E-2</v>
      </c>
      <c r="DO77" s="1">
        <f t="shared" si="140"/>
        <v>1.003156639118119E-2</v>
      </c>
      <c r="DP77" s="1">
        <f t="shared" si="140"/>
        <v>9.9319335404772779E-3</v>
      </c>
      <c r="DQ77" s="1">
        <f t="shared" si="140"/>
        <v>9.8342603205536783E-3</v>
      </c>
      <c r="DR77" s="1">
        <f t="shared" si="140"/>
        <v>9.7384894798795418E-3</v>
      </c>
    </row>
    <row r="78" spans="22:122" x14ac:dyDescent="0.25">
      <c r="V78" s="1" t="s">
        <v>702</v>
      </c>
      <c r="AG78" s="1">
        <f t="shared" si="138"/>
        <v>3.3884038924872462E-2</v>
      </c>
      <c r="AH78" s="1">
        <f t="shared" si="138"/>
        <v>3.2773539051931033E-2</v>
      </c>
      <c r="AI78" s="1">
        <f t="shared" si="138"/>
        <v>3.1733519317329373E-2</v>
      </c>
      <c r="AJ78" s="1">
        <f t="shared" si="138"/>
        <v>3.0757476347503587E-2</v>
      </c>
      <c r="AK78" s="1">
        <f t="shared" si="138"/>
        <v>2.9839683003312079E-2</v>
      </c>
      <c r="AL78" s="1">
        <f t="shared" si="138"/>
        <v>2.8975075922779592E-2</v>
      </c>
      <c r="AM78" s="1">
        <f t="shared" si="138"/>
        <v>2.8159162064051779E-2</v>
      </c>
      <c r="AN78" s="1">
        <f t="shared" si="138"/>
        <v>2.7387940605928751E-2</v>
      </c>
      <c r="AO78" s="1">
        <f t="shared" si="138"/>
        <v>2.6657837340173574E-2</v>
      </c>
      <c r="AP78" s="1">
        <f t="shared" si="138"/>
        <v>2.5965649285099479E-2</v>
      </c>
      <c r="AQ78" s="1">
        <f t="shared" ref="AQ78:BT78" si="141">AQ66/AP66-1</f>
        <v>2.5308497709638278E-2</v>
      </c>
      <c r="AR78" s="1">
        <f t="shared" si="141"/>
        <v>2.4683788114672867E-2</v>
      </c>
      <c r="AS78" s="1">
        <f t="shared" si="141"/>
        <v>2.4089175998469603E-2</v>
      </c>
      <c r="AT78" s="1">
        <f t="shared" si="141"/>
        <v>2.3522537453813941E-2</v>
      </c>
      <c r="AU78" s="1">
        <f t="shared" si="141"/>
        <v>2.2981943819557094E-2</v>
      </c>
      <c r="AV78" s="1">
        <f t="shared" si="141"/>
        <v>2.2465639748975752E-2</v>
      </c>
      <c r="AW78" s="1">
        <f t="shared" si="141"/>
        <v>2.1972024169429449E-2</v>
      </c>
      <c r="AX78" s="1">
        <f t="shared" si="141"/>
        <v>2.1499633698179421E-2</v>
      </c>
      <c r="AY78" s="1">
        <f t="shared" si="141"/>
        <v>2.1047128152501537E-2</v>
      </c>
      <c r="AZ78" s="1">
        <f t="shared" si="141"/>
        <v>2.0613277851909695E-2</v>
      </c>
      <c r="BA78" s="1">
        <f t="shared" si="141"/>
        <v>2.0196952459107909E-2</v>
      </c>
      <c r="BB78" s="1">
        <f t="shared" si="141"/>
        <v>1.9797111146455659E-2</v>
      </c>
      <c r="BC78" s="1">
        <f t="shared" si="141"/>
        <v>1.9412793907799264E-2</v>
      </c>
      <c r="BD78" s="1">
        <f t="shared" si="141"/>
        <v>1.9043113863014272E-2</v>
      </c>
      <c r="BE78" s="1">
        <f t="shared" si="141"/>
        <v>1.8687250425376778E-2</v>
      </c>
      <c r="BF78" s="1">
        <f t="shared" si="141"/>
        <v>1.8344443220992268E-2</v>
      </c>
      <c r="BG78" s="1">
        <f t="shared" si="141"/>
        <v>1.8013986665424531E-2</v>
      </c>
      <c r="BH78" s="1">
        <f t="shared" si="141"/>
        <v>1.7695225116140856E-2</v>
      </c>
      <c r="BI78" s="1">
        <f t="shared" si="141"/>
        <v>1.7387548530672703E-2</v>
      </c>
      <c r="BJ78" s="1">
        <f t="shared" si="141"/>
        <v>1.7090388570003778E-2</v>
      </c>
      <c r="BK78" s="1">
        <f t="shared" si="141"/>
        <v>1.6803215094808088E-2</v>
      </c>
      <c r="BL78" s="1">
        <f t="shared" si="141"/>
        <v>1.6525533009099869E-2</v>
      </c>
      <c r="BM78" s="1">
        <f t="shared" si="141"/>
        <v>1.6256879411755909E-2</v>
      </c>
      <c r="BN78" s="1">
        <f t="shared" si="141"/>
        <v>1.5996821021438956E-2</v>
      </c>
      <c r="BO78" s="1">
        <f t="shared" si="141"/>
        <v>1.5744951844786748E-2</v>
      </c>
      <c r="BP78" s="1">
        <f t="shared" si="141"/>
        <v>1.5500891061472455E-2</v>
      </c>
      <c r="BQ78" s="1">
        <f t="shared" si="141"/>
        <v>1.5264281102963739E-2</v>
      </c>
      <c r="BR78" s="1">
        <f t="shared" si="141"/>
        <v>1.5034785904593173E-2</v>
      </c>
      <c r="BS78" s="1">
        <f t="shared" si="141"/>
        <v>1.4812089312972843E-2</v>
      </c>
      <c r="BT78" s="1">
        <f t="shared" si="141"/>
        <v>1.4595893632880053E-2</v>
      </c>
      <c r="BU78" s="1">
        <f t="shared" ref="BU78:DR78" si="142">BU66/BT66-1</f>
        <v>1.4385918299568257E-2</v>
      </c>
      <c r="BV78" s="1">
        <f t="shared" si="142"/>
        <v>1.4181898664054504E-2</v>
      </c>
      <c r="BW78" s="1">
        <f t="shared" si="142"/>
        <v>1.3983584880321587E-2</v>
      </c>
      <c r="BX78" s="1">
        <f t="shared" si="142"/>
        <v>1.3790740884599195E-2</v>
      </c>
      <c r="BY78" s="1">
        <f t="shared" si="142"/>
        <v>1.3603143457954436E-2</v>
      </c>
      <c r="BZ78" s="1">
        <f t="shared" si="142"/>
        <v>1.3420581364365969E-2</v>
      </c>
      <c r="CA78" s="1">
        <f t="shared" si="142"/>
        <v>1.3242854557283357E-2</v>
      </c>
      <c r="CB78" s="1">
        <f t="shared" si="142"/>
        <v>1.3069773448409316E-2</v>
      </c>
      <c r="CC78" s="1">
        <f t="shared" si="142"/>
        <v>1.2901158233081134E-2</v>
      </c>
      <c r="CD78" s="1">
        <f t="shared" si="142"/>
        <v>1.2736838267206618E-2</v>
      </c>
      <c r="CE78" s="1">
        <f t="shared" si="142"/>
        <v>1.2576651491219781E-2</v>
      </c>
      <c r="CF78" s="1">
        <f t="shared" si="142"/>
        <v>1.2420443896961508E-2</v>
      </c>
      <c r="CG78" s="1">
        <f t="shared" si="142"/>
        <v>1.2268069033803286E-2</v>
      </c>
      <c r="CH78" s="1">
        <f t="shared" si="142"/>
        <v>1.211938755068398E-2</v>
      </c>
      <c r="CI78" s="1">
        <f t="shared" si="142"/>
        <v>1.197426677105029E-2</v>
      </c>
      <c r="CJ78" s="1">
        <f t="shared" si="142"/>
        <v>1.1832580297972406E-2</v>
      </c>
      <c r="CK78" s="1">
        <f t="shared" si="142"/>
        <v>1.1694207646968824E-2</v>
      </c>
      <c r="CL78" s="1">
        <f t="shared" si="142"/>
        <v>1.155903390429347E-2</v>
      </c>
      <c r="CM78" s="1">
        <f t="shared" si="142"/>
        <v>1.1426949408656073E-2</v>
      </c>
      <c r="CN78" s="1">
        <f t="shared" si="142"/>
        <v>1.1297849454512621E-2</v>
      </c>
      <c r="CO78" s="1">
        <f t="shared" si="142"/>
        <v>1.1171634015247678E-2</v>
      </c>
      <c r="CP78" s="1">
        <f t="shared" si="142"/>
        <v>1.1048207484704031E-2</v>
      </c>
      <c r="CQ78" s="1">
        <f t="shared" si="142"/>
        <v>1.0927478435662108E-2</v>
      </c>
      <c r="CR78" s="1">
        <f t="shared" si="142"/>
        <v>1.0809359393981088E-2</v>
      </c>
      <c r="CS78" s="1">
        <f t="shared" si="142"/>
        <v>1.0693766627232204E-2</v>
      </c>
      <c r="CT78" s="1">
        <f t="shared" si="142"/>
        <v>1.0580619946750192E-2</v>
      </c>
      <c r="CU78" s="1">
        <f t="shared" si="142"/>
        <v>1.046984252212102E-2</v>
      </c>
      <c r="CV78" s="1">
        <f t="shared" si="142"/>
        <v>1.036136070720195E-2</v>
      </c>
      <c r="CW78" s="1">
        <f t="shared" si="142"/>
        <v>1.0255103876843918E-2</v>
      </c>
      <c r="CX78" s="1">
        <f t="shared" si="142"/>
        <v>1.0151004273564412E-2</v>
      </c>
      <c r="CY78" s="1">
        <f t="shared" si="142"/>
        <v>1.0048996863458282E-2</v>
      </c>
      <c r="CZ78" s="1">
        <f t="shared" si="142"/>
        <v>9.9490192007158917E-3</v>
      </c>
      <c r="DA78" s="1">
        <f t="shared" si="142"/>
        <v>9.8510113001442079E-3</v>
      </c>
      <c r="DB78" s="1">
        <f t="shared" si="142"/>
        <v>9.7549155171530177E-3</v>
      </c>
      <c r="DC78" s="1">
        <f t="shared" si="142"/>
        <v>9.6606764346938157E-3</v>
      </c>
      <c r="DD78" s="1">
        <f t="shared" si="142"/>
        <v>9.5682407566941574E-3</v>
      </c>
      <c r="DE78" s="1">
        <f t="shared" si="142"/>
        <v>9.4775572075471715E-3</v>
      </c>
      <c r="DF78" s="1">
        <f t="shared" si="142"/>
        <v>9.3885764372654279E-3</v>
      </c>
      <c r="DG78" s="1">
        <f t="shared" si="142"/>
        <v>9.301250931928795E-3</v>
      </c>
      <c r="DH78" s="1">
        <f t="shared" si="142"/>
        <v>9.2155349290814481E-3</v>
      </c>
      <c r="DI78" s="1">
        <f t="shared" si="142"/>
        <v>9.1313843377660575E-3</v>
      </c>
      <c r="DJ78" s="1">
        <f t="shared" si="142"/>
        <v>9.0487566628980609E-3</v>
      </c>
      <c r="DK78" s="1">
        <f t="shared" si="142"/>
        <v>8.9676109337115673E-3</v>
      </c>
      <c r="DL78" s="1">
        <f t="shared" si="142"/>
        <v>8.8879076360166565E-3</v>
      </c>
      <c r="DM78" s="1">
        <f t="shared" si="142"/>
        <v>8.8096086480435876E-3</v>
      </c>
      <c r="DN78" s="1">
        <f t="shared" si="142"/>
        <v>8.7326771796412128E-3</v>
      </c>
      <c r="DO78" s="1">
        <f t="shared" si="142"/>
        <v>8.6570777146401934E-3</v>
      </c>
      <c r="DP78" s="1">
        <f t="shared" si="142"/>
        <v>8.5827759561800665E-3</v>
      </c>
      <c r="DQ78" s="1">
        <f t="shared" si="142"/>
        <v>8.5097387748302999E-3</v>
      </c>
      <c r="DR78" s="1">
        <f t="shared" si="142"/>
        <v>8.4379341593350254E-3</v>
      </c>
    </row>
    <row r="79" spans="22:122" x14ac:dyDescent="0.25">
      <c r="V79" s="1" t="s">
        <v>520</v>
      </c>
      <c r="AG79" s="1">
        <f t="shared" si="138"/>
        <v>7.3335293047215089E-2</v>
      </c>
      <c r="AH79" s="1">
        <f t="shared" si="138"/>
        <v>6.8324682438248185E-2</v>
      </c>
      <c r="AI79" s="1">
        <f t="shared" si="138"/>
        <v>6.3954978820025099E-2</v>
      </c>
      <c r="AJ79" s="1">
        <f t="shared" si="138"/>
        <v>6.011060626921827E-2</v>
      </c>
      <c r="AK79" s="1">
        <f t="shared" si="138"/>
        <v>5.6702202500135357E-2</v>
      </c>
      <c r="AL79" s="1">
        <f t="shared" si="138"/>
        <v>5.3659585800028609E-2</v>
      </c>
      <c r="AM79" s="1">
        <f t="shared" si="138"/>
        <v>5.0926870996276907E-2</v>
      </c>
      <c r="AN79" s="1">
        <f t="shared" si="138"/>
        <v>4.8459005475802952E-2</v>
      </c>
      <c r="AO79" s="1">
        <f t="shared" si="138"/>
        <v>4.6219265820327982E-2</v>
      </c>
      <c r="AP79" s="1">
        <f t="shared" si="138"/>
        <v>4.4177417994771817E-2</v>
      </c>
      <c r="AQ79" s="1">
        <f t="shared" ref="AQ79:BT79" si="143">AQ67/AP67-1</f>
        <v>4.2308344571950096E-2</v>
      </c>
      <c r="AR79" s="1">
        <f t="shared" si="143"/>
        <v>4.0591006291257337E-2</v>
      </c>
      <c r="AS79" s="1">
        <f t="shared" si="143"/>
        <v>3.9007646660263351E-2</v>
      </c>
      <c r="AT79" s="1">
        <f t="shared" si="143"/>
        <v>3.7543175727000611E-2</v>
      </c>
      <c r="AU79" s="1">
        <f t="shared" si="143"/>
        <v>3.6184687640294255E-2</v>
      </c>
      <c r="AV79" s="1">
        <f t="shared" si="143"/>
        <v>3.4921079293979806E-2</v>
      </c>
      <c r="AW79" s="1">
        <f t="shared" si="143"/>
        <v>3.3742746179063809E-2</v>
      </c>
      <c r="AX79" s="1">
        <f t="shared" si="143"/>
        <v>3.2641337802644221E-2</v>
      </c>
      <c r="AY79" s="1">
        <f t="shared" si="143"/>
        <v>3.1609559493426476E-2</v>
      </c>
      <c r="AZ79" s="1">
        <f t="shared" si="143"/>
        <v>3.064101064451985E-2</v>
      </c>
      <c r="BA79" s="1">
        <f t="shared" si="143"/>
        <v>2.9730051810531233E-2</v>
      </c>
      <c r="BB79" s="1">
        <f t="shared" si="143"/>
        <v>2.887169482745322E-2</v>
      </c>
      <c r="BC79" s="1">
        <f t="shared" si="143"/>
        <v>2.8061511432963426E-2</v>
      </c>
      <c r="BD79" s="1">
        <f t="shared" si="143"/>
        <v>2.7295556852284131E-2</v>
      </c>
      <c r="BE79" s="1">
        <f t="shared" si="143"/>
        <v>2.6570305566121499E-2</v>
      </c>
      <c r="BF79" s="1">
        <f t="shared" si="143"/>
        <v>2.5882597053563661E-2</v>
      </c>
      <c r="BG79" s="1">
        <f t="shared" si="143"/>
        <v>2.5229589748281933E-2</v>
      </c>
      <c r="BH79" s="1">
        <f t="shared" si="143"/>
        <v>2.4608721793209609E-2</v>
      </c>
      <c r="BI79" s="1">
        <f t="shared" si="143"/>
        <v>2.4017677450706376E-2</v>
      </c>
      <c r="BJ79" s="1">
        <f t="shared" si="143"/>
        <v>2.3454358239691997E-2</v>
      </c>
      <c r="BK79" s="1">
        <f t="shared" si="143"/>
        <v>2.2916858041459598E-2</v>
      </c>
      <c r="BL79" s="1">
        <f t="shared" si="143"/>
        <v>2.2403441551777092E-2</v>
      </c>
      <c r="BM79" s="1">
        <f t="shared" si="143"/>
        <v>2.1912525566007313E-2</v>
      </c>
      <c r="BN79" s="1">
        <f t="shared" si="143"/>
        <v>2.1442662672003676E-2</v>
      </c>
      <c r="BO79" s="1">
        <f t="shared" si="143"/>
        <v>2.0992526996974625E-2</v>
      </c>
      <c r="BP79" s="1">
        <f t="shared" si="143"/>
        <v>2.0560901712688873E-2</v>
      </c>
      <c r="BQ79" s="1">
        <f t="shared" si="143"/>
        <v>2.014666805105314E-2</v>
      </c>
      <c r="BR79" s="1">
        <f t="shared" si="143"/>
        <v>1.9748795621263415E-2</v>
      </c>
      <c r="BS79" s="1">
        <f t="shared" si="143"/>
        <v>1.9366333852085305E-2</v>
      </c>
      <c r="BT79" s="1">
        <f t="shared" si="143"/>
        <v>1.8998404409631631E-2</v>
      </c>
      <c r="BU79" s="1">
        <f t="shared" ref="BU79:DR79" si="144">BU67/BT67-1</f>
        <v>1.8644194463325547E-2</v>
      </c>
      <c r="BV79" s="1">
        <f t="shared" si="144"/>
        <v>1.8302950691382769E-2</v>
      </c>
      <c r="BW79" s="1">
        <f t="shared" si="144"/>
        <v>1.7973973932763121E-2</v>
      </c>
      <c r="BX79" s="1">
        <f t="shared" si="144"/>
        <v>1.7656614405694215E-2</v>
      </c>
      <c r="BY79" s="1">
        <f t="shared" si="144"/>
        <v>1.7350267423953847E-2</v>
      </c>
      <c r="BZ79" s="1">
        <f t="shared" si="144"/>
        <v>1.7054369551488646E-2</v>
      </c>
      <c r="CA79" s="1">
        <f t="shared" si="144"/>
        <v>1.6768395143919035E-2</v>
      </c>
      <c r="CB79" s="1">
        <f t="shared" si="144"/>
        <v>1.6491853232264653E-2</v>
      </c>
      <c r="CC79" s="1">
        <f t="shared" si="144"/>
        <v>1.6224284710028458E-2</v>
      </c>
      <c r="CD79" s="1">
        <f t="shared" si="144"/>
        <v>1.596525978973018E-2</v>
      </c>
      <c r="CE79" s="1">
        <f t="shared" si="144"/>
        <v>1.5714375699258154E-2</v>
      </c>
      <c r="CF79" s="1">
        <f t="shared" si="144"/>
        <v>1.5471254592059891E-2</v>
      </c>
      <c r="CG79" s="1">
        <f t="shared" si="144"/>
        <v>1.5235541648369821E-2</v>
      </c>
      <c r="CH79" s="1">
        <f t="shared" si="144"/>
        <v>1.5006903347407397E-2</v>
      </c>
      <c r="CI79" s="1">
        <f t="shared" si="144"/>
        <v>1.4785025892844583E-2</v>
      </c>
      <c r="CJ79" s="1">
        <f t="shared" si="144"/>
        <v>1.456961377591881E-2</v>
      </c>
      <c r="CK79" s="1">
        <f t="shared" si="144"/>
        <v>1.4360388462350437E-2</v>
      </c>
      <c r="CL79" s="1">
        <f t="shared" si="144"/>
        <v>1.4157087190795004E-2</v>
      </c>
      <c r="CM79" s="1">
        <f t="shared" si="144"/>
        <v>1.3959461871937417E-2</v>
      </c>
      <c r="CN79" s="1">
        <f t="shared" si="144"/>
        <v>1.3767278078520073E-2</v>
      </c>
      <c r="CO79" s="1">
        <f t="shared" si="144"/>
        <v>1.3580314117668468E-2</v>
      </c>
      <c r="CP79" s="1">
        <f t="shared" si="144"/>
        <v>1.3398360177792501E-2</v>
      </c>
      <c r="CQ79" s="1">
        <f t="shared" si="144"/>
        <v>1.322121754316008E-2</v>
      </c>
      <c r="CR79" s="1">
        <f t="shared" si="144"/>
        <v>1.3048697869966208E-2</v>
      </c>
      <c r="CS79" s="1">
        <f t="shared" si="144"/>
        <v>1.2880622518347318E-2</v>
      </c>
      <c r="CT79" s="1">
        <f t="shared" si="144"/>
        <v>1.271682193536483E-2</v>
      </c>
      <c r="CU79" s="1">
        <f t="shared" si="144"/>
        <v>1.2557135084477311E-2</v>
      </c>
      <c r="CV79" s="1">
        <f t="shared" si="144"/>
        <v>1.2401408917462886E-2</v>
      </c>
      <c r="CW79" s="1">
        <f t="shared" si="144"/>
        <v>1.224949788515528E-2</v>
      </c>
      <c r="CX79" s="1">
        <f t="shared" si="144"/>
        <v>1.2101263483704106E-2</v>
      </c>
      <c r="CY79" s="1">
        <f t="shared" si="144"/>
        <v>1.1956573833383777E-2</v>
      </c>
      <c r="CZ79" s="1">
        <f t="shared" si="144"/>
        <v>1.1815303287266099E-2</v>
      </c>
      <c r="DA79" s="1">
        <f t="shared" si="144"/>
        <v>1.1677332067304702E-2</v>
      </c>
      <c r="DB79" s="1">
        <f t="shared" si="144"/>
        <v>1.1542545925629089E-2</v>
      </c>
      <c r="DC79" s="1">
        <f t="shared" si="144"/>
        <v>1.1410835829022359E-2</v>
      </c>
      <c r="DD79" s="1">
        <f t="shared" si="144"/>
        <v>1.128209766476318E-2</v>
      </c>
      <c r="DE79" s="1">
        <f t="shared" si="144"/>
        <v>1.115623196615001E-2</v>
      </c>
      <c r="DF79" s="1">
        <f t="shared" si="144"/>
        <v>1.1033143656205668E-2</v>
      </c>
      <c r="DG79" s="1">
        <f t="shared" si="144"/>
        <v>1.0912741808153381E-2</v>
      </c>
      <c r="DH79" s="1">
        <f t="shared" si="144"/>
        <v>1.079493942141263E-2</v>
      </c>
      <c r="DI79" s="1">
        <f t="shared" si="144"/>
        <v>1.067965321194797E-2</v>
      </c>
      <c r="DJ79" s="1">
        <f t="shared" si="144"/>
        <v>1.0566803415907211E-2</v>
      </c>
      <c r="DK79" s="1">
        <f t="shared" si="144"/>
        <v>1.045631360558219E-2</v>
      </c>
      <c r="DL79" s="1">
        <f t="shared" si="144"/>
        <v>1.0348110516793296E-2</v>
      </c>
      <c r="DM79" s="1">
        <f t="shared" si="144"/>
        <v>1.0242123886884835E-2</v>
      </c>
      <c r="DN79" s="1">
        <f t="shared" si="144"/>
        <v>1.0138286302573407E-2</v>
      </c>
      <c r="DO79" s="1">
        <f t="shared" si="144"/>
        <v>1.0036533056956509E-2</v>
      </c>
      <c r="DP79" s="1">
        <f t="shared" si="144"/>
        <v>9.9368020150523151E-3</v>
      </c>
      <c r="DQ79" s="1">
        <f t="shared" si="144"/>
        <v>9.8390334872697771E-3</v>
      </c>
      <c r="DR79" s="1">
        <f t="shared" si="144"/>
        <v>9.743170110282362E-3</v>
      </c>
    </row>
    <row r="80" spans="22:122" x14ac:dyDescent="0.25">
      <c r="V80" s="1" t="s">
        <v>714</v>
      </c>
      <c r="AG80" s="1">
        <f t="shared" si="138"/>
        <v>6.9486749756658028E-2</v>
      </c>
      <c r="AH80" s="1">
        <f t="shared" si="138"/>
        <v>6.4972052970706295E-2</v>
      </c>
      <c r="AI80" s="1">
        <f t="shared" si="138"/>
        <v>6.1008223445365273E-2</v>
      </c>
      <c r="AJ80" s="1">
        <f t="shared" si="138"/>
        <v>5.7500236187855602E-2</v>
      </c>
      <c r="AK80" s="1">
        <f t="shared" si="138"/>
        <v>5.437373365999032E-2</v>
      </c>
      <c r="AL80" s="1">
        <f t="shared" si="138"/>
        <v>5.1569696706352586E-2</v>
      </c>
      <c r="AM80" s="1">
        <f t="shared" si="138"/>
        <v>4.9040683530416684E-2</v>
      </c>
      <c r="AN80" s="1">
        <f t="shared" si="138"/>
        <v>4.6748123595527602E-2</v>
      </c>
      <c r="AO80" s="1">
        <f t="shared" si="138"/>
        <v>4.4660336657638799E-2</v>
      </c>
      <c r="AP80" s="1">
        <f t="shared" si="138"/>
        <v>4.2751059928749724E-2</v>
      </c>
      <c r="AQ80" s="1">
        <f t="shared" ref="AQ80:BT80" si="145">AQ68/AP68-1</f>
        <v>4.0998337543450614E-2</v>
      </c>
      <c r="AR80" s="1">
        <f t="shared" si="145"/>
        <v>3.9383672446777096E-2</v>
      </c>
      <c r="AS80" s="1">
        <f t="shared" si="145"/>
        <v>3.7891371098860205E-2</v>
      </c>
      <c r="AT80" s="1">
        <f t="shared" si="145"/>
        <v>3.6508031720836831E-2</v>
      </c>
      <c r="AU80" s="1">
        <f t="shared" si="145"/>
        <v>3.5222140691206549E-2</v>
      </c>
      <c r="AV80" s="1">
        <f t="shared" si="145"/>
        <v>3.4023751334848029E-2</v>
      </c>
      <c r="AW80" s="1">
        <f t="shared" si="145"/>
        <v>3.2904226127229652E-2</v>
      </c>
      <c r="AX80" s="1">
        <f t="shared" si="145"/>
        <v>3.1856028172718931E-2</v>
      </c>
      <c r="AY80" s="1">
        <f t="shared" si="145"/>
        <v>3.087255130847244E-2</v>
      </c>
      <c r="AZ80" s="1">
        <f t="shared" si="145"/>
        <v>2.9947980736596991E-2</v>
      </c>
      <c r="BA80" s="1">
        <f t="shared" si="145"/>
        <v>2.9077177970851187E-2</v>
      </c>
      <c r="BB80" s="1">
        <f t="shared" si="145"/>
        <v>2.8255585288739837E-2</v>
      </c>
      <c r="BC80" s="1">
        <f t="shared" si="145"/>
        <v>2.7479145937053806E-2</v>
      </c>
      <c r="BD80" s="1">
        <f t="shared" si="145"/>
        <v>2.6744237141662852E-2</v>
      </c>
      <c r="BE80" s="1">
        <f t="shared" si="145"/>
        <v>2.6047613586919871E-2</v>
      </c>
      <c r="BF80" s="1">
        <f t="shared" si="145"/>
        <v>2.5386359504176337E-2</v>
      </c>
      <c r="BG80" s="1">
        <f t="shared" si="145"/>
        <v>2.4757847877410866E-2</v>
      </c>
      <c r="BH80" s="1">
        <f t="shared" si="145"/>
        <v>2.4159705562335487E-2</v>
      </c>
      <c r="BI80" s="1">
        <f t="shared" si="145"/>
        <v>2.3589783342501391E-2</v>
      </c>
      <c r="BJ80" s="1">
        <f t="shared" si="145"/>
        <v>2.3046130125947029E-2</v>
      </c>
      <c r="BK80" s="1">
        <f t="shared" si="145"/>
        <v>2.2526970629476839E-2</v>
      </c>
      <c r="BL80" s="1">
        <f t="shared" si="145"/>
        <v>2.2030686012721068E-2</v>
      </c>
      <c r="BM80" s="1">
        <f t="shared" si="145"/>
        <v>2.1555797016888034E-2</v>
      </c>
      <c r="BN80" s="1">
        <f t="shared" si="145"/>
        <v>2.1100949238244793E-2</v>
      </c>
      <c r="BO80" s="1">
        <f t="shared" si="145"/>
        <v>2.0664900227530314E-2</v>
      </c>
      <c r="BP80" s="1">
        <f t="shared" si="145"/>
        <v>2.024650815651996E-2</v>
      </c>
      <c r="BQ80" s="1">
        <f t="shared" si="145"/>
        <v>1.9844721834042955E-2</v>
      </c>
      <c r="BR80" s="1">
        <f t="shared" si="145"/>
        <v>1.9458571887644993E-2</v>
      </c>
      <c r="BS80" s="1">
        <f t="shared" si="145"/>
        <v>1.9087162955151005E-2</v>
      </c>
      <c r="BT80" s="1">
        <f t="shared" si="145"/>
        <v>1.8729666753726892E-2</v>
      </c>
      <c r="BU80" s="1">
        <f t="shared" ref="BU80:DR80" si="146">BU68/BT68-1</f>
        <v>1.8385315913505007E-2</v>
      </c>
      <c r="BV80" s="1">
        <f t="shared" si="146"/>
        <v>1.8053398479153326E-2</v>
      </c>
      <c r="BW80" s="1">
        <f t="shared" si="146"/>
        <v>1.7733252996476434E-2</v>
      </c>
      <c r="BX80" s="1">
        <f t="shared" si="146"/>
        <v>1.7424264112688714E-2</v>
      </c>
      <c r="BY80" s="1">
        <f t="shared" si="146"/>
        <v>1.712585862878413E-2</v>
      </c>
      <c r="BZ80" s="1">
        <f t="shared" si="146"/>
        <v>1.6837501950714318E-2</v>
      </c>
      <c r="CA80" s="1">
        <f t="shared" si="146"/>
        <v>1.6558694893149539E-2</v>
      </c>
      <c r="CB80" s="1">
        <f t="shared" si="146"/>
        <v>1.6288970795621527E-2</v>
      </c>
      <c r="CC80" s="1">
        <f t="shared" si="146"/>
        <v>1.6027892915997377E-2</v>
      </c>
      <c r="CD80" s="1">
        <f t="shared" si="146"/>
        <v>1.5775052070664763E-2</v>
      </c>
      <c r="CE80" s="1">
        <f t="shared" si="146"/>
        <v>1.5530064494601481E-2</v>
      </c>
      <c r="CF80" s="1">
        <f t="shared" si="146"/>
        <v>1.5292569897800368E-2</v>
      </c>
      <c r="CG80" s="1">
        <f t="shared" si="146"/>
        <v>1.506222969733706E-2</v>
      </c>
      <c r="CH80" s="1">
        <f t="shared" si="146"/>
        <v>1.4838725406843611E-2</v>
      </c>
      <c r="CI80" s="1">
        <f t="shared" si="146"/>
        <v>1.4621757167272653E-2</v>
      </c>
      <c r="CJ80" s="1">
        <f t="shared" si="146"/>
        <v>1.4411042404704144E-2</v>
      </c>
      <c r="CK80" s="1">
        <f t="shared" si="146"/>
        <v>1.420631460255195E-2</v>
      </c>
      <c r="CL80" s="1">
        <f t="shared" si="146"/>
        <v>1.4007322176966763E-2</v>
      </c>
      <c r="CM80" s="1">
        <f t="shared" si="146"/>
        <v>1.3813827445441573E-2</v>
      </c>
      <c r="CN80" s="1">
        <f t="shared" si="146"/>
        <v>1.3625605679741692E-2</v>
      </c>
      <c r="CO80" s="1">
        <f t="shared" si="146"/>
        <v>1.3442444235221007E-2</v>
      </c>
      <c r="CP80" s="1">
        <f t="shared" si="146"/>
        <v>1.3264141749425917E-2</v>
      </c>
      <c r="CQ80" s="1">
        <f t="shared" si="146"/>
        <v>1.3090507403652252E-2</v>
      </c>
      <c r="CR80" s="1">
        <f t="shared" si="146"/>
        <v>1.2921360241742397E-2</v>
      </c>
      <c r="CS80" s="1">
        <f t="shared" si="146"/>
        <v>1.2756528541029599E-2</v>
      </c>
      <c r="CT80" s="1">
        <f t="shared" si="146"/>
        <v>1.2595849230818246E-2</v>
      </c>
      <c r="CU80" s="1">
        <f t="shared" si="146"/>
        <v>1.2439167354266756E-2</v>
      </c>
      <c r="CV80" s="1">
        <f t="shared" si="146"/>
        <v>1.2286335569941853E-2</v>
      </c>
      <c r="CW80" s="1">
        <f t="shared" si="146"/>
        <v>1.2137213689666249E-2</v>
      </c>
      <c r="CX80" s="1">
        <f t="shared" si="146"/>
        <v>1.1991668249625276E-2</v>
      </c>
      <c r="CY80" s="1">
        <f t="shared" si="146"/>
        <v>1.1849572111958695E-2</v>
      </c>
      <c r="CZ80" s="1">
        <f t="shared" si="146"/>
        <v>1.1710804094353433E-2</v>
      </c>
      <c r="DA80" s="1">
        <f t="shared" si="146"/>
        <v>1.1575248625358636E-2</v>
      </c>
      <c r="DB80" s="1">
        <f t="shared" si="146"/>
        <v>1.1442795423363794E-2</v>
      </c>
      <c r="DC80" s="1">
        <f t="shared" si="146"/>
        <v>1.1313339197373207E-2</v>
      </c>
      <c r="DD80" s="1">
        <f t="shared" si="146"/>
        <v>1.118677936785839E-2</v>
      </c>
      <c r="DE80" s="1">
        <f t="shared" si="146"/>
        <v>1.1063019806144991E-2</v>
      </c>
      <c r="DF80" s="1">
        <f t="shared" si="146"/>
        <v>1.0941968590905571E-2</v>
      </c>
      <c r="DG80" s="1">
        <f t="shared" si="146"/>
        <v>1.0823537780469072E-2</v>
      </c>
      <c r="DH80" s="1">
        <f t="shared" si="146"/>
        <v>1.0707643199756811E-2</v>
      </c>
      <c r="DI80" s="1">
        <f t="shared" si="146"/>
        <v>1.0594204240761185E-2</v>
      </c>
      <c r="DJ80" s="1">
        <f t="shared" si="146"/>
        <v>1.0483143675577011E-2</v>
      </c>
      <c r="DK80" s="1">
        <f t="shared" si="146"/>
        <v>1.0374387481066893E-2</v>
      </c>
      <c r="DL80" s="1">
        <f t="shared" si="146"/>
        <v>1.0267864674332383E-2</v>
      </c>
      <c r="DM80" s="1">
        <f t="shared" si="146"/>
        <v>1.0163507158214902E-2</v>
      </c>
      <c r="DN80" s="1">
        <f t="shared" si="146"/>
        <v>1.006124957612764E-2</v>
      </c>
      <c r="DO80" s="1">
        <f t="shared" si="146"/>
        <v>9.96102917555719E-3</v>
      </c>
      <c r="DP80" s="1">
        <f t="shared" si="146"/>
        <v>9.8627856796498214E-3</v>
      </c>
      <c r="DQ80" s="1">
        <f t="shared" si="146"/>
        <v>9.7664611663179635E-3</v>
      </c>
      <c r="DR80" s="1">
        <f t="shared" si="146"/>
        <v>9.6719999543628532E-3</v>
      </c>
    </row>
    <row r="81" spans="22:122" x14ac:dyDescent="0.25">
      <c r="V81" s="1" t="s">
        <v>715</v>
      </c>
      <c r="AG81" s="1">
        <f t="shared" si="138"/>
        <v>3.7124137845941263E-2</v>
      </c>
      <c r="AH81" s="1">
        <f t="shared" si="138"/>
        <v>3.5795269332990598E-2</v>
      </c>
      <c r="AI81" s="1">
        <f t="shared" si="138"/>
        <v>3.4558247554115074E-2</v>
      </c>
      <c r="AJ81" s="1">
        <f t="shared" si="138"/>
        <v>3.3403868400659897E-2</v>
      </c>
      <c r="AK81" s="1">
        <f t="shared" si="138"/>
        <v>3.2324117822741583E-2</v>
      </c>
      <c r="AL81" s="1">
        <f t="shared" si="138"/>
        <v>3.1311985513731821E-2</v>
      </c>
      <c r="AM81" s="1">
        <f t="shared" si="138"/>
        <v>3.0361312535444274E-2</v>
      </c>
      <c r="AN81" s="1">
        <f t="shared" si="138"/>
        <v>2.9466665883187027E-2</v>
      </c>
      <c r="AO81" s="1">
        <f t="shared" si="138"/>
        <v>2.8623234592940694E-2</v>
      </c>
      <c r="AP81" s="1">
        <f t="shared" si="138"/>
        <v>2.7826743194526493E-2</v>
      </c>
      <c r="AQ81" s="1">
        <f t="shared" ref="AQ81:BT81" si="147">AQ69/AP69-1</f>
        <v>2.7073379223466976E-2</v>
      </c>
      <c r="AR81" s="1">
        <f t="shared" si="147"/>
        <v>2.6359732197456021E-2</v>
      </c>
      <c r="AS81" s="1">
        <f t="shared" si="147"/>
        <v>2.5682741996336578E-2</v>
      </c>
      <c r="AT81" s="1">
        <f t="shared" si="147"/>
        <v>2.5039654997361938E-2</v>
      </c>
      <c r="AU81" s="1">
        <f t="shared" si="147"/>
        <v>2.4427986639625532E-2</v>
      </c>
      <c r="AV81" s="1">
        <f t="shared" si="147"/>
        <v>2.3845489344502591E-2</v>
      </c>
      <c r="AW81" s="1">
        <f t="shared" si="147"/>
        <v>2.3290124918916577E-2</v>
      </c>
      <c r="AX81" s="1">
        <f t="shared" si="147"/>
        <v>2.2760040727219932E-2</v>
      </c>
      <c r="AY81" s="1">
        <f t="shared" si="147"/>
        <v>2.2253549044638721E-2</v>
      </c>
      <c r="AZ81" s="1">
        <f t="shared" si="147"/>
        <v>2.1769109107457885E-2</v>
      </c>
      <c r="BA81" s="1">
        <f t="shared" si="147"/>
        <v>2.1305311457765486E-2</v>
      </c>
      <c r="BB81" s="1">
        <f t="shared" si="147"/>
        <v>2.0860864247690181E-2</v>
      </c>
      <c r="BC81" s="1">
        <f t="shared" si="147"/>
        <v>2.0434581222841919E-2</v>
      </c>
      <c r="BD81" s="1">
        <f t="shared" si="147"/>
        <v>2.0025371149568816E-2</v>
      </c>
      <c r="BE81" s="1">
        <f t="shared" si="147"/>
        <v>1.9632228487611147E-2</v>
      </c>
      <c r="BF81" s="1">
        <f t="shared" si="147"/>
        <v>1.9254225140304726E-2</v>
      </c>
      <c r="BG81" s="1">
        <f t="shared" si="147"/>
        <v>1.8890503139836534E-2</v>
      </c>
      <c r="BH81" s="1">
        <f t="shared" si="147"/>
        <v>1.8540268146207461E-2</v>
      </c>
      <c r="BI81" s="1">
        <f t="shared" si="147"/>
        <v>1.820278365621375E-2</v>
      </c>
      <c r="BJ81" s="1">
        <f t="shared" si="147"/>
        <v>1.7877365833601555E-2</v>
      </c>
      <c r="BK81" s="1">
        <f t="shared" si="147"/>
        <v>1.7563378884017933E-2</v>
      </c>
      <c r="BL81" s="1">
        <f t="shared" si="147"/>
        <v>1.726023090893869E-2</v>
      </c>
      <c r="BM81" s="1">
        <f t="shared" si="147"/>
        <v>1.696737018168526E-2</v>
      </c>
      <c r="BN81" s="1">
        <f t="shared" si="147"/>
        <v>1.6684281796233158E-2</v>
      </c>
      <c r="BO81" s="1">
        <f t="shared" si="147"/>
        <v>1.6410484645986712E-2</v>
      </c>
      <c r="BP81" s="1">
        <f t="shared" si="147"/>
        <v>1.6145528695232114E-2</v>
      </c>
      <c r="BQ81" s="1">
        <f t="shared" si="147"/>
        <v>1.5888992510712407E-2</v>
      </c>
      <c r="BR81" s="1">
        <f t="shared" si="147"/>
        <v>1.5640481024844277E-2</v>
      </c>
      <c r="BS81" s="1">
        <f t="shared" si="147"/>
        <v>1.5399623505615079E-2</v>
      </c>
      <c r="BT81" s="1">
        <f t="shared" si="147"/>
        <v>1.5166071711203655E-2</v>
      </c>
      <c r="BU81" s="1">
        <f t="shared" ref="BU81:DR81" si="148">BU69/BT69-1</f>
        <v>1.493949821002083E-2</v>
      </c>
      <c r="BV81" s="1">
        <f t="shared" si="148"/>
        <v>1.4719594849120332E-2</v>
      </c>
      <c r="BW81" s="1">
        <f t="shared" si="148"/>
        <v>1.4506071355908867E-2</v>
      </c>
      <c r="BX81" s="1">
        <f t="shared" si="148"/>
        <v>1.4298654059823557E-2</v>
      </c>
      <c r="BY81" s="1">
        <f t="shared" si="148"/>
        <v>1.4097084722130004E-2</v>
      </c>
      <c r="BZ81" s="1">
        <f t="shared" si="148"/>
        <v>1.3901119463322731E-2</v>
      </c>
      <c r="CA81" s="1">
        <f t="shared" si="148"/>
        <v>1.3710527778765025E-2</v>
      </c>
      <c r="CB81" s="1">
        <f t="shared" si="148"/>
        <v>1.3525091634204234E-2</v>
      </c>
      <c r="CC81" s="1">
        <f t="shared" si="148"/>
        <v>1.3344604633710677E-2</v>
      </c>
      <c r="CD81" s="1">
        <f t="shared" si="148"/>
        <v>1.3168871253362413E-2</v>
      </c>
      <c r="CE81" s="1">
        <f t="shared" si="148"/>
        <v>1.2997706134685982E-2</v>
      </c>
      <c r="CF81" s="1">
        <f t="shared" si="148"/>
        <v>1.2830933432496305E-2</v>
      </c>
      <c r="CG81" s="1">
        <f t="shared" si="148"/>
        <v>1.2668386212309146E-2</v>
      </c>
      <c r="CH81" s="1">
        <f t="shared" si="148"/>
        <v>1.2509905892977402E-2</v>
      </c>
      <c r="CI81" s="1">
        <f t="shared" si="148"/>
        <v>1.2355341730651226E-2</v>
      </c>
      <c r="CJ81" s="1">
        <f t="shared" si="148"/>
        <v>1.2204550340525033E-2</v>
      </c>
      <c r="CK81" s="1">
        <f t="shared" si="148"/>
        <v>1.2057395253182168E-2</v>
      </c>
      <c r="CL81" s="1">
        <f t="shared" si="148"/>
        <v>1.1913746502653311E-2</v>
      </c>
      <c r="CM81" s="1">
        <f t="shared" si="148"/>
        <v>1.1773480243577605E-2</v>
      </c>
      <c r="CN81" s="1">
        <f t="shared" si="148"/>
        <v>1.1636478395087968E-2</v>
      </c>
      <c r="CO81" s="1">
        <f t="shared" si="148"/>
        <v>1.1502628309280283E-2</v>
      </c>
      <c r="CP81" s="1">
        <f t="shared" si="148"/>
        <v>1.1371822462297621E-2</v>
      </c>
      <c r="CQ81" s="1">
        <f t="shared" si="148"/>
        <v>1.1243958166257118E-2</v>
      </c>
      <c r="CR81" s="1">
        <f t="shared" si="148"/>
        <v>1.1118937300398146E-2</v>
      </c>
      <c r="CS81" s="1">
        <f t="shared" si="148"/>
        <v>1.09966660599643E-2</v>
      </c>
      <c r="CT81" s="1">
        <f t="shared" si="148"/>
        <v>1.0877054721476043E-2</v>
      </c>
      <c r="CU81" s="1">
        <f t="shared" si="148"/>
        <v>1.0760017423160351E-2</v>
      </c>
      <c r="CV81" s="1">
        <f t="shared" si="148"/>
        <v>1.0645471959399577E-2</v>
      </c>
      <c r="CW81" s="1">
        <f t="shared" si="148"/>
        <v>1.0533339588174595E-2</v>
      </c>
      <c r="CX81" s="1">
        <f t="shared" si="148"/>
        <v>1.0423544850551414E-2</v>
      </c>
      <c r="CY81" s="1">
        <f t="shared" si="148"/>
        <v>1.031601540133642E-2</v>
      </c>
      <c r="CZ81" s="1">
        <f t="shared" si="148"/>
        <v>1.0210681850112424E-2</v>
      </c>
      <c r="DA81" s="1">
        <f t="shared" si="148"/>
        <v>1.0107477611910332E-2</v>
      </c>
      <c r="DB81" s="1">
        <f t="shared" si="148"/>
        <v>1.0006338766846978E-2</v>
      </c>
      <c r="DC81" s="1">
        <f t="shared" si="148"/>
        <v>9.9072039281100643E-3</v>
      </c>
      <c r="DD81" s="1">
        <f t="shared" si="148"/>
        <v>9.8100141177086542E-3</v>
      </c>
      <c r="DE81" s="1">
        <f t="shared" si="148"/>
        <v>9.7147126494676606E-3</v>
      </c>
      <c r="DF81" s="1">
        <f t="shared" si="148"/>
        <v>9.6212450187800336E-3</v>
      </c>
      <c r="DG81" s="1">
        <f t="shared" si="148"/>
        <v>9.529558798657467E-3</v>
      </c>
      <c r="DH81" s="1">
        <f t="shared" si="148"/>
        <v>9.4396035416708379E-3</v>
      </c>
      <c r="DI81" s="1">
        <f t="shared" si="148"/>
        <v>9.3513306873949098E-3</v>
      </c>
      <c r="DJ81" s="1">
        <f t="shared" si="148"/>
        <v>9.2646934749931464E-3</v>
      </c>
      <c r="DK81" s="1">
        <f t="shared" si="148"/>
        <v>9.1796468606204495E-3</v>
      </c>
      <c r="DL81" s="1">
        <f t="shared" si="148"/>
        <v>9.0961474393354003E-3</v>
      </c>
      <c r="DM81" s="1">
        <f t="shared" si="148"/>
        <v>9.0141533712297939E-3</v>
      </c>
      <c r="DN81" s="1">
        <f t="shared" si="148"/>
        <v>8.9336243115247793E-3</v>
      </c>
      <c r="DO81" s="1">
        <f t="shared" si="148"/>
        <v>8.8545213443760318E-3</v>
      </c>
      <c r="DP81" s="1">
        <f t="shared" si="148"/>
        <v>8.7768069201656917E-3</v>
      </c>
      <c r="DQ81" s="1">
        <f t="shared" si="148"/>
        <v>8.7004447960710163E-3</v>
      </c>
      <c r="DR81" s="1">
        <f t="shared" si="148"/>
        <v>8.6253999797036851E-3</v>
      </c>
    </row>
    <row r="82" spans="22:122" x14ac:dyDescent="0.25">
      <c r="V82" s="1" t="s">
        <v>705</v>
      </c>
      <c r="AG82" s="1">
        <f t="shared" si="138"/>
        <v>1.3885088919288524E-2</v>
      </c>
      <c r="AH82" s="1">
        <f t="shared" si="138"/>
        <v>1.3694933549214028E-2</v>
      </c>
      <c r="AI82" s="1">
        <f t="shared" si="138"/>
        <v>1.3509916145348022E-2</v>
      </c>
      <c r="AJ82" s="1">
        <f t="shared" si="138"/>
        <v>1.3329831243023227E-2</v>
      </c>
      <c r="AK82" s="1">
        <f t="shared" si="138"/>
        <v>1.3154484188698801E-2</v>
      </c>
      <c r="AL82" s="1">
        <f t="shared" si="138"/>
        <v>1.2983690438119533E-2</v>
      </c>
      <c r="AM82" s="1">
        <f t="shared" si="138"/>
        <v>1.2817274908448084E-2</v>
      </c>
      <c r="AN82" s="1">
        <f t="shared" si="138"/>
        <v>1.2655071379589877E-2</v>
      </c>
      <c r="AO82" s="1">
        <f t="shared" si="138"/>
        <v>1.2496921940408745E-2</v>
      </c>
      <c r="AP82" s="1">
        <f t="shared" si="138"/>
        <v>1.2342676475953107E-2</v>
      </c>
      <c r="AQ82" s="1">
        <f t="shared" ref="AQ82:BT82" si="149">AQ70/AP70-1</f>
        <v>1.2192192192192142E-2</v>
      </c>
      <c r="AR82" s="1">
        <f t="shared" si="149"/>
        <v>1.2045333175102479E-2</v>
      </c>
      <c r="AS82" s="1">
        <f t="shared" si="149"/>
        <v>1.1901969981238381E-2</v>
      </c>
      <c r="AT82" s="1">
        <f t="shared" si="149"/>
        <v>1.176197925719924E-2</v>
      </c>
      <c r="AU82" s="1">
        <f t="shared" si="149"/>
        <v>1.1625243385637418E-2</v>
      </c>
      <c r="AV82" s="1">
        <f t="shared" si="149"/>
        <v>1.1491650155674993E-2</v>
      </c>
      <c r="AW82" s="1">
        <f t="shared" si="149"/>
        <v>1.1361092455786981E-2</v>
      </c>
      <c r="AX82" s="1">
        <f t="shared" si="149"/>
        <v>1.1233467987382895E-2</v>
      </c>
      <c r="AY82" s="1">
        <f t="shared" si="149"/>
        <v>1.1108678997482802E-2</v>
      </c>
      <c r="AZ82" s="1">
        <f t="shared" si="149"/>
        <v>1.0986632029009069E-2</v>
      </c>
      <c r="BA82" s="1">
        <f t="shared" si="149"/>
        <v>1.0867237687366194E-2</v>
      </c>
      <c r="BB82" s="1">
        <f t="shared" si="149"/>
        <v>1.0750410422072809E-2</v>
      </c>
      <c r="BC82" s="1">
        <f t="shared" si="149"/>
        <v>1.063606832233055E-2</v>
      </c>
      <c r="BD82" s="1">
        <f t="shared" si="149"/>
        <v>1.0524132925501695E-2</v>
      </c>
      <c r="BE82" s="1">
        <f t="shared" si="149"/>
        <v>1.041452903755391E-2</v>
      </c>
      <c r="BF82" s="1">
        <f t="shared" si="149"/>
        <v>1.0307184564610328E-2</v>
      </c>
      <c r="BG82" s="1">
        <f t="shared" si="149"/>
        <v>1.0202030354809377E-2</v>
      </c>
      <c r="BH82" s="1">
        <f t="shared" si="149"/>
        <v>1.009900004974873E-2</v>
      </c>
      <c r="BI82" s="1">
        <f t="shared" si="149"/>
        <v>9.9980299448385601E-3</v>
      </c>
      <c r="BJ82" s="1">
        <f t="shared" si="149"/>
        <v>9.8990588579510597E-3</v>
      </c>
      <c r="BK82" s="1">
        <f t="shared" si="149"/>
        <v>9.8020280057942166E-3</v>
      </c>
      <c r="BL82" s="1">
        <f t="shared" si="149"/>
        <v>9.70688088748628E-3</v>
      </c>
      <c r="BM82" s="1">
        <f t="shared" si="149"/>
        <v>9.6135631748437422E-3</v>
      </c>
      <c r="BN82" s="1">
        <f t="shared" si="149"/>
        <v>9.5220226089403059E-3</v>
      </c>
      <c r="BO82" s="1">
        <f t="shared" si="149"/>
        <v>9.4322089025182798E-3</v>
      </c>
      <c r="BP82" s="1">
        <f t="shared" si="149"/>
        <v>9.3440736478711539E-3</v>
      </c>
      <c r="BQ82" s="1">
        <f t="shared" si="149"/>
        <v>9.2575702298431928E-3</v>
      </c>
      <c r="BR82" s="1">
        <f t="shared" si="149"/>
        <v>9.1726537436176425E-3</v>
      </c>
      <c r="BS82" s="1">
        <f t="shared" si="149"/>
        <v>9.0892809169875743E-3</v>
      </c>
      <c r="BT82" s="1">
        <f t="shared" si="149"/>
        <v>9.0074100368282561E-3</v>
      </c>
      <c r="BU82" s="1">
        <f t="shared" ref="BU82:DR82" si="150">BU70/BT70-1</f>
        <v>8.9270008795074851E-3</v>
      </c>
      <c r="BV82" s="1">
        <f t="shared" si="150"/>
        <v>8.8480146449898545E-3</v>
      </c>
      <c r="BW82" s="1">
        <f t="shared" si="150"/>
        <v>8.7704138944093568E-3</v>
      </c>
      <c r="BX82" s="1">
        <f t="shared" si="150"/>
        <v>8.6941624908989379E-3</v>
      </c>
      <c r="BY82" s="1">
        <f t="shared" si="150"/>
        <v>8.6192255434780485E-3</v>
      </c>
      <c r="BZ82" s="1">
        <f t="shared" si="150"/>
        <v>8.545569353820337E-3</v>
      </c>
      <c r="CA82" s="1">
        <f t="shared" si="150"/>
        <v>8.4731613657234028E-3</v>
      </c>
      <c r="CB82" s="1">
        <f t="shared" si="150"/>
        <v>8.4019701171309524E-3</v>
      </c>
      <c r="CC82" s="1">
        <f t="shared" si="150"/>
        <v>8.3319651945492623E-3</v>
      </c>
      <c r="CD82" s="1">
        <f t="shared" si="150"/>
        <v>8.2631171897260547E-3</v>
      </c>
      <c r="CE82" s="1">
        <f t="shared" si="150"/>
        <v>8.1953976584576704E-3</v>
      </c>
      <c r="CF82" s="1">
        <f t="shared" si="150"/>
        <v>8.1287790814079663E-3</v>
      </c>
      <c r="CG82" s="1">
        <f t="shared" si="150"/>
        <v>8.0632348268192544E-3</v>
      </c>
      <c r="CH82" s="1">
        <f t="shared" si="150"/>
        <v>7.9987391150164733E-3</v>
      </c>
      <c r="CI82" s="1">
        <f t="shared" si="150"/>
        <v>7.9352669845984547E-3</v>
      </c>
      <c r="CJ82" s="1">
        <f t="shared" si="150"/>
        <v>7.8727942602287992E-3</v>
      </c>
      <c r="CK82" s="1">
        <f t="shared" si="150"/>
        <v>7.8112975219331027E-3</v>
      </c>
      <c r="CL82" s="1">
        <f t="shared" si="150"/>
        <v>7.7507540758274818E-3</v>
      </c>
      <c r="CM82" s="1">
        <f t="shared" si="150"/>
        <v>7.6911419261953551E-3</v>
      </c>
      <c r="CN82" s="1">
        <f t="shared" si="150"/>
        <v>7.6324397488438667E-3</v>
      </c>
      <c r="CO82" s="1">
        <f t="shared" si="150"/>
        <v>7.5746268656715632E-3</v>
      </c>
      <c r="CP82" s="1">
        <f t="shared" si="150"/>
        <v>7.5176832203829314E-3</v>
      </c>
      <c r="CQ82" s="1">
        <f t="shared" si="150"/>
        <v>7.4615893552891777E-3</v>
      </c>
      <c r="CR82" s="1">
        <f t="shared" si="150"/>
        <v>7.4063263891421816E-3</v>
      </c>
      <c r="CS82" s="1">
        <f t="shared" si="150"/>
        <v>7.3518759959438906E-3</v>
      </c>
      <c r="CT82" s="1">
        <f t="shared" si="150"/>
        <v>7.2982203846845284E-3</v>
      </c>
      <c r="CU82" s="1">
        <f t="shared" si="150"/>
        <v>7.2453422799629852E-3</v>
      </c>
      <c r="CV82" s="1">
        <f t="shared" si="150"/>
        <v>7.1932249034407647E-3</v>
      </c>
      <c r="CW82" s="1">
        <f t="shared" si="150"/>
        <v>7.1418519560935145E-3</v>
      </c>
      <c r="CX82" s="1">
        <f t="shared" si="150"/>
        <v>7.0912076012157321E-3</v>
      </c>
      <c r="CY82" s="1">
        <f t="shared" si="150"/>
        <v>7.0412764481442291E-3</v>
      </c>
      <c r="CZ82" s="1">
        <f t="shared" si="150"/>
        <v>6.9920435366652711E-3</v>
      </c>
      <c r="DA82" s="1">
        <f t="shared" si="150"/>
        <v>6.9434943220687551E-3</v>
      </c>
      <c r="DB82" s="1">
        <f t="shared" si="150"/>
        <v>6.89561466082389E-3</v>
      </c>
      <c r="DC82" s="1">
        <f t="shared" si="150"/>
        <v>6.8483907968424074E-3</v>
      </c>
      <c r="DD82" s="1">
        <f t="shared" si="150"/>
        <v>6.8018093482995479E-3</v>
      </c>
      <c r="DE82" s="1">
        <f t="shared" si="150"/>
        <v>6.7558572949946161E-3</v>
      </c>
      <c r="DF82" s="1">
        <f t="shared" si="150"/>
        <v>6.7105219662160209E-3</v>
      </c>
      <c r="DG82" s="1">
        <f t="shared" si="150"/>
        <v>6.6657910290930378E-3</v>
      </c>
      <c r="DH82" s="1">
        <f t="shared" si="150"/>
        <v>6.6216524774114216E-3</v>
      </c>
      <c r="DI82" s="1">
        <f t="shared" si="150"/>
        <v>6.5780946208684465E-3</v>
      </c>
      <c r="DJ82" s="1">
        <f t="shared" si="150"/>
        <v>6.5351060747513845E-3</v>
      </c>
      <c r="DK82" s="1">
        <f t="shared" si="150"/>
        <v>6.4926757500161081E-3</v>
      </c>
      <c r="DL82" s="1">
        <f t="shared" si="150"/>
        <v>6.450792843750941E-3</v>
      </c>
      <c r="DM82" s="1">
        <f t="shared" si="150"/>
        <v>6.409446830007548E-3</v>
      </c>
      <c r="DN82" s="1">
        <f t="shared" si="150"/>
        <v>6.3686274509804353E-3</v>
      </c>
      <c r="DO82" s="1">
        <f t="shared" si="150"/>
        <v>6.3283247085230698E-3</v>
      </c>
      <c r="DP82" s="1">
        <f t="shared" si="150"/>
        <v>6.2885288559832997E-3</v>
      </c>
      <c r="DQ82" s="1">
        <f t="shared" si="150"/>
        <v>6.2492303903460833E-3</v>
      </c>
      <c r="DR82" s="1">
        <f t="shared" si="150"/>
        <v>6.2104200446659874E-3</v>
      </c>
    </row>
    <row r="83" spans="22:122" x14ac:dyDescent="0.25"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</row>
    <row r="84" spans="22:122" x14ac:dyDescent="0.25">
      <c r="V84" s="1" t="s">
        <v>521</v>
      </c>
      <c r="AG84" s="1">
        <f t="shared" ref="AG84:AP84" si="151">AG71/AF71-1</f>
        <v>0.10792855410975499</v>
      </c>
      <c r="AH84" s="1">
        <f t="shared" si="151"/>
        <v>9.7414723818972204E-2</v>
      </c>
      <c r="AI84" s="1">
        <f t="shared" si="151"/>
        <v>8.8767465666919287E-2</v>
      </c>
      <c r="AJ84" s="1">
        <f t="shared" si="151"/>
        <v>8.1530233466835966E-2</v>
      </c>
      <c r="AK84" s="1">
        <f t="shared" si="151"/>
        <v>7.5384146410305775E-2</v>
      </c>
      <c r="AL84" s="1">
        <f t="shared" si="151"/>
        <v>7.0099737532808293E-2</v>
      </c>
      <c r="AM84" s="1">
        <f t="shared" si="151"/>
        <v>6.5507667252052926E-2</v>
      </c>
      <c r="AN84" s="1">
        <f t="shared" si="151"/>
        <v>6.1480240138484632E-2</v>
      </c>
      <c r="AO84" s="1">
        <f t="shared" si="151"/>
        <v>5.7919344905058345E-2</v>
      </c>
      <c r="AP84" s="1">
        <f t="shared" si="151"/>
        <v>5.4748355991406816E-2</v>
      </c>
      <c r="AQ84" s="1">
        <f t="shared" ref="AQ84:BT84" si="152">AQ71/AP71-1</f>
        <v>5.1906557313328383E-2</v>
      </c>
      <c r="AR84" s="1">
        <f t="shared" si="152"/>
        <v>4.9345216980016593E-2</v>
      </c>
      <c r="AS84" s="1">
        <f t="shared" si="152"/>
        <v>4.7024769524399712E-2</v>
      </c>
      <c r="AT84" s="1">
        <f t="shared" si="152"/>
        <v>4.4912757456311514E-2</v>
      </c>
      <c r="AU84" s="1">
        <f t="shared" si="152"/>
        <v>4.2982303676380784E-2</v>
      </c>
      <c r="AV84" s="1">
        <f t="shared" si="152"/>
        <v>4.1210961609677854E-2</v>
      </c>
      <c r="AW84" s="1">
        <f t="shared" si="152"/>
        <v>3.9579838408507539E-2</v>
      </c>
      <c r="AX84" s="1">
        <f t="shared" si="152"/>
        <v>3.8072918448572635E-2</v>
      </c>
      <c r="AY84" s="1">
        <f t="shared" si="152"/>
        <v>3.6676535696041235E-2</v>
      </c>
      <c r="AZ84" s="1">
        <f t="shared" si="152"/>
        <v>3.5378958077233014E-2</v>
      </c>
      <c r="BA84" s="1">
        <f t="shared" si="152"/>
        <v>3.4170057060975978E-2</v>
      </c>
      <c r="BB84" s="1">
        <f t="shared" si="152"/>
        <v>3.3041042745024285E-2</v>
      </c>
      <c r="BC84" s="1">
        <f t="shared" si="152"/>
        <v>3.1984249780847795E-2</v>
      </c>
      <c r="BD84" s="1">
        <f t="shared" si="152"/>
        <v>3.0992963107372873E-2</v>
      </c>
      <c r="BE84" s="1">
        <f t="shared" si="152"/>
        <v>3.0061275116719965E-2</v>
      </c>
      <c r="BF84" s="1">
        <f t="shared" si="152"/>
        <v>2.9183967830761715E-2</v>
      </c>
      <c r="BG84" s="1">
        <f t="shared" si="152"/>
        <v>2.8356415123987677E-2</v>
      </c>
      <c r="BH84" s="1">
        <f t="shared" si="152"/>
        <v>2.7574501123298623E-2</v>
      </c>
      <c r="BI84" s="1">
        <f t="shared" si="152"/>
        <v>2.6834551746034219E-2</v>
      </c>
      <c r="BJ84" s="1">
        <f t="shared" si="152"/>
        <v>2.6133276972813979E-2</v>
      </c>
      <c r="BK84" s="1">
        <f t="shared" si="152"/>
        <v>2.5467721941451194E-2</v>
      </c>
      <c r="BL84" s="1">
        <f t="shared" si="152"/>
        <v>2.483522532843363E-2</v>
      </c>
      <c r="BM84" s="1">
        <f t="shared" si="152"/>
        <v>2.4233383781743445E-2</v>
      </c>
      <c r="BN84" s="1">
        <f t="shared" si="152"/>
        <v>2.3660021402804876E-2</v>
      </c>
      <c r="BO84" s="1">
        <f t="shared" si="152"/>
        <v>2.3113163460639852E-2</v>
      </c>
      <c r="BP84" s="1">
        <f t="shared" si="152"/>
        <v>2.2591013668967319E-2</v>
      </c>
      <c r="BQ84" s="1">
        <f t="shared" si="152"/>
        <v>2.2091934475262809E-2</v>
      </c>
      <c r="BR84" s="1">
        <f t="shared" si="152"/>
        <v>2.1614429906057886E-2</v>
      </c>
      <c r="BS84" s="1">
        <f t="shared" si="152"/>
        <v>2.1157130589909201E-2</v>
      </c>
      <c r="BT84" s="1">
        <f t="shared" si="152"/>
        <v>2.0718780642198453E-2</v>
      </c>
      <c r="BU84" s="1">
        <f t="shared" ref="BU84:DR84" si="153">BU71/BT71-1</f>
        <v>2.0298226147228204E-2</v>
      </c>
      <c r="BV84" s="1">
        <f t="shared" si="153"/>
        <v>1.9894405015165928E-2</v>
      </c>
      <c r="BW84" s="1">
        <f t="shared" si="153"/>
        <v>1.9506338026111569E-2</v>
      </c>
      <c r="BX84" s="1">
        <f t="shared" si="153"/>
        <v>1.9133120902297129E-2</v>
      </c>
      <c r="BY84" s="1">
        <f t="shared" si="153"/>
        <v>1.8773917273297247E-2</v>
      </c>
      <c r="BZ84" s="1">
        <f t="shared" si="153"/>
        <v>1.8427952419065363E-2</v>
      </c>
      <c r="CA84" s="1">
        <f t="shared" si="153"/>
        <v>1.809450769226606E-2</v>
      </c>
      <c r="CB84" s="1">
        <f t="shared" si="153"/>
        <v>1.7772915535396727E-2</v>
      </c>
      <c r="CC84" s="1">
        <f t="shared" si="153"/>
        <v>1.7462555019994275E-2</v>
      </c>
      <c r="CD84" s="1">
        <f t="shared" si="153"/>
        <v>1.7162847845197726E-2</v>
      </c>
      <c r="CE84" s="1">
        <f t="shared" si="153"/>
        <v>1.6873254741417432E-2</v>
      </c>
      <c r="CF84" s="1">
        <f t="shared" si="153"/>
        <v>1.6593272232052314E-2</v>
      </c>
      <c r="CG84" s="1">
        <f t="shared" si="153"/>
        <v>1.6322429712346764E-2</v>
      </c>
      <c r="CH84" s="1">
        <f t="shared" si="153"/>
        <v>1.6060286809734814E-2</v>
      </c>
      <c r="CI84" s="1">
        <f t="shared" si="153"/>
        <v>1.5806430994524501E-2</v>
      </c>
      <c r="CJ84" s="1">
        <f t="shared" si="153"/>
        <v>1.556047541365646E-2</v>
      </c>
      <c r="CK84" s="1">
        <f t="shared" si="153"/>
        <v>1.5322056923609884E-2</v>
      </c>
      <c r="CL84" s="1">
        <f t="shared" si="153"/>
        <v>1.5090834301418887E-2</v>
      </c>
      <c r="CM84" s="1">
        <f t="shared" si="153"/>
        <v>1.4866486615263685E-2</v>
      </c>
      <c r="CN84" s="1">
        <f t="shared" si="153"/>
        <v>1.4648711738275866E-2</v>
      </c>
      <c r="CO84" s="1">
        <f t="shared" si="153"/>
        <v>1.443722499108091E-2</v>
      </c>
      <c r="CP84" s="1">
        <f t="shared" si="153"/>
        <v>1.4231757900255992E-2</v>
      </c>
      <c r="CQ84" s="1">
        <f t="shared" si="153"/>
        <v>1.4032057061317049E-2</v>
      </c>
      <c r="CR84" s="1">
        <f t="shared" si="153"/>
        <v>1.3837883096104564E-2</v>
      </c>
      <c r="CS84" s="1">
        <f t="shared" si="153"/>
        <v>1.3649009695559933E-2</v>
      </c>
      <c r="CT84" s="1">
        <f t="shared" si="153"/>
        <v>1.3465222739831084E-2</v>
      </c>
      <c r="CU84" s="1">
        <f t="shared" si="153"/>
        <v>1.3286319488525322E-2</v>
      </c>
      <c r="CV84" s="1">
        <f t="shared" si="153"/>
        <v>1.3112107834666098E-2</v>
      </c>
      <c r="CW84" s="1">
        <f t="shared" si="153"/>
        <v>1.2942405616581443E-2</v>
      </c>
      <c r="CX84" s="1">
        <f t="shared" si="153"/>
        <v>1.27770399825482E-2</v>
      </c>
      <c r="CY84" s="1">
        <f t="shared" si="153"/>
        <v>1.2615846803525788E-2</v>
      </c>
      <c r="CZ84" s="1">
        <f t="shared" si="153"/>
        <v>1.2458670129792404E-2</v>
      </c>
      <c r="DA84" s="1">
        <f t="shared" si="153"/>
        <v>1.2305361687697802E-2</v>
      </c>
      <c r="DB84" s="1">
        <f t="shared" si="153"/>
        <v>1.2155780413118267E-2</v>
      </c>
      <c r="DC84" s="1">
        <f t="shared" si="153"/>
        <v>1.2009792018533583E-2</v>
      </c>
      <c r="DD84" s="1">
        <f t="shared" si="153"/>
        <v>1.1867268590928459E-2</v>
      </c>
      <c r="DE84" s="1">
        <f t="shared" si="153"/>
        <v>1.172808821798732E-2</v>
      </c>
      <c r="DF84" s="1">
        <f t="shared" si="153"/>
        <v>1.1592134640291407E-2</v>
      </c>
      <c r="DG84" s="1">
        <f t="shared" si="153"/>
        <v>1.1459296927425644E-2</v>
      </c>
      <c r="DH84" s="1">
        <f t="shared" si="153"/>
        <v>1.1329469176106555E-2</v>
      </c>
      <c r="DI84" s="1">
        <f t="shared" si="153"/>
        <v>1.120255022859773E-2</v>
      </c>
      <c r="DJ84" s="1">
        <f t="shared" si="153"/>
        <v>1.1078443409844096E-2</v>
      </c>
      <c r="DK84" s="1">
        <f t="shared" si="153"/>
        <v>1.0957056281887034E-2</v>
      </c>
      <c r="DL84" s="1">
        <f t="shared" si="153"/>
        <v>1.0838300414248048E-2</v>
      </c>
      <c r="DM84" s="1">
        <f t="shared" si="153"/>
        <v>1.0722091169088621E-2</v>
      </c>
      <c r="DN84" s="1">
        <f t="shared" si="153"/>
        <v>1.0608347500039583E-2</v>
      </c>
      <c r="DO84" s="1">
        <f t="shared" si="153"/>
        <v>1.0496991763705221E-2</v>
      </c>
      <c r="DP84" s="1">
        <f t="shared" si="153"/>
        <v>1.0387949542911556E-2</v>
      </c>
      <c r="DQ84" s="1">
        <f t="shared" si="153"/>
        <v>1.0281149480861229E-2</v>
      </c>
      <c r="DR84" s="1">
        <f t="shared" si="153"/>
        <v>1.0176523125413395E-2</v>
      </c>
    </row>
    <row r="85" spans="22:122" x14ac:dyDescent="0.25">
      <c r="V85" s="1" t="s">
        <v>716</v>
      </c>
      <c r="AG85" s="1">
        <f t="shared" ref="AG85:AP85" si="154">AG72/AF72-1</f>
        <v>0.13521142095020311</v>
      </c>
      <c r="AH85" s="1">
        <f t="shared" si="154"/>
        <v>0.1191068187430917</v>
      </c>
      <c r="AI85" s="1">
        <f t="shared" si="154"/>
        <v>0.106430250221212</v>
      </c>
      <c r="AJ85" s="1">
        <f t="shared" si="154"/>
        <v>9.6192462380645383E-2</v>
      </c>
      <c r="AK85" s="1">
        <f t="shared" si="154"/>
        <v>8.7751435702942526E-2</v>
      </c>
      <c r="AL85" s="1">
        <f t="shared" si="154"/>
        <v>8.0672323494783038E-2</v>
      </c>
      <c r="AM85" s="1">
        <f t="shared" si="154"/>
        <v>7.4650124502029458E-2</v>
      </c>
      <c r="AN85" s="1">
        <f t="shared" si="154"/>
        <v>6.9464584612243696E-2</v>
      </c>
      <c r="AO85" s="1">
        <f t="shared" si="154"/>
        <v>6.4952674087314088E-2</v>
      </c>
      <c r="AP85" s="1">
        <f t="shared" si="154"/>
        <v>6.0991136665279333E-2</v>
      </c>
      <c r="AQ85" s="1">
        <f t="shared" ref="AQ85:BT85" si="155">AQ72/AP72-1</f>
        <v>5.7485057657480132E-2</v>
      </c>
      <c r="AR85" s="1">
        <f t="shared" si="155"/>
        <v>5.4360160686166337E-2</v>
      </c>
      <c r="AS85" s="1">
        <f t="shared" si="155"/>
        <v>5.155748738722199E-2</v>
      </c>
      <c r="AT85" s="1">
        <f t="shared" si="155"/>
        <v>4.9029642226527725E-2</v>
      </c>
      <c r="AU85" s="1">
        <f t="shared" si="155"/>
        <v>4.6738090376992725E-2</v>
      </c>
      <c r="AV85" s="1">
        <f t="shared" si="155"/>
        <v>4.4651179513453432E-2</v>
      </c>
      <c r="AW85" s="1">
        <f t="shared" si="155"/>
        <v>4.2742668930168426E-2</v>
      </c>
      <c r="AX85" s="1">
        <f t="shared" si="155"/>
        <v>4.0990620412629131E-2</v>
      </c>
      <c r="AY85" s="1">
        <f t="shared" si="155"/>
        <v>3.9376551151230732E-2</v>
      </c>
      <c r="AZ85" s="1">
        <f t="shared" si="155"/>
        <v>3.7884779205011432E-2</v>
      </c>
      <c r="BA85" s="1">
        <f t="shared" si="155"/>
        <v>3.6501912316345919E-2</v>
      </c>
      <c r="BB85" s="1">
        <f t="shared" si="155"/>
        <v>3.5216444738411123E-2</v>
      </c>
      <c r="BC85" s="1">
        <f t="shared" si="155"/>
        <v>3.4018436354447346E-2</v>
      </c>
      <c r="BD85" s="1">
        <f t="shared" si="155"/>
        <v>3.2899255137445627E-2</v>
      </c>
      <c r="BE85" s="1">
        <f t="shared" si="155"/>
        <v>3.1851368827899629E-2</v>
      </c>
      <c r="BF85" s="1">
        <f t="shared" si="155"/>
        <v>3.0868175194728176E-2</v>
      </c>
      <c r="BG85" s="1">
        <f t="shared" si="155"/>
        <v>2.9943862792055853E-2</v>
      </c>
      <c r="BH85" s="1">
        <f t="shared" si="155"/>
        <v>2.9073296005553084E-2</v>
      </c>
      <c r="BI85" s="1">
        <f t="shared" si="155"/>
        <v>2.8251919584740603E-2</v>
      </c>
      <c r="BJ85" s="1">
        <f t="shared" si="155"/>
        <v>2.7475678913539303E-2</v>
      </c>
      <c r="BK85" s="1">
        <f t="shared" si="155"/>
        <v>2.6740953073061569E-2</v>
      </c>
      <c r="BL85" s="1">
        <f t="shared" si="155"/>
        <v>2.6044498364485635E-2</v>
      </c>
      <c r="BM85" s="1">
        <f t="shared" si="155"/>
        <v>2.5383400433412584E-2</v>
      </c>
      <c r="BN85" s="1">
        <f t="shared" si="155"/>
        <v>2.4755033505207136E-2</v>
      </c>
      <c r="BO85" s="1">
        <f t="shared" si="155"/>
        <v>2.415702552885457E-2</v>
      </c>
      <c r="BP85" s="1">
        <f t="shared" si="155"/>
        <v>2.3587228253773018E-2</v>
      </c>
      <c r="BQ85" s="1">
        <f t="shared" si="155"/>
        <v>2.3043691443876968E-2</v>
      </c>
      <c r="BR85" s="1">
        <f t="shared" si="155"/>
        <v>2.2524640576546462E-2</v>
      </c>
      <c r="BS85" s="1">
        <f t="shared" si="155"/>
        <v>2.2028457489147835E-2</v>
      </c>
      <c r="BT85" s="1">
        <f t="shared" si="155"/>
        <v>2.1553663528377731E-2</v>
      </c>
      <c r="BU85" s="1">
        <f t="shared" ref="BU85:DR85" si="156">BU72/BT72-1</f>
        <v>2.1098904832794307E-2</v>
      </c>
      <c r="BV85" s="1">
        <f t="shared" si="156"/>
        <v>2.0662939439984429E-2</v>
      </c>
      <c r="BW85" s="1">
        <f t="shared" si="156"/>
        <v>2.0244625959791929E-2</v>
      </c>
      <c r="BX85" s="1">
        <f t="shared" si="156"/>
        <v>1.9842913596086698E-2</v>
      </c>
      <c r="BY85" s="1">
        <f t="shared" si="156"/>
        <v>1.9456833333398649E-2</v>
      </c>
      <c r="BZ85" s="1">
        <f t="shared" si="156"/>
        <v>1.9085490132798366E-2</v>
      </c>
      <c r="CA85" s="1">
        <f t="shared" si="156"/>
        <v>1.8728056004714055E-2</v>
      </c>
      <c r="CB85" s="1">
        <f t="shared" si="156"/>
        <v>1.8383763845831735E-2</v>
      </c>
      <c r="CC85" s="1">
        <f t="shared" si="156"/>
        <v>1.8051901943533899E-2</v>
      </c>
      <c r="CD85" s="1">
        <f t="shared" si="156"/>
        <v>1.7731809065010706E-2</v>
      </c>
      <c r="CE85" s="1">
        <f t="shared" si="156"/>
        <v>1.7422870059746964E-2</v>
      </c>
      <c r="CF85" s="1">
        <f t="shared" si="156"/>
        <v>1.7124511913835461E-2</v>
      </c>
      <c r="CG85" s="1">
        <f t="shared" si="156"/>
        <v>1.6836200202877682E-2</v>
      </c>
      <c r="CH85" s="1">
        <f t="shared" si="156"/>
        <v>1.6557435897264883E-2</v>
      </c>
      <c r="CI85" s="1">
        <f t="shared" si="156"/>
        <v>1.6287752479672291E-2</v>
      </c>
      <c r="CJ85" s="1">
        <f t="shared" si="156"/>
        <v>1.6026713339732046E-2</v>
      </c>
      <c r="CK85" s="1">
        <f t="shared" si="156"/>
        <v>1.5773909415286447E-2</v>
      </c>
      <c r="CL85" s="1">
        <f t="shared" si="156"/>
        <v>1.5528957053412062E-2</v>
      </c>
      <c r="CM85" s="1">
        <f t="shared" si="156"/>
        <v>1.5291496067694421E-2</v>
      </c>
      <c r="CN85" s="1">
        <f t="shared" si="156"/>
        <v>1.506118797105982E-2</v>
      </c>
      <c r="CO85" s="1">
        <f t="shared" si="156"/>
        <v>1.4837714365933952E-2</v>
      </c>
      <c r="CP85" s="1">
        <f t="shared" si="156"/>
        <v>1.4620775475618242E-2</v>
      </c>
      <c r="CQ85" s="1">
        <f t="shared" si="156"/>
        <v>1.4410088802650822E-2</v>
      </c>
      <c r="CR85" s="1">
        <f t="shared" si="156"/>
        <v>1.4205387901514044E-2</v>
      </c>
      <c r="CS85" s="1">
        <f t="shared" si="156"/>
        <v>1.4006421254482149E-2</v>
      </c>
      <c r="CT85" s="1">
        <f t="shared" si="156"/>
        <v>1.3812951240638194E-2</v>
      </c>
      <c r="CU85" s="1">
        <f t="shared" si="156"/>
        <v>1.3624753189170224E-2</v>
      </c>
      <c r="CV85" s="1">
        <f t="shared" si="156"/>
        <v>1.3441614509021038E-2</v>
      </c>
      <c r="CW85" s="1">
        <f t="shared" si="156"/>
        <v>1.3263333887796769E-2</v>
      </c>
      <c r="CX85" s="1">
        <f t="shared" si="156"/>
        <v>1.3089720553596473E-2</v>
      </c>
      <c r="CY85" s="1">
        <f t="shared" si="156"/>
        <v>1.2920593594063501E-2</v>
      </c>
      <c r="CZ85" s="1">
        <f t="shared" si="156"/>
        <v>1.2755781327555615E-2</v>
      </c>
      <c r="DA85" s="1">
        <f t="shared" si="156"/>
        <v>1.2595120721833553E-2</v>
      </c>
      <c r="DB85" s="1">
        <f t="shared" si="156"/>
        <v>1.2438456856137092E-2</v>
      </c>
      <c r="DC85" s="1">
        <f t="shared" si="156"/>
        <v>1.2285642422910081E-2</v>
      </c>
      <c r="DD85" s="1">
        <f t="shared" si="156"/>
        <v>1.2136537265809988E-2</v>
      </c>
      <c r="DE85" s="1">
        <f t="shared" si="156"/>
        <v>1.1991007950958421E-2</v>
      </c>
      <c r="DF85" s="1">
        <f t="shared" si="156"/>
        <v>1.1848927368670159E-2</v>
      </c>
      <c r="DG85" s="1">
        <f t="shared" si="156"/>
        <v>1.1710174363166903E-2</v>
      </c>
      <c r="DH85" s="1">
        <f t="shared" si="156"/>
        <v>1.1574633388003575E-2</v>
      </c>
      <c r="DI85" s="1">
        <f t="shared" si="156"/>
        <v>1.1442194185155907E-2</v>
      </c>
      <c r="DJ85" s="1">
        <f t="shared" si="156"/>
        <v>1.1312751485886174E-2</v>
      </c>
      <c r="DK85" s="1">
        <f t="shared" si="156"/>
        <v>1.1186204731686189E-2</v>
      </c>
      <c r="DL85" s="1">
        <f t="shared" si="156"/>
        <v>1.1062457813746152E-2</v>
      </c>
      <c r="DM85" s="1">
        <f t="shared" si="156"/>
        <v>1.0941418829521821E-2</v>
      </c>
      <c r="DN85" s="1">
        <f t="shared" si="156"/>
        <v>1.0822999855115256E-2</v>
      </c>
      <c r="DO85" s="1">
        <f t="shared" si="156"/>
        <v>1.0707116732273203E-2</v>
      </c>
      <c r="DP85" s="1">
        <f t="shared" si="156"/>
        <v>1.0593688868927975E-2</v>
      </c>
      <c r="DQ85" s="1">
        <f t="shared" si="156"/>
        <v>1.0482639052282972E-2</v>
      </c>
      <c r="DR85" s="1">
        <f t="shared" si="156"/>
        <v>1.0373893273529777E-2</v>
      </c>
    </row>
    <row r="86" spans="22:122" x14ac:dyDescent="0.25"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81F0-E15B-4A2D-9A91-237B201D88FC}">
  <dimension ref="A1:AE36"/>
  <sheetViews>
    <sheetView topLeftCell="F28" zoomScale="78" zoomScaleNormal="55" workbookViewId="0">
      <selection activeCell="AA15" sqref="AA15"/>
    </sheetView>
  </sheetViews>
  <sheetFormatPr defaultRowHeight="14.4" x14ac:dyDescent="0.3"/>
  <cols>
    <col min="1" max="1" width="10" customWidth="1"/>
    <col min="2" max="2" width="14.88671875" customWidth="1"/>
    <col min="3" max="3" width="23.21875" customWidth="1"/>
    <col min="4" max="4" width="37.33203125" customWidth="1"/>
    <col min="5" max="5" width="37.44140625" customWidth="1"/>
    <col min="6" max="6" width="14.44140625" customWidth="1"/>
  </cols>
  <sheetData>
    <row r="1" spans="1:31" x14ac:dyDescent="0.3">
      <c r="A1" t="s">
        <v>746</v>
      </c>
      <c r="B1" t="s">
        <v>725</v>
      </c>
      <c r="C1" t="s">
        <v>747</v>
      </c>
      <c r="D1" t="s">
        <v>748</v>
      </c>
      <c r="E1" t="s">
        <v>749</v>
      </c>
      <c r="F1" t="s">
        <v>750</v>
      </c>
      <c r="G1" t="s">
        <v>752</v>
      </c>
      <c r="H1" t="s">
        <v>751</v>
      </c>
    </row>
    <row r="2" spans="1:31" x14ac:dyDescent="0.3">
      <c r="A2" s="77">
        <v>42735</v>
      </c>
      <c r="B2" s="5">
        <v>91154</v>
      </c>
    </row>
    <row r="3" spans="1:31" x14ac:dyDescent="0.3">
      <c r="A3" s="77">
        <v>43100</v>
      </c>
      <c r="B3" s="5">
        <v>96571</v>
      </c>
      <c r="I3">
        <v>386708.11809619027</v>
      </c>
      <c r="J3">
        <v>412754.55291425413</v>
      </c>
      <c r="K3">
        <v>438800.98773231806</v>
      </c>
      <c r="L3">
        <v>464847.42255038192</v>
      </c>
      <c r="M3">
        <v>490893.85736844572</v>
      </c>
      <c r="N3">
        <v>516940.29218650953</v>
      </c>
      <c r="O3">
        <v>542986.72700457345</v>
      </c>
      <c r="P3">
        <v>569033.16182263743</v>
      </c>
      <c r="Q3">
        <v>595079.59664070129</v>
      </c>
      <c r="R3">
        <v>621126.03145876527</v>
      </c>
      <c r="S3">
        <v>647172.46627682913</v>
      </c>
      <c r="T3">
        <v>673218.90109489299</v>
      </c>
      <c r="U3">
        <v>699265.33591295686</v>
      </c>
      <c r="V3">
        <v>725311.77073102072</v>
      </c>
      <c r="W3">
        <v>751358.2055490847</v>
      </c>
      <c r="X3">
        <v>777404.64036714868</v>
      </c>
      <c r="Y3">
        <v>803451.07518521254</v>
      </c>
      <c r="Z3">
        <v>829497.51000327629</v>
      </c>
      <c r="AA3">
        <v>855543.94482134038</v>
      </c>
      <c r="AB3">
        <v>881590.37963940436</v>
      </c>
      <c r="AC3">
        <v>907636.81445746822</v>
      </c>
      <c r="AD3">
        <v>933683.24927553209</v>
      </c>
      <c r="AE3">
        <v>959729.68409359595</v>
      </c>
    </row>
    <row r="4" spans="1:31" x14ac:dyDescent="0.3">
      <c r="A4" s="77">
        <v>43465</v>
      </c>
      <c r="B4" s="5">
        <v>110360</v>
      </c>
      <c r="I4">
        <v>407158.25809752557</v>
      </c>
      <c r="J4">
        <v>454562.15489734465</v>
      </c>
      <c r="K4">
        <v>505996.04812783917</v>
      </c>
      <c r="L4">
        <v>561400.46599702234</v>
      </c>
      <c r="M4">
        <v>620586.11605118925</v>
      </c>
      <c r="N4">
        <v>683218.08915395546</v>
      </c>
      <c r="O4">
        <v>748804.50101565756</v>
      </c>
      <c r="P4">
        <v>816691.05154041434</v>
      </c>
      <c r="Q4">
        <v>886062.83445902891</v>
      </c>
      <c r="R4">
        <v>926205.33945029788</v>
      </c>
      <c r="S4">
        <v>966347.84444156662</v>
      </c>
      <c r="T4">
        <v>1006490.3494328355</v>
      </c>
      <c r="U4">
        <v>1046632.8544241043</v>
      </c>
      <c r="V4">
        <v>1086775.3594153733</v>
      </c>
      <c r="W4">
        <v>1126917.8644066423</v>
      </c>
      <c r="X4">
        <v>1167060.3693979108</v>
      </c>
      <c r="Y4">
        <v>1207202.87438918</v>
      </c>
      <c r="Z4">
        <v>1247345.3793804487</v>
      </c>
      <c r="AA4">
        <v>1287487.8843717179</v>
      </c>
      <c r="AB4">
        <v>1327630.3893629864</v>
      </c>
      <c r="AC4">
        <v>1367772.8943542554</v>
      </c>
      <c r="AD4">
        <v>1407915.3993455241</v>
      </c>
      <c r="AE4">
        <v>1448057.9043367931</v>
      </c>
    </row>
    <row r="5" spans="1:31" x14ac:dyDescent="0.3">
      <c r="A5" s="77">
        <v>43830</v>
      </c>
      <c r="B5" s="5">
        <v>125843</v>
      </c>
      <c r="I5">
        <v>363386.89649314678</v>
      </c>
      <c r="J5">
        <v>387727.29096199607</v>
      </c>
      <c r="K5">
        <v>411399.15246730263</v>
      </c>
      <c r="L5">
        <v>434119.26613542007</v>
      </c>
      <c r="M5">
        <v>455610.31233792601</v>
      </c>
      <c r="N5">
        <v>474441.81038533547</v>
      </c>
      <c r="O5">
        <v>491555.66007084073</v>
      </c>
      <c r="P5">
        <v>511709.77110005054</v>
      </c>
      <c r="Q5">
        <v>531667.97924415139</v>
      </c>
      <c r="R5">
        <v>551432.98069382412</v>
      </c>
      <c r="S5">
        <v>571007.46800761449</v>
      </c>
      <c r="T5">
        <v>590394.12585756998</v>
      </c>
      <c r="U5">
        <v>609595.6275449564</v>
      </c>
      <c r="V5">
        <v>628614.63213246595</v>
      </c>
      <c r="W5">
        <v>647453.7820746958</v>
      </c>
      <c r="X5">
        <v>666115.70125486178</v>
      </c>
      <c r="Y5">
        <v>684602.99335534836</v>
      </c>
      <c r="Z5">
        <v>702918.24050459405</v>
      </c>
      <c r="AA5">
        <v>721064.00215423515</v>
      </c>
      <c r="AB5">
        <v>739042.81414928008</v>
      </c>
      <c r="AC5">
        <v>756857.18796101678</v>
      </c>
      <c r="AD5">
        <v>774509.61005780171</v>
      </c>
      <c r="AE5">
        <v>792002.54139323207</v>
      </c>
    </row>
    <row r="6" spans="1:31" x14ac:dyDescent="0.3">
      <c r="A6" s="77">
        <v>44196</v>
      </c>
      <c r="B6" s="5">
        <v>143015</v>
      </c>
    </row>
    <row r="7" spans="1:31" x14ac:dyDescent="0.3">
      <c r="A7" s="77">
        <v>44561</v>
      </c>
      <c r="B7" s="5">
        <v>172567</v>
      </c>
    </row>
    <row r="8" spans="1:31" x14ac:dyDescent="0.3">
      <c r="A8" s="77">
        <v>44926</v>
      </c>
      <c r="B8" s="5">
        <v>203561</v>
      </c>
    </row>
    <row r="9" spans="1:31" x14ac:dyDescent="0.3">
      <c r="A9" s="77">
        <v>45291</v>
      </c>
      <c r="B9" s="5">
        <v>212241</v>
      </c>
    </row>
    <row r="10" spans="1:31" x14ac:dyDescent="0.3">
      <c r="A10" s="77">
        <v>45657</v>
      </c>
      <c r="B10" s="5">
        <v>245202</v>
      </c>
    </row>
    <row r="11" spans="1:31" x14ac:dyDescent="0.3">
      <c r="A11" s="77">
        <v>46022</v>
      </c>
      <c r="B11" s="5">
        <v>281724</v>
      </c>
    </row>
    <row r="12" spans="1:31" x14ac:dyDescent="0.3">
      <c r="A12" s="77">
        <v>46387</v>
      </c>
      <c r="B12">
        <v>321869.75404702633</v>
      </c>
      <c r="C12">
        <v>321869.75404702633</v>
      </c>
      <c r="D12">
        <v>306730.09152684436</v>
      </c>
      <c r="E12">
        <v>321446.93210402195</v>
      </c>
      <c r="F12">
        <f>MIN(Table1[[#This Row],[Lower Confidence Bound(Total Revenue)]:[Upper Confidence Bound(Total Revenue)]])-Table1[[#This Row],[Column1]]</f>
        <v>291590.42900666239</v>
      </c>
      <c r="G12">
        <v>15139.66252018197</v>
      </c>
      <c r="H12">
        <f>MAX(Table1[[#This Row],[Upper Confidence Bound(Total Revenue)]],Table1[[#This Row],[Lower Confidence Bound(Total Revenue)]])-Table1[[#This Row],[Shade base]]-Table1[[#This Row],[Column1]]</f>
        <v>14716.840577177587</v>
      </c>
    </row>
    <row r="13" spans="1:31" x14ac:dyDescent="0.3">
      <c r="A13" s="77">
        <v>46752</v>
      </c>
      <c r="C13">
        <v>360661.68327812635</v>
      </c>
      <c r="D13">
        <v>335779.11359760462</v>
      </c>
      <c r="E13">
        <v>363732.73747549643</v>
      </c>
      <c r="F13">
        <f>MIN(Table1[[#This Row],[Lower Confidence Bound(Total Revenue)]:[Upper Confidence Bound(Total Revenue)]])</f>
        <v>335779.11359760462</v>
      </c>
      <c r="G13">
        <v>24882.56968052173</v>
      </c>
      <c r="H13">
        <f>MAX(Table1[[#This Row],[Upper Confidence Bound(Total Revenue)]],Table1[[#This Row],[Lower Confidence Bound(Total Revenue)]])-Table1[[#This Row],[Shade base]]-Table1[[#This Row],[Column1]]</f>
        <v>3071.0541973700747</v>
      </c>
    </row>
    <row r="14" spans="1:31" x14ac:dyDescent="0.3">
      <c r="A14" s="77">
        <v>47118</v>
      </c>
      <c r="C14">
        <v>386708.11809619027</v>
      </c>
      <c r="D14">
        <v>363386.89649314678</v>
      </c>
      <c r="E14">
        <v>407158.25809752557</v>
      </c>
      <c r="F14">
        <f>MIN(Table1[[#This Row],[Lower Confidence Bound(Total Revenue)]:[Upper Confidence Bound(Total Revenue)]])</f>
        <v>363386.89649314678</v>
      </c>
      <c r="G14">
        <v>23321.221603043494</v>
      </c>
      <c r="H14">
        <f>MAX(Table1[[#This Row],[Upper Confidence Bound(Total Revenue)]],Table1[[#This Row],[Lower Confidence Bound(Total Revenue)]])-Table1[[#This Row],[Shade base]]-Table1[[#This Row],[Column1]]</f>
        <v>20450.140001335298</v>
      </c>
    </row>
    <row r="15" spans="1:31" x14ac:dyDescent="0.3">
      <c r="A15" s="77">
        <v>47483</v>
      </c>
      <c r="C15">
        <v>412754.55291425413</v>
      </c>
      <c r="D15">
        <v>387727.29096199607</v>
      </c>
      <c r="E15">
        <v>454562.15489734465</v>
      </c>
      <c r="F15">
        <f>MIN(Table1[[#This Row],[Lower Confidence Bound(Total Revenue)]:[Upper Confidence Bound(Total Revenue)]])</f>
        <v>387727.29096199607</v>
      </c>
      <c r="G15">
        <v>25027.261952258064</v>
      </c>
      <c r="H15">
        <f>MAX(Table1[[#This Row],[Upper Confidence Bound(Total Revenue)]],Table1[[#This Row],[Lower Confidence Bound(Total Revenue)]])-Table1[[#This Row],[Shade base]]-Table1[[#This Row],[Column1]]</f>
        <v>41807.601983090513</v>
      </c>
    </row>
    <row r="16" spans="1:31" x14ac:dyDescent="0.3">
      <c r="A16" s="77">
        <v>47848</v>
      </c>
      <c r="C16">
        <v>438800.98773231806</v>
      </c>
      <c r="D16">
        <v>411399.15246730263</v>
      </c>
      <c r="E16">
        <v>505996.04812783917</v>
      </c>
      <c r="F16">
        <f>MIN(Table1[[#This Row],[Lower Confidence Bound(Total Revenue)]:[Upper Confidence Bound(Total Revenue)]])</f>
        <v>411399.15246730263</v>
      </c>
      <c r="G16">
        <v>27401.835265015427</v>
      </c>
      <c r="H16">
        <f>MAX(Table1[[#This Row],[Upper Confidence Bound(Total Revenue)]],Table1[[#This Row],[Lower Confidence Bound(Total Revenue)]])-Table1[[#This Row],[Shade base]]-Table1[[#This Row],[Column1]]</f>
        <v>67195.060395521112</v>
      </c>
    </row>
    <row r="17" spans="1:8" x14ac:dyDescent="0.3">
      <c r="A17" s="77">
        <v>48213</v>
      </c>
      <c r="C17">
        <v>464847.42255038192</v>
      </c>
      <c r="D17">
        <v>434119.26613542007</v>
      </c>
      <c r="E17">
        <v>561400.46599702234</v>
      </c>
      <c r="F17">
        <f>MIN(Table1[[#This Row],[Lower Confidence Bound(Total Revenue)]:[Upper Confidence Bound(Total Revenue)]])</f>
        <v>434119.26613542007</v>
      </c>
      <c r="G17">
        <v>30728.15641496185</v>
      </c>
      <c r="H17">
        <f>MAX(Table1[[#This Row],[Upper Confidence Bound(Total Revenue)]],Table1[[#This Row],[Lower Confidence Bound(Total Revenue)]])-Table1[[#This Row],[Shade base]]-Table1[[#This Row],[Column1]]</f>
        <v>96553.043446640426</v>
      </c>
    </row>
    <row r="18" spans="1:8" x14ac:dyDescent="0.3">
      <c r="A18" s="77">
        <v>48579</v>
      </c>
      <c r="C18">
        <v>490893.85736844572</v>
      </c>
      <c r="D18">
        <v>455610.31233792601</v>
      </c>
      <c r="E18">
        <v>620586.11605118925</v>
      </c>
      <c r="F18">
        <f>MIN(Table1[[#This Row],[Lower Confidence Bound(Total Revenue)]:[Upper Confidence Bound(Total Revenue)]])</f>
        <v>455610.31233792601</v>
      </c>
      <c r="G18">
        <v>35283.545030519716</v>
      </c>
      <c r="H18">
        <f>MAX(Table1[[#This Row],[Upper Confidence Bound(Total Revenue)]],Table1[[#This Row],[Lower Confidence Bound(Total Revenue)]])-Table1[[#This Row],[Shade base]]-Table1[[#This Row],[Column1]]</f>
        <v>129692.25868274353</v>
      </c>
    </row>
    <row r="19" spans="1:8" x14ac:dyDescent="0.3">
      <c r="A19" s="77">
        <v>48944</v>
      </c>
      <c r="C19">
        <v>516940.29218650953</v>
      </c>
      <c r="D19">
        <v>474441.81038533547</v>
      </c>
      <c r="E19">
        <v>683218.08915395546</v>
      </c>
      <c r="F19">
        <f>MIN(Table1[[#This Row],[Lower Confidence Bound(Total Revenue)]:[Upper Confidence Bound(Total Revenue)]])</f>
        <v>474441.81038533547</v>
      </c>
      <c r="G19">
        <v>42498.481801174057</v>
      </c>
      <c r="H19">
        <f>MAX(Table1[[#This Row],[Upper Confidence Bound(Total Revenue)]],Table1[[#This Row],[Lower Confidence Bound(Total Revenue)]])-Table1[[#This Row],[Shade base]]-Table1[[#This Row],[Column1]]</f>
        <v>166277.79696744593</v>
      </c>
    </row>
    <row r="20" spans="1:8" x14ac:dyDescent="0.3">
      <c r="A20" s="77">
        <v>49309</v>
      </c>
      <c r="C20">
        <v>542986.72700457345</v>
      </c>
      <c r="D20">
        <v>491555.66007084073</v>
      </c>
      <c r="E20">
        <v>748804.50101565756</v>
      </c>
      <c r="F20">
        <f>MIN(Table1[[#This Row],[Lower Confidence Bound(Total Revenue)]:[Upper Confidence Bound(Total Revenue)]])</f>
        <v>491555.66007084073</v>
      </c>
      <c r="G20">
        <v>51431.066933732713</v>
      </c>
      <c r="H20">
        <f>MAX(Table1[[#This Row],[Upper Confidence Bound(Total Revenue)]],Table1[[#This Row],[Lower Confidence Bound(Total Revenue)]])-Table1[[#This Row],[Shade base]]-Table1[[#This Row],[Column1]]</f>
        <v>205817.77401108411</v>
      </c>
    </row>
    <row r="21" spans="1:8" x14ac:dyDescent="0.3">
      <c r="A21" s="77">
        <v>49674</v>
      </c>
      <c r="C21">
        <v>569033.16182263743</v>
      </c>
      <c r="D21">
        <v>511709.77110005054</v>
      </c>
      <c r="E21">
        <v>816691.05154041434</v>
      </c>
      <c r="F21">
        <f>MIN(Table1[[#This Row],[Lower Confidence Bound(Total Revenue)]:[Upper Confidence Bound(Total Revenue)]])</f>
        <v>511709.77110005054</v>
      </c>
      <c r="G21">
        <v>57323.39072258689</v>
      </c>
      <c r="H21">
        <f>MAX(Table1[[#This Row],[Upper Confidence Bound(Total Revenue)]],Table1[[#This Row],[Lower Confidence Bound(Total Revenue)]])-Table1[[#This Row],[Shade base]]-Table1[[#This Row],[Column1]]</f>
        <v>247657.88971777691</v>
      </c>
    </row>
    <row r="22" spans="1:8" x14ac:dyDescent="0.3">
      <c r="A22" s="77">
        <v>50040</v>
      </c>
      <c r="C22">
        <v>595079.59664070129</v>
      </c>
      <c r="D22">
        <v>531667.97924415139</v>
      </c>
      <c r="E22">
        <v>886062.83445902891</v>
      </c>
      <c r="F22">
        <f>MIN(Table1[[#This Row],[Lower Confidence Bound(Total Revenue)]:[Upper Confidence Bound(Total Revenue)]])</f>
        <v>531667.97924415139</v>
      </c>
      <c r="G22">
        <v>63411.617396549904</v>
      </c>
      <c r="H22">
        <f>MAX(Table1[[#This Row],[Upper Confidence Bound(Total Revenue)]],Table1[[#This Row],[Lower Confidence Bound(Total Revenue)]])-Table1[[#This Row],[Shade base]]-Table1[[#This Row],[Column1]]</f>
        <v>290983.23781832762</v>
      </c>
    </row>
    <row r="23" spans="1:8" x14ac:dyDescent="0.3">
      <c r="A23" s="77">
        <v>50405</v>
      </c>
      <c r="C23">
        <v>621126.03145876527</v>
      </c>
      <c r="D23">
        <v>551432.98069382412</v>
      </c>
      <c r="E23">
        <v>926205.33945029788</v>
      </c>
      <c r="F23">
        <f>MIN(Table1[[#This Row],[Lower Confidence Bound(Total Revenue)]:[Upper Confidence Bound(Total Revenue)]])</f>
        <v>551432.98069382412</v>
      </c>
      <c r="G23">
        <v>69693.050764941145</v>
      </c>
      <c r="H23">
        <f>MAX(Table1[[#This Row],[Upper Confidence Bound(Total Revenue)]],Table1[[#This Row],[Lower Confidence Bound(Total Revenue)]])-Table1[[#This Row],[Shade base]]-Table1[[#This Row],[Column1]]</f>
        <v>305079.30799153261</v>
      </c>
    </row>
    <row r="24" spans="1:8" x14ac:dyDescent="0.3">
      <c r="A24" s="77">
        <v>50770</v>
      </c>
      <c r="C24">
        <v>647172.46627682913</v>
      </c>
      <c r="D24">
        <v>571007.46800761449</v>
      </c>
      <c r="E24">
        <v>966347.84444156662</v>
      </c>
      <c r="F24">
        <f>MIN(Table1[[#This Row],[Lower Confidence Bound(Total Revenue)]:[Upper Confidence Bound(Total Revenue)]])</f>
        <v>571007.46800761449</v>
      </c>
      <c r="G24">
        <v>76164.998269214644</v>
      </c>
      <c r="H24">
        <f>MAX(Table1[[#This Row],[Upper Confidence Bound(Total Revenue)]],Table1[[#This Row],[Lower Confidence Bound(Total Revenue)]])-Table1[[#This Row],[Shade base]]-Table1[[#This Row],[Column1]]</f>
        <v>319175.37816473749</v>
      </c>
    </row>
    <row r="25" spans="1:8" x14ac:dyDescent="0.3">
      <c r="A25" s="77">
        <v>51135</v>
      </c>
      <c r="C25">
        <v>673218.90109489299</v>
      </c>
      <c r="D25">
        <v>590394.12585756998</v>
      </c>
      <c r="E25">
        <v>1006490.3494328355</v>
      </c>
      <c r="F25">
        <f>MIN(Table1[[#This Row],[Lower Confidence Bound(Total Revenue)]:[Upper Confidence Bound(Total Revenue)]])</f>
        <v>590394.12585756998</v>
      </c>
      <c r="G25">
        <v>82824.775237323018</v>
      </c>
      <c r="H25">
        <f>MAX(Table1[[#This Row],[Upper Confidence Bound(Total Revenue)]],Table1[[#This Row],[Lower Confidence Bound(Total Revenue)]])-Table1[[#This Row],[Shade base]]-Table1[[#This Row],[Column1]]</f>
        <v>333271.44833794248</v>
      </c>
    </row>
    <row r="26" spans="1:8" x14ac:dyDescent="0.3">
      <c r="A26" s="77">
        <v>51501</v>
      </c>
      <c r="C26">
        <v>699265.33591295686</v>
      </c>
      <c r="D26">
        <v>609595.6275449564</v>
      </c>
      <c r="E26">
        <v>1046632.8544241043</v>
      </c>
      <c r="F26">
        <f>MIN(Table1[[#This Row],[Lower Confidence Bound(Total Revenue)]:[Upper Confidence Bound(Total Revenue)]])</f>
        <v>609595.6275449564</v>
      </c>
      <c r="G26">
        <v>89669.708368000458</v>
      </c>
      <c r="H26">
        <f>MAX(Table1[[#This Row],[Upper Confidence Bound(Total Revenue)]],Table1[[#This Row],[Lower Confidence Bound(Total Revenue)]])-Table1[[#This Row],[Shade base]]-Table1[[#This Row],[Column1]]</f>
        <v>347367.51851114747</v>
      </c>
    </row>
    <row r="27" spans="1:8" x14ac:dyDescent="0.3">
      <c r="A27" s="77">
        <v>51866</v>
      </c>
      <c r="C27">
        <v>725311.77073102072</v>
      </c>
      <c r="D27">
        <v>628614.63213246595</v>
      </c>
      <c r="E27">
        <v>1086775.3594153733</v>
      </c>
      <c r="F27">
        <f>MIN(Table1[[#This Row],[Lower Confidence Bound(Total Revenue)]:[Upper Confidence Bound(Total Revenue)]])</f>
        <v>628614.63213246595</v>
      </c>
      <c r="G27">
        <v>96697.138598554768</v>
      </c>
      <c r="H27">
        <f>MAX(Table1[[#This Row],[Upper Confidence Bound(Total Revenue)]],Table1[[#This Row],[Lower Confidence Bound(Total Revenue)]])-Table1[[#This Row],[Shade base]]-Table1[[#This Row],[Column1]]</f>
        <v>361463.58868435258</v>
      </c>
    </row>
    <row r="28" spans="1:8" x14ac:dyDescent="0.3">
      <c r="A28" s="77">
        <v>52231</v>
      </c>
      <c r="C28">
        <v>751358.2055490847</v>
      </c>
      <c r="D28">
        <v>647453.7820746958</v>
      </c>
      <c r="E28">
        <v>1126917.8644066423</v>
      </c>
      <c r="F28">
        <f>MIN(Table1[[#This Row],[Lower Confidence Bound(Total Revenue)]:[Upper Confidence Bound(Total Revenue)]])</f>
        <v>647453.7820746958</v>
      </c>
      <c r="G28">
        <v>103904.4234743889</v>
      </c>
      <c r="H28">
        <f>MAX(Table1[[#This Row],[Upper Confidence Bound(Total Revenue)]],Table1[[#This Row],[Lower Confidence Bound(Total Revenue)]])-Table1[[#This Row],[Shade base]]-Table1[[#This Row],[Column1]]</f>
        <v>375559.65885755757</v>
      </c>
    </row>
    <row r="29" spans="1:8" x14ac:dyDescent="0.3">
      <c r="A29" s="77">
        <v>52596</v>
      </c>
      <c r="C29">
        <v>777404.64036714868</v>
      </c>
      <c r="D29">
        <v>666115.70125486178</v>
      </c>
      <c r="E29">
        <v>1167060.3693979108</v>
      </c>
      <c r="F29">
        <f>MIN(Table1[[#This Row],[Lower Confidence Bound(Total Revenue)]:[Upper Confidence Bound(Total Revenue)]])</f>
        <v>666115.70125486178</v>
      </c>
      <c r="G29">
        <v>111288.9391122869</v>
      </c>
      <c r="H29">
        <f>MAX(Table1[[#This Row],[Upper Confidence Bound(Total Revenue)]],Table1[[#This Row],[Lower Confidence Bound(Total Revenue)]])-Table1[[#This Row],[Shade base]]-Table1[[#This Row],[Column1]]</f>
        <v>389655.7290307621</v>
      </c>
    </row>
    <row r="30" spans="1:8" x14ac:dyDescent="0.3">
      <c r="A30" s="77">
        <v>52962</v>
      </c>
      <c r="C30">
        <v>803451.07518521254</v>
      </c>
      <c r="D30">
        <v>684602.99335534836</v>
      </c>
      <c r="E30">
        <v>1207202.87438918</v>
      </c>
      <c r="F30">
        <f>MIN(Table1[[#This Row],[Lower Confidence Bound(Total Revenue)]:[Upper Confidence Bound(Total Revenue)]])</f>
        <v>684602.99335534836</v>
      </c>
      <c r="G30">
        <v>118848.08182986418</v>
      </c>
      <c r="H30">
        <f>MAX(Table1[[#This Row],[Upper Confidence Bound(Total Revenue)]],Table1[[#This Row],[Lower Confidence Bound(Total Revenue)]])-Table1[[#This Row],[Shade base]]-Table1[[#This Row],[Column1]]</f>
        <v>403751.79920396744</v>
      </c>
    </row>
    <row r="31" spans="1:8" x14ac:dyDescent="0.3">
      <c r="A31" s="77">
        <v>53327</v>
      </c>
      <c r="C31">
        <v>829497.51000327629</v>
      </c>
      <c r="D31">
        <v>702918.24050459405</v>
      </c>
      <c r="E31">
        <v>1247345.3793804487</v>
      </c>
      <c r="F31">
        <f>MIN(Table1[[#This Row],[Lower Confidence Bound(Total Revenue)]:[Upper Confidence Bound(Total Revenue)]])</f>
        <v>702918.24050459405</v>
      </c>
      <c r="G31">
        <v>126579.26949868223</v>
      </c>
      <c r="H31">
        <f>MAX(Table1[[#This Row],[Upper Confidence Bound(Total Revenue)]],Table1[[#This Row],[Lower Confidence Bound(Total Revenue)]])-Table1[[#This Row],[Shade base]]-Table1[[#This Row],[Column1]]</f>
        <v>417847.86937717244</v>
      </c>
    </row>
    <row r="32" spans="1:8" x14ac:dyDescent="0.3">
      <c r="A32" s="77">
        <v>53692</v>
      </c>
      <c r="C32">
        <v>855543.94482134038</v>
      </c>
      <c r="D32">
        <v>721064.00215423515</v>
      </c>
      <c r="E32">
        <v>1287487.8843717179</v>
      </c>
      <c r="F32">
        <f>MIN(Table1[[#This Row],[Lower Confidence Bound(Total Revenue)]:[Upper Confidence Bound(Total Revenue)]])</f>
        <v>721064.00215423515</v>
      </c>
      <c r="G32">
        <v>134479.94266710524</v>
      </c>
      <c r="H32">
        <f>MAX(Table1[[#This Row],[Upper Confidence Bound(Total Revenue)]],Table1[[#This Row],[Lower Confidence Bound(Total Revenue)]])-Table1[[#This Row],[Shade base]]-Table1[[#This Row],[Column1]]</f>
        <v>431943.93955037754</v>
      </c>
    </row>
    <row r="33" spans="1:8" x14ac:dyDescent="0.3">
      <c r="A33" s="77">
        <v>54057</v>
      </c>
      <c r="C33">
        <v>881590.37963940436</v>
      </c>
      <c r="D33">
        <v>739042.81414928008</v>
      </c>
      <c r="E33">
        <v>1327630.3893629864</v>
      </c>
      <c r="F33">
        <f>MIN(Table1[[#This Row],[Lower Confidence Bound(Total Revenue)]:[Upper Confidence Bound(Total Revenue)]])</f>
        <v>739042.81414928008</v>
      </c>
      <c r="G33">
        <v>142547.56549012428</v>
      </c>
      <c r="H33">
        <f>MAX(Table1[[#This Row],[Upper Confidence Bound(Total Revenue)]],Table1[[#This Row],[Lower Confidence Bound(Total Revenue)]])-Table1[[#This Row],[Shade base]]-Table1[[#This Row],[Column1]]</f>
        <v>446040.00972358207</v>
      </c>
    </row>
    <row r="34" spans="1:8" x14ac:dyDescent="0.3">
      <c r="A34" s="77">
        <v>54423</v>
      </c>
      <c r="C34">
        <v>907636.81445746822</v>
      </c>
      <c r="D34">
        <v>756857.18796101678</v>
      </c>
      <c r="E34">
        <v>1367772.8943542554</v>
      </c>
      <c r="F34">
        <f>MIN(Table1[[#This Row],[Lower Confidence Bound(Total Revenue)]:[Upper Confidence Bound(Total Revenue)]])</f>
        <v>756857.18796101678</v>
      </c>
      <c r="G34">
        <v>150779.62649645144</v>
      </c>
      <c r="H34">
        <f>MAX(Table1[[#This Row],[Upper Confidence Bound(Total Revenue)]],Table1[[#This Row],[Lower Confidence Bound(Total Revenue)]])-Table1[[#This Row],[Shade base]]-Table1[[#This Row],[Column1]]</f>
        <v>460136.07989678718</v>
      </c>
    </row>
    <row r="35" spans="1:8" x14ac:dyDescent="0.3">
      <c r="A35" s="77">
        <v>54788</v>
      </c>
      <c r="C35">
        <v>933683.24927553209</v>
      </c>
      <c r="D35">
        <v>774509.61005780171</v>
      </c>
      <c r="E35">
        <v>1407915.3993455241</v>
      </c>
      <c r="F35">
        <f>MIN(Table1[[#This Row],[Lower Confidence Bound(Total Revenue)]:[Upper Confidence Bound(Total Revenue)]])</f>
        <v>774509.61005780171</v>
      </c>
      <c r="G35">
        <v>159173.63921773038</v>
      </c>
      <c r="H35">
        <f>MAX(Table1[[#This Row],[Upper Confidence Bound(Total Revenue)]],Table1[[#This Row],[Lower Confidence Bound(Total Revenue)]])-Table1[[#This Row],[Shade base]]-Table1[[#This Row],[Column1]]</f>
        <v>474232.15006999206</v>
      </c>
    </row>
    <row r="36" spans="1:8" x14ac:dyDescent="0.3">
      <c r="A36" s="77">
        <v>55153</v>
      </c>
      <c r="C36">
        <v>959729.68409359595</v>
      </c>
      <c r="D36">
        <v>792002.54139323207</v>
      </c>
      <c r="E36">
        <v>1448057.9043367931</v>
      </c>
      <c r="F36">
        <f>MIN(Table1[[#This Row],[Lower Confidence Bound(Total Revenue)]:[Upper Confidence Bound(Total Revenue)]])</f>
        <v>792002.54139323207</v>
      </c>
      <c r="G36">
        <v>167727.14270036388</v>
      </c>
      <c r="H36">
        <f>MAX(Table1[[#This Row],[Upper Confidence Bound(Total Revenue)]],Table1[[#This Row],[Lower Confidence Bound(Total Revenue)]])-Table1[[#This Row],[Shade base]]-Table1[[#This Row],[Column1]]</f>
        <v>488328.22024319717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D73E2-5337-421E-800A-144B4A88BB1C}">
  <dimension ref="A1:CZ119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1" sqref="B31"/>
    </sheetView>
  </sheetViews>
  <sheetFormatPr defaultRowHeight="13.2" x14ac:dyDescent="0.25"/>
  <cols>
    <col min="1" max="1" width="8.88671875" style="54"/>
    <col min="2" max="2" width="50.88671875" style="54" bestFit="1" customWidth="1"/>
    <col min="3" max="4" width="9.88671875" style="56" bestFit="1" customWidth="1"/>
    <col min="5" max="5" width="11.21875" style="56" bestFit="1" customWidth="1"/>
    <col min="6" max="6" width="8.88671875" style="56" customWidth="1"/>
    <col min="7" max="13" width="11.21875" style="56" bestFit="1" customWidth="1"/>
    <col min="14" max="14" width="11.88671875" style="56" bestFit="1" customWidth="1"/>
    <col min="15" max="25" width="11.21875" style="56" bestFit="1" customWidth="1"/>
    <col min="26" max="65" width="13.5546875" style="56" bestFit="1" customWidth="1"/>
    <col min="66" max="75" width="8.88671875" style="56"/>
    <col min="76" max="77" width="10.109375" style="56" bestFit="1" customWidth="1"/>
    <col min="78" max="78" width="9.77734375" style="56" bestFit="1" customWidth="1"/>
    <col min="79" max="82" width="10.109375" style="56" bestFit="1" customWidth="1"/>
    <col min="83" max="83" width="9.77734375" style="56" bestFit="1" customWidth="1"/>
    <col min="84" max="84" width="10.109375" style="56" bestFit="1" customWidth="1"/>
    <col min="85" max="85" width="9.77734375" style="56" bestFit="1" customWidth="1"/>
    <col min="86" max="87" width="10.109375" style="56" bestFit="1" customWidth="1"/>
    <col min="88" max="16384" width="8.88671875" style="56"/>
  </cols>
  <sheetData>
    <row r="1" spans="1:104" s="54" customFormat="1" x14ac:dyDescent="0.25">
      <c r="W1" s="78"/>
    </row>
    <row r="2" spans="1:104" s="54" customFormat="1" x14ac:dyDescent="0.25">
      <c r="B2" s="32" t="s">
        <v>681</v>
      </c>
      <c r="C2" s="50">
        <v>42735</v>
      </c>
      <c r="D2" s="50">
        <v>43100</v>
      </c>
      <c r="E2" s="50">
        <v>43465</v>
      </c>
      <c r="F2" s="50">
        <v>43830</v>
      </c>
      <c r="G2" s="50">
        <v>44196</v>
      </c>
      <c r="H2" s="50">
        <v>44561</v>
      </c>
      <c r="I2" s="50">
        <v>44926</v>
      </c>
      <c r="J2" s="50">
        <v>45291</v>
      </c>
      <c r="K2" s="50">
        <v>45657</v>
      </c>
      <c r="L2" s="50">
        <v>46022</v>
      </c>
      <c r="M2" s="50">
        <v>46387</v>
      </c>
      <c r="N2" s="50">
        <v>46752</v>
      </c>
      <c r="O2" s="50">
        <v>47118</v>
      </c>
      <c r="P2" s="50">
        <v>47483</v>
      </c>
      <c r="Q2" s="50">
        <v>47848</v>
      </c>
      <c r="R2" s="50">
        <v>48213</v>
      </c>
      <c r="S2" s="50">
        <v>48579</v>
      </c>
      <c r="T2" s="50">
        <v>48944</v>
      </c>
      <c r="U2" s="50">
        <v>49309</v>
      </c>
      <c r="V2" s="50">
        <v>49674</v>
      </c>
      <c r="W2" s="50">
        <v>50040</v>
      </c>
      <c r="X2" s="50">
        <v>50405</v>
      </c>
      <c r="Y2" s="50">
        <v>50770</v>
      </c>
      <c r="Z2" s="50">
        <v>51135</v>
      </c>
      <c r="AA2" s="50">
        <v>51501</v>
      </c>
      <c r="AB2" s="50">
        <v>51866</v>
      </c>
      <c r="AC2" s="50">
        <v>52231</v>
      </c>
      <c r="AD2" s="50">
        <v>52596</v>
      </c>
      <c r="AE2" s="50">
        <v>52962</v>
      </c>
      <c r="AF2" s="50">
        <v>53327</v>
      </c>
      <c r="AG2" s="50">
        <v>53692</v>
      </c>
      <c r="AH2" s="50">
        <v>54057</v>
      </c>
      <c r="AI2" s="50">
        <v>54423</v>
      </c>
      <c r="AJ2" s="50">
        <v>54788</v>
      </c>
      <c r="AK2" s="50">
        <v>55153</v>
      </c>
      <c r="AL2" s="50">
        <v>55518</v>
      </c>
      <c r="AM2" s="50">
        <v>55884</v>
      </c>
      <c r="AN2" s="50">
        <v>56249</v>
      </c>
      <c r="AO2" s="50">
        <v>56614</v>
      </c>
      <c r="AP2" s="50">
        <v>56979</v>
      </c>
      <c r="AQ2" s="50">
        <v>57345</v>
      </c>
      <c r="AR2" s="50">
        <v>57710</v>
      </c>
      <c r="AS2" s="50">
        <v>58075</v>
      </c>
      <c r="AT2" s="50">
        <v>58440</v>
      </c>
      <c r="AU2" s="50">
        <v>58806</v>
      </c>
      <c r="AV2" s="50">
        <v>59171</v>
      </c>
      <c r="AW2" s="50">
        <v>59536</v>
      </c>
      <c r="AX2" s="50">
        <v>59901</v>
      </c>
      <c r="AY2" s="50">
        <v>60267</v>
      </c>
      <c r="AZ2" s="50">
        <v>60632</v>
      </c>
      <c r="BA2" s="50">
        <v>60997</v>
      </c>
      <c r="BB2" s="50">
        <v>61362</v>
      </c>
      <c r="BC2" s="50">
        <v>61728</v>
      </c>
      <c r="BD2" s="50">
        <v>62093</v>
      </c>
      <c r="BE2" s="50">
        <v>62458</v>
      </c>
      <c r="BF2" s="50">
        <v>62823</v>
      </c>
      <c r="BG2" s="50">
        <v>63189</v>
      </c>
      <c r="BH2" s="50">
        <v>63554</v>
      </c>
      <c r="BI2" s="50">
        <v>63919</v>
      </c>
      <c r="BJ2" s="50">
        <v>64284</v>
      </c>
      <c r="BK2" s="50">
        <v>64650</v>
      </c>
      <c r="BL2" s="50">
        <v>65015</v>
      </c>
      <c r="BM2" s="50">
        <v>65380</v>
      </c>
      <c r="BN2" s="50">
        <v>65745</v>
      </c>
      <c r="BO2" s="50">
        <v>66111</v>
      </c>
      <c r="BP2" s="50">
        <v>66476</v>
      </c>
      <c r="BQ2" s="50">
        <v>66841</v>
      </c>
      <c r="BR2" s="50">
        <v>67206</v>
      </c>
      <c r="BS2" s="50">
        <v>67572</v>
      </c>
      <c r="BT2" s="50">
        <v>67937</v>
      </c>
      <c r="BU2" s="50">
        <v>68302</v>
      </c>
      <c r="BV2" s="50">
        <v>68667</v>
      </c>
      <c r="BW2" s="50">
        <v>69033</v>
      </c>
      <c r="BX2" s="50">
        <v>69398</v>
      </c>
      <c r="BY2" s="50">
        <v>69763</v>
      </c>
      <c r="BZ2" s="50">
        <v>70128</v>
      </c>
      <c r="CA2" s="50">
        <v>70494</v>
      </c>
      <c r="CB2" s="50">
        <v>70859</v>
      </c>
      <c r="CC2" s="50">
        <v>71224</v>
      </c>
      <c r="CD2" s="50">
        <v>71589</v>
      </c>
      <c r="CE2" s="50">
        <v>71955</v>
      </c>
      <c r="CF2" s="50">
        <v>72320</v>
      </c>
      <c r="CG2" s="50">
        <v>72685</v>
      </c>
      <c r="CH2" s="50">
        <v>73050</v>
      </c>
      <c r="CI2" s="50">
        <v>73415</v>
      </c>
    </row>
    <row r="3" spans="1:104" s="54" customFormat="1" x14ac:dyDescent="0.25">
      <c r="B3" s="57" t="s">
        <v>729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</row>
    <row r="4" spans="1:104" x14ac:dyDescent="0.25">
      <c r="A4" s="54" t="s">
        <v>728</v>
      </c>
      <c r="B4" s="1" t="s">
        <v>700</v>
      </c>
      <c r="C4" s="33">
        <v>19062</v>
      </c>
      <c r="D4" s="33">
        <v>21649</v>
      </c>
      <c r="E4" s="33">
        <v>26129</v>
      </c>
      <c r="F4" s="33">
        <v>32622</v>
      </c>
      <c r="G4" s="33">
        <v>41379</v>
      </c>
      <c r="H4" s="33">
        <v>52589</v>
      </c>
      <c r="I4" s="33">
        <v>67350</v>
      </c>
      <c r="J4" s="33">
        <v>79970</v>
      </c>
      <c r="K4" s="33">
        <v>97726</v>
      </c>
      <c r="L4" s="33">
        <v>114163.68737918926</v>
      </c>
      <c r="M4" s="56">
        <f>L4*(1+Segments!AG76+0.1)</f>
        <v>137419.24679803147</v>
      </c>
      <c r="N4" s="56">
        <f>M4*(1+Segments!AH76+0.08)</f>
        <v>161324.6556286625</v>
      </c>
      <c r="O4" s="56">
        <f>N4*(1+Segments!AI76)</f>
        <v>175180.75469164344</v>
      </c>
      <c r="P4" s="56">
        <f>O4*(1+Segments!AJ76)</f>
        <v>189036.85375462435</v>
      </c>
      <c r="Q4" s="56">
        <f>P4*(1+Segments!AK76)</f>
        <v>202892.95281760528</v>
      </c>
      <c r="R4" s="56">
        <f>Q4*(1+Segments!AL76)</f>
        <v>216749.05188058619</v>
      </c>
      <c r="S4" s="56">
        <f>R4*(1+Segments!AM76)</f>
        <v>230605.1509435671</v>
      </c>
      <c r="T4" s="56">
        <f>S4*(1+Segments!AN76)</f>
        <v>244461.25000654801</v>
      </c>
      <c r="U4" s="56">
        <f>T4*(1+Segments!AO76)</f>
        <v>258317.34906952895</v>
      </c>
      <c r="V4" s="56">
        <f>U4*(1+Segments!AP76)</f>
        <v>272173.44813250989</v>
      </c>
      <c r="W4" s="56">
        <f>V4*(1+Segments!AQ76)</f>
        <v>286029.54719549086</v>
      </c>
      <c r="X4" s="56">
        <f>W4*(1+Segments!AR76)</f>
        <v>299885.64625847182</v>
      </c>
      <c r="Y4" s="56">
        <f>X4*(1+Segments!AS76)</f>
        <v>313741.74532145273</v>
      </c>
      <c r="Z4" s="56">
        <f>Y4*(1+Segments!AT76)</f>
        <v>327597.84438443364</v>
      </c>
      <c r="AA4" s="56">
        <f>Z4*(1+Segments!AU76)</f>
        <v>341453.94344741461</v>
      </c>
      <c r="AB4" s="56">
        <f>AA4*(1+Segments!AV76)</f>
        <v>355310.04251039558</v>
      </c>
      <c r="AC4" s="56">
        <f>AB4*(1+Segments!AW76)</f>
        <v>369166.14157337649</v>
      </c>
      <c r="AD4" s="56">
        <f>AC4*(1+Segments!AX76)</f>
        <v>383022.24063635746</v>
      </c>
      <c r="AE4" s="56">
        <f>AD4*(1+Segments!AY76)</f>
        <v>396878.33969933842</v>
      </c>
      <c r="AF4" s="56">
        <f>AE4*(1+Segments!AZ76)</f>
        <v>410734.43876231933</v>
      </c>
      <c r="AG4" s="56">
        <f>AF4*(1+Segments!BA76)</f>
        <v>424590.5378253003</v>
      </c>
      <c r="AH4" s="56">
        <f>AG4*(1+Segments!BB76)</f>
        <v>438446.63688828121</v>
      </c>
      <c r="AI4" s="56">
        <f>AH4*(1+Segments!BC76)</f>
        <v>452302.73595126218</v>
      </c>
      <c r="AJ4" s="56">
        <f>AI4*(1+Segments!BD76)</f>
        <v>466158.83501424314</v>
      </c>
      <c r="AK4" s="56">
        <f>AJ4*(1+Segments!BE76)</f>
        <v>480014.93407722405</v>
      </c>
      <c r="AL4" s="56">
        <f>AK4*(1+Segments!BF76)</f>
        <v>493871.03314020502</v>
      </c>
      <c r="AM4" s="56">
        <f>AL4*(1+Segments!BG76)</f>
        <v>507727.13220318593</v>
      </c>
      <c r="AN4" s="56">
        <f>AM4*(1+Segments!BH76)</f>
        <v>521583.2312661669</v>
      </c>
      <c r="AO4" s="56">
        <f>AN4*(1+Segments!BI76)</f>
        <v>535439.33032914787</v>
      </c>
      <c r="AP4" s="56">
        <f>AO4*(1+Segments!BJ76)</f>
        <v>549295.42939212883</v>
      </c>
      <c r="AQ4" s="56">
        <f>AP4*(1+Segments!BK76)</f>
        <v>563151.5284551098</v>
      </c>
      <c r="AR4" s="56">
        <f>AQ4*(1+Segments!BL76)</f>
        <v>577007.62751809065</v>
      </c>
      <c r="AS4" s="56">
        <f>AR4*(1+Segments!BM76)</f>
        <v>590863.7265810715</v>
      </c>
      <c r="AT4" s="56">
        <f>AS4*(1+Segments!BN76)</f>
        <v>604719.82564405235</v>
      </c>
      <c r="AU4" s="56">
        <f>AT4*(1+Segments!BO76)</f>
        <v>618575.92470703332</v>
      </c>
      <c r="AV4" s="56">
        <f>AU4*(1+Segments!BP76)</f>
        <v>632432.02377001429</v>
      </c>
      <c r="AW4" s="56">
        <f>AV4*(1+Segments!BQ76)</f>
        <v>646288.12283299514</v>
      </c>
      <c r="AX4" s="56">
        <f>AW4*(1+Segments!BR76)</f>
        <v>660144.22189597611</v>
      </c>
      <c r="AY4" s="56">
        <f>AX4*(1+Segments!BS76)</f>
        <v>674000.32095895696</v>
      </c>
      <c r="AZ4" s="56">
        <f>AY4*(1+Segments!BT76)</f>
        <v>687856.42002193781</v>
      </c>
      <c r="BA4" s="56">
        <f>AZ4*(1+Segments!BU76)</f>
        <v>701712.51908491878</v>
      </c>
      <c r="BB4" s="56">
        <f>BA4*(1+Segments!BV76)</f>
        <v>715568.61814789975</v>
      </c>
      <c r="BC4" s="56">
        <f>BB4*(1+Segments!BW76)</f>
        <v>729424.71721088071</v>
      </c>
      <c r="BD4" s="56">
        <f>BC4*(1+Segments!BX76)</f>
        <v>743280.81627386168</v>
      </c>
      <c r="BE4" s="56">
        <f>BD4*(1+Segments!BY76)</f>
        <v>757136.91533684265</v>
      </c>
      <c r="BF4" s="56">
        <f>BE4*(1+Segments!BZ76)</f>
        <v>770993.0143998235</v>
      </c>
      <c r="BG4" s="56">
        <f>BF4*(1+Segments!CA76)</f>
        <v>784849.11346280447</v>
      </c>
      <c r="BH4" s="56">
        <f>BG4*(1+Segments!CB76)</f>
        <v>798705.21252578543</v>
      </c>
      <c r="BI4" s="56">
        <f>BH4*(1+Segments!CC76)</f>
        <v>812561.3115887664</v>
      </c>
      <c r="BJ4" s="56">
        <f>BI4*(1+Segments!CD76)</f>
        <v>826417.41065174737</v>
      </c>
      <c r="BK4" s="56">
        <f>BJ4*(1+Segments!CE76)</f>
        <v>840273.50971472834</v>
      </c>
      <c r="BL4" s="56">
        <f>BK4*(1+Segments!CF76)</f>
        <v>854129.60877770919</v>
      </c>
      <c r="BM4" s="56">
        <f>BL4*(1+Segments!CG76)</f>
        <v>867985.70784069016</v>
      </c>
      <c r="BN4" s="56">
        <f>BM4*(1+Segments!CH76)</f>
        <v>881841.80690367101</v>
      </c>
      <c r="BO4" s="56">
        <f>BN4*(1+Segments!CI76)</f>
        <v>895697.90596665198</v>
      </c>
      <c r="BP4" s="56">
        <f>BO4*(1+Segments!CJ76)</f>
        <v>909554.00502963283</v>
      </c>
      <c r="BQ4" s="56">
        <f>BP4*(1+Segments!CK76)</f>
        <v>923410.10409261368</v>
      </c>
      <c r="BR4" s="56">
        <f>BQ4*(1+Segments!CL76)</f>
        <v>937266.20315559465</v>
      </c>
      <c r="BS4" s="56">
        <f>BR4*(1+Segments!CM76)</f>
        <v>951122.30221857561</v>
      </c>
      <c r="BT4" s="56">
        <f>BS4*(1+Segments!CN76)</f>
        <v>964978.40128155658</v>
      </c>
      <c r="BU4" s="56">
        <f>BT4*(1+Segments!CO76)</f>
        <v>978834.50034453755</v>
      </c>
      <c r="BV4" s="56">
        <f>BU4*(1+Segments!CP76)</f>
        <v>992690.5994075184</v>
      </c>
      <c r="BW4" s="56">
        <f>BV4*(1+Segments!CQ76)</f>
        <v>1006546.6984704994</v>
      </c>
      <c r="BX4" s="56">
        <f>BW4*(1+Segments!CR76)</f>
        <v>1020402.7975334802</v>
      </c>
      <c r="BY4" s="56">
        <f>BX4*(1+Segments!CS76)</f>
        <v>1034258.8965964611</v>
      </c>
      <c r="BZ4" s="56">
        <f>BY4*(1+Segments!CT76)</f>
        <v>1048114.995659442</v>
      </c>
      <c r="CA4" s="56">
        <f>BZ4*(1+Segments!CU76)</f>
        <v>1061971.094722423</v>
      </c>
      <c r="CB4" s="56">
        <f>CA4*(1+Segments!CV76)</f>
        <v>1075827.1937854039</v>
      </c>
      <c r="CC4" s="56">
        <f>CB4*(1+Segments!CW76)</f>
        <v>1089683.2928483849</v>
      </c>
      <c r="CD4" s="56">
        <f>CC4*(1+Segments!CX76)</f>
        <v>1103539.3919113658</v>
      </c>
      <c r="CE4" s="56">
        <f>CD4*(1+Segments!CY76)</f>
        <v>1117395.4909743469</v>
      </c>
      <c r="CF4" s="56">
        <f>CE4*(1+Segments!CZ76)</f>
        <v>1131251.5900373277</v>
      </c>
      <c r="CG4" s="56">
        <f>CF4*(1+Segments!DA76)</f>
        <v>1145107.6891003088</v>
      </c>
      <c r="CH4" s="56">
        <f>CG4*(1+Segments!DB76)</f>
        <v>1158963.7881632897</v>
      </c>
      <c r="CI4" s="56">
        <f>CH4*(1+Segments!DC76)</f>
        <v>1172819.8872262707</v>
      </c>
    </row>
    <row r="5" spans="1:104" x14ac:dyDescent="0.25">
      <c r="A5" s="1" t="s">
        <v>713</v>
      </c>
      <c r="B5" s="1" t="s">
        <v>701</v>
      </c>
      <c r="C5" s="33">
        <v>23868</v>
      </c>
      <c r="D5" s="33">
        <v>25573</v>
      </c>
      <c r="E5" s="33">
        <v>28316</v>
      </c>
      <c r="F5" s="33">
        <v>31769</v>
      </c>
      <c r="G5" s="33">
        <v>35316</v>
      </c>
      <c r="H5" s="33">
        <v>39872</v>
      </c>
      <c r="I5" s="33">
        <v>44970</v>
      </c>
      <c r="J5" s="33">
        <v>48848</v>
      </c>
      <c r="K5" s="33">
        <v>54875</v>
      </c>
      <c r="L5" s="33">
        <v>64105.072804913849</v>
      </c>
      <c r="M5" s="56">
        <f>L5*(1+Segments!AG77+0.05)</f>
        <v>71994.544923156122</v>
      </c>
      <c r="N5" s="56">
        <f>M5*(1+Segments!AH77+0.04)</f>
        <v>79776.807489320709</v>
      </c>
      <c r="O5" s="56">
        <f>N5*(1+Segments!AI77)</f>
        <v>84862.885410099218</v>
      </c>
      <c r="P5" s="56">
        <f>O5*(1+Segments!AJ77)</f>
        <v>89948.963330877697</v>
      </c>
      <c r="Q5" s="56">
        <f>P5*(1+Segments!AK77)</f>
        <v>95035.041251656192</v>
      </c>
      <c r="R5" s="56">
        <f>Q5*(1+Segments!AL77)</f>
        <v>100121.11917243467</v>
      </c>
      <c r="S5" s="56">
        <f>R5*(1+Segments!AM77)</f>
        <v>105207.19709321317</v>
      </c>
      <c r="T5" s="56">
        <f>S5*(1+Segments!AN77)</f>
        <v>110293.27501399165</v>
      </c>
      <c r="U5" s="56">
        <f>T5*(1+Segments!AO77)</f>
        <v>115379.35293477016</v>
      </c>
      <c r="V5" s="56">
        <f>U5*(1+Segments!AP77)</f>
        <v>120465.43085554864</v>
      </c>
      <c r="W5" s="56">
        <f>V5*(1+Segments!AQ77)</f>
        <v>125551.50877632713</v>
      </c>
      <c r="X5" s="56">
        <f>W5*(1+Segments!AR77)</f>
        <v>130637.58669710562</v>
      </c>
      <c r="Y5" s="56">
        <f>X5*(1+Segments!AS77)</f>
        <v>135723.66461788409</v>
      </c>
      <c r="Z5" s="56">
        <f>Y5*(1+Segments!AT77)</f>
        <v>140809.74253866257</v>
      </c>
      <c r="AA5" s="56">
        <f>Z5*(1+Segments!AU77)</f>
        <v>145895.82045944108</v>
      </c>
      <c r="AB5" s="56">
        <f>AA5*(1+Segments!AV77)</f>
        <v>150981.89838021956</v>
      </c>
      <c r="AC5" s="56">
        <f>AB5*(1+Segments!AW77)</f>
        <v>156067.97630099804</v>
      </c>
      <c r="AD5" s="56">
        <f>AC5*(1+Segments!AX77)</f>
        <v>161154.05422177652</v>
      </c>
      <c r="AE5" s="56">
        <f>AD5*(1+Segments!AY77)</f>
        <v>166240.132142555</v>
      </c>
      <c r="AF5" s="56">
        <f>AE5*(1+Segments!AZ77)</f>
        <v>171326.21006333351</v>
      </c>
      <c r="AG5" s="56">
        <f>AF5*(1+Segments!BA77)</f>
        <v>176412.28798411199</v>
      </c>
      <c r="AH5" s="56">
        <f>AG5*(1+Segments!BB77)</f>
        <v>181498.36590489047</v>
      </c>
      <c r="AI5" s="56">
        <f>AH5*(1+Segments!BC77)</f>
        <v>186584.44382566895</v>
      </c>
      <c r="AJ5" s="56">
        <f>AI5*(1+Segments!BD77)</f>
        <v>191670.5217464474</v>
      </c>
      <c r="AK5" s="56">
        <f>AJ5*(1+Segments!BE77)</f>
        <v>196756.59966722588</v>
      </c>
      <c r="AL5" s="56">
        <f>AK5*(1+Segments!BF77)</f>
        <v>201842.67758800436</v>
      </c>
      <c r="AM5" s="56">
        <f>AL5*(1+Segments!BG77)</f>
        <v>206928.7555087829</v>
      </c>
      <c r="AN5" s="56">
        <f>AM5*(1+Segments!BH77)</f>
        <v>212014.8334295614</v>
      </c>
      <c r="AO5" s="56">
        <f>AN5*(1+Segments!BI77)</f>
        <v>217100.91135033988</v>
      </c>
      <c r="AP5" s="56">
        <f>AO5*(1+Segments!BJ77)</f>
        <v>222186.98927111839</v>
      </c>
      <c r="AQ5" s="56">
        <f>AP5*(1+Segments!BK77)</f>
        <v>227273.06719189687</v>
      </c>
      <c r="AR5" s="56">
        <f>AQ5*(1+Segments!BL77)</f>
        <v>232359.14511267535</v>
      </c>
      <c r="AS5" s="56">
        <f>AR5*(1+Segments!BM77)</f>
        <v>237445.22303345383</v>
      </c>
      <c r="AT5" s="56">
        <f>AS5*(1+Segments!BN77)</f>
        <v>242531.30095423228</v>
      </c>
      <c r="AU5" s="56">
        <f>AT5*(1+Segments!BO77)</f>
        <v>247617.37887501076</v>
      </c>
      <c r="AV5" s="56">
        <f>AU5*(1+Segments!BP77)</f>
        <v>252703.45679578924</v>
      </c>
      <c r="AW5" s="56">
        <f>AV5*(1+Segments!BQ77)</f>
        <v>257789.53471656775</v>
      </c>
      <c r="AX5" s="56">
        <f>AW5*(1+Segments!BR77)</f>
        <v>262875.6126373462</v>
      </c>
      <c r="AY5" s="56">
        <f>AX5*(1+Segments!BS77)</f>
        <v>267961.69055812468</v>
      </c>
      <c r="AZ5" s="56">
        <f>AY5*(1+Segments!BT77)</f>
        <v>273047.76847890316</v>
      </c>
      <c r="BA5" s="56">
        <f>AZ5*(1+Segments!BU77)</f>
        <v>278133.84639968158</v>
      </c>
      <c r="BB5" s="56">
        <f>BA5*(1+Segments!BV77)</f>
        <v>283219.92432046012</v>
      </c>
      <c r="BC5" s="56">
        <f>BB5*(1+Segments!BW77)</f>
        <v>288306.00224123854</v>
      </c>
      <c r="BD5" s="56">
        <f>BC5*(1+Segments!BX77)</f>
        <v>293392.08016201702</v>
      </c>
      <c r="BE5" s="56">
        <f>BD5*(1+Segments!BY77)</f>
        <v>298478.1580827955</v>
      </c>
      <c r="BF5" s="56">
        <f>BE5*(1+Segments!BZ77)</f>
        <v>303564.23600357398</v>
      </c>
      <c r="BG5" s="56">
        <f>BF5*(1+Segments!CA77)</f>
        <v>308650.31392435246</v>
      </c>
      <c r="BH5" s="56">
        <f>BG5*(1+Segments!CB77)</f>
        <v>313736.39184513089</v>
      </c>
      <c r="BI5" s="56">
        <f>BH5*(1+Segments!CC77)</f>
        <v>318822.46976590937</v>
      </c>
      <c r="BJ5" s="56">
        <f>BI5*(1+Segments!CD77)</f>
        <v>323908.54768668785</v>
      </c>
      <c r="BK5" s="56">
        <f>BJ5*(1+Segments!CE77)</f>
        <v>328994.62560746633</v>
      </c>
      <c r="BL5" s="56">
        <f>BK5*(1+Segments!CF77)</f>
        <v>334080.70352824475</v>
      </c>
      <c r="BM5" s="56">
        <f>BL5*(1+Segments!CG77)</f>
        <v>339166.78144902328</v>
      </c>
      <c r="BN5" s="56">
        <f>BM5*(1+Segments!CH77)</f>
        <v>344252.85936980182</v>
      </c>
      <c r="BO5" s="56">
        <f>BN5*(1+Segments!CI77)</f>
        <v>349338.9372905803</v>
      </c>
      <c r="BP5" s="56">
        <f>BO5*(1+Segments!CJ77)</f>
        <v>354425.01521135878</v>
      </c>
      <c r="BQ5" s="56">
        <f>BP5*(1+Segments!CK77)</f>
        <v>359511.0931321372</v>
      </c>
      <c r="BR5" s="56">
        <f>BQ5*(1+Segments!CL77)</f>
        <v>364597.17105291568</v>
      </c>
      <c r="BS5" s="56">
        <f>BR5*(1+Segments!CM77)</f>
        <v>369683.24897369416</v>
      </c>
      <c r="BT5" s="56">
        <f>BS5*(1+Segments!CN77)</f>
        <v>374769.32689447264</v>
      </c>
      <c r="BU5" s="56">
        <f>BT5*(1+Segments!CO77)</f>
        <v>379855.40481525112</v>
      </c>
      <c r="BV5" s="56">
        <f>BU5*(1+Segments!CP77)</f>
        <v>384941.4827360296</v>
      </c>
      <c r="BW5" s="56">
        <f>BV5*(1+Segments!CQ77)</f>
        <v>390027.56065680808</v>
      </c>
      <c r="BX5" s="56">
        <f>BW5*(1+Segments!CR77)</f>
        <v>395113.63857758656</v>
      </c>
      <c r="BY5" s="56">
        <f>BX5*(1+Segments!CS77)</f>
        <v>400199.71649836504</v>
      </c>
      <c r="BZ5" s="56">
        <f>BY5*(1+Segments!CT77)</f>
        <v>405285.79441914352</v>
      </c>
      <c r="CA5" s="56">
        <f>BZ5*(1+Segments!CU77)</f>
        <v>410371.87233992195</v>
      </c>
      <c r="CB5" s="56">
        <f>CA5*(1+Segments!CV77)</f>
        <v>415457.95026070048</v>
      </c>
      <c r="CC5" s="56">
        <f>CB5*(1+Segments!CW77)</f>
        <v>420544.02818147896</v>
      </c>
      <c r="CD5" s="56">
        <f>CC5*(1+Segments!CX77)</f>
        <v>425630.10610225744</v>
      </c>
      <c r="CE5" s="56">
        <f>CD5*(1+Segments!CY77)</f>
        <v>430716.18402303598</v>
      </c>
      <c r="CF5" s="56">
        <f>CE5*(1+Segments!CZ77)</f>
        <v>435802.26194381446</v>
      </c>
      <c r="CG5" s="56">
        <f>CF5*(1+Segments!DA77)</f>
        <v>440888.33986459294</v>
      </c>
      <c r="CH5" s="56">
        <f>CG5*(1+Segments!DB77)</f>
        <v>445974.41778537148</v>
      </c>
      <c r="CI5" s="56">
        <f>CH5*(1+Segments!DC77)</f>
        <v>451060.49570614996</v>
      </c>
    </row>
    <row r="6" spans="1:104" x14ac:dyDescent="0.25">
      <c r="A6" s="1" t="s">
        <v>702</v>
      </c>
      <c r="B6" s="1" t="s">
        <v>702</v>
      </c>
      <c r="C6" s="33">
        <v>17548</v>
      </c>
      <c r="D6" s="33">
        <v>18593</v>
      </c>
      <c r="E6" s="33">
        <v>19518</v>
      </c>
      <c r="F6" s="33">
        <v>20395</v>
      </c>
      <c r="G6" s="33">
        <v>21510</v>
      </c>
      <c r="H6" s="33">
        <v>22488</v>
      </c>
      <c r="I6" s="33">
        <v>24732</v>
      </c>
      <c r="J6" s="33">
        <v>21507</v>
      </c>
      <c r="K6" s="33">
        <v>23244</v>
      </c>
      <c r="L6" s="33">
        <v>27153.682228290068</v>
      </c>
      <c r="M6" s="56">
        <f>L6*(1+Segments!AG78)</f>
        <v>28073.758653867066</v>
      </c>
      <c r="N6" s="56">
        <f>M6*(1+Segments!AH78)</f>
        <v>28993.835079444063</v>
      </c>
      <c r="O6" s="56">
        <f>N6*(1+Segments!AI78)</f>
        <v>29913.911505021064</v>
      </c>
      <c r="P6" s="56">
        <f>O6*(1+Segments!AJ78)</f>
        <v>30833.987930598065</v>
      </c>
      <c r="Q6" s="56">
        <f>P6*(1+Segments!AK78)</f>
        <v>31754.064356175062</v>
      </c>
      <c r="R6" s="56">
        <f>Q6*(1+Segments!AL78)</f>
        <v>32674.140781752063</v>
      </c>
      <c r="S6" s="56">
        <f>R6*(1+Segments!AM78)</f>
        <v>33594.217207329064</v>
      </c>
      <c r="T6" s="56">
        <f>S6*(1+Segments!AN78)</f>
        <v>34514.293632906061</v>
      </c>
      <c r="U6" s="56">
        <f>T6*(1+Segments!AO78)</f>
        <v>35434.370058483059</v>
      </c>
      <c r="V6" s="56">
        <f>U6*(1+Segments!AP78)</f>
        <v>36354.446484060063</v>
      </c>
      <c r="W6" s="56">
        <f>V6*(1+Segments!AQ78)</f>
        <v>37274.522909637068</v>
      </c>
      <c r="X6" s="56">
        <f>W6*(1+Segments!AR78)</f>
        <v>38194.599335214072</v>
      </c>
      <c r="Y6" s="56">
        <f>X6*(1+Segments!AS78)</f>
        <v>39114.675760791077</v>
      </c>
      <c r="Z6" s="56">
        <f>Y6*(1+Segments!AT78)</f>
        <v>40034.752186368074</v>
      </c>
      <c r="AA6" s="56">
        <f>Z6*(1+Segments!AU78)</f>
        <v>40954.828611945079</v>
      </c>
      <c r="AB6" s="56">
        <f>AA6*(1+Segments!AV78)</f>
        <v>41874.905037522083</v>
      </c>
      <c r="AC6" s="56">
        <f>AB6*(1+Segments!AW78)</f>
        <v>42794.98146309908</v>
      </c>
      <c r="AD6" s="56">
        <f>AC6*(1+Segments!AX78)</f>
        <v>43715.057888676092</v>
      </c>
      <c r="AE6" s="56">
        <f>AD6*(1+Segments!AY78)</f>
        <v>44635.134314253082</v>
      </c>
      <c r="AF6" s="56">
        <f>AE6*(1+Segments!AZ78)</f>
        <v>45555.210739830087</v>
      </c>
      <c r="AG6" s="56">
        <f>AF6*(1+Segments!BA78)</f>
        <v>46475.287165407077</v>
      </c>
      <c r="AH6" s="56">
        <f>AG6*(1+Segments!BB78)</f>
        <v>47395.363590984081</v>
      </c>
      <c r="AI6" s="56">
        <f>AH6*(1+Segments!BC78)</f>
        <v>48315.440016561071</v>
      </c>
      <c r="AJ6" s="56">
        <f>AI6*(1+Segments!BD78)</f>
        <v>49235.516442138083</v>
      </c>
      <c r="AK6" s="56">
        <f>AJ6*(1+Segments!BE78)</f>
        <v>50155.592867715073</v>
      </c>
      <c r="AL6" s="56">
        <f>AK6*(1+Segments!BF78)</f>
        <v>51075.669293292078</v>
      </c>
      <c r="AM6" s="56">
        <f>AL6*(1+Segments!BG78)</f>
        <v>51995.745718869075</v>
      </c>
      <c r="AN6" s="56">
        <f>AM6*(1+Segments!BH78)</f>
        <v>52915.82214444608</v>
      </c>
      <c r="AO6" s="56">
        <f>AN6*(1+Segments!BI78)</f>
        <v>53835.898570023084</v>
      </c>
      <c r="AP6" s="56">
        <f>AO6*(1+Segments!BJ78)</f>
        <v>54755.974995600089</v>
      </c>
      <c r="AQ6" s="56">
        <f>AP6*(1+Segments!BK78)</f>
        <v>55676.051421177093</v>
      </c>
      <c r="AR6" s="56">
        <f>AQ6*(1+Segments!BL78)</f>
        <v>56596.127846754098</v>
      </c>
      <c r="AS6" s="56">
        <f>AR6*(1+Segments!BM78)</f>
        <v>57516.204272331102</v>
      </c>
      <c r="AT6" s="56">
        <f>AS6*(1+Segments!BN78)</f>
        <v>58436.280697908107</v>
      </c>
      <c r="AU6" s="56">
        <f>AT6*(1+Segments!BO78)</f>
        <v>59356.357123485112</v>
      </c>
      <c r="AV6" s="56">
        <f>AU6*(1+Segments!BP78)</f>
        <v>60276.433549062109</v>
      </c>
      <c r="AW6" s="56">
        <f>AV6*(1+Segments!BQ78)</f>
        <v>61196.509974639106</v>
      </c>
      <c r="AX6" s="56">
        <f>AW6*(1+Segments!BR78)</f>
        <v>62116.586400216103</v>
      </c>
      <c r="AY6" s="56">
        <f>AX6*(1+Segments!BS78)</f>
        <v>63036.662825793101</v>
      </c>
      <c r="AZ6" s="56">
        <f>AY6*(1+Segments!BT78)</f>
        <v>63956.739251370098</v>
      </c>
      <c r="BA6" s="56">
        <f>AZ6*(1+Segments!BU78)</f>
        <v>64876.815676947095</v>
      </c>
      <c r="BB6" s="56">
        <f>BA6*(1+Segments!BV78)</f>
        <v>65796.8921025241</v>
      </c>
      <c r="BC6" s="56">
        <f>BB6*(1+Segments!BW78)</f>
        <v>66716.968528101104</v>
      </c>
      <c r="BD6" s="56">
        <f>BC6*(1+Segments!BX78)</f>
        <v>67637.044953678109</v>
      </c>
      <c r="BE6" s="56">
        <f>BD6*(1+Segments!BY78)</f>
        <v>68557.121379255099</v>
      </c>
      <c r="BF6" s="56">
        <f>BE6*(1+Segments!BZ78)</f>
        <v>69477.197804832103</v>
      </c>
      <c r="BG6" s="56">
        <f>BF6*(1+Segments!CA78)</f>
        <v>70397.274230409108</v>
      </c>
      <c r="BH6" s="56">
        <f>BG6*(1+Segments!CB78)</f>
        <v>71317.350655986098</v>
      </c>
      <c r="BI6" s="56">
        <f>BH6*(1+Segments!CC78)</f>
        <v>72237.427081563103</v>
      </c>
      <c r="BJ6" s="56">
        <f>BI6*(1+Segments!CD78)</f>
        <v>73157.503507140107</v>
      </c>
      <c r="BK6" s="56">
        <f>BJ6*(1+Segments!CE78)</f>
        <v>74077.579932717097</v>
      </c>
      <c r="BL6" s="56">
        <f>BK6*(1+Segments!CF78)</f>
        <v>74997.656358294087</v>
      </c>
      <c r="BM6" s="56">
        <f>BL6*(1+Segments!CG78)</f>
        <v>75917.732783871092</v>
      </c>
      <c r="BN6" s="56">
        <f>BM6*(1+Segments!CH78)</f>
        <v>76837.809209448096</v>
      </c>
      <c r="BO6" s="56">
        <f>BN6*(1+Segments!CI78)</f>
        <v>77757.885635025086</v>
      </c>
      <c r="BP6" s="56">
        <f>BO6*(1+Segments!CJ78)</f>
        <v>78677.962060602076</v>
      </c>
      <c r="BQ6" s="56">
        <f>BP6*(1+Segments!CK78)</f>
        <v>79598.038486179095</v>
      </c>
      <c r="BR6" s="56">
        <f>BQ6*(1+Segments!CL78)</f>
        <v>80518.1149117561</v>
      </c>
      <c r="BS6" s="56">
        <f>BR6*(1+Segments!CM78)</f>
        <v>81438.19133733309</v>
      </c>
      <c r="BT6" s="56">
        <f>BS6*(1+Segments!CN78)</f>
        <v>82358.26776291008</v>
      </c>
      <c r="BU6" s="56">
        <f>BT6*(1+Segments!CO78)</f>
        <v>83278.344188487084</v>
      </c>
      <c r="BV6" s="56">
        <f>BU6*(1+Segments!CP78)</f>
        <v>84198.420614064089</v>
      </c>
      <c r="BW6" s="56">
        <f>BV6*(1+Segments!CQ78)</f>
        <v>85118.497039641079</v>
      </c>
      <c r="BX6" s="56">
        <f>BW6*(1+Segments!CR78)</f>
        <v>86038.573465218069</v>
      </c>
      <c r="BY6" s="56">
        <f>BX6*(1+Segments!CS78)</f>
        <v>86958.649890795088</v>
      </c>
      <c r="BZ6" s="56">
        <f>BY6*(1+Segments!CT78)</f>
        <v>87878.726316372107</v>
      </c>
      <c r="CA6" s="56">
        <f>BZ6*(1+Segments!CU78)</f>
        <v>88798.802741949097</v>
      </c>
      <c r="CB6" s="56">
        <f>CA6*(1+Segments!CV78)</f>
        <v>89718.879167526102</v>
      </c>
      <c r="CC6" s="56">
        <f>CB6*(1+Segments!CW78)</f>
        <v>90638.955593103092</v>
      </c>
      <c r="CD6" s="56">
        <f>CC6*(1+Segments!CX78)</f>
        <v>91559.032018680096</v>
      </c>
      <c r="CE6" s="56">
        <f>CD6*(1+Segments!CY78)</f>
        <v>92479.108444257086</v>
      </c>
      <c r="CF6" s="56">
        <f>CE6*(1+Segments!CZ78)</f>
        <v>93399.184869834091</v>
      </c>
      <c r="CG6" s="56">
        <f>CF6*(1+Segments!DA78)</f>
        <v>94319.261295411081</v>
      </c>
      <c r="CH6" s="56">
        <f>CG6*(1+Segments!DB78)</f>
        <v>95239.3377209881</v>
      </c>
      <c r="CI6" s="56">
        <f>CH6*(1+Segments!DC78)</f>
        <v>96159.41414656509</v>
      </c>
    </row>
    <row r="7" spans="1:104" x14ac:dyDescent="0.25">
      <c r="A7" s="1" t="s">
        <v>520</v>
      </c>
      <c r="B7" s="1" t="s">
        <v>520</v>
      </c>
      <c r="C7" s="33">
        <v>9202</v>
      </c>
      <c r="D7" s="33">
        <v>9051</v>
      </c>
      <c r="E7" s="33">
        <v>10353</v>
      </c>
      <c r="F7" s="33">
        <v>11386</v>
      </c>
      <c r="G7" s="33">
        <v>11575</v>
      </c>
      <c r="H7" s="33">
        <v>15370</v>
      </c>
      <c r="I7" s="33">
        <v>16230</v>
      </c>
      <c r="J7" s="33">
        <v>15466</v>
      </c>
      <c r="K7" s="33">
        <v>21503</v>
      </c>
      <c r="L7" s="33">
        <v>23455</v>
      </c>
      <c r="M7" s="56">
        <f>L7*(1+Segments!AG79+0.05)</f>
        <v>26347.829298422432</v>
      </c>
      <c r="N7" s="56">
        <f>M7*(1+Segments!AH79)</f>
        <v>28148.036368174315</v>
      </c>
      <c r="O7" s="56">
        <f>N7*(1+Segments!AI79)</f>
        <v>29948.243437926198</v>
      </c>
      <c r="P7" s="56">
        <f>O7*(1+Segments!AJ79)</f>
        <v>31748.450507678081</v>
      </c>
      <c r="Q7" s="56">
        <f>P7*(1+Segments!AK79)</f>
        <v>33548.657577429971</v>
      </c>
      <c r="R7" s="56">
        <f>Q7*(1+Segments!AL79)</f>
        <v>35348.864647181857</v>
      </c>
      <c r="S7" s="56">
        <f>R7*(1+Segments!AM79)</f>
        <v>37149.071716933744</v>
      </c>
      <c r="T7" s="56">
        <f>S7*(1+Segments!AN79)</f>
        <v>38949.278786685631</v>
      </c>
      <c r="U7" s="56">
        <f>T7*(1+Segments!AO79)</f>
        <v>40749.485856437517</v>
      </c>
      <c r="V7" s="56">
        <f>U7*(1+Segments!AP79)</f>
        <v>42549.692926189397</v>
      </c>
      <c r="W7" s="56">
        <f>V7*(1+Segments!AQ79)</f>
        <v>44349.899995941283</v>
      </c>
      <c r="X7" s="56">
        <f>W7*(1+Segments!AR79)</f>
        <v>46150.10706569317</v>
      </c>
      <c r="Y7" s="56">
        <f>X7*(1+Segments!AS79)</f>
        <v>47950.314135445049</v>
      </c>
      <c r="Z7" s="56">
        <f>Y7*(1+Segments!AT79)</f>
        <v>49750.521205196943</v>
      </c>
      <c r="AA7" s="56">
        <f>Z7*(1+Segments!AU79)</f>
        <v>51550.728274948829</v>
      </c>
      <c r="AB7" s="56">
        <f>AA7*(1+Segments!AV79)</f>
        <v>53350.935344700723</v>
      </c>
      <c r="AC7" s="56">
        <f>AB7*(1+Segments!AW79)</f>
        <v>55151.142414452603</v>
      </c>
      <c r="AD7" s="56">
        <f>AC7*(1+Segments!AX79)</f>
        <v>56951.349484204489</v>
      </c>
      <c r="AE7" s="56">
        <f>AD7*(1+Segments!AY79)</f>
        <v>58751.556553956376</v>
      </c>
      <c r="AF7" s="56">
        <f>AE7*(1+Segments!AZ79)</f>
        <v>60551.763623708262</v>
      </c>
      <c r="AG7" s="56">
        <f>AF7*(1+Segments!BA79)</f>
        <v>62351.970693460149</v>
      </c>
      <c r="AH7" s="56">
        <f>AG7*(1+Segments!BB79)</f>
        <v>64152.177763212036</v>
      </c>
      <c r="AI7" s="56">
        <f>AH7*(1+Segments!BC79)</f>
        <v>65952.384832963915</v>
      </c>
      <c r="AJ7" s="56">
        <f>AI7*(1+Segments!BD79)</f>
        <v>67752.591902715809</v>
      </c>
      <c r="AK7" s="56">
        <f>AJ7*(1+Segments!BE79)</f>
        <v>69552.798972467703</v>
      </c>
      <c r="AL7" s="56">
        <f>AK7*(1+Segments!BF79)</f>
        <v>71353.006042219597</v>
      </c>
      <c r="AM7" s="56">
        <f>AL7*(1+Segments!BG79)</f>
        <v>73153.213111971476</v>
      </c>
      <c r="AN7" s="56">
        <f>AM7*(1+Segments!BH79)</f>
        <v>74953.420181723355</v>
      </c>
      <c r="AO7" s="56">
        <f>AN7*(1+Segments!BI79)</f>
        <v>76753.627251475249</v>
      </c>
      <c r="AP7" s="56">
        <f>AO7*(1+Segments!BJ79)</f>
        <v>78553.834321227143</v>
      </c>
      <c r="AQ7" s="56">
        <f>AP7*(1+Segments!BK79)</f>
        <v>80354.041390979037</v>
      </c>
      <c r="AR7" s="56">
        <f>AQ7*(1+Segments!BL79)</f>
        <v>82154.248460730916</v>
      </c>
      <c r="AS7" s="56">
        <f>AR7*(1+Segments!BM79)</f>
        <v>83954.455530482795</v>
      </c>
      <c r="AT7" s="56">
        <f>AS7*(1+Segments!BN79)</f>
        <v>85754.662600234675</v>
      </c>
      <c r="AU7" s="56">
        <f>AT7*(1+Segments!BO79)</f>
        <v>87554.869669986554</v>
      </c>
      <c r="AV7" s="56">
        <f>AU7*(1+Segments!BP79)</f>
        <v>89355.076739738433</v>
      </c>
      <c r="AW7" s="56">
        <f>AV7*(1+Segments!BQ79)</f>
        <v>91155.283809490327</v>
      </c>
      <c r="AX7" s="56">
        <f>AW7*(1+Segments!BR79)</f>
        <v>92955.490879242207</v>
      </c>
      <c r="AY7" s="56">
        <f>AX7*(1+Segments!BS79)</f>
        <v>94755.697948994086</v>
      </c>
      <c r="AZ7" s="56">
        <f>AY7*(1+Segments!BT79)</f>
        <v>96555.90501874598</v>
      </c>
      <c r="BA7" s="56">
        <f>AZ7*(1+Segments!BU79)</f>
        <v>98356.112088497874</v>
      </c>
      <c r="BB7" s="56">
        <f>BA7*(1+Segments!BV79)</f>
        <v>100156.31915824977</v>
      </c>
      <c r="BC7" s="56">
        <f>BB7*(1+Segments!BW79)</f>
        <v>101956.52622800165</v>
      </c>
      <c r="BD7" s="56">
        <f>BC7*(1+Segments!BX79)</f>
        <v>103756.73329775353</v>
      </c>
      <c r="BE7" s="56">
        <f>BD7*(1+Segments!BY79)</f>
        <v>105556.94036750541</v>
      </c>
      <c r="BF7" s="56">
        <f>BE7*(1+Segments!BZ79)</f>
        <v>107357.1474372573</v>
      </c>
      <c r="BG7" s="56">
        <f>BF7*(1+Segments!CA79)</f>
        <v>109157.35450700921</v>
      </c>
      <c r="BH7" s="56">
        <f>BG7*(1+Segments!CB79)</f>
        <v>110957.56157676109</v>
      </c>
      <c r="BI7" s="56">
        <f>BH7*(1+Segments!CC79)</f>
        <v>112757.76864651297</v>
      </c>
      <c r="BJ7" s="56">
        <f>BI7*(1+Segments!CD79)</f>
        <v>114557.97571626483</v>
      </c>
      <c r="BK7" s="56">
        <f>BJ7*(1+Segments!CE79)</f>
        <v>116358.18278601671</v>
      </c>
      <c r="BL7" s="56">
        <f>BK7*(1+Segments!CF79)</f>
        <v>118158.38985576862</v>
      </c>
      <c r="BM7" s="56">
        <f>BL7*(1+Segments!CG79)</f>
        <v>119958.5969255205</v>
      </c>
      <c r="BN7" s="56">
        <f>BM7*(1+Segments!CH79)</f>
        <v>121758.80399527239</v>
      </c>
      <c r="BO7" s="56">
        <f>BN7*(1+Segments!CI79)</f>
        <v>123559.01106502429</v>
      </c>
      <c r="BP7" s="56">
        <f>BO7*(1+Segments!CJ79)</f>
        <v>125359.21813477617</v>
      </c>
      <c r="BQ7" s="56">
        <f>BP7*(1+Segments!CK79)</f>
        <v>127159.42520452807</v>
      </c>
      <c r="BR7" s="56">
        <f>BQ7*(1+Segments!CL79)</f>
        <v>128959.63227427995</v>
      </c>
      <c r="BS7" s="56">
        <f>BR7*(1+Segments!CM79)</f>
        <v>130759.83934403183</v>
      </c>
      <c r="BT7" s="56">
        <f>BS7*(1+Segments!CN79)</f>
        <v>132560.04641378374</v>
      </c>
      <c r="BU7" s="56">
        <f>BT7*(1+Segments!CO79)</f>
        <v>134360.25348353563</v>
      </c>
      <c r="BV7" s="56">
        <f>BU7*(1+Segments!CP79)</f>
        <v>136160.46055328756</v>
      </c>
      <c r="BW7" s="56">
        <f>BV7*(1+Segments!CQ79)</f>
        <v>137960.66762303945</v>
      </c>
      <c r="BX7" s="56">
        <f>BW7*(1+Segments!CR79)</f>
        <v>139760.87469279132</v>
      </c>
      <c r="BY7" s="56">
        <f>BX7*(1+Segments!CS79)</f>
        <v>141561.08176254321</v>
      </c>
      <c r="BZ7" s="56">
        <f>BY7*(1+Segments!CT79)</f>
        <v>143361.2888322951</v>
      </c>
      <c r="CA7" s="56">
        <f>BZ7*(1+Segments!CU79)</f>
        <v>145161.495902047</v>
      </c>
      <c r="CB7" s="56">
        <f>CA7*(1+Segments!CV79)</f>
        <v>146961.70297179889</v>
      </c>
      <c r="CC7" s="56">
        <f>CB7*(1+Segments!CW79)</f>
        <v>148761.91004155076</v>
      </c>
      <c r="CD7" s="56">
        <f>CC7*(1+Segments!CX79)</f>
        <v>150562.11711130265</v>
      </c>
      <c r="CE7" s="56">
        <f>CD7*(1+Segments!CY79)</f>
        <v>152362.32418105452</v>
      </c>
      <c r="CF7" s="56">
        <f>CE7*(1+Segments!CZ79)</f>
        <v>154162.53125080644</v>
      </c>
      <c r="CG7" s="56">
        <f>CF7*(1+Segments!DA79)</f>
        <v>155962.73832055833</v>
      </c>
      <c r="CH7" s="56">
        <f>CG7*(1+Segments!DB79)</f>
        <v>157762.94539031025</v>
      </c>
      <c r="CI7" s="56">
        <f>CH7*(1+Segments!DC79)</f>
        <v>159563.15246006209</v>
      </c>
    </row>
    <row r="8" spans="1:104" x14ac:dyDescent="0.25">
      <c r="A8" s="1" t="s">
        <v>714</v>
      </c>
      <c r="B8" s="1" t="s">
        <v>703</v>
      </c>
      <c r="C8" s="33">
        <v>5428</v>
      </c>
      <c r="D8" s="33">
        <v>6219</v>
      </c>
      <c r="E8" s="33">
        <v>7012</v>
      </c>
      <c r="F8" s="33">
        <v>7628</v>
      </c>
      <c r="G8" s="33">
        <v>8524</v>
      </c>
      <c r="H8" s="33">
        <v>9267</v>
      </c>
      <c r="I8" s="33">
        <v>11526</v>
      </c>
      <c r="J8" s="33">
        <v>12125</v>
      </c>
      <c r="K8" s="33">
        <v>12306</v>
      </c>
      <c r="L8" s="33">
        <v>13878</v>
      </c>
      <c r="M8" s="56">
        <f>L8*(1+Segments!AG80)</f>
        <v>14842.3371131229</v>
      </c>
      <c r="N8" s="56">
        <f>M8*(1+Segments!AH80)</f>
        <v>15806.674226245801</v>
      </c>
      <c r="O8" s="56">
        <f>N8*(1+Segments!AI80)</f>
        <v>16771.011339368702</v>
      </c>
      <c r="P8" s="56">
        <f>O8*(1+Segments!AJ80)</f>
        <v>17735.348452491606</v>
      </c>
      <c r="Q8" s="56">
        <f>P8*(1+Segments!AK80)</f>
        <v>18699.685565614505</v>
      </c>
      <c r="R8" s="56">
        <f>Q8*(1+Segments!AL80)</f>
        <v>19664.022678737405</v>
      </c>
      <c r="S8" s="56">
        <f>R8*(1+Segments!AM80)</f>
        <v>20628.359791860301</v>
      </c>
      <c r="T8" s="56">
        <f>S8*(1+Segments!AN80)</f>
        <v>21592.696904983197</v>
      </c>
      <c r="U8" s="56">
        <f>T8*(1+Segments!AO80)</f>
        <v>22557.0340181061</v>
      </c>
      <c r="V8" s="56">
        <f>U8*(1+Segments!AP80)</f>
        <v>23521.371131229</v>
      </c>
      <c r="W8" s="56">
        <f>V8*(1+Segments!AQ80)</f>
        <v>24485.708244351899</v>
      </c>
      <c r="X8" s="56">
        <f>W8*(1+Segments!AR80)</f>
        <v>25450.045357474803</v>
      </c>
      <c r="Y8" s="56">
        <f>X8*(1+Segments!AS80)</f>
        <v>26414.382470597706</v>
      </c>
      <c r="Z8" s="56">
        <f>Y8*(1+Segments!AT80)</f>
        <v>27378.719583720602</v>
      </c>
      <c r="AA8" s="56">
        <f>Z8*(1+Segments!AU80)</f>
        <v>28343.056696843501</v>
      </c>
      <c r="AB8" s="56">
        <f>AA8*(1+Segments!AV80)</f>
        <v>29307.393809966405</v>
      </c>
      <c r="AC8" s="56">
        <f>AB8*(1+Segments!AW80)</f>
        <v>30271.730923089312</v>
      </c>
      <c r="AD8" s="56">
        <f>AC8*(1+Segments!AX80)</f>
        <v>31236.068036212211</v>
      </c>
      <c r="AE8" s="56">
        <f>AD8*(1+Segments!AY80)</f>
        <v>32200.405149335107</v>
      </c>
      <c r="AF8" s="56">
        <f>AE8*(1+Segments!AZ80)</f>
        <v>33164.742262458014</v>
      </c>
      <c r="AG8" s="56">
        <f>AF8*(1+Segments!BA80)</f>
        <v>34129.079375580914</v>
      </c>
      <c r="AH8" s="56">
        <f>AG8*(1+Segments!BB80)</f>
        <v>35093.416488703813</v>
      </c>
      <c r="AI8" s="56">
        <f>AH8*(1+Segments!BC80)</f>
        <v>36057.753601826713</v>
      </c>
      <c r="AJ8" s="56">
        <f>AI8*(1+Segments!BD80)</f>
        <v>37022.090714949612</v>
      </c>
      <c r="AK8" s="56">
        <f>AJ8*(1+Segments!BE80)</f>
        <v>37986.427828072512</v>
      </c>
      <c r="AL8" s="56">
        <f>AK8*(1+Segments!BF80)</f>
        <v>38950.764941195412</v>
      </c>
      <c r="AM8" s="56">
        <f>AL8*(1+Segments!BG80)</f>
        <v>39915.102054318319</v>
      </c>
      <c r="AN8" s="56">
        <f>AM8*(1+Segments!BH80)</f>
        <v>40879.439167441218</v>
      </c>
      <c r="AO8" s="56">
        <f>AN8*(1+Segments!BI80)</f>
        <v>41843.776280564125</v>
      </c>
      <c r="AP8" s="56">
        <f>AO8*(1+Segments!BJ80)</f>
        <v>42808.113393687025</v>
      </c>
      <c r="AQ8" s="56">
        <f>AP8*(1+Segments!BK80)</f>
        <v>43772.450506809924</v>
      </c>
      <c r="AR8" s="56">
        <f>AQ8*(1+Segments!BL80)</f>
        <v>44736.787619932824</v>
      </c>
      <c r="AS8" s="56">
        <f>AR8*(1+Segments!BM80)</f>
        <v>45701.124733055723</v>
      </c>
      <c r="AT8" s="56">
        <f>AS8*(1+Segments!BN80)</f>
        <v>46665.461846178623</v>
      </c>
      <c r="AU8" s="56">
        <f>AT8*(1+Segments!BO80)</f>
        <v>47629.79895930153</v>
      </c>
      <c r="AV8" s="56">
        <f>AU8*(1+Segments!BP80)</f>
        <v>48594.136072424437</v>
      </c>
      <c r="AW8" s="56">
        <f>AV8*(1+Segments!BQ80)</f>
        <v>49558.473185547329</v>
      </c>
      <c r="AX8" s="56">
        <f>AW8*(1+Segments!BR80)</f>
        <v>50522.810298670229</v>
      </c>
      <c r="AY8" s="56">
        <f>AX8*(1+Segments!BS80)</f>
        <v>51487.147411793128</v>
      </c>
      <c r="AZ8" s="56">
        <f>AY8*(1+Segments!BT80)</f>
        <v>52451.484524916028</v>
      </c>
      <c r="BA8" s="56">
        <f>AZ8*(1+Segments!BU80)</f>
        <v>53415.821638038928</v>
      </c>
      <c r="BB8" s="56">
        <f>BA8*(1+Segments!BV80)</f>
        <v>54380.158751161827</v>
      </c>
      <c r="BC8" s="56">
        <f>BB8*(1+Segments!BW80)</f>
        <v>55344.495864284734</v>
      </c>
      <c r="BD8" s="56">
        <f>BC8*(1+Segments!BX80)</f>
        <v>56308.832977407641</v>
      </c>
      <c r="BE8" s="56">
        <f>BD8*(1+Segments!BY80)</f>
        <v>57273.170090530541</v>
      </c>
      <c r="BF8" s="56">
        <f>BE8*(1+Segments!BZ80)</f>
        <v>58237.50720365344</v>
      </c>
      <c r="BG8" s="56">
        <f>BF8*(1+Segments!CA80)</f>
        <v>59201.844316776333</v>
      </c>
      <c r="BH8" s="56">
        <f>BG8*(1+Segments!CB80)</f>
        <v>60166.181429899232</v>
      </c>
      <c r="BI8" s="56">
        <f>BH8*(1+Segments!CC80)</f>
        <v>61130.518543022125</v>
      </c>
      <c r="BJ8" s="56">
        <f>BI8*(1+Segments!CD80)</f>
        <v>62094.855656145039</v>
      </c>
      <c r="BK8" s="56">
        <f>BJ8*(1+Segments!CE80)</f>
        <v>63059.192769267938</v>
      </c>
      <c r="BL8" s="56">
        <f>BK8*(1+Segments!CF80)</f>
        <v>64023.529882390838</v>
      </c>
      <c r="BM8" s="56">
        <f>BL8*(1+Segments!CG80)</f>
        <v>64987.86699551373</v>
      </c>
      <c r="BN8" s="56">
        <f>BM8*(1+Segments!CH80)</f>
        <v>65952.204108636637</v>
      </c>
      <c r="BO8" s="56">
        <f>BN8*(1+Segments!CI80)</f>
        <v>66916.541221759529</v>
      </c>
      <c r="BP8" s="56">
        <f>BO8*(1+Segments!CJ80)</f>
        <v>67880.878334882436</v>
      </c>
      <c r="BQ8" s="56">
        <f>BP8*(1+Segments!CK80)</f>
        <v>68845.215448005329</v>
      </c>
      <c r="BR8" s="56">
        <f>BQ8*(1+Segments!CL80)</f>
        <v>69809.552561128236</v>
      </c>
      <c r="BS8" s="56">
        <f>BR8*(1+Segments!CM80)</f>
        <v>70773.889674251142</v>
      </c>
      <c r="BT8" s="56">
        <f>BS8*(1+Segments!CN80)</f>
        <v>71738.226787374035</v>
      </c>
      <c r="BU8" s="56">
        <f>BT8*(1+Segments!CO80)</f>
        <v>72702.563900496942</v>
      </c>
      <c r="BV8" s="56">
        <f>BU8*(1+Segments!CP80)</f>
        <v>73666.901013619834</v>
      </c>
      <c r="BW8" s="56">
        <f>BV8*(1+Segments!CQ80)</f>
        <v>74631.238126742741</v>
      </c>
      <c r="BX8" s="56">
        <f>BW8*(1+Segments!CR80)</f>
        <v>75595.575239865648</v>
      </c>
      <c r="BY8" s="56">
        <f>BX8*(1+Segments!CS80)</f>
        <v>76559.91235298854</v>
      </c>
      <c r="BZ8" s="56">
        <f>BY8*(1+Segments!CT80)</f>
        <v>77524.249466111447</v>
      </c>
      <c r="CA8" s="56">
        <f>BZ8*(1+Segments!CU80)</f>
        <v>78488.586579234339</v>
      </c>
      <c r="CB8" s="56">
        <f>CA8*(1+Segments!CV80)</f>
        <v>79452.923692357246</v>
      </c>
      <c r="CC8" s="56">
        <f>CB8*(1+Segments!CW80)</f>
        <v>80417.260805480139</v>
      </c>
      <c r="CD8" s="56">
        <f>CC8*(1+Segments!CX80)</f>
        <v>81381.597918603045</v>
      </c>
      <c r="CE8" s="56">
        <f>CD8*(1+Segments!CY80)</f>
        <v>82345.935031725967</v>
      </c>
      <c r="CF8" s="56">
        <f>CE8*(1+Segments!CZ80)</f>
        <v>83310.272144848859</v>
      </c>
      <c r="CG8" s="56">
        <f>CF8*(1+Segments!DA80)</f>
        <v>84274.609257971781</v>
      </c>
      <c r="CH8" s="56">
        <f>CG8*(1+Segments!DB80)</f>
        <v>85238.946371094673</v>
      </c>
      <c r="CI8" s="56">
        <f>CH8*(1+Segments!DC80)</f>
        <v>86203.283484217565</v>
      </c>
    </row>
    <row r="9" spans="1:104" x14ac:dyDescent="0.25">
      <c r="A9" s="1" t="s">
        <v>715</v>
      </c>
      <c r="B9" s="1" t="s">
        <v>704</v>
      </c>
      <c r="C9" s="33">
        <v>5659</v>
      </c>
      <c r="D9" s="33">
        <v>5542</v>
      </c>
      <c r="E9" s="33">
        <v>5846</v>
      </c>
      <c r="F9" s="33">
        <v>6124</v>
      </c>
      <c r="G9" s="33">
        <v>6409</v>
      </c>
      <c r="H9" s="33">
        <v>6943</v>
      </c>
      <c r="I9" s="33">
        <v>7605</v>
      </c>
      <c r="J9" s="33">
        <v>7900</v>
      </c>
      <c r="K9" s="33">
        <v>7594</v>
      </c>
      <c r="L9" s="33">
        <v>7885</v>
      </c>
      <c r="M9" s="56">
        <f>L9*(1+Segments!AG81)</f>
        <v>8177.7238269152467</v>
      </c>
      <c r="N9" s="56">
        <f>M9*(1+Segments!AH81)</f>
        <v>8470.4476538304934</v>
      </c>
      <c r="O9" s="56">
        <f>N9*(1+Segments!AI81)</f>
        <v>8763.1714807457411</v>
      </c>
      <c r="P9" s="56">
        <f>O9*(1+Segments!AJ81)</f>
        <v>9055.8953076609869</v>
      </c>
      <c r="Q9" s="56">
        <f>P9*(1+Segments!AK81)</f>
        <v>9348.6191345762327</v>
      </c>
      <c r="R9" s="56">
        <f>Q9*(1+Segments!AL81)</f>
        <v>9641.3429614914803</v>
      </c>
      <c r="S9" s="56">
        <f>R9*(1+Segments!AM81)</f>
        <v>9934.0667884067298</v>
      </c>
      <c r="T9" s="56">
        <f>S9*(1+Segments!AN81)</f>
        <v>10226.790615321976</v>
      </c>
      <c r="U9" s="56">
        <f>T9*(1+Segments!AO81)</f>
        <v>10519.514442237221</v>
      </c>
      <c r="V9" s="56">
        <f>U9*(1+Segments!AP81)</f>
        <v>10812.238269152469</v>
      </c>
      <c r="W9" s="56">
        <f>V9*(1+Segments!AQ81)</f>
        <v>11104.962096067717</v>
      </c>
      <c r="X9" s="56">
        <f>W9*(1+Segments!AR81)</f>
        <v>11397.685922982961</v>
      </c>
      <c r="Y9" s="56">
        <f>X9*(1+Segments!AS81)</f>
        <v>11690.40974989821</v>
      </c>
      <c r="Z9" s="56">
        <f>Y9*(1+Segments!AT81)</f>
        <v>11983.133576813458</v>
      </c>
      <c r="AA9" s="56">
        <f>Z9*(1+Segments!AU81)</f>
        <v>12275.857403728705</v>
      </c>
      <c r="AB9" s="56">
        <f>AA9*(1+Segments!AV81)</f>
        <v>12568.581230643951</v>
      </c>
      <c r="AC9" s="56">
        <f>AB9*(1+Segments!AW81)</f>
        <v>12861.305057559199</v>
      </c>
      <c r="AD9" s="56">
        <f>AC9*(1+Segments!AX81)</f>
        <v>13154.028884474446</v>
      </c>
      <c r="AE9" s="56">
        <f>AD9*(1+Segments!AY81)</f>
        <v>13446.752711389692</v>
      </c>
      <c r="AF9" s="56">
        <f>AE9*(1+Segments!AZ81)</f>
        <v>13739.47653830494</v>
      </c>
      <c r="AG9" s="56">
        <f>AF9*(1+Segments!BA81)</f>
        <v>14032.200365220187</v>
      </c>
      <c r="AH9" s="56">
        <f>AG9*(1+Segments!BB81)</f>
        <v>14324.924192135435</v>
      </c>
      <c r="AI9" s="56">
        <f>AH9*(1+Segments!BC81)</f>
        <v>14617.648019050679</v>
      </c>
      <c r="AJ9" s="56">
        <f>AI9*(1+Segments!BD81)</f>
        <v>14910.371845965929</v>
      </c>
      <c r="AK9" s="56">
        <f>AJ9*(1+Segments!BE81)</f>
        <v>15203.095672881176</v>
      </c>
      <c r="AL9" s="56">
        <f>AK9*(1+Segments!BF81)</f>
        <v>15495.819499796424</v>
      </c>
      <c r="AM9" s="56">
        <f>AL9*(1+Segments!BG81)</f>
        <v>15788.543326711668</v>
      </c>
      <c r="AN9" s="56">
        <f>AM9*(1+Segments!BH81)</f>
        <v>16081.267153626917</v>
      </c>
      <c r="AO9" s="56">
        <f>AN9*(1+Segments!BI81)</f>
        <v>16373.990980542165</v>
      </c>
      <c r="AP9" s="56">
        <f>AO9*(1+Segments!BJ81)</f>
        <v>16666.714807457411</v>
      </c>
      <c r="AQ9" s="56">
        <f>AP9*(1+Segments!BK81)</f>
        <v>16959.438634372658</v>
      </c>
      <c r="AR9" s="56">
        <f>AQ9*(1+Segments!BL81)</f>
        <v>17252.162461287906</v>
      </c>
      <c r="AS9" s="56">
        <f>AR9*(1+Segments!BM81)</f>
        <v>17544.886288203154</v>
      </c>
      <c r="AT9" s="56">
        <f>AS9*(1+Segments!BN81)</f>
        <v>17837.610115118401</v>
      </c>
      <c r="AU9" s="56">
        <f>AT9*(1+Segments!BO81)</f>
        <v>18130.333942033649</v>
      </c>
      <c r="AV9" s="56">
        <f>AU9*(1+Segments!BP81)</f>
        <v>18423.057768948893</v>
      </c>
      <c r="AW9" s="56">
        <f>AV9*(1+Segments!BQ81)</f>
        <v>18715.781595864144</v>
      </c>
      <c r="AX9" s="56">
        <f>AW9*(1+Segments!BR81)</f>
        <v>19008.505422779388</v>
      </c>
      <c r="AY9" s="56">
        <f>AX9*(1+Segments!BS81)</f>
        <v>19301.229249694632</v>
      </c>
      <c r="AZ9" s="56">
        <f>AY9*(1+Segments!BT81)</f>
        <v>19593.953076609883</v>
      </c>
      <c r="BA9" s="56">
        <f>AZ9*(1+Segments!BU81)</f>
        <v>19886.676903525127</v>
      </c>
      <c r="BB9" s="56">
        <f>BA9*(1+Segments!BV81)</f>
        <v>20179.400730440375</v>
      </c>
      <c r="BC9" s="56">
        <f>BB9*(1+Segments!BW81)</f>
        <v>20472.124557355623</v>
      </c>
      <c r="BD9" s="56">
        <f>BC9*(1+Segments!BX81)</f>
        <v>20764.84838427087</v>
      </c>
      <c r="BE9" s="56">
        <f>BD9*(1+Segments!BY81)</f>
        <v>21057.572211186121</v>
      </c>
      <c r="BF9" s="56">
        <f>BE9*(1+Segments!BZ81)</f>
        <v>21350.296038101365</v>
      </c>
      <c r="BG9" s="56">
        <f>BF9*(1+Segments!CA81)</f>
        <v>21643.019865016609</v>
      </c>
      <c r="BH9" s="56">
        <f>BG9*(1+Segments!CB81)</f>
        <v>21935.743691931861</v>
      </c>
      <c r="BI9" s="56">
        <f>BH9*(1+Segments!CC81)</f>
        <v>22228.467518847105</v>
      </c>
      <c r="BJ9" s="56">
        <f>BI9*(1+Segments!CD81)</f>
        <v>22521.191345762349</v>
      </c>
      <c r="BK9" s="56">
        <f>BJ9*(1+Segments!CE81)</f>
        <v>22813.9151726776</v>
      </c>
      <c r="BL9" s="56">
        <f>BK9*(1+Segments!CF81)</f>
        <v>23106.638999592844</v>
      </c>
      <c r="BM9" s="56">
        <f>BL9*(1+Segments!CG81)</f>
        <v>23399.362826508092</v>
      </c>
      <c r="BN9" s="56">
        <f>BM9*(1+Segments!CH81)</f>
        <v>23692.086653423343</v>
      </c>
      <c r="BO9" s="56">
        <f>BN9*(1+Segments!CI81)</f>
        <v>23984.81048033859</v>
      </c>
      <c r="BP9" s="56">
        <f>BO9*(1+Segments!CJ81)</f>
        <v>24277.534307253834</v>
      </c>
      <c r="BQ9" s="56">
        <f>BP9*(1+Segments!CK81)</f>
        <v>24570.258134169086</v>
      </c>
      <c r="BR9" s="56">
        <f>BQ9*(1+Segments!CL81)</f>
        <v>24862.981961084333</v>
      </c>
      <c r="BS9" s="56">
        <f>BR9*(1+Segments!CM81)</f>
        <v>25155.705787999585</v>
      </c>
      <c r="BT9" s="56">
        <f>BS9*(1+Segments!CN81)</f>
        <v>25448.429614914832</v>
      </c>
      <c r="BU9" s="56">
        <f>BT9*(1+Segments!CO81)</f>
        <v>25741.15344183008</v>
      </c>
      <c r="BV9" s="56">
        <f>BU9*(1+Segments!CP81)</f>
        <v>26033.877268745331</v>
      </c>
      <c r="BW9" s="56">
        <f>BV9*(1+Segments!CQ81)</f>
        <v>26326.601095660575</v>
      </c>
      <c r="BX9" s="56">
        <f>BW9*(1+Segments!CR81)</f>
        <v>26619.324922575819</v>
      </c>
      <c r="BY9" s="56">
        <f>BX9*(1+Segments!CS81)</f>
        <v>26912.04874949107</v>
      </c>
      <c r="BZ9" s="56">
        <f>BY9*(1+Segments!CT81)</f>
        <v>27204.772576406314</v>
      </c>
      <c r="CA9" s="56">
        <f>BZ9*(1+Segments!CU81)</f>
        <v>27497.496403321562</v>
      </c>
      <c r="CB9" s="56">
        <f>CA9*(1+Segments!CV81)</f>
        <v>27790.220230236813</v>
      </c>
      <c r="CC9" s="56">
        <f>CB9*(1+Segments!CW81)</f>
        <v>28082.944057152057</v>
      </c>
      <c r="CD9" s="56">
        <f>CC9*(1+Segments!CX81)</f>
        <v>28375.667884067308</v>
      </c>
      <c r="CE9" s="56">
        <f>CD9*(1+Segments!CY81)</f>
        <v>28668.391710982552</v>
      </c>
      <c r="CF9" s="56">
        <f>CE9*(1+Segments!CZ81)</f>
        <v>28961.115537897796</v>
      </c>
      <c r="CG9" s="56">
        <f>CF9*(1+Segments!DA81)</f>
        <v>29253.839364813048</v>
      </c>
      <c r="CH9" s="56">
        <f>CG9*(1+Segments!DB81)</f>
        <v>29546.563191728292</v>
      </c>
      <c r="CI9" s="56">
        <f>CH9*(1+Segments!DC81)</f>
        <v>29839.287018643536</v>
      </c>
    </row>
    <row r="10" spans="1:104" x14ac:dyDescent="0.25">
      <c r="A10" s="1" t="s">
        <v>705</v>
      </c>
      <c r="B10" s="1" t="s">
        <v>705</v>
      </c>
      <c r="C10" s="33">
        <v>7888</v>
      </c>
      <c r="D10" s="33">
        <v>5062</v>
      </c>
      <c r="E10" s="33">
        <v>5134</v>
      </c>
      <c r="F10" s="33">
        <v>6095</v>
      </c>
      <c r="G10" s="33">
        <v>6457</v>
      </c>
      <c r="H10" s="33">
        <v>7143</v>
      </c>
      <c r="I10" s="33">
        <v>7306</v>
      </c>
      <c r="J10" s="33">
        <v>5521</v>
      </c>
      <c r="K10" s="33">
        <v>4706</v>
      </c>
      <c r="L10" s="33">
        <v>5497.557587606826</v>
      </c>
      <c r="M10" s="56">
        <f>L10*(1+Segments!AG82)</f>
        <v>5573.8916635496562</v>
      </c>
      <c r="N10" s="56">
        <f>M10*(1+Segments!AH82)</f>
        <v>5650.2257394924864</v>
      </c>
      <c r="O10" s="56">
        <f>N10*(1+Segments!AI82)</f>
        <v>5726.5598154353165</v>
      </c>
      <c r="P10" s="56">
        <f>O10*(1+Segments!AJ82)</f>
        <v>5802.8938913781476</v>
      </c>
      <c r="Q10" s="56">
        <f>P10*(1+Segments!AK82)</f>
        <v>5879.2279673209787</v>
      </c>
      <c r="R10" s="56">
        <f>Q10*(1+Segments!AL82)</f>
        <v>5955.5620432638088</v>
      </c>
      <c r="S10" s="56">
        <f>R10*(1+Segments!AM82)</f>
        <v>6031.8961192066399</v>
      </c>
      <c r="T10" s="56">
        <f>S10*(1+Segments!AN82)</f>
        <v>6108.230195149471</v>
      </c>
      <c r="U10" s="56">
        <f>T10*(1+Segments!AO82)</f>
        <v>6184.5642710923012</v>
      </c>
      <c r="V10" s="56">
        <f>U10*(1+Segments!AP82)</f>
        <v>6260.8983470351322</v>
      </c>
      <c r="W10" s="56">
        <f>V10*(1+Segments!AQ82)</f>
        <v>6337.2324229779624</v>
      </c>
      <c r="X10" s="56">
        <f>W10*(1+Segments!AR82)</f>
        <v>6413.5664989207935</v>
      </c>
      <c r="Y10" s="56">
        <f>X10*(1+Segments!AS82)</f>
        <v>6489.9005748636246</v>
      </c>
      <c r="Z10" s="56">
        <f>Y10*(1+Segments!AT82)</f>
        <v>6566.2346508064556</v>
      </c>
      <c r="AA10" s="56">
        <f>Z10*(1+Segments!AU82)</f>
        <v>6642.5687267492867</v>
      </c>
      <c r="AB10" s="56">
        <f>AA10*(1+Segments!AV82)</f>
        <v>6718.9028026921169</v>
      </c>
      <c r="AC10" s="56">
        <f>AB10*(1+Segments!AW82)</f>
        <v>6795.236878634948</v>
      </c>
      <c r="AD10" s="56">
        <f>AC10*(1+Segments!AX82)</f>
        <v>6871.5709545777772</v>
      </c>
      <c r="AE10" s="56">
        <f>AD10*(1+Segments!AY82)</f>
        <v>6947.9050305206083</v>
      </c>
      <c r="AF10" s="56">
        <f>AE10*(1+Segments!AZ82)</f>
        <v>7024.2391064634394</v>
      </c>
      <c r="AG10" s="56">
        <f>AF10*(1+Segments!BA82)</f>
        <v>7100.5731824062705</v>
      </c>
      <c r="AH10" s="56">
        <f>AG10*(1+Segments!BB82)</f>
        <v>7176.9072583491015</v>
      </c>
      <c r="AI10" s="56">
        <f>AH10*(1+Segments!BC82)</f>
        <v>7253.2413342919326</v>
      </c>
      <c r="AJ10" s="56">
        <f>AI10*(1+Segments!BD82)</f>
        <v>7329.5754102347646</v>
      </c>
      <c r="AK10" s="56">
        <f>AJ10*(1+Segments!BE82)</f>
        <v>7405.9094861775957</v>
      </c>
      <c r="AL10" s="56">
        <f>AK10*(1+Segments!BF82)</f>
        <v>7482.2435621204268</v>
      </c>
      <c r="AM10" s="56">
        <f>AL10*(1+Segments!BG82)</f>
        <v>7558.577638063256</v>
      </c>
      <c r="AN10" s="56">
        <f>AM10*(1+Segments!BH82)</f>
        <v>7634.9117140060862</v>
      </c>
      <c r="AO10" s="56">
        <f>AN10*(1+Segments!BI82)</f>
        <v>7711.2457899489182</v>
      </c>
      <c r="AP10" s="56">
        <f>AO10*(1+Segments!BJ82)</f>
        <v>7787.5798658917502</v>
      </c>
      <c r="AQ10" s="56">
        <f>AP10*(1+Segments!BK82)</f>
        <v>7863.9139418345803</v>
      </c>
      <c r="AR10" s="56">
        <f>AQ10*(1+Segments!BL82)</f>
        <v>7940.2480177774114</v>
      </c>
      <c r="AS10" s="56">
        <f>AR10*(1+Segments!BM82)</f>
        <v>8016.5820937202425</v>
      </c>
      <c r="AT10" s="56">
        <f>AS10*(1+Segments!BN82)</f>
        <v>8092.9161696630727</v>
      </c>
      <c r="AU10" s="56">
        <f>AT10*(1+Segments!BO82)</f>
        <v>8169.2502456059028</v>
      </c>
      <c r="AV10" s="56">
        <f>AU10*(1+Segments!BP82)</f>
        <v>8245.584321548733</v>
      </c>
      <c r="AW10" s="56">
        <f>AV10*(1+Segments!BQ82)</f>
        <v>8321.918397491565</v>
      </c>
      <c r="AX10" s="56">
        <f>AW10*(1+Segments!BR82)</f>
        <v>8398.252473434397</v>
      </c>
      <c r="AY10" s="56">
        <f>AX10*(1+Segments!BS82)</f>
        <v>8474.5865493772271</v>
      </c>
      <c r="AZ10" s="56">
        <f>AY10*(1+Segments!BT82)</f>
        <v>8550.9206253200573</v>
      </c>
      <c r="BA10" s="56">
        <f>AZ10*(1+Segments!BU82)</f>
        <v>8627.2547012628875</v>
      </c>
      <c r="BB10" s="56">
        <f>BA10*(1+Segments!BV82)</f>
        <v>8703.5887772057195</v>
      </c>
      <c r="BC10" s="56">
        <f>BB10*(1+Segments!BW82)</f>
        <v>8779.9228531485496</v>
      </c>
      <c r="BD10" s="56">
        <f>BC10*(1+Segments!BX82)</f>
        <v>8856.2569290913798</v>
      </c>
      <c r="BE10" s="56">
        <f>BD10*(1+Segments!BY82)</f>
        <v>8932.5910050342081</v>
      </c>
      <c r="BF10" s="56">
        <f>BE10*(1+Segments!BZ82)</f>
        <v>9008.9250809770401</v>
      </c>
      <c r="BG10" s="56">
        <f>BF10*(1+Segments!CA82)</f>
        <v>9085.2591569198721</v>
      </c>
      <c r="BH10" s="56">
        <f>BG10*(1+Segments!CB82)</f>
        <v>9161.5932328627041</v>
      </c>
      <c r="BI10" s="56">
        <f>BH10*(1+Segments!CC82)</f>
        <v>9237.9273088055343</v>
      </c>
      <c r="BJ10" s="56">
        <f>BI10*(1+Segments!CD82)</f>
        <v>9314.2613847483644</v>
      </c>
      <c r="BK10" s="56">
        <f>BJ10*(1+Segments!CE82)</f>
        <v>9390.5954606911946</v>
      </c>
      <c r="BL10" s="56">
        <f>BK10*(1+Segments!CF82)</f>
        <v>9466.9295366340266</v>
      </c>
      <c r="BM10" s="56">
        <f>BL10*(1+Segments!CG82)</f>
        <v>9543.2636125768586</v>
      </c>
      <c r="BN10" s="56">
        <f>BM10*(1+Segments!CH82)</f>
        <v>9619.5976885196906</v>
      </c>
      <c r="BO10" s="56">
        <f>BN10*(1+Segments!CI82)</f>
        <v>9695.9317644625207</v>
      </c>
      <c r="BP10" s="56">
        <f>BO10*(1+Segments!CJ82)</f>
        <v>9772.2658404053509</v>
      </c>
      <c r="BQ10" s="56">
        <f>BP10*(1+Segments!CK82)</f>
        <v>9848.5999163481811</v>
      </c>
      <c r="BR10" s="56">
        <f>BQ10*(1+Segments!CL82)</f>
        <v>9924.9339922910112</v>
      </c>
      <c r="BS10" s="56">
        <f>BR10*(1+Segments!CM82)</f>
        <v>10001.268068233841</v>
      </c>
      <c r="BT10" s="56">
        <f>BS10*(1+Segments!CN82)</f>
        <v>10077.602144176672</v>
      </c>
      <c r="BU10" s="56">
        <f>BT10*(1+Segments!CO82)</f>
        <v>10153.936220119502</v>
      </c>
      <c r="BV10" s="56">
        <f>BU10*(1+Segments!CP82)</f>
        <v>10230.270296062332</v>
      </c>
      <c r="BW10" s="56">
        <f>BV10*(1+Segments!CQ82)</f>
        <v>10306.604372005162</v>
      </c>
      <c r="BX10" s="56">
        <f>BW10*(1+Segments!CR82)</f>
        <v>10382.938447947992</v>
      </c>
      <c r="BY10" s="56">
        <f>BX10*(1+Segments!CS82)</f>
        <v>10459.272523890824</v>
      </c>
      <c r="BZ10" s="56">
        <f>BY10*(1+Segments!CT82)</f>
        <v>10535.606599833654</v>
      </c>
      <c r="CA10" s="56">
        <f>BZ10*(1+Segments!CU82)</f>
        <v>10611.940675776486</v>
      </c>
      <c r="CB10" s="56">
        <f>CA10*(1+Segments!CV82)</f>
        <v>10688.274751719318</v>
      </c>
      <c r="CC10" s="56">
        <f>CB10*(1+Segments!CW82)</f>
        <v>10764.60882766215</v>
      </c>
      <c r="CD10" s="56">
        <f>CC10*(1+Segments!CX82)</f>
        <v>10840.942903604982</v>
      </c>
      <c r="CE10" s="56">
        <f>CD10*(1+Segments!CY82)</f>
        <v>10917.276979547813</v>
      </c>
      <c r="CF10" s="56">
        <f>CE10*(1+Segments!CZ82)</f>
        <v>10993.611055490645</v>
      </c>
      <c r="CG10" s="56">
        <f>CF10*(1+Segments!DA82)</f>
        <v>11069.945131433476</v>
      </c>
      <c r="CH10" s="56">
        <f>CG10*(1+Segments!DB82)</f>
        <v>11146.279207376305</v>
      </c>
      <c r="CI10" s="56">
        <f>CH10*(1+Segments!DC82)</f>
        <v>11222.613283319137</v>
      </c>
    </row>
    <row r="11" spans="1:104" x14ac:dyDescent="0.25">
      <c r="A11" s="1"/>
      <c r="B11" s="1" t="s">
        <v>706</v>
      </c>
      <c r="C11" s="33">
        <v>2499</v>
      </c>
      <c r="D11" s="33">
        <v>2611</v>
      </c>
      <c r="E11" s="33">
        <v>2793</v>
      </c>
      <c r="F11" s="33">
        <v>3070</v>
      </c>
      <c r="G11" s="33">
        <v>3768</v>
      </c>
      <c r="H11" s="33">
        <v>4479</v>
      </c>
      <c r="I11" s="33">
        <v>5291</v>
      </c>
      <c r="J11" s="33">
        <v>0</v>
      </c>
      <c r="K11" s="33">
        <v>0</v>
      </c>
      <c r="L11" s="33">
        <v>0</v>
      </c>
      <c r="M11" s="56">
        <f>L11*(1+Segments!AG83)</f>
        <v>0</v>
      </c>
      <c r="N11" s="56">
        <f>M11*(1+Segments!AH83)</f>
        <v>0</v>
      </c>
      <c r="O11" s="56">
        <f>N11*(1+Segments!AI83)</f>
        <v>0</v>
      </c>
      <c r="P11" s="56">
        <f>O11*(1+Segments!AJ83)</f>
        <v>0</v>
      </c>
      <c r="Q11" s="56">
        <f>P11*(1+Segments!AK83)</f>
        <v>0</v>
      </c>
      <c r="R11" s="56">
        <f>Q11*(1+Segments!AL83)</f>
        <v>0</v>
      </c>
      <c r="S11" s="56">
        <f>R11*(1+Segments!AM83)</f>
        <v>0</v>
      </c>
      <c r="T11" s="56">
        <f>S11*(1+Segments!AN83)</f>
        <v>0</v>
      </c>
      <c r="U11" s="56">
        <f>T11*(1+Segments!AO83)</f>
        <v>0</v>
      </c>
      <c r="V11" s="56">
        <f>U11*(1+Segments!AP83)</f>
        <v>0</v>
      </c>
      <c r="W11" s="56">
        <f>V11*(1+Segments!AQ83)</f>
        <v>0</v>
      </c>
      <c r="X11" s="56">
        <f>W11*(1+Segments!AR83)</f>
        <v>0</v>
      </c>
      <c r="Y11" s="56">
        <f>X11*(1+Segments!AS83)</f>
        <v>0</v>
      </c>
      <c r="Z11" s="56">
        <f>Y11*(1+Segments!AT83)</f>
        <v>0</v>
      </c>
      <c r="AA11" s="56">
        <f>Z11*(1+Segments!AU83)</f>
        <v>0</v>
      </c>
      <c r="AB11" s="56">
        <f>AA11*(1+Segments!AV83)</f>
        <v>0</v>
      </c>
      <c r="AC11" s="56">
        <f>AB11*(1+Segments!AW83)</f>
        <v>0</v>
      </c>
      <c r="AD11" s="56">
        <f>AC11*(1+Segments!AX83)</f>
        <v>0</v>
      </c>
      <c r="AE11" s="56">
        <f>AD11*(1+Segments!AY83)</f>
        <v>0</v>
      </c>
      <c r="AF11" s="56">
        <f>AE11*(1+Segments!AZ83)</f>
        <v>0</v>
      </c>
      <c r="AG11" s="56">
        <f>AF11*(1+Segments!BA83)</f>
        <v>0</v>
      </c>
      <c r="AH11" s="56">
        <f>AG11*(1+Segments!BB83)</f>
        <v>0</v>
      </c>
      <c r="AI11" s="56">
        <f>AH11*(1+Segments!BC83)</f>
        <v>0</v>
      </c>
      <c r="AJ11" s="56">
        <f>AI11*(1+Segments!BD83)</f>
        <v>0</v>
      </c>
      <c r="AK11" s="56">
        <f>AJ11*(1+Segments!BE83)</f>
        <v>0</v>
      </c>
      <c r="AL11" s="56">
        <f>AK11*(1+Segments!BF83)</f>
        <v>0</v>
      </c>
      <c r="AM11" s="56">
        <f>AL11*(1+Segments!BG83)</f>
        <v>0</v>
      </c>
      <c r="AN11" s="56">
        <f>AM11*(1+Segments!BH83)</f>
        <v>0</v>
      </c>
      <c r="AO11" s="56">
        <f>AN11*(1+Segments!BI83)</f>
        <v>0</v>
      </c>
      <c r="AP11" s="56">
        <f>AO11*(1+Segments!BJ83)</f>
        <v>0</v>
      </c>
      <c r="AQ11" s="56">
        <f>AP11*(1+Segments!BK83)</f>
        <v>0</v>
      </c>
      <c r="AR11" s="56">
        <f>AQ11*(1+Segments!BL83)</f>
        <v>0</v>
      </c>
      <c r="AS11" s="56">
        <f>AR11*(1+Segments!BM83)</f>
        <v>0</v>
      </c>
      <c r="AT11" s="56">
        <f>AS11*(1+Segments!BN83)</f>
        <v>0</v>
      </c>
      <c r="AU11" s="56">
        <f>AT11*(1+Segments!BO83)</f>
        <v>0</v>
      </c>
      <c r="AV11" s="56">
        <f>AU11*(1+Segments!BP83)</f>
        <v>0</v>
      </c>
      <c r="AW11" s="56">
        <f>AV11*(1+Segments!BQ83)</f>
        <v>0</v>
      </c>
      <c r="AX11" s="56">
        <f>AW11*(1+Segments!BR83)</f>
        <v>0</v>
      </c>
      <c r="AY11" s="56">
        <f>AX11*(1+Segments!BS83)</f>
        <v>0</v>
      </c>
      <c r="AZ11" s="56">
        <f>AY11*(1+Segments!BT83)</f>
        <v>0</v>
      </c>
      <c r="BA11" s="56">
        <f>AZ11*(1+Segments!BU83)</f>
        <v>0</v>
      </c>
      <c r="BB11" s="56">
        <f>BA11*(1+Segments!BV83)</f>
        <v>0</v>
      </c>
      <c r="BC11" s="56">
        <f>BB11*(1+Segments!BW83)</f>
        <v>0</v>
      </c>
      <c r="BD11" s="56">
        <f>BC11*(1+Segments!BX83)</f>
        <v>0</v>
      </c>
      <c r="BE11" s="56">
        <f>BD11*(1+Segments!BY83)</f>
        <v>0</v>
      </c>
      <c r="BF11" s="56">
        <f>BE11*(1+Segments!BZ83)</f>
        <v>0</v>
      </c>
      <c r="BG11" s="56">
        <f>BF11*(1+Segments!CA83)</f>
        <v>0</v>
      </c>
      <c r="BH11" s="56">
        <f>BG11*(1+Segments!CB83)</f>
        <v>0</v>
      </c>
      <c r="BI11" s="56">
        <f>BH11*(1+Segments!CC83)</f>
        <v>0</v>
      </c>
      <c r="BJ11" s="56">
        <f>BI11*(1+Segments!CD83)</f>
        <v>0</v>
      </c>
      <c r="BK11" s="56">
        <f>BJ11*(1+Segments!CE83)</f>
        <v>0</v>
      </c>
      <c r="BL11" s="56">
        <f>BK11*(1+Segments!CF83)</f>
        <v>0</v>
      </c>
      <c r="BM11" s="56">
        <f>BL11*(1+Segments!CG83)</f>
        <v>0</v>
      </c>
      <c r="BN11" s="56">
        <f>BM11*(1+Segments!CH83)</f>
        <v>0</v>
      </c>
      <c r="BO11" s="56">
        <f>BN11*(1+Segments!CI83)</f>
        <v>0</v>
      </c>
      <c r="BP11" s="56">
        <f>BO11*(1+Segments!CJ83)</f>
        <v>0</v>
      </c>
      <c r="BQ11" s="56">
        <f>BP11*(1+Segments!CK83)</f>
        <v>0</v>
      </c>
      <c r="BR11" s="56">
        <f>BQ11*(1+Segments!CL83)</f>
        <v>0</v>
      </c>
      <c r="BS11" s="56">
        <f>BR11*(1+Segments!CM83)</f>
        <v>0</v>
      </c>
      <c r="BT11" s="56">
        <f>BS11*(1+Segments!CN83)</f>
        <v>0</v>
      </c>
      <c r="BU11" s="56">
        <f>BT11*(1+Segments!CO83)</f>
        <v>0</v>
      </c>
      <c r="BV11" s="56">
        <f>BU11*(1+Segments!CP83)</f>
        <v>0</v>
      </c>
      <c r="BW11" s="56">
        <f>BV11*(1+Segments!CQ83)</f>
        <v>0</v>
      </c>
      <c r="BX11" s="56">
        <f>BW11*(1+Segments!CR83)</f>
        <v>0</v>
      </c>
      <c r="BY11" s="56">
        <f>BX11*(1+Segments!CS83)</f>
        <v>0</v>
      </c>
      <c r="BZ11" s="56">
        <f>BY11*(1+Segments!CT83)</f>
        <v>0</v>
      </c>
      <c r="CA11" s="56">
        <f>BZ11*(1+Segments!CU83)</f>
        <v>0</v>
      </c>
      <c r="CB11" s="56">
        <f>CA11*(1+Segments!CV83)</f>
        <v>0</v>
      </c>
      <c r="CC11" s="56">
        <f>CB11*(1+Segments!CW83)</f>
        <v>0</v>
      </c>
      <c r="CD11" s="56">
        <f>CC11*(1+Segments!CX83)</f>
        <v>0</v>
      </c>
      <c r="CE11" s="56">
        <f>CD11*(1+Segments!CY83)</f>
        <v>0</v>
      </c>
      <c r="CF11" s="56">
        <f>CE11*(1+Segments!CZ83)</f>
        <v>0</v>
      </c>
      <c r="CG11" s="56">
        <f>CF11*(1+Segments!DA83)</f>
        <v>0</v>
      </c>
      <c r="CH11" s="56">
        <f>CG11*(1+Segments!DB83)</f>
        <v>0</v>
      </c>
      <c r="CI11" s="56">
        <f>CH11*(1+Segments!DC83)</f>
        <v>0</v>
      </c>
    </row>
    <row r="12" spans="1:104" x14ac:dyDescent="0.25">
      <c r="A12" s="1" t="s">
        <v>521</v>
      </c>
      <c r="B12" s="1" t="s">
        <v>521</v>
      </c>
      <c r="C12" s="33">
        <v>0</v>
      </c>
      <c r="D12" s="33">
        <v>2271</v>
      </c>
      <c r="E12" s="33">
        <v>5259</v>
      </c>
      <c r="F12" s="33">
        <v>6754</v>
      </c>
      <c r="G12" s="33">
        <v>8077</v>
      </c>
      <c r="H12" s="33">
        <v>10289</v>
      </c>
      <c r="I12" s="33">
        <v>13631</v>
      </c>
      <c r="J12" s="33">
        <v>14989</v>
      </c>
      <c r="K12" s="33">
        <v>16372</v>
      </c>
      <c r="L12" s="33">
        <v>17812</v>
      </c>
      <c r="M12" s="56">
        <f>L12*(1+Segments!AG84+0.05)</f>
        <v>20625.023405802956</v>
      </c>
      <c r="N12" s="56">
        <f>M12*(1+Segments!AH84)</f>
        <v>22634.204364639088</v>
      </c>
      <c r="O12" s="56">
        <f>N12*(1+Segments!AI84)</f>
        <v>24643.385323475224</v>
      </c>
      <c r="P12" s="56">
        <f>O12*(1+Segments!AJ84)</f>
        <v>26652.56628231136</v>
      </c>
      <c r="Q12" s="56">
        <f>P12*(1+Segments!AK84)</f>
        <v>28661.747241147499</v>
      </c>
      <c r="R12" s="56">
        <f>Q12*(1+Segments!AL84)</f>
        <v>30670.928199983631</v>
      </c>
      <c r="S12" s="56">
        <f>R12*(1+Segments!AM84)</f>
        <v>32680.109158819767</v>
      </c>
      <c r="T12" s="56">
        <f>S12*(1+Segments!AN84)</f>
        <v>34689.290117655895</v>
      </c>
      <c r="U12" s="56">
        <f>T12*(1+Segments!AO84)</f>
        <v>36698.471076492038</v>
      </c>
      <c r="V12" s="56">
        <f>U12*(1+Segments!AP84)</f>
        <v>38707.652035328174</v>
      </c>
      <c r="W12" s="56">
        <f>V12*(1+Segments!AQ84)</f>
        <v>40716.83299416431</v>
      </c>
      <c r="X12" s="56">
        <f>W12*(1+Segments!AR84)</f>
        <v>42726.013953000445</v>
      </c>
      <c r="Y12" s="56">
        <f>X12*(1+Segments!AS84)</f>
        <v>44735.194911836581</v>
      </c>
      <c r="Z12" s="56">
        <f>Y12*(1+Segments!AT84)</f>
        <v>46744.375870672717</v>
      </c>
      <c r="AA12" s="56">
        <f>Z12*(1+Segments!AU84)</f>
        <v>48753.55682950886</v>
      </c>
      <c r="AB12" s="56">
        <f>AA12*(1+Segments!AV84)</f>
        <v>50762.737788344995</v>
      </c>
      <c r="AC12" s="56">
        <f>AB12*(1+Segments!AW84)</f>
        <v>52771.918747181131</v>
      </c>
      <c r="AD12" s="56">
        <f>AC12*(1+Segments!AX84)</f>
        <v>54781.099706017259</v>
      </c>
      <c r="AE12" s="56">
        <f>AD12*(1+Segments!AY84)</f>
        <v>56790.280664853395</v>
      </c>
      <c r="AF12" s="56">
        <f>AE12*(1+Segments!AZ84)</f>
        <v>58799.461623689538</v>
      </c>
      <c r="AG12" s="56">
        <f>AF12*(1+Segments!BA84)</f>
        <v>60808.642582525674</v>
      </c>
      <c r="AH12" s="56">
        <f>AG12*(1+Segments!BB84)</f>
        <v>62817.823541361809</v>
      </c>
      <c r="AI12" s="56">
        <f>AH12*(1+Segments!BC84)</f>
        <v>64827.004500197945</v>
      </c>
      <c r="AJ12" s="56">
        <f>AI12*(1+Segments!BD84)</f>
        <v>66836.185459034081</v>
      </c>
      <c r="AK12" s="56">
        <f>AJ12*(1+Segments!BE84)</f>
        <v>68845.366417870217</v>
      </c>
      <c r="AL12" s="56">
        <f>AK12*(1+Segments!BF84)</f>
        <v>70854.547376706338</v>
      </c>
      <c r="AM12" s="56">
        <f>AL12*(1+Segments!BG84)</f>
        <v>72863.728335542473</v>
      </c>
      <c r="AN12" s="56">
        <f>AM12*(1+Segments!BH84)</f>
        <v>74872.909294378609</v>
      </c>
      <c r="AO12" s="56">
        <f>AN12*(1+Segments!BI84)</f>
        <v>76882.090253214745</v>
      </c>
      <c r="AP12" s="56">
        <f>AO12*(1+Segments!BJ84)</f>
        <v>78891.27121205088</v>
      </c>
      <c r="AQ12" s="56">
        <f>AP12*(1+Segments!BK84)</f>
        <v>80900.452170887002</v>
      </c>
      <c r="AR12" s="56">
        <f>AQ12*(1+Segments!BL84)</f>
        <v>82909.633129723152</v>
      </c>
      <c r="AS12" s="56">
        <f>AR12*(1+Segments!BM84)</f>
        <v>84918.814088559287</v>
      </c>
      <c r="AT12" s="56">
        <f>AS12*(1+Segments!BN84)</f>
        <v>86927.995047395409</v>
      </c>
      <c r="AU12" s="56">
        <f>AT12*(1+Segments!BO84)</f>
        <v>88937.176006231544</v>
      </c>
      <c r="AV12" s="56">
        <f>AU12*(1+Segments!BP84)</f>
        <v>90946.35696506768</v>
      </c>
      <c r="AW12" s="56">
        <f>AV12*(1+Segments!BQ84)</f>
        <v>92955.537923903816</v>
      </c>
      <c r="AX12" s="56">
        <f>AW12*(1+Segments!BR84)</f>
        <v>94964.718882739937</v>
      </c>
      <c r="AY12" s="56">
        <f>AX12*(1+Segments!BS84)</f>
        <v>96973.899841576087</v>
      </c>
      <c r="AZ12" s="56">
        <f>AY12*(1+Segments!BT84)</f>
        <v>98983.080800412223</v>
      </c>
      <c r="BA12" s="56">
        <f>AZ12*(1+Segments!BU84)</f>
        <v>100992.26175924836</v>
      </c>
      <c r="BB12" s="56">
        <f>BA12*(1+Segments!BV84)</f>
        <v>103001.44271808449</v>
      </c>
      <c r="BC12" s="56">
        <f>BB12*(1+Segments!BW84)</f>
        <v>105010.62367692062</v>
      </c>
      <c r="BD12" s="56">
        <f>BC12*(1+Segments!BX84)</f>
        <v>107019.80463575677</v>
      </c>
      <c r="BE12" s="56">
        <f>BD12*(1+Segments!BY84)</f>
        <v>109028.9855945929</v>
      </c>
      <c r="BF12" s="56">
        <f>BE12*(1+Segments!BZ84)</f>
        <v>111038.16655342902</v>
      </c>
      <c r="BG12" s="56">
        <f>BF12*(1+Segments!CA84)</f>
        <v>113047.34751226516</v>
      </c>
      <c r="BH12" s="56">
        <f>BG12*(1+Segments!CB84)</f>
        <v>115056.52847110129</v>
      </c>
      <c r="BI12" s="56">
        <f>BH12*(1+Segments!CC84)</f>
        <v>117065.70942993744</v>
      </c>
      <c r="BJ12" s="56">
        <f>BI12*(1+Segments!CD84)</f>
        <v>119074.89038877359</v>
      </c>
      <c r="BK12" s="56">
        <f>BJ12*(1+Segments!CE84)</f>
        <v>121084.07134760973</v>
      </c>
      <c r="BL12" s="56">
        <f>BK12*(1+Segments!CF84)</f>
        <v>123093.25230644587</v>
      </c>
      <c r="BM12" s="56">
        <f>BL12*(1+Segments!CG84)</f>
        <v>125102.433265282</v>
      </c>
      <c r="BN12" s="56">
        <f>BM12*(1+Segments!CH84)</f>
        <v>127111.61422411814</v>
      </c>
      <c r="BO12" s="56">
        <f>BN12*(1+Segments!CI84)</f>
        <v>129120.79518295427</v>
      </c>
      <c r="BP12" s="56">
        <f>BO12*(1+Segments!CJ84)</f>
        <v>131129.97614179039</v>
      </c>
      <c r="BQ12" s="56">
        <f>BP12*(1+Segments!CK84)</f>
        <v>133139.1571006265</v>
      </c>
      <c r="BR12" s="56">
        <f>BQ12*(1+Segments!CL84)</f>
        <v>135148.33805946264</v>
      </c>
      <c r="BS12" s="56">
        <f>BR12*(1+Segments!CM84)</f>
        <v>137157.51901829877</v>
      </c>
      <c r="BT12" s="56">
        <f>BS12*(1+Segments!CN84)</f>
        <v>139166.69997713491</v>
      </c>
      <c r="BU12" s="56">
        <f>BT12*(1+Segments!CO84)</f>
        <v>141175.88093597107</v>
      </c>
      <c r="BV12" s="56">
        <f>BU12*(1+Segments!CP84)</f>
        <v>143185.06189480718</v>
      </c>
      <c r="BW12" s="56">
        <f>BV12*(1+Segments!CQ84)</f>
        <v>145194.24285364331</v>
      </c>
      <c r="BX12" s="56">
        <f>BW12*(1+Segments!CR84)</f>
        <v>147203.42381247945</v>
      </c>
      <c r="BY12" s="56">
        <f>BX12*(1+Segments!CS84)</f>
        <v>149212.60477131559</v>
      </c>
      <c r="BZ12" s="56">
        <f>BY12*(1+Segments!CT84)</f>
        <v>151221.78573015172</v>
      </c>
      <c r="CA12" s="56">
        <f>BZ12*(1+Segments!CU84)</f>
        <v>153230.96668898783</v>
      </c>
      <c r="CB12" s="56">
        <f>CA12*(1+Segments!CV84)</f>
        <v>155240.14764782396</v>
      </c>
      <c r="CC12" s="56">
        <f>CB12*(1+Segments!CW84)</f>
        <v>157249.3286066601</v>
      </c>
      <c r="CD12" s="56">
        <f>CC12*(1+Segments!CX84)</f>
        <v>159258.50956549626</v>
      </c>
      <c r="CE12" s="56">
        <f>CD12*(1+Segments!CY84)</f>
        <v>161267.6905243324</v>
      </c>
      <c r="CF12" s="56">
        <f>CE12*(1+Segments!CZ84)</f>
        <v>163276.87148316851</v>
      </c>
      <c r="CG12" s="56">
        <f>CF12*(1+Segments!DA84)</f>
        <v>165286.05244200464</v>
      </c>
      <c r="CH12" s="56">
        <f>CG12*(1+Segments!DB84)</f>
        <v>167295.23340084081</v>
      </c>
      <c r="CI12" s="56">
        <f>CH12*(1+Segments!DC84)</f>
        <v>169304.41435967694</v>
      </c>
    </row>
    <row r="13" spans="1:104" x14ac:dyDescent="0.25">
      <c r="A13" s="1" t="s">
        <v>716</v>
      </c>
      <c r="B13" s="1" t="s">
        <v>707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3754</v>
      </c>
      <c r="I13" s="33">
        <v>4687</v>
      </c>
      <c r="J13" s="33">
        <v>5796</v>
      </c>
      <c r="K13" s="33">
        <v>6831</v>
      </c>
      <c r="L13" s="33">
        <v>7702</v>
      </c>
      <c r="M13" s="56">
        <f>L13*(1+Segments!AG85)</f>
        <v>8743.3983641584637</v>
      </c>
      <c r="N13" s="56">
        <f>M13*(1+Segments!AH85)</f>
        <v>9784.796728316931</v>
      </c>
      <c r="O13" s="56">
        <f>N13*(1+Segments!AI85)</f>
        <v>10826.195092475398</v>
      </c>
      <c r="P13" s="56">
        <f>O13*(1+Segments!AJ85)</f>
        <v>11867.593456633866</v>
      </c>
      <c r="Q13" s="56">
        <f>P13*(1+Segments!AK85)</f>
        <v>12908.991820792333</v>
      </c>
      <c r="R13" s="56">
        <f>Q13*(1+Segments!AL85)</f>
        <v>13950.3901849508</v>
      </c>
      <c r="S13" s="56">
        <f>R13*(1+Segments!AM85)</f>
        <v>14991.788549109267</v>
      </c>
      <c r="T13" s="56">
        <f>S13*(1+Segments!AN85)</f>
        <v>16033.186913267735</v>
      </c>
      <c r="U13" s="56">
        <f>T13*(1+Segments!AO85)</f>
        <v>17074.585277426202</v>
      </c>
      <c r="V13" s="56">
        <f>U13*(1+Segments!AP85)</f>
        <v>18115.983641584669</v>
      </c>
      <c r="W13" s="56">
        <f>V13*(1+Segments!AQ85)</f>
        <v>19157.382005743129</v>
      </c>
      <c r="X13" s="56">
        <f>W13*(1+Segments!AR85)</f>
        <v>20198.780369901597</v>
      </c>
      <c r="Y13" s="56">
        <f>X13*(1+Segments!AS85)</f>
        <v>21240.178734060064</v>
      </c>
      <c r="Z13" s="56">
        <f>Y13*(1+Segments!AT85)</f>
        <v>22281.577098218531</v>
      </c>
      <c r="AA13" s="56">
        <f>Z13*(1+Segments!AU85)</f>
        <v>23322.975462376999</v>
      </c>
      <c r="AB13" s="56">
        <f>AA13*(1+Segments!AV85)</f>
        <v>24364.373826535462</v>
      </c>
      <c r="AC13" s="56">
        <f>AB13*(1+Segments!AW85)</f>
        <v>25405.77219069393</v>
      </c>
      <c r="AD13" s="56">
        <f>AC13*(1+Segments!AX85)</f>
        <v>26447.170554852393</v>
      </c>
      <c r="AE13" s="56">
        <f>AD13*(1+Segments!AY85)</f>
        <v>27488.568919010861</v>
      </c>
      <c r="AF13" s="56">
        <f>AE13*(1+Segments!AZ85)</f>
        <v>28529.967283169328</v>
      </c>
      <c r="AG13" s="56">
        <f>AF13*(1+Segments!BA85)</f>
        <v>29571.365647327792</v>
      </c>
      <c r="AH13" s="56">
        <f>AG13*(1+Segments!BB85)</f>
        <v>30612.764011486259</v>
      </c>
      <c r="AI13" s="56">
        <f>AH13*(1+Segments!BC85)</f>
        <v>31654.162375644719</v>
      </c>
      <c r="AJ13" s="56">
        <f>AI13*(1+Segments!BD85)</f>
        <v>32695.560739803186</v>
      </c>
      <c r="AK13" s="56">
        <f>AJ13*(1+Segments!BE85)</f>
        <v>33736.95910396165</v>
      </c>
      <c r="AL13" s="56">
        <f>AK13*(1+Segments!BF85)</f>
        <v>34778.357468120121</v>
      </c>
      <c r="AM13" s="56">
        <f>AL13*(1+Segments!BG85)</f>
        <v>35819.755832278577</v>
      </c>
      <c r="AN13" s="56">
        <f>AM13*(1+Segments!BH85)</f>
        <v>36861.154196437048</v>
      </c>
      <c r="AO13" s="56">
        <f>AN13*(1+Segments!BI85)</f>
        <v>37902.552560595512</v>
      </c>
      <c r="AP13" s="56">
        <f>AO13*(1+Segments!BJ85)</f>
        <v>38943.950924753983</v>
      </c>
      <c r="AQ13" s="56">
        <f>AP13*(1+Segments!BK85)</f>
        <v>39985.349288912439</v>
      </c>
      <c r="AR13" s="56">
        <f>AQ13*(1+Segments!BL85)</f>
        <v>41026.747653070903</v>
      </c>
      <c r="AS13" s="56">
        <f>AR13*(1+Segments!BM85)</f>
        <v>42068.146017229374</v>
      </c>
      <c r="AT13" s="56">
        <f>AS13*(1+Segments!BN85)</f>
        <v>43109.54438138783</v>
      </c>
      <c r="AU13" s="56">
        <f>AT13*(1+Segments!BO85)</f>
        <v>44150.942745546308</v>
      </c>
      <c r="AV13" s="56">
        <f>AU13*(1+Segments!BP85)</f>
        <v>45192.341109704772</v>
      </c>
      <c r="AW13" s="56">
        <f>AV13*(1+Segments!BQ85)</f>
        <v>46233.739473863243</v>
      </c>
      <c r="AX13" s="56">
        <f>AW13*(1+Segments!BR85)</f>
        <v>47275.137838021699</v>
      </c>
      <c r="AY13" s="56">
        <f>AX13*(1+Segments!BS85)</f>
        <v>48316.536202180163</v>
      </c>
      <c r="AZ13" s="56">
        <f>AY13*(1+Segments!BT85)</f>
        <v>49357.934566338634</v>
      </c>
      <c r="BA13" s="56">
        <f>AZ13*(1+Segments!BU85)</f>
        <v>50399.332930497105</v>
      </c>
      <c r="BB13" s="56">
        <f>BA13*(1+Segments!BV85)</f>
        <v>51440.731294655583</v>
      </c>
      <c r="BC13" s="56">
        <f>BB13*(1+Segments!BW85)</f>
        <v>52482.129658814047</v>
      </c>
      <c r="BD13" s="56">
        <f>BC13*(1+Segments!BX85)</f>
        <v>53523.52802297251</v>
      </c>
      <c r="BE13" s="56">
        <f>BD13*(1+Segments!BY85)</f>
        <v>54564.926387130981</v>
      </c>
      <c r="BF13" s="56">
        <f>BE13*(1+Segments!BZ85)</f>
        <v>55606.324751289438</v>
      </c>
      <c r="BG13" s="56">
        <f>BF13*(1+Segments!CA85)</f>
        <v>56647.723115447901</v>
      </c>
      <c r="BH13" s="56">
        <f>BG13*(1+Segments!CB85)</f>
        <v>57689.121479606358</v>
      </c>
      <c r="BI13" s="56">
        <f>BH13*(1+Segments!CC85)</f>
        <v>58730.519843764829</v>
      </c>
      <c r="BJ13" s="56">
        <f>BI13*(1+Segments!CD85)</f>
        <v>59771.918207923292</v>
      </c>
      <c r="BK13" s="56">
        <f>BJ13*(1+Segments!CE85)</f>
        <v>60813.316572081763</v>
      </c>
      <c r="BL13" s="56">
        <f>BK13*(1+Segments!CF85)</f>
        <v>61854.714936240227</v>
      </c>
      <c r="BM13" s="56">
        <f>BL13*(1+Segments!CG85)</f>
        <v>62896.113300398698</v>
      </c>
      <c r="BN13" s="56">
        <f>BM13*(1+Segments!CH85)</f>
        <v>63937.511664557162</v>
      </c>
      <c r="BO13" s="56">
        <f>BN13*(1+Segments!CI85)</f>
        <v>64978.910028715625</v>
      </c>
      <c r="BP13" s="56">
        <f>BO13*(1+Segments!CJ85)</f>
        <v>66020.308392874096</v>
      </c>
      <c r="BQ13" s="56">
        <f>BP13*(1+Segments!CK85)</f>
        <v>67061.706757032574</v>
      </c>
      <c r="BR13" s="56">
        <f>BQ13*(1+Segments!CL85)</f>
        <v>68103.105121191053</v>
      </c>
      <c r="BS13" s="56">
        <f>BR13*(1+Segments!CM85)</f>
        <v>69144.503485349531</v>
      </c>
      <c r="BT13" s="56">
        <f>BS13*(1+Segments!CN85)</f>
        <v>70185.90184950798</v>
      </c>
      <c r="BU13" s="56">
        <f>BT13*(1+Segments!CO85)</f>
        <v>71227.300213666458</v>
      </c>
      <c r="BV13" s="56">
        <f>BU13*(1+Segments!CP85)</f>
        <v>72268.698577824936</v>
      </c>
      <c r="BW13" s="56">
        <f>BV13*(1+Segments!CQ85)</f>
        <v>73310.0969419834</v>
      </c>
      <c r="BX13" s="56">
        <f>BW13*(1+Segments!CR85)</f>
        <v>74351.495306141878</v>
      </c>
      <c r="BY13" s="56">
        <f>BX13*(1+Segments!CS85)</f>
        <v>75392.893670300356</v>
      </c>
      <c r="BZ13" s="56">
        <f>BY13*(1+Segments!CT85)</f>
        <v>76434.292034458835</v>
      </c>
      <c r="CA13" s="56">
        <f>BZ13*(1+Segments!CU85)</f>
        <v>77475.690398617298</v>
      </c>
      <c r="CB13" s="56">
        <f>CA13*(1+Segments!CV85)</f>
        <v>78517.088762775777</v>
      </c>
      <c r="CC13" s="56">
        <f>CB13*(1+Segments!CW85)</f>
        <v>79558.48712693424</v>
      </c>
      <c r="CD13" s="56">
        <f>CC13*(1+Segments!CX85)</f>
        <v>80599.885491092718</v>
      </c>
      <c r="CE13" s="56">
        <f>CD13*(1+Segments!CY85)</f>
        <v>81641.283855251182</v>
      </c>
      <c r="CF13" s="56">
        <f>CE13*(1+Segments!CZ85)</f>
        <v>82682.68221940966</v>
      </c>
      <c r="CG13" s="56">
        <f>CF13*(1+Segments!DA85)</f>
        <v>83724.080583568124</v>
      </c>
      <c r="CH13" s="56">
        <f>CG13*(1+Segments!DB85)</f>
        <v>84765.478947726588</v>
      </c>
      <c r="CI13" s="56">
        <f>CH13*(1+Segments!DC85)</f>
        <v>85806.877311885066</v>
      </c>
    </row>
    <row r="14" spans="1:104" x14ac:dyDescent="0.25">
      <c r="B14" s="1" t="s">
        <v>708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373</v>
      </c>
      <c r="I14" s="33">
        <v>233</v>
      </c>
      <c r="J14" s="33">
        <v>119</v>
      </c>
      <c r="K14" s="33">
        <v>45</v>
      </c>
      <c r="L14" s="33">
        <v>72</v>
      </c>
      <c r="M14" s="56">
        <f>L14*(1+Segments!AG86)</f>
        <v>72</v>
      </c>
      <c r="N14" s="56">
        <f>M14*(1+Segments!AH86)</f>
        <v>72</v>
      </c>
      <c r="O14" s="56">
        <f>N14*(1+Segments!AI86)</f>
        <v>72</v>
      </c>
      <c r="P14" s="56">
        <f>O14*(1+Segments!AJ86)</f>
        <v>72</v>
      </c>
      <c r="Q14" s="56">
        <f>P14*(1+Segments!AK86)</f>
        <v>72</v>
      </c>
      <c r="R14" s="56">
        <f>Q14*(1+Segments!AL86)</f>
        <v>72</v>
      </c>
      <c r="S14" s="56">
        <f>R14*(1+Segments!AM86)</f>
        <v>72</v>
      </c>
      <c r="T14" s="56">
        <f>S14*(1+Segments!AN86)</f>
        <v>72</v>
      </c>
      <c r="U14" s="56">
        <f>T14*(1+Segments!AO86)</f>
        <v>72</v>
      </c>
      <c r="V14" s="56">
        <f>U14*(1+Segments!AP86)</f>
        <v>72</v>
      </c>
      <c r="W14" s="56">
        <f>V14*(1+Segments!AQ86)</f>
        <v>72</v>
      </c>
      <c r="X14" s="56">
        <f>W14*(1+Segments!AR86)</f>
        <v>72</v>
      </c>
      <c r="Y14" s="56">
        <f>X14*(1+Segments!AS86)</f>
        <v>72</v>
      </c>
      <c r="Z14" s="56">
        <f>Y14*(1+Segments!AT86)</f>
        <v>72</v>
      </c>
      <c r="AA14" s="56">
        <f>Z14*(1+Segments!AU86)</f>
        <v>72</v>
      </c>
      <c r="AB14" s="56">
        <f>AA14*(1+Segments!AV86)</f>
        <v>72</v>
      </c>
      <c r="AC14" s="56">
        <f>AB14*(1+Segments!AW86)</f>
        <v>72</v>
      </c>
      <c r="AD14" s="56">
        <f>AC14*(1+Segments!AX86)</f>
        <v>72</v>
      </c>
      <c r="AE14" s="56">
        <f>AD14*(1+Segments!AY86)</f>
        <v>72</v>
      </c>
      <c r="AF14" s="56">
        <f>AE14*(1+Segments!AZ86)</f>
        <v>72</v>
      </c>
      <c r="AG14" s="56">
        <f>AF14*(1+Segments!BA86)</f>
        <v>72</v>
      </c>
      <c r="AH14" s="56">
        <f>AG14*(1+Segments!BB86)</f>
        <v>72</v>
      </c>
      <c r="AI14" s="56">
        <f>AH14*(1+Segments!BC86)</f>
        <v>72</v>
      </c>
      <c r="AJ14" s="56">
        <f>AI14*(1+Segments!BD86)</f>
        <v>72</v>
      </c>
      <c r="AK14" s="56">
        <f>AJ14*(1+Segments!BE86)</f>
        <v>72</v>
      </c>
      <c r="AL14" s="56">
        <f>AK14*(1+Segments!BF86)</f>
        <v>72</v>
      </c>
      <c r="AM14" s="56">
        <f>AL14*(1+Segments!BG86)</f>
        <v>72</v>
      </c>
      <c r="AN14" s="56">
        <f>AM14*(1+Segments!BH86)</f>
        <v>72</v>
      </c>
      <c r="AO14" s="56">
        <f>AN14*(1+Segments!BI86)</f>
        <v>72</v>
      </c>
      <c r="AP14" s="56">
        <f>AO14*(1+Segments!BJ86)</f>
        <v>72</v>
      </c>
      <c r="AQ14" s="56">
        <f>AP14*(1+Segments!BK86)</f>
        <v>72</v>
      </c>
      <c r="AR14" s="56">
        <f>AQ14*(1+Segments!BL86)</f>
        <v>72</v>
      </c>
      <c r="AS14" s="56">
        <f>AR14*(1+Segments!BM86)</f>
        <v>72</v>
      </c>
      <c r="AT14" s="56">
        <f>AS14*(1+Segments!BN86)</f>
        <v>72</v>
      </c>
      <c r="AU14" s="56">
        <f>AT14*(1+Segments!BO86)</f>
        <v>72</v>
      </c>
      <c r="AV14" s="56">
        <f>AU14*(1+Segments!BP86)</f>
        <v>72</v>
      </c>
      <c r="AW14" s="56">
        <f>AV14*(1+Segments!BQ86)</f>
        <v>72</v>
      </c>
      <c r="AX14" s="56">
        <f>AW14*(1+Segments!BR86)</f>
        <v>72</v>
      </c>
      <c r="AY14" s="56">
        <f>AX14*(1+Segments!BS86)</f>
        <v>72</v>
      </c>
      <c r="AZ14" s="56">
        <f>AY14*(1+Segments!BT86)</f>
        <v>72</v>
      </c>
      <c r="BA14" s="56">
        <f>AZ14*(1+Segments!BU86)</f>
        <v>72</v>
      </c>
      <c r="BB14" s="56">
        <f>BA14*(1+Segments!BV86)</f>
        <v>72</v>
      </c>
      <c r="BC14" s="56">
        <f>BB14*(1+Segments!BW86)</f>
        <v>72</v>
      </c>
      <c r="BD14" s="56">
        <f>BC14*(1+Segments!BX86)</f>
        <v>72</v>
      </c>
      <c r="BE14" s="56">
        <f>BD14*(1+Segments!BY86)</f>
        <v>72</v>
      </c>
      <c r="BF14" s="56">
        <f>BE14*(1+Segments!BZ86)</f>
        <v>72</v>
      </c>
      <c r="BG14" s="56">
        <f>BF14*(1+Segments!CA86)</f>
        <v>72</v>
      </c>
      <c r="BH14" s="56">
        <f>BG14*(1+Segments!CB86)</f>
        <v>72</v>
      </c>
      <c r="BI14" s="56">
        <f>BH14*(1+Segments!CC86)</f>
        <v>72</v>
      </c>
      <c r="BJ14" s="56">
        <f>BI14*(1+Segments!CD86)</f>
        <v>72</v>
      </c>
      <c r="BK14" s="56">
        <f>BJ14*(1+Segments!CE86)</f>
        <v>72</v>
      </c>
      <c r="BL14" s="56">
        <f>BK14*(1+Segments!CF86)</f>
        <v>72</v>
      </c>
      <c r="BM14" s="56">
        <f>BL14*(1+Segments!CG86)</f>
        <v>72</v>
      </c>
      <c r="BN14" s="56">
        <f>BM14*(1+Segments!CH86)</f>
        <v>72</v>
      </c>
      <c r="BO14" s="56">
        <f>BN14*(1+Segments!CI86)</f>
        <v>72</v>
      </c>
      <c r="BP14" s="56">
        <f>BO14*(1+Segments!CJ86)</f>
        <v>72</v>
      </c>
      <c r="BQ14" s="56">
        <f>BP14*(1+Segments!CK86)</f>
        <v>72</v>
      </c>
      <c r="BR14" s="56">
        <f>BQ14*(1+Segments!CL86)</f>
        <v>72</v>
      </c>
      <c r="BS14" s="56">
        <f>BR14*(1+Segments!CM86)</f>
        <v>72</v>
      </c>
      <c r="BT14" s="56">
        <f>BS14*(1+Segments!CN86)</f>
        <v>72</v>
      </c>
      <c r="BU14" s="56">
        <f>BT14*(1+Segments!CO86)</f>
        <v>72</v>
      </c>
      <c r="BV14" s="56">
        <f>BU14*(1+Segments!CP86)</f>
        <v>72</v>
      </c>
      <c r="BW14" s="56">
        <f>BV14*(1+Segments!CQ86)</f>
        <v>72</v>
      </c>
      <c r="BX14" s="56">
        <f>BW14*(1+Segments!CR86)</f>
        <v>72</v>
      </c>
      <c r="BY14" s="56">
        <f>BX14*(1+Segments!CS86)</f>
        <v>72</v>
      </c>
      <c r="BZ14" s="56">
        <f>BY14*(1+Segments!CT86)</f>
        <v>72</v>
      </c>
      <c r="CA14" s="56">
        <f>BZ14*(1+Segments!CU86)</f>
        <v>72</v>
      </c>
      <c r="CB14" s="56">
        <f>CA14*(1+Segments!CV86)</f>
        <v>72</v>
      </c>
      <c r="CC14" s="56">
        <f>CB14*(1+Segments!CW86)</f>
        <v>72</v>
      </c>
      <c r="CD14" s="56">
        <f>CC14*(1+Segments!CX86)</f>
        <v>72</v>
      </c>
      <c r="CE14" s="56">
        <f>CD14*(1+Segments!CY86)</f>
        <v>72</v>
      </c>
      <c r="CF14" s="56">
        <f>CE14*(1+Segments!CZ86)</f>
        <v>72</v>
      </c>
      <c r="CG14" s="56">
        <f>CF14*(1+Segments!DA86)</f>
        <v>72</v>
      </c>
      <c r="CH14" s="56">
        <f>CG14*(1+Segments!DB86)</f>
        <v>72</v>
      </c>
      <c r="CI14" s="56">
        <f>CH14*(1+Segments!DC86)</f>
        <v>72</v>
      </c>
    </row>
    <row r="15" spans="1:104" x14ac:dyDescent="0.25">
      <c r="B15" s="34" t="s">
        <v>725</v>
      </c>
      <c r="C15" s="35">
        <f>SUM(C4:C14)</f>
        <v>91154</v>
      </c>
      <c r="D15" s="35">
        <f t="shared" ref="D15:L15" si="0">SUM(D4:D14)</f>
        <v>96571</v>
      </c>
      <c r="E15" s="35">
        <f t="shared" si="0"/>
        <v>110360</v>
      </c>
      <c r="F15" s="35">
        <f t="shared" si="0"/>
        <v>125843</v>
      </c>
      <c r="G15" s="35">
        <f t="shared" si="0"/>
        <v>143015</v>
      </c>
      <c r="H15" s="35">
        <f t="shared" si="0"/>
        <v>172567</v>
      </c>
      <c r="I15" s="35">
        <f t="shared" si="0"/>
        <v>203561</v>
      </c>
      <c r="J15" s="35">
        <f t="shared" si="0"/>
        <v>212241</v>
      </c>
      <c r="K15" s="35">
        <f t="shared" si="0"/>
        <v>245202</v>
      </c>
      <c r="L15" s="35">
        <f t="shared" si="0"/>
        <v>281724</v>
      </c>
      <c r="M15" s="35">
        <f t="shared" ref="M15" si="1">SUM(M4:M14)</f>
        <v>321869.75404702633</v>
      </c>
      <c r="N15" s="35">
        <f t="shared" ref="N15" si="2">SUM(N4:N14)</f>
        <v>360661.68327812635</v>
      </c>
      <c r="O15" s="35">
        <f t="shared" ref="O15" si="3">SUM(O4:O14)</f>
        <v>386708.11809619027</v>
      </c>
      <c r="P15" s="35">
        <f t="shared" ref="P15" si="4">SUM(P4:P14)</f>
        <v>412754.55291425413</v>
      </c>
      <c r="Q15" s="35">
        <f t="shared" ref="Q15" si="5">SUM(Q4:Q14)</f>
        <v>438800.98773231806</v>
      </c>
      <c r="R15" s="35">
        <f t="shared" ref="R15" si="6">SUM(R4:R14)</f>
        <v>464847.42255038192</v>
      </c>
      <c r="S15" s="35">
        <f t="shared" ref="S15" si="7">SUM(S4:S14)</f>
        <v>490893.85736844572</v>
      </c>
      <c r="T15" s="35">
        <f t="shared" ref="T15" si="8">SUM(T4:T14)</f>
        <v>516940.29218650953</v>
      </c>
      <c r="U15" s="35">
        <f t="shared" ref="U15" si="9">SUM(U4:U14)</f>
        <v>542986.72700457345</v>
      </c>
      <c r="V15" s="35">
        <f t="shared" ref="V15" si="10">SUM(V4:V14)</f>
        <v>569033.16182263743</v>
      </c>
      <c r="W15" s="35">
        <f t="shared" ref="W15" si="11">SUM(W4:W14)</f>
        <v>595079.59664070129</v>
      </c>
      <c r="X15" s="35">
        <f t="shared" ref="X15" si="12">SUM(X4:X14)</f>
        <v>621126.03145876527</v>
      </c>
      <c r="Y15" s="35">
        <f t="shared" ref="Y15" si="13">SUM(Y4:Y14)</f>
        <v>647172.46627682913</v>
      </c>
      <c r="Z15" s="35">
        <f t="shared" ref="Z15" si="14">SUM(Z4:Z14)</f>
        <v>673218.90109489299</v>
      </c>
      <c r="AA15" s="35">
        <f t="shared" ref="AA15" si="15">SUM(AA4:AA14)</f>
        <v>699265.33591295686</v>
      </c>
      <c r="AB15" s="35">
        <f t="shared" ref="AB15" si="16">SUM(AB4:AB14)</f>
        <v>725311.77073102072</v>
      </c>
      <c r="AC15" s="35">
        <f t="shared" ref="AC15" si="17">SUM(AC4:AC14)</f>
        <v>751358.2055490847</v>
      </c>
      <c r="AD15" s="35">
        <f t="shared" ref="AD15" si="18">SUM(AD4:AD14)</f>
        <v>777404.64036714868</v>
      </c>
      <c r="AE15" s="35">
        <f t="shared" ref="AE15" si="19">SUM(AE4:AE14)</f>
        <v>803451.07518521254</v>
      </c>
      <c r="AF15" s="35">
        <f t="shared" ref="AF15" si="20">SUM(AF4:AF14)</f>
        <v>829497.51000327629</v>
      </c>
      <c r="AG15" s="35">
        <f t="shared" ref="AG15" si="21">SUM(AG4:AG14)</f>
        <v>855543.94482134038</v>
      </c>
      <c r="AH15" s="35">
        <f t="shared" ref="AH15" si="22">SUM(AH4:AH14)</f>
        <v>881590.37963940436</v>
      </c>
      <c r="AI15" s="35">
        <f t="shared" ref="AI15" si="23">SUM(AI4:AI14)</f>
        <v>907636.81445746822</v>
      </c>
      <c r="AJ15" s="35">
        <f t="shared" ref="AJ15" si="24">SUM(AJ4:AJ14)</f>
        <v>933683.24927553209</v>
      </c>
      <c r="AK15" s="35">
        <f t="shared" ref="AK15" si="25">SUM(AK4:AK14)</f>
        <v>959729.68409359595</v>
      </c>
      <c r="AL15" s="35">
        <f t="shared" ref="AL15" si="26">SUM(AL4:AL14)</f>
        <v>985776.11891165981</v>
      </c>
      <c r="AM15" s="35">
        <f t="shared" ref="AM15" si="27">SUM(AM4:AM14)</f>
        <v>1011822.5537297237</v>
      </c>
      <c r="AN15" s="35">
        <f t="shared" ref="AN15" si="28">SUM(AN4:AN14)</f>
        <v>1037868.9885477875</v>
      </c>
      <c r="AO15" s="35">
        <f t="shared" ref="AO15" si="29">SUM(AO4:AO14)</f>
        <v>1063915.4233658516</v>
      </c>
      <c r="AP15" s="35">
        <f t="shared" ref="AP15" si="30">SUM(AP4:AP14)</f>
        <v>1089961.8581839155</v>
      </c>
      <c r="AQ15" s="35">
        <f t="shared" ref="AQ15" si="31">SUM(AQ4:AQ14)</f>
        <v>1116008.2930019794</v>
      </c>
      <c r="AR15" s="35">
        <f t="shared" ref="AR15" si="32">SUM(AR4:AR14)</f>
        <v>1142054.7278200432</v>
      </c>
      <c r="AS15" s="35">
        <f t="shared" ref="AS15" si="33">SUM(AS4:AS14)</f>
        <v>1168101.1626381071</v>
      </c>
      <c r="AT15" s="35">
        <f t="shared" ref="AT15" si="34">SUM(AT4:AT14)</f>
        <v>1194147.5974561705</v>
      </c>
      <c r="AU15" s="35">
        <f t="shared" ref="AU15" si="35">SUM(AU4:AU14)</f>
        <v>1220194.0322742343</v>
      </c>
      <c r="AV15" s="35">
        <f t="shared" ref="AV15" si="36">SUM(AV4:AV14)</f>
        <v>1246240.4670922984</v>
      </c>
      <c r="AW15" s="35">
        <f t="shared" ref="AW15" si="37">SUM(AW4:AW14)</f>
        <v>1272286.9019103625</v>
      </c>
      <c r="AX15" s="35">
        <f t="shared" ref="AX15" si="38">SUM(AX4:AX14)</f>
        <v>1298333.3367284264</v>
      </c>
      <c r="AY15" s="35">
        <f t="shared" ref="AY15" si="39">SUM(AY4:AY14)</f>
        <v>1324379.7715464903</v>
      </c>
      <c r="AZ15" s="35">
        <f t="shared" ref="AZ15" si="40">SUM(AZ4:AZ14)</f>
        <v>1350426.2063645537</v>
      </c>
      <c r="BA15" s="35">
        <f t="shared" ref="BA15" si="41">SUM(BA4:BA14)</f>
        <v>1376472.6411826178</v>
      </c>
      <c r="BB15" s="35">
        <f t="shared" ref="BB15" si="42">SUM(BB4:BB14)</f>
        <v>1402519.0760006816</v>
      </c>
      <c r="BC15" s="35">
        <f t="shared" ref="BC15" si="43">SUM(BC4:BC14)</f>
        <v>1428565.5108187452</v>
      </c>
      <c r="BD15" s="35">
        <f t="shared" ref="BD15" si="44">SUM(BD4:BD14)</f>
        <v>1454611.9456368093</v>
      </c>
      <c r="BE15" s="35">
        <f t="shared" ref="BE15" si="45">SUM(BE4:BE14)</f>
        <v>1480658.3804548737</v>
      </c>
      <c r="BF15" s="35">
        <f t="shared" ref="BF15" si="46">SUM(BF4:BF14)</f>
        <v>1506704.8152729373</v>
      </c>
      <c r="BG15" s="35">
        <f t="shared" ref="BG15" si="47">SUM(BG4:BG14)</f>
        <v>1532751.2500910014</v>
      </c>
      <c r="BH15" s="35">
        <f t="shared" ref="BH15" si="48">SUM(BH4:BH14)</f>
        <v>1558797.6849090648</v>
      </c>
      <c r="BI15" s="35">
        <f t="shared" ref="BI15" si="49">SUM(BI4:BI14)</f>
        <v>1584844.1197271289</v>
      </c>
      <c r="BJ15" s="35">
        <f t="shared" ref="BJ15" si="50">SUM(BJ4:BJ14)</f>
        <v>1610890.554545193</v>
      </c>
      <c r="BK15" s="35">
        <f t="shared" ref="BK15" si="51">SUM(BK4:BK14)</f>
        <v>1636936.9893632564</v>
      </c>
      <c r="BL15" s="35">
        <f t="shared" ref="BL15" si="52">SUM(BL4:BL14)</f>
        <v>1662983.4241813202</v>
      </c>
      <c r="BM15" s="35">
        <f t="shared" ref="BM15" si="53">SUM(BM4:BM14)</f>
        <v>1689029.8589993843</v>
      </c>
      <c r="BN15" s="35">
        <f t="shared" ref="BN15" si="54">SUM(BN4:BN14)</f>
        <v>1715076.2938174482</v>
      </c>
      <c r="BO15" s="35">
        <f t="shared" ref="BO15" si="55">SUM(BO4:BO14)</f>
        <v>1741122.7286355121</v>
      </c>
      <c r="BP15" s="35">
        <f t="shared" ref="BP15" si="56">SUM(BP4:BP14)</f>
        <v>1767169.1634535762</v>
      </c>
      <c r="BQ15" s="35">
        <f t="shared" ref="BQ15" si="57">SUM(BQ4:BQ14)</f>
        <v>1793215.5982716398</v>
      </c>
      <c r="BR15" s="35">
        <f t="shared" ref="BR15" si="58">SUM(BR4:BR14)</f>
        <v>1819262.0330897036</v>
      </c>
      <c r="BS15" s="35">
        <f t="shared" ref="BS15" si="59">SUM(BS4:BS14)</f>
        <v>1845308.4679077673</v>
      </c>
      <c r="BT15" s="35">
        <f t="shared" ref="BT15" si="60">SUM(BT4:BT14)</f>
        <v>1871354.9027258314</v>
      </c>
      <c r="BU15" s="35">
        <f t="shared" ref="BU15" si="61">SUM(BU4:BU14)</f>
        <v>1897401.3375438957</v>
      </c>
      <c r="BV15" s="35">
        <f t="shared" ref="BV15" si="62">SUM(BV4:BV14)</f>
        <v>1923447.7723619593</v>
      </c>
      <c r="BW15" s="35">
        <f t="shared" ref="BW15" si="63">SUM(BW4:BW14)</f>
        <v>1949494.207180023</v>
      </c>
      <c r="BX15" s="35">
        <f t="shared" ref="BX15" si="64">SUM(BX4:BX14)</f>
        <v>1975540.6419980871</v>
      </c>
      <c r="BY15" s="35">
        <f t="shared" ref="BY15" si="65">SUM(BY4:BY14)</f>
        <v>2001587.0768161507</v>
      </c>
      <c r="BZ15" s="35">
        <f t="shared" ref="BZ15" si="66">SUM(BZ4:BZ14)</f>
        <v>2027633.5116342145</v>
      </c>
      <c r="CA15" s="35">
        <f t="shared" ref="CA15" si="67">SUM(CA4:CA14)</f>
        <v>2053679.9464522786</v>
      </c>
      <c r="CB15" s="35">
        <f t="shared" ref="CB15" si="68">SUM(CB4:CB14)</f>
        <v>2079726.3812703423</v>
      </c>
      <c r="CC15" s="35">
        <f t="shared" ref="CC15" si="69">SUM(CC4:CC14)</f>
        <v>2105772.8160884064</v>
      </c>
      <c r="CD15" s="35">
        <f t="shared" ref="CD15" si="70">SUM(CD4:CD14)</f>
        <v>2131819.2509064707</v>
      </c>
      <c r="CE15" s="35">
        <f t="shared" ref="CE15" si="71">SUM(CE4:CE14)</f>
        <v>2157865.6857245346</v>
      </c>
      <c r="CF15" s="35">
        <f t="shared" ref="CF15" si="72">SUM(CF4:CF14)</f>
        <v>2183912.120542598</v>
      </c>
      <c r="CG15" s="35">
        <f t="shared" ref="CG15" si="73">SUM(CG4:CG14)</f>
        <v>2209958.5553606623</v>
      </c>
      <c r="CH15" s="35">
        <f t="shared" ref="CH15" si="74">SUM(CH4:CH14)</f>
        <v>2236004.9901787261</v>
      </c>
      <c r="CI15" s="35">
        <f t="shared" ref="CI15" si="75">SUM(CI4:CI14)</f>
        <v>2262051.42499679</v>
      </c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</row>
    <row r="16" spans="1:104" s="61" customFormat="1" x14ac:dyDescent="0.25">
      <c r="A16" s="58"/>
      <c r="B16" s="59" t="s">
        <v>732</v>
      </c>
      <c r="C16" s="60"/>
      <c r="D16" s="60">
        <f t="shared" ref="D16:E16" si="76">D15/C15-1</f>
        <v>5.9426903920837271E-2</v>
      </c>
      <c r="E16" s="60">
        <f t="shared" si="76"/>
        <v>0.14278613662486661</v>
      </c>
      <c r="F16" s="60">
        <f>F15/E15-1</f>
        <v>0.14029539688292858</v>
      </c>
      <c r="G16" s="60">
        <f t="shared" ref="G16:M16" si="77">G15/F15-1</f>
        <v>0.13645574247276371</v>
      </c>
      <c r="H16" s="60">
        <f t="shared" si="77"/>
        <v>0.206635667587316</v>
      </c>
      <c r="I16" s="60">
        <f t="shared" si="77"/>
        <v>0.17960560246165258</v>
      </c>
      <c r="J16" s="60">
        <f t="shared" si="77"/>
        <v>4.2640780896144204E-2</v>
      </c>
      <c r="K16" s="60">
        <f t="shared" si="77"/>
        <v>0.15529987137263768</v>
      </c>
      <c r="L16" s="60">
        <f t="shared" si="77"/>
        <v>0.14894658281743212</v>
      </c>
      <c r="M16" s="60">
        <f t="shared" si="77"/>
        <v>0.14250029833108413</v>
      </c>
      <c r="N16" s="60">
        <f t="shared" ref="N16" si="78">N15/M15-1</f>
        <v>0.1205205793441293</v>
      </c>
      <c r="O16" s="60">
        <f t="shared" ref="O16" si="79">O15/N15-1</f>
        <v>7.2218469623173354E-2</v>
      </c>
      <c r="P16" s="60">
        <f t="shared" ref="P16" si="80">P15/O15-1</f>
        <v>6.7354248848701559E-2</v>
      </c>
      <c r="Q16" s="60">
        <f t="shared" ref="Q16" si="81">Q15/P15-1</f>
        <v>6.3103930978260614E-2</v>
      </c>
      <c r="R16" s="60">
        <f t="shared" ref="R16" si="82">R15/Q15-1</f>
        <v>5.935819550605248E-2</v>
      </c>
      <c r="S16" s="60">
        <f t="shared" ref="S16" si="83">S15/R15-1</f>
        <v>5.6032223810471571E-2</v>
      </c>
      <c r="T16" s="60">
        <f t="shared" ref="T16" si="84">T15/S15-1</f>
        <v>5.3059198902369653E-2</v>
      </c>
      <c r="U16" s="60">
        <f t="shared" ref="U16" si="85">U15/T15-1</f>
        <v>5.0385770294466559E-2</v>
      </c>
      <c r="V16" s="60">
        <f t="shared" ref="V16" si="86">V15/U15-1</f>
        <v>4.7968824140050437E-2</v>
      </c>
      <c r="W16" s="60">
        <f t="shared" ref="W16" si="87">W15/V15-1</f>
        <v>4.5773140417047165E-2</v>
      </c>
      <c r="X16" s="60">
        <f t="shared" ref="X16" si="88">X15/W15-1</f>
        <v>4.3769665377706435E-2</v>
      </c>
      <c r="Y16" s="60">
        <f t="shared" ref="Y16" si="89">Y15/X15-1</f>
        <v>4.1934218659120948E-2</v>
      </c>
      <c r="Z16" s="60">
        <f t="shared" ref="Z16" si="90">Z15/Y15-1</f>
        <v>4.0246512599506179E-2</v>
      </c>
      <c r="AA16" s="60">
        <f t="shared" ref="AA16" si="91">AA15/Z15-1</f>
        <v>3.8689399206859987E-2</v>
      </c>
      <c r="AB16" s="60">
        <f t="shared" ref="AB16" si="92">AB15/AA15-1</f>
        <v>3.7248285422382343E-2</v>
      </c>
      <c r="AC16" s="60">
        <f t="shared" ref="AC16" si="93">AC15/AB15-1</f>
        <v>3.5910674373604179E-2</v>
      </c>
      <c r="AD16" s="60">
        <f t="shared" ref="AD16" si="94">AD15/AC15-1</f>
        <v>3.4665802044484995E-2</v>
      </c>
      <c r="AE16" s="60">
        <f t="shared" ref="AE16" si="95">AE15/AD15-1</f>
        <v>3.3504346984297273E-2</v>
      </c>
      <c r="AF16" s="60">
        <f t="shared" ref="AF16" si="96">AF15/AE15-1</f>
        <v>3.2418196480799466E-2</v>
      </c>
      <c r="AG16" s="60">
        <f t="shared" ref="AG16" si="97">AG15/AF15-1</f>
        <v>3.1400256786739744E-2</v>
      </c>
      <c r="AH16" s="60">
        <f t="shared" ref="AH16" si="98">AH15/AG15-1</f>
        <v>3.0444298011486959E-2</v>
      </c>
      <c r="AI16" s="60">
        <f t="shared" ref="AI16" si="99">AI15/AH15-1</f>
        <v>2.9544826508562494E-2</v>
      </c>
      <c r="AJ16" s="60">
        <f t="shared" ref="AJ16" si="100">AJ15/AI15-1</f>
        <v>2.869697923572323E-2</v>
      </c>
      <c r="AK16" s="60">
        <f t="shared" ref="AK16" si="101">AK15/AJ15-1</f>
        <v>2.7896435796908481E-2</v>
      </c>
      <c r="AL16" s="60">
        <f t="shared" ref="AL16" si="102">AL15/AK15-1</f>
        <v>2.713934480693192E-2</v>
      </c>
      <c r="AM16" s="60">
        <f t="shared" ref="AM16" si="103">AM15/AL15-1</f>
        <v>2.6422261929838875E-2</v>
      </c>
      <c r="AN16" s="60">
        <f t="shared" ref="AN16" si="104">AN15/AM15-1</f>
        <v>2.5742097487403193E-2</v>
      </c>
      <c r="AO16" s="60">
        <f t="shared" ref="AO16" si="105">AO15/AN15-1</f>
        <v>2.5096071956547172E-2</v>
      </c>
      <c r="AP16" s="60">
        <f t="shared" ref="AP16" si="106">AP15/AO15-1</f>
        <v>2.4481678003747787E-2</v>
      </c>
      <c r="AQ16" s="60">
        <f t="shared" ref="AQ16" si="107">AQ15/AP15-1</f>
        <v>2.3896647962950102E-2</v>
      </c>
      <c r="AR16" s="60">
        <f t="shared" ref="AR16" si="108">AR15/AQ15-1</f>
        <v>2.333892586765729E-2</v>
      </c>
      <c r="AS16" s="60">
        <f t="shared" ref="AS16" si="109">AS15/AR15-1</f>
        <v>2.2806643310151475E-2</v>
      </c>
      <c r="AT16" s="60">
        <f t="shared" ref="AT16" si="110">AT15/AS15-1</f>
        <v>2.2298098530471933E-2</v>
      </c>
      <c r="AU16" s="60">
        <f t="shared" ref="AU16" si="111">AU15/AT15-1</f>
        <v>2.1811738242030643E-2</v>
      </c>
      <c r="AV16" s="60">
        <f t="shared" ref="AV16" si="112">AV15/AU15-1</f>
        <v>2.1346141784940542E-2</v>
      </c>
      <c r="AW16" s="60">
        <f t="shared" ref="AW16" si="113">AW15/AV15-1</f>
        <v>2.090000726652308E-2</v>
      </c>
      <c r="AX16" s="60">
        <f t="shared" ref="AX16" si="114">AX15/AW15-1</f>
        <v>2.0472139404213552E-2</v>
      </c>
      <c r="AY16" s="60">
        <f t="shared" ref="AY16" si="115">AY15/AX15-1</f>
        <v>2.0061438831799894E-2</v>
      </c>
      <c r="AZ16" s="60">
        <f t="shared" ref="AZ16" si="116">AZ15/AY15-1</f>
        <v>1.9666892667538072E-2</v>
      </c>
      <c r="BA16" s="60">
        <f t="shared" ref="BA16" si="117">BA15/AZ15-1</f>
        <v>1.9287566173780801E-2</v>
      </c>
      <c r="BB16" s="60">
        <f t="shared" ref="BB16" si="118">BB15/BA15-1</f>
        <v>1.8922595363527028E-2</v>
      </c>
      <c r="BC16" s="60">
        <f t="shared" ref="BC16" si="119">BC15/BB15-1</f>
        <v>1.8571180430811518E-2</v>
      </c>
      <c r="BD16" s="60">
        <f t="shared" ref="BD16" si="120">BD15/BC15-1</f>
        <v>1.8232579899774004E-2</v>
      </c>
      <c r="BE16" s="60">
        <f t="shared" ref="BE16" si="121">BE15/BD15-1</f>
        <v>1.7906105402332173E-2</v>
      </c>
      <c r="BF16" s="60">
        <f t="shared" ref="BF16" si="122">BF15/BE15-1</f>
        <v>1.7591117007058621E-2</v>
      </c>
      <c r="BG16" s="60">
        <f t="shared" ref="BG16" si="123">BG15/BF15-1</f>
        <v>1.728701903255403E-2</v>
      </c>
      <c r="BH16" s="60">
        <f t="shared" ref="BH16" si="124">BH15/BG15-1</f>
        <v>1.6993256287683334E-2</v>
      </c>
      <c r="BI16" s="60">
        <f t="shared" ref="BI16" si="125">BI15/BH15-1</f>
        <v>1.6709310688759249E-2</v>
      </c>
      <c r="BJ16" s="60">
        <f t="shared" ref="BJ16" si="126">BJ15/BI15-1</f>
        <v>1.6434698210287424E-2</v>
      </c>
      <c r="BK16" s="60">
        <f t="shared" ref="BK16" si="127">BK15/BJ15-1</f>
        <v>1.6168966131542728E-2</v>
      </c>
      <c r="BL16" s="60">
        <f t="shared" ref="BL16" si="128">BL15/BK15-1</f>
        <v>1.591169054600905E-2</v>
      </c>
      <c r="BM16" s="60">
        <f t="shared" ref="BM16" si="129">BM15/BL15-1</f>
        <v>1.5662474104867652E-2</v>
      </c>
      <c r="BN16" s="60">
        <f t="shared" ref="BN16" si="130">BN15/BM15-1</f>
        <v>1.5420943969276069E-2</v>
      </c>
      <c r="BO16" s="60">
        <f t="shared" ref="BO16" si="131">BO15/BN15-1</f>
        <v>1.5186749949233525E-2</v>
      </c>
      <c r="BP16" s="60">
        <f t="shared" ref="BP16" si="132">BP15/BO15-1</f>
        <v>1.4959562809496063E-2</v>
      </c>
      <c r="BQ16" s="60">
        <f t="shared" ref="BQ16" si="133">BQ15/BP15-1</f>
        <v>1.4739072725307834E-2</v>
      </c>
      <c r="BR16" s="60">
        <f t="shared" ref="BR16" si="134">BR15/BQ15-1</f>
        <v>1.4524987872717832E-2</v>
      </c>
      <c r="BS16" s="60">
        <f t="shared" ref="BS16" si="135">BS15/BR15-1</f>
        <v>1.4317033139986002E-2</v>
      </c>
      <c r="BT16" s="60">
        <f t="shared" ref="BT16" si="136">BT15/BS15-1</f>
        <v>1.4114948948126704E-2</v>
      </c>
      <c r="BU16" s="60">
        <f t="shared" ref="BU16" si="137">BU15/BT15-1</f>
        <v>1.3918490169943176E-2</v>
      </c>
      <c r="BV16" s="60">
        <f t="shared" ref="BV16" si="138">BV15/BU15-1</f>
        <v>1.3727425138099436E-2</v>
      </c>
      <c r="BW16" s="60">
        <f t="shared" ref="BW16" si="139">BW15/BV15-1</f>
        <v>1.3541534733786387E-2</v>
      </c>
      <c r="BX16" s="60">
        <f t="shared" ref="BX16" si="140">BX15/BW15-1</f>
        <v>1.3360611548438817E-2</v>
      </c>
      <c r="BY16" s="60">
        <f t="shared" ref="BY16" si="141">BY15/BX15-1</f>
        <v>1.3184459111770019E-2</v>
      </c>
      <c r="BZ16" s="60">
        <f t="shared" ref="BZ16" si="142">BZ15/BY15-1</f>
        <v>1.3012891180080421E-2</v>
      </c>
      <c r="CA16" s="60">
        <f t="shared" ref="CA16" si="143">CA15/BZ15-1</f>
        <v>1.2845731079415446E-2</v>
      </c>
      <c r="CB16" s="60">
        <f t="shared" ref="CB16" si="144">CB15/CA15-1</f>
        <v>1.2682811098710278E-2</v>
      </c>
      <c r="CC16" s="60">
        <f t="shared" ref="CC16" si="145">CC15/CB15-1</f>
        <v>1.2523971928535271E-2</v>
      </c>
      <c r="CD16" s="60">
        <f t="shared" ref="CD16" si="146">CD15/CC15-1</f>
        <v>1.2369062141493137E-2</v>
      </c>
      <c r="CE16" s="60">
        <f t="shared" ref="CE16" si="147">CE15/CD15-1</f>
        <v>1.2217937710708116E-2</v>
      </c>
      <c r="CF16" s="60">
        <f t="shared" ref="CF16" si="148">CF15/CE15-1</f>
        <v>1.2070461563189472E-2</v>
      </c>
      <c r="CG16" s="60">
        <f t="shared" ref="CG16" si="149">CG15/CF15-1</f>
        <v>1.1926503165151647E-2</v>
      </c>
      <c r="CH16" s="60">
        <f t="shared" ref="CH16" si="150">CH15/CG15-1</f>
        <v>1.178593813666029E-2</v>
      </c>
      <c r="CI16" s="60">
        <f t="shared" ref="CI16" si="151">CI15/CH15-1</f>
        <v>1.164864789321518E-2</v>
      </c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60"/>
      <c r="CU16" s="60"/>
      <c r="CV16" s="60"/>
      <c r="CW16" s="60"/>
      <c r="CX16" s="60"/>
      <c r="CY16" s="60"/>
      <c r="CZ16" s="60"/>
    </row>
    <row r="17" spans="1:87" s="63" customFormat="1" x14ac:dyDescent="0.25">
      <c r="A17" s="62"/>
      <c r="B17" s="62" t="s">
        <v>534</v>
      </c>
      <c r="C17" s="63">
        <v>32780</v>
      </c>
      <c r="D17" s="63">
        <v>34261</v>
      </c>
      <c r="E17" s="63">
        <v>38353</v>
      </c>
      <c r="F17" s="63">
        <v>42910</v>
      </c>
      <c r="G17" s="63">
        <v>46078</v>
      </c>
      <c r="H17" s="63">
        <v>52232</v>
      </c>
      <c r="I17" s="63">
        <v>62650</v>
      </c>
      <c r="J17" s="63">
        <v>65863</v>
      </c>
      <c r="K17" s="63">
        <v>74114</v>
      </c>
      <c r="L17" s="63">
        <v>87831</v>
      </c>
      <c r="M17" s="63">
        <f>M15*(L18-0.001)</f>
        <v>100025.07394867043</v>
      </c>
      <c r="N17" s="63">
        <f t="shared" ref="N17:BY17" si="152">N15*(M18-0.001)</f>
        <v>111719.49212662542</v>
      </c>
      <c r="O17" s="63">
        <f t="shared" si="152"/>
        <v>119400.99475699228</v>
      </c>
      <c r="P17" s="63">
        <f t="shared" si="152"/>
        <v>127030.404517723</v>
      </c>
      <c r="Q17" s="63">
        <f t="shared" si="152"/>
        <v>134607.7214088176</v>
      </c>
      <c r="R17" s="63">
        <f t="shared" si="152"/>
        <v>142132.94543027607</v>
      </c>
      <c r="S17" s="63">
        <f t="shared" si="152"/>
        <v>149606.07658209841</v>
      </c>
      <c r="T17" s="63">
        <f t="shared" si="152"/>
        <v>157027.11486428458</v>
      </c>
      <c r="U17" s="63">
        <f t="shared" si="152"/>
        <v>164396.06027683467</v>
      </c>
      <c r="V17" s="63">
        <f t="shared" si="152"/>
        <v>171712.91281974866</v>
      </c>
      <c r="W17" s="63">
        <f t="shared" si="152"/>
        <v>178977.67249302648</v>
      </c>
      <c r="X17" s="63">
        <f t="shared" si="152"/>
        <v>186190.33929666819</v>
      </c>
      <c r="Y17" s="63">
        <f t="shared" si="152"/>
        <v>193350.91323067376</v>
      </c>
      <c r="Z17" s="63">
        <f t="shared" si="152"/>
        <v>200459.3942950432</v>
      </c>
      <c r="AA17" s="63">
        <f t="shared" si="152"/>
        <v>207515.78248977649</v>
      </c>
      <c r="AB17" s="63">
        <f t="shared" si="152"/>
        <v>214520.07781487369</v>
      </c>
      <c r="AC17" s="63">
        <f t="shared" si="152"/>
        <v>221472.28027033477</v>
      </c>
      <c r="AD17" s="63">
        <f t="shared" si="152"/>
        <v>228372.38985615972</v>
      </c>
      <c r="AE17" s="63">
        <f t="shared" si="152"/>
        <v>235220.40657234853</v>
      </c>
      <c r="AF17" s="63">
        <f t="shared" si="152"/>
        <v>242016.33041890117</v>
      </c>
      <c r="AG17" s="63">
        <f t="shared" si="152"/>
        <v>248760.16139581776</v>
      </c>
      <c r="AH17" s="63">
        <f t="shared" si="152"/>
        <v>255451.89950309822</v>
      </c>
      <c r="AI17" s="63">
        <f t="shared" si="152"/>
        <v>262091.54474074251</v>
      </c>
      <c r="AJ17" s="63">
        <f t="shared" si="152"/>
        <v>268679.09710875066</v>
      </c>
      <c r="AK17" s="63">
        <f t="shared" si="152"/>
        <v>275214.55660712271</v>
      </c>
      <c r="AL17" s="63">
        <f t="shared" si="152"/>
        <v>281697.92323585862</v>
      </c>
      <c r="AM17" s="63">
        <f t="shared" si="152"/>
        <v>288129.19699495845</v>
      </c>
      <c r="AN17" s="63">
        <f t="shared" si="152"/>
        <v>294508.37788442208</v>
      </c>
      <c r="AO17" s="63">
        <f t="shared" si="152"/>
        <v>300835.46590424964</v>
      </c>
      <c r="AP17" s="63">
        <f t="shared" si="152"/>
        <v>307110.46105444105</v>
      </c>
      <c r="AQ17" s="63">
        <f t="shared" si="152"/>
        <v>313333.36333499633</v>
      </c>
      <c r="AR17" s="63">
        <f t="shared" si="152"/>
        <v>319504.17274591542</v>
      </c>
      <c r="AS17" s="63">
        <f t="shared" si="152"/>
        <v>325622.88928719843</v>
      </c>
      <c r="AT17" s="63">
        <f t="shared" si="152"/>
        <v>331689.51295884518</v>
      </c>
      <c r="AU17" s="63">
        <f t="shared" si="152"/>
        <v>337704.04376085597</v>
      </c>
      <c r="AV17" s="63">
        <f t="shared" si="152"/>
        <v>343666.48169323063</v>
      </c>
      <c r="AW17" s="63">
        <f t="shared" si="152"/>
        <v>349576.8267559692</v>
      </c>
      <c r="AX17" s="63">
        <f t="shared" si="152"/>
        <v>355435.07894907158</v>
      </c>
      <c r="AY17" s="63">
        <f t="shared" si="152"/>
        <v>361241.23827253783</v>
      </c>
      <c r="AZ17" s="63">
        <f t="shared" si="152"/>
        <v>366995.30472636782</v>
      </c>
      <c r="BA17" s="63">
        <f t="shared" si="152"/>
        <v>372697.27831056184</v>
      </c>
      <c r="BB17" s="63">
        <f t="shared" si="152"/>
        <v>378347.15902511973</v>
      </c>
      <c r="BC17" s="63">
        <f t="shared" si="152"/>
        <v>383944.94687004137</v>
      </c>
      <c r="BD17" s="63">
        <f t="shared" si="152"/>
        <v>389490.64184532705</v>
      </c>
      <c r="BE17" s="63">
        <f t="shared" si="152"/>
        <v>394984.24395097664</v>
      </c>
      <c r="BF17" s="63">
        <f t="shared" si="152"/>
        <v>400425.75318698992</v>
      </c>
      <c r="BG17" s="63">
        <f t="shared" si="152"/>
        <v>405815.16955336719</v>
      </c>
      <c r="BH17" s="63">
        <f t="shared" si="152"/>
        <v>411152.4930501082</v>
      </c>
      <c r="BI17" s="63">
        <f t="shared" si="152"/>
        <v>416437.72367721319</v>
      </c>
      <c r="BJ17" s="63">
        <f t="shared" si="152"/>
        <v>421670.8614346821</v>
      </c>
      <c r="BK17" s="63">
        <f t="shared" si="152"/>
        <v>426851.9063225147</v>
      </c>
      <c r="BL17" s="63">
        <f t="shared" si="152"/>
        <v>431980.85834071127</v>
      </c>
      <c r="BM17" s="63">
        <f t="shared" si="152"/>
        <v>437057.71748927177</v>
      </c>
      <c r="BN17" s="63">
        <f t="shared" si="152"/>
        <v>442082.48376819614</v>
      </c>
      <c r="BO17" s="63">
        <f t="shared" si="152"/>
        <v>447055.1571774843</v>
      </c>
      <c r="BP17" s="63">
        <f t="shared" si="152"/>
        <v>451975.73771713645</v>
      </c>
      <c r="BQ17" s="63">
        <f t="shared" si="152"/>
        <v>456844.22538715234</v>
      </c>
      <c r="BR17" s="63">
        <f t="shared" si="152"/>
        <v>461660.62018753216</v>
      </c>
      <c r="BS17" s="63">
        <f t="shared" si="152"/>
        <v>466424.92211827578</v>
      </c>
      <c r="BT17" s="63">
        <f t="shared" si="152"/>
        <v>471137.13117938337</v>
      </c>
      <c r="BU17" s="63">
        <f t="shared" si="152"/>
        <v>475797.24737085495</v>
      </c>
      <c r="BV17" s="63">
        <f t="shared" si="152"/>
        <v>480405.27069269016</v>
      </c>
      <c r="BW17" s="63">
        <f t="shared" si="152"/>
        <v>484961.20114488929</v>
      </c>
      <c r="BX17" s="63">
        <f t="shared" si="152"/>
        <v>489465.0387274524</v>
      </c>
      <c r="BY17" s="63">
        <f t="shared" si="152"/>
        <v>493916.78344037925</v>
      </c>
      <c r="BZ17" s="63">
        <f t="shared" ref="BZ17:CI17" si="153">BZ15*(BY18-0.001)</f>
        <v>498316.43528367003</v>
      </c>
      <c r="CA17" s="63">
        <f t="shared" si="153"/>
        <v>502663.99425732478</v>
      </c>
      <c r="CB17" s="63">
        <f t="shared" si="153"/>
        <v>506959.46036134323</v>
      </c>
      <c r="CC17" s="63">
        <f t="shared" si="153"/>
        <v>511202.83359572571</v>
      </c>
      <c r="CD17" s="63">
        <f t="shared" si="153"/>
        <v>515394.11396047211</v>
      </c>
      <c r="CE17" s="63">
        <f t="shared" si="153"/>
        <v>519533.30145558226</v>
      </c>
      <c r="CF17" s="63">
        <f t="shared" si="153"/>
        <v>523620.39608105615</v>
      </c>
      <c r="CG17" s="63">
        <f t="shared" si="153"/>
        <v>527655.39783689415</v>
      </c>
      <c r="CH17" s="63">
        <f t="shared" si="153"/>
        <v>531638.30672309594</v>
      </c>
      <c r="CI17" s="63">
        <f t="shared" si="153"/>
        <v>535569.1227396616</v>
      </c>
    </row>
    <row r="18" spans="1:87" s="60" customFormat="1" x14ac:dyDescent="0.25">
      <c r="B18" s="59" t="s">
        <v>733</v>
      </c>
      <c r="C18" s="60">
        <f>C17/C$15</f>
        <v>0.35961120740724489</v>
      </c>
      <c r="D18" s="60">
        <f t="shared" ref="D18:M18" si="154">D17/D$15</f>
        <v>0.35477524308539832</v>
      </c>
      <c r="E18" s="60">
        <f t="shared" si="154"/>
        <v>0.34752627763682492</v>
      </c>
      <c r="F18" s="60">
        <f t="shared" si="154"/>
        <v>0.34098042799361111</v>
      </c>
      <c r="G18" s="60">
        <f t="shared" si="154"/>
        <v>0.32218998007202043</v>
      </c>
      <c r="H18" s="60">
        <f t="shared" si="154"/>
        <v>0.30267664153633084</v>
      </c>
      <c r="I18" s="60">
        <f t="shared" si="154"/>
        <v>0.30777015243587919</v>
      </c>
      <c r="J18" s="60">
        <f t="shared" si="154"/>
        <v>0.31032175687072716</v>
      </c>
      <c r="K18" s="60">
        <f t="shared" si="154"/>
        <v>0.30225691470705784</v>
      </c>
      <c r="L18" s="60">
        <f t="shared" si="154"/>
        <v>0.31176257613834818</v>
      </c>
      <c r="M18" s="60">
        <f t="shared" si="154"/>
        <v>0.31076257613834818</v>
      </c>
      <c r="N18" s="60">
        <f t="shared" ref="N18" si="155">N17/N$15</f>
        <v>0.30976257613834818</v>
      </c>
      <c r="O18" s="60">
        <f t="shared" ref="O18" si="156">O17/O$15</f>
        <v>0.30876257613834818</v>
      </c>
      <c r="P18" s="60">
        <f t="shared" ref="P18" si="157">P17/P$15</f>
        <v>0.30776257613834818</v>
      </c>
      <c r="Q18" s="60">
        <f t="shared" ref="Q18" si="158">Q17/Q$15</f>
        <v>0.30676257613834818</v>
      </c>
      <c r="R18" s="60">
        <f t="shared" ref="R18" si="159">R17/R$15</f>
        <v>0.30576257613834823</v>
      </c>
      <c r="S18" s="60">
        <f t="shared" ref="S18" si="160">S17/S$15</f>
        <v>0.30476257613834823</v>
      </c>
      <c r="T18" s="60">
        <f t="shared" ref="T18" si="161">T17/T$15</f>
        <v>0.30376257613834823</v>
      </c>
      <c r="U18" s="60">
        <f t="shared" ref="U18" si="162">U17/U$15</f>
        <v>0.30276257613834823</v>
      </c>
      <c r="V18" s="60">
        <f t="shared" ref="V18" si="163">V17/V$15</f>
        <v>0.30176257613834823</v>
      </c>
      <c r="W18" s="60">
        <f t="shared" ref="W18" si="164">W17/W$15</f>
        <v>0.30076257613834823</v>
      </c>
      <c r="X18" s="60">
        <f t="shared" ref="X18" si="165">X17/X$15</f>
        <v>0.29976257613834822</v>
      </c>
      <c r="Y18" s="60">
        <f t="shared" ref="Y18" si="166">Y17/Y$15</f>
        <v>0.29876257613834822</v>
      </c>
      <c r="Z18" s="60">
        <f t="shared" ref="Z18" si="167">Z17/Z$15</f>
        <v>0.29776257613834822</v>
      </c>
      <c r="AA18" s="60">
        <f t="shared" ref="AA18" si="168">AA17/AA$15</f>
        <v>0.29676257613834822</v>
      </c>
      <c r="AB18" s="60">
        <f t="shared" ref="AB18" si="169">AB17/AB$15</f>
        <v>0.29576257613834822</v>
      </c>
      <c r="AC18" s="60">
        <f t="shared" ref="AC18" si="170">AC17/AC$15</f>
        <v>0.29476257613834822</v>
      </c>
      <c r="AD18" s="60">
        <f t="shared" ref="AD18" si="171">AD17/AD$15</f>
        <v>0.29376257613834822</v>
      </c>
      <c r="AE18" s="60">
        <f t="shared" ref="AE18" si="172">AE17/AE$15</f>
        <v>0.29276257613834822</v>
      </c>
      <c r="AF18" s="60">
        <f t="shared" ref="AF18" si="173">AF17/AF$15</f>
        <v>0.29176257613834822</v>
      </c>
      <c r="AG18" s="60">
        <f t="shared" ref="AG18" si="174">AG17/AG$15</f>
        <v>0.29076257613834822</v>
      </c>
      <c r="AH18" s="60">
        <f t="shared" ref="AH18" si="175">AH17/AH$15</f>
        <v>0.28976257613834822</v>
      </c>
      <c r="AI18" s="60">
        <f t="shared" ref="AI18" si="176">AI17/AI$15</f>
        <v>0.28876257613834821</v>
      </c>
      <c r="AJ18" s="60">
        <f t="shared" ref="AJ18" si="177">AJ17/AJ$15</f>
        <v>0.28776257613834821</v>
      </c>
      <c r="AK18" s="60">
        <f t="shared" ref="AK18" si="178">AK17/AK$15</f>
        <v>0.28676257613834821</v>
      </c>
      <c r="AL18" s="60">
        <f t="shared" ref="AL18" si="179">AL17/AL$15</f>
        <v>0.28576257613834827</v>
      </c>
      <c r="AM18" s="60">
        <f t="shared" ref="AM18" si="180">AM17/AM$15</f>
        <v>0.28476257613834827</v>
      </c>
      <c r="AN18" s="60">
        <f t="shared" ref="AN18" si="181">AN17/AN$15</f>
        <v>0.28376257613834827</v>
      </c>
      <c r="AO18" s="60">
        <f t="shared" ref="AO18" si="182">AO17/AO$15</f>
        <v>0.28276257613834826</v>
      </c>
      <c r="AP18" s="60">
        <f t="shared" ref="AP18" si="183">AP17/AP$15</f>
        <v>0.28176257613834826</v>
      </c>
      <c r="AQ18" s="60">
        <f t="shared" ref="AQ18" si="184">AQ17/AQ$15</f>
        <v>0.28076257613834826</v>
      </c>
      <c r="AR18" s="60">
        <f t="shared" ref="AR18" si="185">AR17/AR$15</f>
        <v>0.27976257613834826</v>
      </c>
      <c r="AS18" s="60">
        <f t="shared" ref="AS18" si="186">AS17/AS$15</f>
        <v>0.27876257613834826</v>
      </c>
      <c r="AT18" s="60">
        <f t="shared" ref="AT18" si="187">AT17/AT$15</f>
        <v>0.27776257613834826</v>
      </c>
      <c r="AU18" s="60">
        <f t="shared" ref="AU18" si="188">AU17/AU$15</f>
        <v>0.27676257613834826</v>
      </c>
      <c r="AV18" s="60">
        <f t="shared" ref="AV18" si="189">AV17/AV$15</f>
        <v>0.27576257613834826</v>
      </c>
      <c r="AW18" s="60">
        <f t="shared" ref="AW18" si="190">AW17/AW$15</f>
        <v>0.27476257613834826</v>
      </c>
      <c r="AX18" s="60">
        <f t="shared" ref="AX18" si="191">AX17/AX$15</f>
        <v>0.27376257613834826</v>
      </c>
      <c r="AY18" s="60">
        <f t="shared" ref="AY18" si="192">AY17/AY$15</f>
        <v>0.27276257613834826</v>
      </c>
      <c r="AZ18" s="60">
        <f t="shared" ref="AZ18" si="193">AZ17/AZ$15</f>
        <v>0.27176257613834826</v>
      </c>
      <c r="BA18" s="60">
        <f t="shared" ref="BA18" si="194">BA17/BA$15</f>
        <v>0.27076257613834825</v>
      </c>
      <c r="BB18" s="60">
        <f t="shared" ref="BB18" si="195">BB17/BB$15</f>
        <v>0.26976257613834825</v>
      </c>
      <c r="BC18" s="60">
        <f t="shared" ref="BC18" si="196">BC17/BC$15</f>
        <v>0.26876257613834825</v>
      </c>
      <c r="BD18" s="60">
        <f t="shared" ref="BD18" si="197">BD17/BD$15</f>
        <v>0.26776257613834825</v>
      </c>
      <c r="BE18" s="60">
        <f t="shared" ref="BE18" si="198">BE17/BE$15</f>
        <v>0.26676257613834825</v>
      </c>
      <c r="BF18" s="60">
        <f t="shared" ref="BF18" si="199">BF17/BF$15</f>
        <v>0.26576257613834825</v>
      </c>
      <c r="BG18" s="60">
        <f t="shared" ref="BG18" si="200">BG17/BG$15</f>
        <v>0.26476257613834825</v>
      </c>
      <c r="BH18" s="60">
        <f t="shared" ref="BH18" si="201">BH17/BH$15</f>
        <v>0.26376257613834825</v>
      </c>
      <c r="BI18" s="60">
        <f t="shared" ref="BI18" si="202">BI17/BI$15</f>
        <v>0.26276257613834825</v>
      </c>
      <c r="BJ18" s="60">
        <f t="shared" ref="BJ18" si="203">BJ17/BJ$15</f>
        <v>0.26176257613834825</v>
      </c>
      <c r="BK18" s="60">
        <f t="shared" ref="BK18" si="204">BK17/BK$15</f>
        <v>0.26076257613834825</v>
      </c>
      <c r="BL18" s="60">
        <f t="shared" ref="BL18" si="205">BL17/BL$15</f>
        <v>0.25976257613834824</v>
      </c>
      <c r="BM18" s="60">
        <f t="shared" ref="BM18" si="206">BM17/BM$15</f>
        <v>0.25876257613834824</v>
      </c>
      <c r="BN18" s="60">
        <f t="shared" ref="BN18" si="207">BN17/BN$15</f>
        <v>0.25776257613834824</v>
      </c>
      <c r="BO18" s="60">
        <f t="shared" ref="BO18" si="208">BO17/BO$15</f>
        <v>0.25676257613834824</v>
      </c>
      <c r="BP18" s="60">
        <f t="shared" ref="BP18" si="209">BP17/BP$15</f>
        <v>0.25576257613834824</v>
      </c>
      <c r="BQ18" s="60">
        <f t="shared" ref="BQ18" si="210">BQ17/BQ$15</f>
        <v>0.25476257613834824</v>
      </c>
      <c r="BR18" s="60">
        <f t="shared" ref="BR18" si="211">BR17/BR$15</f>
        <v>0.25376257613834824</v>
      </c>
      <c r="BS18" s="60">
        <f t="shared" ref="BS18" si="212">BS17/BS$15</f>
        <v>0.25276257613834824</v>
      </c>
      <c r="BT18" s="60">
        <f t="shared" ref="BT18" si="213">BT17/BT$15</f>
        <v>0.25176257613834824</v>
      </c>
      <c r="BU18" s="60">
        <f t="shared" ref="BU18" si="214">BU17/BU$15</f>
        <v>0.25076257613834824</v>
      </c>
      <c r="BV18" s="60">
        <f t="shared" ref="BV18" si="215">BV17/BV$15</f>
        <v>0.24976257613834824</v>
      </c>
      <c r="BW18" s="60">
        <f t="shared" ref="BW18" si="216">BW17/BW$15</f>
        <v>0.24876257613834823</v>
      </c>
      <c r="BX18" s="60">
        <f t="shared" ref="BX18" si="217">BX17/BX$15</f>
        <v>0.24776257613834823</v>
      </c>
      <c r="BY18" s="60">
        <f t="shared" ref="BY18" si="218">BY17/BY$15</f>
        <v>0.24676257613834823</v>
      </c>
      <c r="BZ18" s="60">
        <f t="shared" ref="BZ18" si="219">BZ17/BZ$15</f>
        <v>0.24576257613834823</v>
      </c>
      <c r="CA18" s="60">
        <f t="shared" ref="CA18" si="220">CA17/CA$15</f>
        <v>0.24476257613834823</v>
      </c>
      <c r="CB18" s="60">
        <f t="shared" ref="CB18" si="221">CB17/CB$15</f>
        <v>0.24376257613834823</v>
      </c>
      <c r="CC18" s="60">
        <f t="shared" ref="CC18" si="222">CC17/CC$15</f>
        <v>0.24276257613834823</v>
      </c>
      <c r="CD18" s="60">
        <f t="shared" ref="CD18" si="223">CD17/CD$15</f>
        <v>0.24176257613834823</v>
      </c>
      <c r="CE18" s="60">
        <f t="shared" ref="CE18" si="224">CE17/CE$15</f>
        <v>0.24076257613834823</v>
      </c>
      <c r="CF18" s="60">
        <f t="shared" ref="CF18" si="225">CF17/CF$15</f>
        <v>0.23976257613834823</v>
      </c>
      <c r="CG18" s="60">
        <f t="shared" ref="CG18" si="226">CG17/CG$15</f>
        <v>0.2387625761383482</v>
      </c>
      <c r="CH18" s="60">
        <f t="shared" ref="CH18" si="227">CH17/CH$15</f>
        <v>0.23776257613834823</v>
      </c>
      <c r="CI18" s="60">
        <f t="shared" ref="CI18" si="228">CI17/CI$15</f>
        <v>0.23676257613834822</v>
      </c>
    </row>
    <row r="19" spans="1:87" x14ac:dyDescent="0.25">
      <c r="B19" s="54" t="s">
        <v>734</v>
      </c>
      <c r="C19" s="56">
        <v>32296</v>
      </c>
      <c r="D19" s="56">
        <v>33285</v>
      </c>
      <c r="E19" s="56">
        <v>36949</v>
      </c>
      <c r="F19" s="56">
        <v>39974</v>
      </c>
      <c r="G19" s="56">
        <v>43978</v>
      </c>
      <c r="H19" s="56">
        <v>45940</v>
      </c>
      <c r="I19" s="56">
        <v>52237</v>
      </c>
      <c r="J19" s="56">
        <v>57529</v>
      </c>
      <c r="K19" s="56">
        <v>61575</v>
      </c>
      <c r="L19" s="56">
        <v>65365</v>
      </c>
      <c r="M19" s="56">
        <f>M15*L20</f>
        <v>74679.532000411316</v>
      </c>
      <c r="N19" s="56">
        <f t="shared" ref="N19:BY19" si="229">N15*M20</f>
        <v>83679.952462249334</v>
      </c>
      <c r="O19" s="56">
        <f t="shared" si="229"/>
        <v>89723.190567212878</v>
      </c>
      <c r="P19" s="56">
        <f t="shared" si="229"/>
        <v>95766.428672176393</v>
      </c>
      <c r="Q19" s="56">
        <f t="shared" si="229"/>
        <v>101809.66677713992</v>
      </c>
      <c r="R19" s="56">
        <f t="shared" si="229"/>
        <v>107852.90488210345</v>
      </c>
      <c r="S19" s="56">
        <f t="shared" si="229"/>
        <v>113896.14298706697</v>
      </c>
      <c r="T19" s="56">
        <f t="shared" si="229"/>
        <v>119939.38109203048</v>
      </c>
      <c r="U19" s="56">
        <f t="shared" si="229"/>
        <v>125982.61919699401</v>
      </c>
      <c r="V19" s="56">
        <f t="shared" si="229"/>
        <v>132025.85730195756</v>
      </c>
      <c r="W19" s="56">
        <f t="shared" si="229"/>
        <v>138069.09540692109</v>
      </c>
      <c r="X19" s="56">
        <f t="shared" si="229"/>
        <v>144112.33351188464</v>
      </c>
      <c r="Y19" s="56">
        <f t="shared" si="229"/>
        <v>150155.57161684817</v>
      </c>
      <c r="Z19" s="56">
        <f t="shared" si="229"/>
        <v>156198.8097218117</v>
      </c>
      <c r="AA19" s="56">
        <f t="shared" si="229"/>
        <v>162242.04782677523</v>
      </c>
      <c r="AB19" s="56">
        <f t="shared" si="229"/>
        <v>168285.28593173876</v>
      </c>
      <c r="AC19" s="56">
        <f t="shared" si="229"/>
        <v>174328.52403670232</v>
      </c>
      <c r="AD19" s="56">
        <f t="shared" si="229"/>
        <v>180371.76214166588</v>
      </c>
      <c r="AE19" s="56">
        <f t="shared" si="229"/>
        <v>186415.00024662941</v>
      </c>
      <c r="AF19" s="56">
        <f t="shared" si="229"/>
        <v>192458.23835159291</v>
      </c>
      <c r="AG19" s="56">
        <f t="shared" si="229"/>
        <v>198501.4764565565</v>
      </c>
      <c r="AH19" s="56">
        <f t="shared" si="229"/>
        <v>204544.71456152006</v>
      </c>
      <c r="AI19" s="56">
        <f t="shared" si="229"/>
        <v>210587.95266648359</v>
      </c>
      <c r="AJ19" s="56">
        <f t="shared" si="229"/>
        <v>216631.19077144712</v>
      </c>
      <c r="AK19" s="56">
        <f t="shared" si="229"/>
        <v>222674.42887641065</v>
      </c>
      <c r="AL19" s="56">
        <f t="shared" si="229"/>
        <v>228717.66698137418</v>
      </c>
      <c r="AM19" s="56">
        <f t="shared" si="229"/>
        <v>234760.90508633771</v>
      </c>
      <c r="AN19" s="56">
        <f t="shared" si="229"/>
        <v>240804.14319130123</v>
      </c>
      <c r="AO19" s="56">
        <f t="shared" si="229"/>
        <v>246847.38129626479</v>
      </c>
      <c r="AP19" s="56">
        <f t="shared" si="229"/>
        <v>252890.61940122832</v>
      </c>
      <c r="AQ19" s="56">
        <f t="shared" si="229"/>
        <v>258933.85750619185</v>
      </c>
      <c r="AR19" s="56">
        <f t="shared" si="229"/>
        <v>264977.09561115538</v>
      </c>
      <c r="AS19" s="56">
        <f t="shared" si="229"/>
        <v>271020.33371611894</v>
      </c>
      <c r="AT19" s="56">
        <f t="shared" si="229"/>
        <v>277063.57182108238</v>
      </c>
      <c r="AU19" s="56">
        <f t="shared" si="229"/>
        <v>283106.80992604588</v>
      </c>
      <c r="AV19" s="56">
        <f t="shared" si="229"/>
        <v>289150.0480310095</v>
      </c>
      <c r="AW19" s="56">
        <f t="shared" si="229"/>
        <v>295193.28613597312</v>
      </c>
      <c r="AX19" s="56">
        <f t="shared" si="229"/>
        <v>301236.52424093668</v>
      </c>
      <c r="AY19" s="56">
        <f t="shared" si="229"/>
        <v>307279.76234590018</v>
      </c>
      <c r="AZ19" s="56">
        <f t="shared" si="229"/>
        <v>313323.00045086362</v>
      </c>
      <c r="BA19" s="56">
        <f t="shared" si="229"/>
        <v>319366.23855582718</v>
      </c>
      <c r="BB19" s="56">
        <f t="shared" si="229"/>
        <v>325409.47666079074</v>
      </c>
      <c r="BC19" s="56">
        <f t="shared" si="229"/>
        <v>331452.71476575418</v>
      </c>
      <c r="BD19" s="56">
        <f t="shared" si="229"/>
        <v>337495.95287071774</v>
      </c>
      <c r="BE19" s="56">
        <f t="shared" si="229"/>
        <v>343539.19097568135</v>
      </c>
      <c r="BF19" s="56">
        <f t="shared" si="229"/>
        <v>349582.4290806448</v>
      </c>
      <c r="BG19" s="56">
        <f t="shared" si="229"/>
        <v>355625.66718560841</v>
      </c>
      <c r="BH19" s="56">
        <f t="shared" si="229"/>
        <v>361668.9052905718</v>
      </c>
      <c r="BI19" s="56">
        <f t="shared" si="229"/>
        <v>367712.14339553542</v>
      </c>
      <c r="BJ19" s="56">
        <f t="shared" si="229"/>
        <v>373755.38150049897</v>
      </c>
      <c r="BK19" s="56">
        <f t="shared" si="229"/>
        <v>379798.61960546242</v>
      </c>
      <c r="BL19" s="56">
        <f t="shared" si="229"/>
        <v>385841.85771042592</v>
      </c>
      <c r="BM19" s="56">
        <f t="shared" si="229"/>
        <v>391885.09581538953</v>
      </c>
      <c r="BN19" s="56">
        <f t="shared" si="229"/>
        <v>397928.33392035309</v>
      </c>
      <c r="BO19" s="56">
        <f t="shared" si="229"/>
        <v>403971.57202531659</v>
      </c>
      <c r="BP19" s="56">
        <f t="shared" si="229"/>
        <v>410014.81013028021</v>
      </c>
      <c r="BQ19" s="56">
        <f t="shared" si="229"/>
        <v>416058.04823524365</v>
      </c>
      <c r="BR19" s="56">
        <f t="shared" si="229"/>
        <v>422101.28634020721</v>
      </c>
      <c r="BS19" s="56">
        <f t="shared" si="229"/>
        <v>428144.52444517065</v>
      </c>
      <c r="BT19" s="56">
        <f t="shared" si="229"/>
        <v>434187.76255013427</v>
      </c>
      <c r="BU19" s="56">
        <f t="shared" si="229"/>
        <v>440231.00065509789</v>
      </c>
      <c r="BV19" s="56">
        <f t="shared" si="229"/>
        <v>446274.23876006139</v>
      </c>
      <c r="BW19" s="56">
        <f t="shared" si="229"/>
        <v>452317.47686502483</v>
      </c>
      <c r="BX19" s="56">
        <f t="shared" si="229"/>
        <v>458360.71496998845</v>
      </c>
      <c r="BY19" s="56">
        <f t="shared" si="229"/>
        <v>464403.95307495189</v>
      </c>
      <c r="BZ19" s="56">
        <f t="shared" ref="BZ19:CI19" si="230">BZ15*BY20</f>
        <v>470447.19117991545</v>
      </c>
      <c r="CA19" s="56">
        <f t="shared" si="230"/>
        <v>476490.42928487901</v>
      </c>
      <c r="CB19" s="56">
        <f t="shared" si="230"/>
        <v>482533.66738984251</v>
      </c>
      <c r="CC19" s="56">
        <f t="shared" si="230"/>
        <v>488576.90549480607</v>
      </c>
      <c r="CD19" s="56">
        <f t="shared" si="230"/>
        <v>494620.14359976968</v>
      </c>
      <c r="CE19" s="56">
        <f t="shared" si="230"/>
        <v>500663.38170473324</v>
      </c>
      <c r="CF19" s="56">
        <f t="shared" si="230"/>
        <v>506706.61980969663</v>
      </c>
      <c r="CG19" s="56">
        <f t="shared" si="230"/>
        <v>512749.8579146603</v>
      </c>
      <c r="CH19" s="56">
        <f t="shared" si="230"/>
        <v>518793.0960196238</v>
      </c>
      <c r="CI19" s="56">
        <f t="shared" si="230"/>
        <v>524836.33412458736</v>
      </c>
    </row>
    <row r="20" spans="1:87" x14ac:dyDescent="0.25">
      <c r="B20" s="59" t="s">
        <v>733</v>
      </c>
      <c r="C20" s="60">
        <f>C19/C$15</f>
        <v>0.35430151172740637</v>
      </c>
      <c r="D20" s="60">
        <f t="shared" ref="D20:M20" si="231">D19/D$15</f>
        <v>0.34466868935808886</v>
      </c>
      <c r="E20" s="60">
        <f t="shared" si="231"/>
        <v>0.3348042769119246</v>
      </c>
      <c r="F20" s="60">
        <f t="shared" si="231"/>
        <v>0.31764976995144745</v>
      </c>
      <c r="G20" s="60">
        <f t="shared" si="231"/>
        <v>0.30750620564276476</v>
      </c>
      <c r="H20" s="60">
        <f t="shared" si="231"/>
        <v>0.26621544095916366</v>
      </c>
      <c r="I20" s="60">
        <f t="shared" si="231"/>
        <v>0.2566159529575901</v>
      </c>
      <c r="J20" s="60">
        <f t="shared" si="231"/>
        <v>0.2710550741845355</v>
      </c>
      <c r="K20" s="60">
        <f t="shared" si="231"/>
        <v>0.25111948515917487</v>
      </c>
      <c r="L20" s="60">
        <f t="shared" si="231"/>
        <v>0.23201786145305334</v>
      </c>
      <c r="M20" s="60">
        <f t="shared" si="231"/>
        <v>0.23201786145305336</v>
      </c>
      <c r="N20" s="60">
        <f t="shared" ref="N20" si="232">N19/N$15</f>
        <v>0.23201786145305336</v>
      </c>
      <c r="O20" s="60">
        <f t="shared" ref="O20" si="233">O19/O$15</f>
        <v>0.23201786145305336</v>
      </c>
      <c r="P20" s="60">
        <f t="shared" ref="P20" si="234">P19/P$15</f>
        <v>0.23201786145305334</v>
      </c>
      <c r="Q20" s="60">
        <f t="shared" ref="Q20" si="235">Q19/Q$15</f>
        <v>0.23201786145305334</v>
      </c>
      <c r="R20" s="60">
        <f t="shared" ref="R20" si="236">R19/R$15</f>
        <v>0.23201786145305334</v>
      </c>
      <c r="S20" s="60">
        <f t="shared" ref="S20" si="237">S19/S$15</f>
        <v>0.23201786145305334</v>
      </c>
      <c r="T20" s="60">
        <f t="shared" ref="T20" si="238">T19/T$15</f>
        <v>0.23201786145305334</v>
      </c>
      <c r="U20" s="60">
        <f t="shared" ref="U20" si="239">U19/U$15</f>
        <v>0.23201786145305334</v>
      </c>
      <c r="V20" s="60">
        <f t="shared" ref="V20" si="240">V19/V$15</f>
        <v>0.23201786145305331</v>
      </c>
      <c r="W20" s="60">
        <f t="shared" ref="W20" si="241">W19/W$15</f>
        <v>0.23201786145305331</v>
      </c>
      <c r="X20" s="60">
        <f t="shared" ref="X20" si="242">X19/X$15</f>
        <v>0.23201786145305334</v>
      </c>
      <c r="Y20" s="60">
        <f t="shared" ref="Y20" si="243">Y19/Y$15</f>
        <v>0.23201786145305334</v>
      </c>
      <c r="Z20" s="60">
        <f t="shared" ref="Z20" si="244">Z19/Z$15</f>
        <v>0.23201786145305334</v>
      </c>
      <c r="AA20" s="60">
        <f t="shared" ref="AA20" si="245">AA19/AA$15</f>
        <v>0.23201786145305334</v>
      </c>
      <c r="AB20" s="60">
        <f t="shared" ref="AB20" si="246">AB19/AB$15</f>
        <v>0.23201786145305336</v>
      </c>
      <c r="AC20" s="60">
        <f t="shared" ref="AC20" si="247">AC19/AC$15</f>
        <v>0.23201786145305336</v>
      </c>
      <c r="AD20" s="60">
        <f t="shared" ref="AD20" si="248">AD19/AD$15</f>
        <v>0.23201786145305336</v>
      </c>
      <c r="AE20" s="60">
        <f t="shared" ref="AE20" si="249">AE19/AE$15</f>
        <v>0.23201786145305336</v>
      </c>
      <c r="AF20" s="60">
        <f t="shared" ref="AF20" si="250">AF19/AF$15</f>
        <v>0.23201786145305336</v>
      </c>
      <c r="AG20" s="60">
        <f t="shared" ref="AG20" si="251">AG19/AG$15</f>
        <v>0.23201786145305339</v>
      </c>
      <c r="AH20" s="60">
        <f t="shared" ref="AH20" si="252">AH19/AH$15</f>
        <v>0.23201786145305339</v>
      </c>
      <c r="AI20" s="60">
        <f t="shared" ref="AI20" si="253">AI19/AI$15</f>
        <v>0.23201786145305339</v>
      </c>
      <c r="AJ20" s="60">
        <f t="shared" ref="AJ20" si="254">AJ19/AJ$15</f>
        <v>0.23201786145305339</v>
      </c>
      <c r="AK20" s="60">
        <f t="shared" ref="AK20" si="255">AK19/AK$15</f>
        <v>0.23201786145305339</v>
      </c>
      <c r="AL20" s="60">
        <f t="shared" ref="AL20" si="256">AL19/AL$15</f>
        <v>0.23201786145305339</v>
      </c>
      <c r="AM20" s="60">
        <f t="shared" ref="AM20" si="257">AM19/AM$15</f>
        <v>0.23201786145305339</v>
      </c>
      <c r="AN20" s="60">
        <f t="shared" ref="AN20" si="258">AN19/AN$15</f>
        <v>0.23201786145305339</v>
      </c>
      <c r="AO20" s="60">
        <f t="shared" ref="AO20" si="259">AO19/AO$15</f>
        <v>0.23201786145305339</v>
      </c>
      <c r="AP20" s="60">
        <f t="shared" ref="AP20" si="260">AP19/AP$15</f>
        <v>0.23201786145305339</v>
      </c>
      <c r="AQ20" s="60">
        <f t="shared" ref="AQ20" si="261">AQ19/AQ$15</f>
        <v>0.23201786145305339</v>
      </c>
      <c r="AR20" s="60">
        <f t="shared" ref="AR20" si="262">AR19/AR$15</f>
        <v>0.23201786145305339</v>
      </c>
      <c r="AS20" s="60">
        <f t="shared" ref="AS20" si="263">AS19/AS$15</f>
        <v>0.23201786145305342</v>
      </c>
      <c r="AT20" s="60">
        <f t="shared" ref="AT20" si="264">AT19/AT$15</f>
        <v>0.23201786145305342</v>
      </c>
      <c r="AU20" s="60">
        <f t="shared" ref="AU20" si="265">AU19/AU$15</f>
        <v>0.23201786145305342</v>
      </c>
      <c r="AV20" s="60">
        <f t="shared" ref="AV20" si="266">AV19/AV$15</f>
        <v>0.23201786145305345</v>
      </c>
      <c r="AW20" s="60">
        <f t="shared" ref="AW20" si="267">AW19/AW$15</f>
        <v>0.23201786145305348</v>
      </c>
      <c r="AX20" s="60">
        <f t="shared" ref="AX20" si="268">AX19/AX$15</f>
        <v>0.23201786145305348</v>
      </c>
      <c r="AY20" s="60">
        <f t="shared" ref="AY20" si="269">AY19/AY$15</f>
        <v>0.23201786145305348</v>
      </c>
      <c r="AZ20" s="60">
        <f t="shared" ref="AZ20" si="270">AZ19/AZ$15</f>
        <v>0.23201786145305348</v>
      </c>
      <c r="BA20" s="60">
        <f t="shared" ref="BA20" si="271">BA19/BA$15</f>
        <v>0.23201786145305348</v>
      </c>
      <c r="BB20" s="60">
        <f t="shared" ref="BB20" si="272">BB19/BB$15</f>
        <v>0.23201786145305348</v>
      </c>
      <c r="BC20" s="60">
        <f t="shared" ref="BC20" si="273">BC19/BC$15</f>
        <v>0.23201786145305345</v>
      </c>
      <c r="BD20" s="60">
        <f t="shared" ref="BD20" si="274">BD19/BD$15</f>
        <v>0.23201786145305345</v>
      </c>
      <c r="BE20" s="60">
        <f t="shared" ref="BE20" si="275">BE19/BE$15</f>
        <v>0.23201786145305342</v>
      </c>
      <c r="BF20" s="60">
        <f t="shared" ref="BF20" si="276">BF19/BF$15</f>
        <v>0.23201786145305342</v>
      </c>
      <c r="BG20" s="60">
        <f t="shared" ref="BG20" si="277">BG19/BG$15</f>
        <v>0.23201786145305342</v>
      </c>
      <c r="BH20" s="60">
        <f t="shared" ref="BH20" si="278">BH19/BH$15</f>
        <v>0.23201786145305342</v>
      </c>
      <c r="BI20" s="60">
        <f t="shared" ref="BI20" si="279">BI19/BI$15</f>
        <v>0.23201786145305342</v>
      </c>
      <c r="BJ20" s="60">
        <f t="shared" ref="BJ20" si="280">BJ19/BJ$15</f>
        <v>0.23201786145305342</v>
      </c>
      <c r="BK20" s="60">
        <f t="shared" ref="BK20" si="281">BK19/BK$15</f>
        <v>0.23201786145305342</v>
      </c>
      <c r="BL20" s="60">
        <f t="shared" ref="BL20" si="282">BL19/BL$15</f>
        <v>0.23201786145305342</v>
      </c>
      <c r="BM20" s="60">
        <f t="shared" ref="BM20" si="283">BM19/BM$15</f>
        <v>0.23201786145305345</v>
      </c>
      <c r="BN20" s="60">
        <f t="shared" ref="BN20" si="284">BN19/BN$15</f>
        <v>0.23201786145305345</v>
      </c>
      <c r="BO20" s="60">
        <f t="shared" ref="BO20" si="285">BO19/BO$15</f>
        <v>0.23201786145305345</v>
      </c>
      <c r="BP20" s="60">
        <f t="shared" ref="BP20" si="286">BP19/BP$15</f>
        <v>0.23201786145305345</v>
      </c>
      <c r="BQ20" s="60">
        <f t="shared" ref="BQ20" si="287">BQ19/BQ$15</f>
        <v>0.23201786145305345</v>
      </c>
      <c r="BR20" s="60">
        <f t="shared" ref="BR20" si="288">BR19/BR$15</f>
        <v>0.23201786145305345</v>
      </c>
      <c r="BS20" s="60">
        <f t="shared" ref="BS20" si="289">BS19/BS$15</f>
        <v>0.23201786145305345</v>
      </c>
      <c r="BT20" s="60">
        <f t="shared" ref="BT20" si="290">BT19/BT$15</f>
        <v>0.23201786145305345</v>
      </c>
      <c r="BU20" s="60">
        <f t="shared" ref="BU20" si="291">BU19/BU$15</f>
        <v>0.23201786145305345</v>
      </c>
      <c r="BV20" s="60">
        <f t="shared" ref="BV20" si="292">BV19/BV$15</f>
        <v>0.23201786145305345</v>
      </c>
      <c r="BW20" s="60">
        <f t="shared" ref="BW20" si="293">BW19/BW$15</f>
        <v>0.23201786145305345</v>
      </c>
      <c r="BX20" s="60">
        <f t="shared" ref="BX20" si="294">BX19/BX$15</f>
        <v>0.23201786145305345</v>
      </c>
      <c r="BY20" s="60">
        <f t="shared" ref="BY20" si="295">BY19/BY$15</f>
        <v>0.23201786145305345</v>
      </c>
      <c r="BZ20" s="60">
        <f t="shared" ref="BZ20" si="296">BZ19/BZ$15</f>
        <v>0.23201786145305345</v>
      </c>
      <c r="CA20" s="60">
        <f t="shared" ref="CA20" si="297">CA19/CA$15</f>
        <v>0.23201786145305345</v>
      </c>
      <c r="CB20" s="60">
        <f t="shared" ref="CB20" si="298">CB19/CB$15</f>
        <v>0.23201786145305345</v>
      </c>
      <c r="CC20" s="60">
        <f t="shared" ref="CC20" si="299">CC19/CC$15</f>
        <v>0.23201786145305345</v>
      </c>
      <c r="CD20" s="60">
        <f t="shared" ref="CD20" si="300">CD19/CD$15</f>
        <v>0.23201786145305345</v>
      </c>
      <c r="CE20" s="60">
        <f t="shared" ref="CE20" si="301">CE19/CE$15</f>
        <v>0.23201786145305345</v>
      </c>
      <c r="CF20" s="60">
        <f t="shared" ref="CF20" si="302">CF19/CF$15</f>
        <v>0.23201786145305345</v>
      </c>
      <c r="CG20" s="60">
        <f t="shared" ref="CG20" si="303">CG19/CG$15</f>
        <v>0.23201786145305345</v>
      </c>
      <c r="CH20" s="60">
        <f t="shared" ref="CH20" si="304">CH19/CH$15</f>
        <v>0.23201786145305345</v>
      </c>
      <c r="CI20" s="60">
        <f t="shared" ref="CI20" si="305">CI19/CI$15</f>
        <v>0.23201786145305345</v>
      </c>
    </row>
    <row r="21" spans="1:87" x14ac:dyDescent="0.25">
      <c r="B21" s="54" t="s">
        <v>735</v>
      </c>
      <c r="C21" s="33">
        <v>-439</v>
      </c>
      <c r="D21" s="33">
        <v>876</v>
      </c>
      <c r="E21" s="33">
        <v>1416</v>
      </c>
      <c r="F21" s="33">
        <v>729</v>
      </c>
      <c r="G21" s="33">
        <v>77</v>
      </c>
      <c r="H21" s="33">
        <v>1186</v>
      </c>
      <c r="I21" s="33">
        <v>333</v>
      </c>
      <c r="J21" s="33">
        <v>788</v>
      </c>
      <c r="K21" s="33">
        <v>-1646</v>
      </c>
      <c r="L21" s="33">
        <v>-4901</v>
      </c>
      <c r="M21" s="56">
        <f>M15*$L$22</f>
        <v>-5599.3939621206428</v>
      </c>
      <c r="N21" s="56">
        <f t="shared" ref="N21:BY21" si="306">N15*$L$22</f>
        <v>-6274.2361664114424</v>
      </c>
      <c r="O21" s="56">
        <f t="shared" si="306"/>
        <v>-6727.3519004040427</v>
      </c>
      <c r="P21" s="56">
        <f t="shared" si="306"/>
        <v>-7180.4676343966412</v>
      </c>
      <c r="Q21" s="56">
        <f t="shared" si="306"/>
        <v>-7633.5833683892415</v>
      </c>
      <c r="R21" s="56">
        <f t="shared" si="306"/>
        <v>-8086.6991023818409</v>
      </c>
      <c r="S21" s="56">
        <f t="shared" si="306"/>
        <v>-8539.8148363744385</v>
      </c>
      <c r="T21" s="56">
        <f t="shared" si="306"/>
        <v>-8992.9305703670361</v>
      </c>
      <c r="U21" s="56">
        <f t="shared" si="306"/>
        <v>-9446.0463043596374</v>
      </c>
      <c r="V21" s="56">
        <f t="shared" si="306"/>
        <v>-9899.1620383522386</v>
      </c>
      <c r="W21" s="56">
        <f t="shared" si="306"/>
        <v>-10352.277772344836</v>
      </c>
      <c r="X21" s="56">
        <f t="shared" si="306"/>
        <v>-10805.393506337437</v>
      </c>
      <c r="Y21" s="56">
        <f t="shared" si="306"/>
        <v>-11258.509240330037</v>
      </c>
      <c r="Z21" s="56">
        <f t="shared" si="306"/>
        <v>-11711.624974322636</v>
      </c>
      <c r="AA21" s="56">
        <f t="shared" si="306"/>
        <v>-12164.740708315236</v>
      </c>
      <c r="AB21" s="56">
        <f t="shared" si="306"/>
        <v>-12617.856442307835</v>
      </c>
      <c r="AC21" s="56">
        <f t="shared" si="306"/>
        <v>-13070.972176300436</v>
      </c>
      <c r="AD21" s="56">
        <f t="shared" si="306"/>
        <v>-13524.087910293038</v>
      </c>
      <c r="AE21" s="56">
        <f t="shared" si="306"/>
        <v>-13977.203644285635</v>
      </c>
      <c r="AF21" s="56">
        <f t="shared" si="306"/>
        <v>-14430.319378278233</v>
      </c>
      <c r="AG21" s="56">
        <f t="shared" si="306"/>
        <v>-14883.435112270836</v>
      </c>
      <c r="AH21" s="56">
        <f t="shared" si="306"/>
        <v>-15336.550846263437</v>
      </c>
      <c r="AI21" s="56">
        <f t="shared" si="306"/>
        <v>-15789.666580256036</v>
      </c>
      <c r="AJ21" s="56">
        <f t="shared" si="306"/>
        <v>-16242.782314248636</v>
      </c>
      <c r="AK21" s="56">
        <f t="shared" si="306"/>
        <v>-16695.898048241233</v>
      </c>
      <c r="AL21" s="56">
        <f t="shared" si="306"/>
        <v>-17149.013782233833</v>
      </c>
      <c r="AM21" s="56">
        <f t="shared" si="306"/>
        <v>-17602.129516226432</v>
      </c>
      <c r="AN21" s="56">
        <f t="shared" si="306"/>
        <v>-18055.245250219032</v>
      </c>
      <c r="AO21" s="56">
        <f t="shared" si="306"/>
        <v>-18508.360984211635</v>
      </c>
      <c r="AP21" s="56">
        <f t="shared" si="306"/>
        <v>-18961.476718204234</v>
      </c>
      <c r="AQ21" s="56">
        <f t="shared" si="306"/>
        <v>-19414.592452196834</v>
      </c>
      <c r="AR21" s="56">
        <f t="shared" si="306"/>
        <v>-19867.708186189433</v>
      </c>
      <c r="AS21" s="56">
        <f t="shared" si="306"/>
        <v>-20320.823920182032</v>
      </c>
      <c r="AT21" s="56">
        <f t="shared" si="306"/>
        <v>-20773.939654174621</v>
      </c>
      <c r="AU21" s="56">
        <f t="shared" si="306"/>
        <v>-21227.05538816722</v>
      </c>
      <c r="AV21" s="56">
        <f t="shared" si="306"/>
        <v>-21680.171122159823</v>
      </c>
      <c r="AW21" s="56">
        <f t="shared" si="306"/>
        <v>-22133.286856152426</v>
      </c>
      <c r="AX21" s="56">
        <f t="shared" si="306"/>
        <v>-22586.402590145026</v>
      </c>
      <c r="AY21" s="56">
        <f t="shared" si="306"/>
        <v>-23039.518324137625</v>
      </c>
      <c r="AZ21" s="56">
        <f t="shared" si="306"/>
        <v>-23492.634058130217</v>
      </c>
      <c r="BA21" s="56">
        <f t="shared" si="306"/>
        <v>-23945.749792122821</v>
      </c>
      <c r="BB21" s="56">
        <f t="shared" si="306"/>
        <v>-24398.86552611542</v>
      </c>
      <c r="BC21" s="56">
        <f t="shared" si="306"/>
        <v>-24851.981260108012</v>
      </c>
      <c r="BD21" s="56">
        <f t="shared" si="306"/>
        <v>-25305.096994100615</v>
      </c>
      <c r="BE21" s="56">
        <f t="shared" si="306"/>
        <v>-25758.212728093225</v>
      </c>
      <c r="BF21" s="56">
        <f t="shared" si="306"/>
        <v>-26211.328462085818</v>
      </c>
      <c r="BG21" s="56">
        <f t="shared" si="306"/>
        <v>-26664.444196078421</v>
      </c>
      <c r="BH21" s="56">
        <f t="shared" si="306"/>
        <v>-27117.559930071013</v>
      </c>
      <c r="BI21" s="56">
        <f t="shared" si="306"/>
        <v>-27570.675664063616</v>
      </c>
      <c r="BJ21" s="56">
        <f t="shared" si="306"/>
        <v>-28023.791398056219</v>
      </c>
      <c r="BK21" s="56">
        <f t="shared" si="306"/>
        <v>-28476.907132048811</v>
      </c>
      <c r="BL21" s="56">
        <f t="shared" si="306"/>
        <v>-28930.02286604141</v>
      </c>
      <c r="BM21" s="56">
        <f t="shared" si="306"/>
        <v>-29383.138600034014</v>
      </c>
      <c r="BN21" s="56">
        <f t="shared" si="306"/>
        <v>-29836.254334026613</v>
      </c>
      <c r="BO21" s="56">
        <f t="shared" si="306"/>
        <v>-30289.370068019212</v>
      </c>
      <c r="BP21" s="56">
        <f t="shared" si="306"/>
        <v>-30742.485802011815</v>
      </c>
      <c r="BQ21" s="56">
        <f t="shared" si="306"/>
        <v>-31195.601536004408</v>
      </c>
      <c r="BR21" s="56">
        <f t="shared" si="306"/>
        <v>-31648.717269997007</v>
      </c>
      <c r="BS21" s="56">
        <f t="shared" si="306"/>
        <v>-32101.833003989603</v>
      </c>
      <c r="BT21" s="56">
        <f t="shared" si="306"/>
        <v>-32554.948737982206</v>
      </c>
      <c r="BU21" s="56">
        <f t="shared" si="306"/>
        <v>-33008.064471974816</v>
      </c>
      <c r="BV21" s="56">
        <f t="shared" si="306"/>
        <v>-33461.180205967408</v>
      </c>
      <c r="BW21" s="56">
        <f t="shared" si="306"/>
        <v>-33914.29593996</v>
      </c>
      <c r="BX21" s="56">
        <f t="shared" si="306"/>
        <v>-34367.411673952607</v>
      </c>
      <c r="BY21" s="56">
        <f t="shared" si="306"/>
        <v>-34820.527407945199</v>
      </c>
      <c r="BZ21" s="56">
        <f t="shared" ref="BZ21:CI21" si="307">BZ15*$L$22</f>
        <v>-35273.643141937799</v>
      </c>
      <c r="CA21" s="56">
        <f t="shared" si="307"/>
        <v>-35726.758875930405</v>
      </c>
      <c r="CB21" s="56">
        <f t="shared" si="307"/>
        <v>-36179.874609922997</v>
      </c>
      <c r="CC21" s="56">
        <f t="shared" si="307"/>
        <v>-36632.990343915604</v>
      </c>
      <c r="CD21" s="56">
        <f t="shared" si="307"/>
        <v>-37086.106077908211</v>
      </c>
      <c r="CE21" s="56">
        <f t="shared" si="307"/>
        <v>-37539.22181190081</v>
      </c>
      <c r="CF21" s="56">
        <f t="shared" si="307"/>
        <v>-37992.337545893402</v>
      </c>
      <c r="CG21" s="56">
        <f t="shared" si="307"/>
        <v>-38445.453279886009</v>
      </c>
      <c r="CH21" s="56">
        <f t="shared" si="307"/>
        <v>-38898.569013878609</v>
      </c>
      <c r="CI21" s="56">
        <f t="shared" si="307"/>
        <v>-39351.684747871208</v>
      </c>
    </row>
    <row r="22" spans="1:87" x14ac:dyDescent="0.25">
      <c r="B22" s="59" t="s">
        <v>733</v>
      </c>
      <c r="C22" s="60">
        <f>C21/C$15</f>
        <v>-4.8160256269609673E-3</v>
      </c>
      <c r="D22" s="60">
        <f t="shared" ref="D22:M22" si="308">D21/D$15</f>
        <v>9.0710461732818343E-3</v>
      </c>
      <c r="E22" s="60">
        <f t="shared" si="308"/>
        <v>1.2830735773831098E-2</v>
      </c>
      <c r="F22" s="60">
        <f t="shared" si="308"/>
        <v>5.7929324634663831E-3</v>
      </c>
      <c r="G22" s="60">
        <f t="shared" si="308"/>
        <v>5.3840506240604132E-4</v>
      </c>
      <c r="H22" s="60">
        <f t="shared" si="308"/>
        <v>6.8726929250667859E-3</v>
      </c>
      <c r="I22" s="60">
        <f t="shared" si="308"/>
        <v>1.6358732763152076E-3</v>
      </c>
      <c r="J22" s="60">
        <f t="shared" si="308"/>
        <v>3.712760493966764E-3</v>
      </c>
      <c r="K22" s="60">
        <f t="shared" si="308"/>
        <v>-6.712832684888378E-3</v>
      </c>
      <c r="L22" s="60">
        <f t="shared" si="308"/>
        <v>-1.7396458945634734E-2</v>
      </c>
      <c r="M22" s="60">
        <f t="shared" si="308"/>
        <v>-1.7396458945634734E-2</v>
      </c>
      <c r="N22" s="60">
        <f t="shared" ref="N22" si="309">N21/N$15</f>
        <v>-1.7396458945634734E-2</v>
      </c>
      <c r="O22" s="60">
        <f t="shared" ref="O22" si="310">O21/O$15</f>
        <v>-1.7396458945634734E-2</v>
      </c>
      <c r="P22" s="60">
        <f t="shared" ref="P22" si="311">P21/P$15</f>
        <v>-1.7396458945634734E-2</v>
      </c>
      <c r="Q22" s="60">
        <f t="shared" ref="Q22" si="312">Q21/Q$15</f>
        <v>-1.7396458945634734E-2</v>
      </c>
      <c r="R22" s="60">
        <f t="shared" ref="R22" si="313">R21/R$15</f>
        <v>-1.7396458945634734E-2</v>
      </c>
      <c r="S22" s="60">
        <f t="shared" ref="S22" si="314">S21/S$15</f>
        <v>-1.7396458945634734E-2</v>
      </c>
      <c r="T22" s="60">
        <f t="shared" ref="T22" si="315">T21/T$15</f>
        <v>-1.7396458945634734E-2</v>
      </c>
      <c r="U22" s="60">
        <f t="shared" ref="U22" si="316">U21/U$15</f>
        <v>-1.7396458945634734E-2</v>
      </c>
      <c r="V22" s="60">
        <f t="shared" ref="V22" si="317">V21/V$15</f>
        <v>-1.7396458945634734E-2</v>
      </c>
      <c r="W22" s="60">
        <f t="shared" ref="W22" si="318">W21/W$15</f>
        <v>-1.7396458945634734E-2</v>
      </c>
      <c r="X22" s="60">
        <f t="shared" ref="X22" si="319">X21/X$15</f>
        <v>-1.7396458945634734E-2</v>
      </c>
      <c r="Y22" s="60">
        <f t="shared" ref="Y22" si="320">Y21/Y$15</f>
        <v>-1.7396458945634734E-2</v>
      </c>
      <c r="Z22" s="60">
        <f t="shared" ref="Z22" si="321">Z21/Z$15</f>
        <v>-1.7396458945634734E-2</v>
      </c>
      <c r="AA22" s="60">
        <f t="shared" ref="AA22" si="322">AA21/AA$15</f>
        <v>-1.7396458945634734E-2</v>
      </c>
      <c r="AB22" s="60">
        <f t="shared" ref="AB22" si="323">AB21/AB$15</f>
        <v>-1.7396458945634734E-2</v>
      </c>
      <c r="AC22" s="60">
        <f t="shared" ref="AC22" si="324">AC21/AC$15</f>
        <v>-1.7396458945634734E-2</v>
      </c>
      <c r="AD22" s="60">
        <f t="shared" ref="AD22" si="325">AD21/AD$15</f>
        <v>-1.7396458945634734E-2</v>
      </c>
      <c r="AE22" s="60">
        <f t="shared" ref="AE22" si="326">AE21/AE$15</f>
        <v>-1.7396458945634734E-2</v>
      </c>
      <c r="AF22" s="60">
        <f t="shared" ref="AF22" si="327">AF21/AF$15</f>
        <v>-1.7396458945634734E-2</v>
      </c>
      <c r="AG22" s="60">
        <f t="shared" ref="AG22" si="328">AG21/AG$15</f>
        <v>-1.7396458945634734E-2</v>
      </c>
      <c r="AH22" s="60">
        <f t="shared" ref="AH22" si="329">AH21/AH$15</f>
        <v>-1.7396458945634734E-2</v>
      </c>
      <c r="AI22" s="60">
        <f t="shared" ref="AI22" si="330">AI21/AI$15</f>
        <v>-1.7396458945634734E-2</v>
      </c>
      <c r="AJ22" s="60">
        <f t="shared" ref="AJ22" si="331">AJ21/AJ$15</f>
        <v>-1.7396458945634734E-2</v>
      </c>
      <c r="AK22" s="60">
        <f t="shared" ref="AK22" si="332">AK21/AK$15</f>
        <v>-1.7396458945634734E-2</v>
      </c>
      <c r="AL22" s="60">
        <f t="shared" ref="AL22" si="333">AL21/AL$15</f>
        <v>-1.7396458945634734E-2</v>
      </c>
      <c r="AM22" s="60">
        <f t="shared" ref="AM22" si="334">AM21/AM$15</f>
        <v>-1.7396458945634734E-2</v>
      </c>
      <c r="AN22" s="60">
        <f t="shared" ref="AN22" si="335">AN21/AN$15</f>
        <v>-1.7396458945634734E-2</v>
      </c>
      <c r="AO22" s="60">
        <f t="shared" ref="AO22" si="336">AO21/AO$15</f>
        <v>-1.7396458945634734E-2</v>
      </c>
      <c r="AP22" s="60">
        <f t="shared" ref="AP22" si="337">AP21/AP$15</f>
        <v>-1.7396458945634734E-2</v>
      </c>
      <c r="AQ22" s="60">
        <f t="shared" ref="AQ22" si="338">AQ21/AQ$15</f>
        <v>-1.7396458945634734E-2</v>
      </c>
      <c r="AR22" s="60">
        <f t="shared" ref="AR22" si="339">AR21/AR$15</f>
        <v>-1.7396458945634734E-2</v>
      </c>
      <c r="AS22" s="60">
        <f t="shared" ref="AS22" si="340">AS21/AS$15</f>
        <v>-1.7396458945634734E-2</v>
      </c>
      <c r="AT22" s="60">
        <f t="shared" ref="AT22" si="341">AT21/AT$15</f>
        <v>-1.7396458945634734E-2</v>
      </c>
      <c r="AU22" s="60">
        <f t="shared" ref="AU22" si="342">AU21/AU$15</f>
        <v>-1.7396458945634734E-2</v>
      </c>
      <c r="AV22" s="60">
        <f t="shared" ref="AV22" si="343">AV21/AV$15</f>
        <v>-1.7396458945634734E-2</v>
      </c>
      <c r="AW22" s="60">
        <f t="shared" ref="AW22" si="344">AW21/AW$15</f>
        <v>-1.7396458945634734E-2</v>
      </c>
      <c r="AX22" s="60">
        <f t="shared" ref="AX22" si="345">AX21/AX$15</f>
        <v>-1.7396458945634734E-2</v>
      </c>
      <c r="AY22" s="60">
        <f t="shared" ref="AY22" si="346">AY21/AY$15</f>
        <v>-1.7396458945634734E-2</v>
      </c>
      <c r="AZ22" s="60">
        <f t="shared" ref="AZ22" si="347">AZ21/AZ$15</f>
        <v>-1.7396458945634734E-2</v>
      </c>
      <c r="BA22" s="60">
        <f t="shared" ref="BA22" si="348">BA21/BA$15</f>
        <v>-1.7396458945634734E-2</v>
      </c>
      <c r="BB22" s="60">
        <f t="shared" ref="BB22" si="349">BB21/BB$15</f>
        <v>-1.7396458945634734E-2</v>
      </c>
      <c r="BC22" s="60">
        <f t="shared" ref="BC22" si="350">BC21/BC$15</f>
        <v>-1.7396458945634734E-2</v>
      </c>
      <c r="BD22" s="60">
        <f t="shared" ref="BD22" si="351">BD21/BD$15</f>
        <v>-1.7396458945634734E-2</v>
      </c>
      <c r="BE22" s="60">
        <f t="shared" ref="BE22" si="352">BE21/BE$15</f>
        <v>-1.7396458945634734E-2</v>
      </c>
      <c r="BF22" s="60">
        <f t="shared" ref="BF22" si="353">BF21/BF$15</f>
        <v>-1.7396458945634734E-2</v>
      </c>
      <c r="BG22" s="60">
        <f t="shared" ref="BG22" si="354">BG21/BG$15</f>
        <v>-1.7396458945634734E-2</v>
      </c>
      <c r="BH22" s="60">
        <f t="shared" ref="BH22" si="355">BH21/BH$15</f>
        <v>-1.7396458945634734E-2</v>
      </c>
      <c r="BI22" s="60">
        <f t="shared" ref="BI22" si="356">BI21/BI$15</f>
        <v>-1.7396458945634734E-2</v>
      </c>
      <c r="BJ22" s="60">
        <f t="shared" ref="BJ22" si="357">BJ21/BJ$15</f>
        <v>-1.7396458945634734E-2</v>
      </c>
      <c r="BK22" s="60">
        <f t="shared" ref="BK22" si="358">BK21/BK$15</f>
        <v>-1.7396458945634734E-2</v>
      </c>
      <c r="BL22" s="60">
        <f t="shared" ref="BL22" si="359">BL21/BL$15</f>
        <v>-1.7396458945634734E-2</v>
      </c>
      <c r="BM22" s="60">
        <f t="shared" ref="BM22" si="360">BM21/BM$15</f>
        <v>-1.7396458945634734E-2</v>
      </c>
      <c r="BN22" s="60">
        <f t="shared" ref="BN22" si="361">BN21/BN$15</f>
        <v>-1.7396458945634734E-2</v>
      </c>
      <c r="BO22" s="60">
        <f t="shared" ref="BO22" si="362">BO21/BO$15</f>
        <v>-1.7396458945634734E-2</v>
      </c>
      <c r="BP22" s="60">
        <f t="shared" ref="BP22" si="363">BP21/BP$15</f>
        <v>-1.7396458945634734E-2</v>
      </c>
      <c r="BQ22" s="60">
        <f t="shared" ref="BQ22" si="364">BQ21/BQ$15</f>
        <v>-1.7396458945634734E-2</v>
      </c>
      <c r="BR22" s="60">
        <f t="shared" ref="BR22" si="365">BR21/BR$15</f>
        <v>-1.7396458945634734E-2</v>
      </c>
      <c r="BS22" s="60">
        <f t="shared" ref="BS22" si="366">BS21/BS$15</f>
        <v>-1.7396458945634734E-2</v>
      </c>
      <c r="BT22" s="60">
        <f t="shared" ref="BT22" si="367">BT21/BT$15</f>
        <v>-1.7396458945634734E-2</v>
      </c>
      <c r="BU22" s="60">
        <f t="shared" ref="BU22" si="368">BU21/BU$15</f>
        <v>-1.7396458945634734E-2</v>
      </c>
      <c r="BV22" s="60">
        <f t="shared" ref="BV22" si="369">BV21/BV$15</f>
        <v>-1.7396458945634734E-2</v>
      </c>
      <c r="BW22" s="60">
        <f t="shared" ref="BW22" si="370">BW21/BW$15</f>
        <v>-1.7396458945634734E-2</v>
      </c>
      <c r="BX22" s="60">
        <f t="shared" ref="BX22" si="371">BX21/BX$15</f>
        <v>-1.7396458945634734E-2</v>
      </c>
      <c r="BY22" s="60">
        <f t="shared" ref="BY22" si="372">BY21/BY$15</f>
        <v>-1.7396458945634734E-2</v>
      </c>
      <c r="BZ22" s="60">
        <f t="shared" ref="BZ22" si="373">BZ21/BZ$15</f>
        <v>-1.7396458945634734E-2</v>
      </c>
      <c r="CA22" s="60">
        <f t="shared" ref="CA22" si="374">CA21/CA$15</f>
        <v>-1.7396458945634734E-2</v>
      </c>
      <c r="CB22" s="60">
        <f t="shared" ref="CB22" si="375">CB21/CB$15</f>
        <v>-1.7396458945634734E-2</v>
      </c>
      <c r="CC22" s="60">
        <f t="shared" ref="CC22" si="376">CC21/CC$15</f>
        <v>-1.7396458945634734E-2</v>
      </c>
      <c r="CD22" s="60">
        <f t="shared" ref="CD22" si="377">CD21/CD$15</f>
        <v>-1.7396458945634734E-2</v>
      </c>
      <c r="CE22" s="60">
        <f t="shared" ref="CE22" si="378">CE21/CE$15</f>
        <v>-1.7396458945634734E-2</v>
      </c>
      <c r="CF22" s="60">
        <f t="shared" ref="CF22" si="379">CF21/CF$15</f>
        <v>-1.7396458945634734E-2</v>
      </c>
      <c r="CG22" s="60">
        <f t="shared" ref="CG22" si="380">CG21/CG$15</f>
        <v>-1.7396458945634734E-2</v>
      </c>
      <c r="CH22" s="60">
        <f t="shared" ref="CH22" si="381">CH21/CH$15</f>
        <v>-1.7396458945634734E-2</v>
      </c>
      <c r="CI22" s="60">
        <f t="shared" ref="CI22" si="382">CI21/CI$15</f>
        <v>-1.7396458945634734E-2</v>
      </c>
    </row>
    <row r="23" spans="1:87" x14ac:dyDescent="0.25">
      <c r="B23" s="54" t="s">
        <v>543</v>
      </c>
      <c r="C23" s="33">
        <v>5100</v>
      </c>
      <c r="D23" s="33">
        <v>4412</v>
      </c>
      <c r="E23" s="33">
        <v>19903</v>
      </c>
      <c r="F23" s="33">
        <v>4448</v>
      </c>
      <c r="G23" s="33">
        <v>8755</v>
      </c>
      <c r="H23" s="33">
        <v>9831</v>
      </c>
      <c r="I23" s="33">
        <v>10978</v>
      </c>
      <c r="J23" s="33">
        <v>16950</v>
      </c>
      <c r="K23" s="33">
        <v>19651</v>
      </c>
      <c r="L23" s="33">
        <v>21795</v>
      </c>
      <c r="M23" s="56">
        <f>+(M15-M17-M19+M21)*M24</f>
        <v>24957.538493939701</v>
      </c>
      <c r="N23" s="56">
        <f t="shared" ref="N23:BY23" si="383">+(N15-N17-N19+N21)*N24</f>
        <v>28029.01886307442</v>
      </c>
      <c r="O23" s="56">
        <f t="shared" si="383"/>
        <v>30121.406974982081</v>
      </c>
      <c r="P23" s="56">
        <f t="shared" si="383"/>
        <v>32222.978874361077</v>
      </c>
      <c r="Q23" s="56">
        <f t="shared" si="383"/>
        <v>34333.734561211415</v>
      </c>
      <c r="R23" s="56">
        <f t="shared" si="383"/>
        <v>36453.674035533106</v>
      </c>
      <c r="S23" s="56">
        <f t="shared" si="383"/>
        <v>38582.797297326106</v>
      </c>
      <c r="T23" s="56">
        <f t="shared" si="383"/>
        <v>40721.104346590459</v>
      </c>
      <c r="U23" s="56">
        <f t="shared" si="383"/>
        <v>42868.595183326172</v>
      </c>
      <c r="V23" s="56">
        <f t="shared" si="383"/>
        <v>45025.269807533223</v>
      </c>
      <c r="W23" s="56">
        <f t="shared" si="383"/>
        <v>47191.12821921159</v>
      </c>
      <c r="X23" s="56">
        <f t="shared" si="383"/>
        <v>49366.170418361318</v>
      </c>
      <c r="Y23" s="56">
        <f t="shared" si="383"/>
        <v>51550.396404982384</v>
      </c>
      <c r="Z23" s="56">
        <f t="shared" si="383"/>
        <v>53743.806179074789</v>
      </c>
      <c r="AA23" s="56">
        <f t="shared" si="383"/>
        <v>55946.399740638524</v>
      </c>
      <c r="AB23" s="56">
        <f t="shared" si="383"/>
        <v>58158.177089673605</v>
      </c>
      <c r="AC23" s="56">
        <f t="shared" si="383"/>
        <v>60379.138226180025</v>
      </c>
      <c r="AD23" s="56">
        <f t="shared" si="383"/>
        <v>62609.283150157811</v>
      </c>
      <c r="AE23" s="56">
        <f t="shared" si="383"/>
        <v>64848.611861606907</v>
      </c>
      <c r="AF23" s="56">
        <f t="shared" si="383"/>
        <v>67097.124360527348</v>
      </c>
      <c r="AG23" s="56">
        <f t="shared" si="383"/>
        <v>69354.82064691915</v>
      </c>
      <c r="AH23" s="56">
        <f t="shared" si="383"/>
        <v>71621.70072078229</v>
      </c>
      <c r="AI23" s="56">
        <f t="shared" si="383"/>
        <v>73897.764582116739</v>
      </c>
      <c r="AJ23" s="56">
        <f t="shared" si="383"/>
        <v>76183.012230922555</v>
      </c>
      <c r="AK23" s="56">
        <f t="shared" si="383"/>
        <v>78477.443667199681</v>
      </c>
      <c r="AL23" s="56">
        <f t="shared" si="383"/>
        <v>80781.058890948188</v>
      </c>
      <c r="AM23" s="56">
        <f t="shared" si="383"/>
        <v>83093.857902167991</v>
      </c>
      <c r="AN23" s="56">
        <f t="shared" si="383"/>
        <v>85415.84070085916</v>
      </c>
      <c r="AO23" s="56">
        <f t="shared" si="383"/>
        <v>87747.007287021712</v>
      </c>
      <c r="AP23" s="56">
        <f t="shared" si="383"/>
        <v>90087.357660655529</v>
      </c>
      <c r="AQ23" s="56">
        <f t="shared" si="383"/>
        <v>92436.891821760713</v>
      </c>
      <c r="AR23" s="56">
        <f t="shared" si="383"/>
        <v>94795.60977033728</v>
      </c>
      <c r="AS23" s="56">
        <f t="shared" si="383"/>
        <v>97163.511506385112</v>
      </c>
      <c r="AT23" s="56">
        <f t="shared" si="383"/>
        <v>99540.597029904297</v>
      </c>
      <c r="AU23" s="56">
        <f t="shared" si="383"/>
        <v>101926.86634089485</v>
      </c>
      <c r="AV23" s="56">
        <f t="shared" si="383"/>
        <v>104322.31943935677</v>
      </c>
      <c r="AW23" s="56">
        <f t="shared" si="383"/>
        <v>106726.95632529</v>
      </c>
      <c r="AX23" s="56">
        <f t="shared" si="383"/>
        <v>109140.77699869455</v>
      </c>
      <c r="AY23" s="56">
        <f t="shared" si="383"/>
        <v>111563.78145957047</v>
      </c>
      <c r="AZ23" s="56">
        <f t="shared" si="383"/>
        <v>113995.96970791768</v>
      </c>
      <c r="BA23" s="56">
        <f t="shared" si="383"/>
        <v>116437.3417437363</v>
      </c>
      <c r="BB23" s="56">
        <f t="shared" si="383"/>
        <v>118887.89756702623</v>
      </c>
      <c r="BC23" s="56">
        <f t="shared" si="383"/>
        <v>121347.63717778749</v>
      </c>
      <c r="BD23" s="56">
        <f t="shared" si="383"/>
        <v>123816.56057602011</v>
      </c>
      <c r="BE23" s="56">
        <f t="shared" si="383"/>
        <v>126294.66776172412</v>
      </c>
      <c r="BF23" s="56">
        <f t="shared" si="383"/>
        <v>128781.95873489941</v>
      </c>
      <c r="BG23" s="56">
        <f t="shared" si="383"/>
        <v>131278.43349554605</v>
      </c>
      <c r="BH23" s="56">
        <f t="shared" si="383"/>
        <v>133784.09204366402</v>
      </c>
      <c r="BI23" s="56">
        <f t="shared" si="383"/>
        <v>136298.93437925333</v>
      </c>
      <c r="BJ23" s="56">
        <f t="shared" si="383"/>
        <v>138822.960502314</v>
      </c>
      <c r="BK23" s="56">
        <f t="shared" si="383"/>
        <v>141356.17041284597</v>
      </c>
      <c r="BL23" s="56">
        <f t="shared" si="383"/>
        <v>143898.56411084929</v>
      </c>
      <c r="BM23" s="56">
        <f t="shared" si="383"/>
        <v>146450.14159632401</v>
      </c>
      <c r="BN23" s="56">
        <f t="shared" si="383"/>
        <v>149010.90286927001</v>
      </c>
      <c r="BO23" s="56">
        <f t="shared" si="383"/>
        <v>151580.84792968736</v>
      </c>
      <c r="BP23" s="56">
        <f t="shared" si="383"/>
        <v>154159.97677757606</v>
      </c>
      <c r="BQ23" s="56">
        <f t="shared" si="383"/>
        <v>156748.28941293611</v>
      </c>
      <c r="BR23" s="56">
        <f t="shared" si="383"/>
        <v>159345.78583576748</v>
      </c>
      <c r="BS23" s="56">
        <f t="shared" si="383"/>
        <v>161952.46604607016</v>
      </c>
      <c r="BT23" s="56">
        <f t="shared" si="383"/>
        <v>164568.3300438443</v>
      </c>
      <c r="BU23" s="56">
        <f t="shared" si="383"/>
        <v>167193.3778290897</v>
      </c>
      <c r="BV23" s="56">
        <f t="shared" si="383"/>
        <v>169827.6094018064</v>
      </c>
      <c r="BW23" s="56">
        <f t="shared" si="383"/>
        <v>172471.02476199451</v>
      </c>
      <c r="BX23" s="56">
        <f t="shared" si="383"/>
        <v>175123.62390965392</v>
      </c>
      <c r="BY23" s="56">
        <f t="shared" si="383"/>
        <v>177785.40684478468</v>
      </c>
      <c r="BZ23" s="56">
        <f t="shared" ref="BZ23:CI23" si="384">+(BZ15-BZ17-BZ19+BZ21)*BZ24</f>
        <v>180456.37356738682</v>
      </c>
      <c r="CA23" s="56">
        <f t="shared" si="384"/>
        <v>183136.52407746023</v>
      </c>
      <c r="CB23" s="56">
        <f t="shared" si="384"/>
        <v>185825.85837500505</v>
      </c>
      <c r="CC23" s="56">
        <f t="shared" si="384"/>
        <v>188524.37646002116</v>
      </c>
      <c r="CD23" s="56">
        <f t="shared" si="384"/>
        <v>191232.07833250862</v>
      </c>
      <c r="CE23" s="56">
        <f t="shared" si="384"/>
        <v>193948.96399246747</v>
      </c>
      <c r="CF23" s="56">
        <f t="shared" si="384"/>
        <v>196675.03343989755</v>
      </c>
      <c r="CG23" s="56">
        <f t="shared" si="384"/>
        <v>199410.28667479908</v>
      </c>
      <c r="CH23" s="56">
        <f t="shared" si="384"/>
        <v>202154.72369717192</v>
      </c>
      <c r="CI23" s="56">
        <f t="shared" si="384"/>
        <v>204908.34450701607</v>
      </c>
    </row>
    <row r="24" spans="1:87" x14ac:dyDescent="0.25">
      <c r="B24" s="59" t="s">
        <v>565</v>
      </c>
      <c r="C24" s="60">
        <f>C23/(C15-C17-C19+C21)</f>
        <v>0.19891571434143299</v>
      </c>
      <c r="D24" s="60">
        <f t="shared" ref="D24:L24" si="385">D23/(D15-D17-D19+D21)</f>
        <v>0.14755359352530015</v>
      </c>
      <c r="E24" s="60">
        <f t="shared" si="385"/>
        <v>0.5456763722103416</v>
      </c>
      <c r="F24" s="60">
        <f t="shared" si="385"/>
        <v>0.10181285478850027</v>
      </c>
      <c r="G24" s="60">
        <f t="shared" si="385"/>
        <v>0.16507655177615205</v>
      </c>
      <c r="H24" s="60">
        <f t="shared" si="385"/>
        <v>0.13007237268625713</v>
      </c>
      <c r="I24" s="60">
        <f t="shared" si="385"/>
        <v>0.1233386138168908</v>
      </c>
      <c r="J24" s="60">
        <f t="shared" si="385"/>
        <v>0.1890960206164865</v>
      </c>
      <c r="K24" s="60">
        <f t="shared" si="385"/>
        <v>0.18217805260181519</v>
      </c>
      <c r="L24" s="60">
        <f t="shared" si="385"/>
        <v>0.17629644009803683</v>
      </c>
      <c r="M24" s="60">
        <v>0.17629644009803683</v>
      </c>
      <c r="N24" s="60">
        <v>0.17629644009803683</v>
      </c>
      <c r="O24" s="60">
        <v>0.17629644009803683</v>
      </c>
      <c r="P24" s="60">
        <v>0.17629644009803683</v>
      </c>
      <c r="Q24" s="60">
        <v>0.17629644009803683</v>
      </c>
      <c r="R24" s="60">
        <v>0.17629644009803683</v>
      </c>
      <c r="S24" s="60">
        <v>0.17629644009803683</v>
      </c>
      <c r="T24" s="60">
        <v>0.17629644009803683</v>
      </c>
      <c r="U24" s="60">
        <v>0.17629644009803683</v>
      </c>
      <c r="V24" s="60">
        <v>0.17629644009803683</v>
      </c>
      <c r="W24" s="60">
        <v>0.17629644009803683</v>
      </c>
      <c r="X24" s="60">
        <v>0.17629644009803683</v>
      </c>
      <c r="Y24" s="60">
        <v>0.17629644009803683</v>
      </c>
      <c r="Z24" s="60">
        <v>0.17629644009803683</v>
      </c>
      <c r="AA24" s="60">
        <v>0.17629644009803683</v>
      </c>
      <c r="AB24" s="60">
        <v>0.17629644009803683</v>
      </c>
      <c r="AC24" s="60">
        <v>0.17629644009803683</v>
      </c>
      <c r="AD24" s="60">
        <v>0.17629644009803683</v>
      </c>
      <c r="AE24" s="60">
        <v>0.17629644009803683</v>
      </c>
      <c r="AF24" s="60">
        <v>0.17629644009803683</v>
      </c>
      <c r="AG24" s="60">
        <v>0.17629644009803683</v>
      </c>
      <c r="AH24" s="60">
        <v>0.17629644009803683</v>
      </c>
      <c r="AI24" s="60">
        <v>0.17629644009803683</v>
      </c>
      <c r="AJ24" s="60">
        <v>0.17629644009803683</v>
      </c>
      <c r="AK24" s="60">
        <v>0.17629644009803683</v>
      </c>
      <c r="AL24" s="60">
        <v>0.17629644009803683</v>
      </c>
      <c r="AM24" s="60">
        <v>0.17629644009803683</v>
      </c>
      <c r="AN24" s="60">
        <v>0.17629644009803683</v>
      </c>
      <c r="AO24" s="60">
        <v>0.17629644009803683</v>
      </c>
      <c r="AP24" s="60">
        <v>0.17629644009803683</v>
      </c>
      <c r="AQ24" s="60">
        <v>0.17629644009803683</v>
      </c>
      <c r="AR24" s="60">
        <v>0.17629644009803683</v>
      </c>
      <c r="AS24" s="60">
        <v>0.17629644009803683</v>
      </c>
      <c r="AT24" s="60">
        <v>0.17629644009803683</v>
      </c>
      <c r="AU24" s="60">
        <v>0.17629644009803683</v>
      </c>
      <c r="AV24" s="60">
        <v>0.17629644009803683</v>
      </c>
      <c r="AW24" s="60">
        <v>0.17629644009803683</v>
      </c>
      <c r="AX24" s="60">
        <v>0.17629644009803683</v>
      </c>
      <c r="AY24" s="60">
        <v>0.17629644009803683</v>
      </c>
      <c r="AZ24" s="60">
        <v>0.17629644009803683</v>
      </c>
      <c r="BA24" s="60">
        <v>0.17629644009803683</v>
      </c>
      <c r="BB24" s="60">
        <v>0.17629644009803683</v>
      </c>
      <c r="BC24" s="60">
        <v>0.17629644009803683</v>
      </c>
      <c r="BD24" s="60">
        <v>0.17629644009803683</v>
      </c>
      <c r="BE24" s="60">
        <v>0.17629644009803683</v>
      </c>
      <c r="BF24" s="60">
        <v>0.17629644009803683</v>
      </c>
      <c r="BG24" s="60">
        <v>0.17629644009803683</v>
      </c>
      <c r="BH24" s="60">
        <v>0.17629644009803683</v>
      </c>
      <c r="BI24" s="60">
        <v>0.17629644009803683</v>
      </c>
      <c r="BJ24" s="60">
        <v>0.17629644009803683</v>
      </c>
      <c r="BK24" s="60">
        <v>0.17629644009803683</v>
      </c>
      <c r="BL24" s="60">
        <v>0.17629644009803683</v>
      </c>
      <c r="BM24" s="60">
        <v>0.17629644009803683</v>
      </c>
      <c r="BN24" s="60">
        <v>0.17629644009803683</v>
      </c>
      <c r="BO24" s="60">
        <v>0.17629644009803683</v>
      </c>
      <c r="BP24" s="60">
        <v>0.17629644009803683</v>
      </c>
      <c r="BQ24" s="60">
        <v>0.17629644009803683</v>
      </c>
      <c r="BR24" s="60">
        <v>0.17629644009803683</v>
      </c>
      <c r="BS24" s="60">
        <v>0.17629644009803683</v>
      </c>
      <c r="BT24" s="60">
        <v>0.17629644009803683</v>
      </c>
      <c r="BU24" s="60">
        <v>0.17629644009803683</v>
      </c>
      <c r="BV24" s="60">
        <v>0.17629644009803683</v>
      </c>
      <c r="BW24" s="60">
        <v>0.17629644009803683</v>
      </c>
      <c r="BX24" s="60">
        <v>0.17629644009803683</v>
      </c>
      <c r="BY24" s="60">
        <v>0.17629644009803683</v>
      </c>
      <c r="BZ24" s="60">
        <v>0.17629644009803683</v>
      </c>
      <c r="CA24" s="60">
        <v>0.17629644009803683</v>
      </c>
      <c r="CB24" s="60">
        <v>0.17629644009803683</v>
      </c>
      <c r="CC24" s="60">
        <v>0.17629644009803683</v>
      </c>
      <c r="CD24" s="60">
        <v>0.17629644009803683</v>
      </c>
      <c r="CE24" s="60">
        <v>0.17629644009803683</v>
      </c>
      <c r="CF24" s="60">
        <v>0.17629644009803683</v>
      </c>
      <c r="CG24" s="60">
        <v>0.17629644009803683</v>
      </c>
      <c r="CH24" s="60">
        <v>0.17629644009803683</v>
      </c>
      <c r="CI24" s="60">
        <v>0.17629644009803683</v>
      </c>
    </row>
    <row r="25" spans="1:87" s="65" customFormat="1" x14ac:dyDescent="0.25">
      <c r="A25" s="64"/>
      <c r="B25" s="64" t="s">
        <v>544</v>
      </c>
      <c r="C25" s="65">
        <v>20539</v>
      </c>
      <c r="D25" s="65">
        <v>25489</v>
      </c>
      <c r="E25" s="65">
        <v>16571</v>
      </c>
      <c r="F25" s="65">
        <v>39240</v>
      </c>
      <c r="G25" s="65">
        <v>44281</v>
      </c>
      <c r="H25" s="65">
        <v>61271</v>
      </c>
      <c r="I25" s="65">
        <v>72738</v>
      </c>
      <c r="J25" s="65">
        <v>72361</v>
      </c>
      <c r="K25" s="65">
        <v>88136</v>
      </c>
      <c r="L25" s="65">
        <v>101832</v>
      </c>
      <c r="M25" s="65">
        <f>+(M15-M17-M19+M21-M23)</f>
        <v>116608.21564188428</v>
      </c>
      <c r="N25" s="65">
        <f t="shared" ref="N25:BY25" si="386">+(N15-N17-N19+N21-N23)</f>
        <v>130958.98365976574</v>
      </c>
      <c r="O25" s="65">
        <f t="shared" si="386"/>
        <v>140735.17389659901</v>
      </c>
      <c r="P25" s="65">
        <f t="shared" si="386"/>
        <v>150554.27321559703</v>
      </c>
      <c r="Q25" s="65">
        <f t="shared" si="386"/>
        <v>160416.28161675984</v>
      </c>
      <c r="R25" s="65">
        <f t="shared" si="386"/>
        <v>170321.19910008751</v>
      </c>
      <c r="S25" s="65">
        <f t="shared" si="386"/>
        <v>180269.02566557983</v>
      </c>
      <c r="T25" s="65">
        <f t="shared" si="386"/>
        <v>190259.76131323696</v>
      </c>
      <c r="U25" s="65">
        <f t="shared" si="386"/>
        <v>200293.40604305902</v>
      </c>
      <c r="V25" s="65">
        <f t="shared" si="386"/>
        <v>210369.9598550458</v>
      </c>
      <c r="W25" s="65">
        <f t="shared" si="386"/>
        <v>220489.42274919729</v>
      </c>
      <c r="X25" s="65">
        <f t="shared" si="386"/>
        <v>230651.79472551367</v>
      </c>
      <c r="Y25" s="65">
        <f t="shared" si="386"/>
        <v>240857.07578399481</v>
      </c>
      <c r="Z25" s="65">
        <f t="shared" si="386"/>
        <v>251105.2659246407</v>
      </c>
      <c r="AA25" s="65">
        <f t="shared" si="386"/>
        <v>261396.36514745138</v>
      </c>
      <c r="AB25" s="65">
        <f t="shared" si="386"/>
        <v>271730.37345242687</v>
      </c>
      <c r="AC25" s="65">
        <f t="shared" si="386"/>
        <v>282107.29083956708</v>
      </c>
      <c r="AD25" s="65">
        <f t="shared" si="386"/>
        <v>292527.11730887223</v>
      </c>
      <c r="AE25" s="65">
        <f t="shared" si="386"/>
        <v>302989.85286034207</v>
      </c>
      <c r="AF25" s="65">
        <f t="shared" si="386"/>
        <v>313495.49749397661</v>
      </c>
      <c r="AG25" s="65">
        <f t="shared" si="386"/>
        <v>324044.0512097762</v>
      </c>
      <c r="AH25" s="65">
        <f t="shared" si="386"/>
        <v>334635.51400774042</v>
      </c>
      <c r="AI25" s="65">
        <f t="shared" si="386"/>
        <v>345269.88588786934</v>
      </c>
      <c r="AJ25" s="65">
        <f t="shared" si="386"/>
        <v>355947.16685016314</v>
      </c>
      <c r="AK25" s="65">
        <f t="shared" si="386"/>
        <v>366667.35689462163</v>
      </c>
      <c r="AL25" s="65">
        <f t="shared" si="386"/>
        <v>377430.4560212451</v>
      </c>
      <c r="AM25" s="65">
        <f t="shared" si="386"/>
        <v>388236.4642300331</v>
      </c>
      <c r="AN25" s="65">
        <f t="shared" si="386"/>
        <v>399085.38152098603</v>
      </c>
      <c r="AO25" s="65">
        <f t="shared" si="386"/>
        <v>409977.20789410389</v>
      </c>
      <c r="AP25" s="65">
        <f t="shared" si="386"/>
        <v>420911.94334938633</v>
      </c>
      <c r="AQ25" s="65">
        <f t="shared" si="386"/>
        <v>431889.58788683359</v>
      </c>
      <c r="AR25" s="65">
        <f t="shared" si="386"/>
        <v>442910.14150644577</v>
      </c>
      <c r="AS25" s="65">
        <f t="shared" si="386"/>
        <v>453973.60420822253</v>
      </c>
      <c r="AT25" s="65">
        <f t="shared" si="386"/>
        <v>465079.97599216405</v>
      </c>
      <c r="AU25" s="65">
        <f t="shared" si="386"/>
        <v>476229.2568582705</v>
      </c>
      <c r="AV25" s="65">
        <f t="shared" si="386"/>
        <v>487421.44680654176</v>
      </c>
      <c r="AW25" s="65">
        <f t="shared" si="386"/>
        <v>498656.54583697778</v>
      </c>
      <c r="AX25" s="65">
        <f t="shared" si="386"/>
        <v>509934.55394957855</v>
      </c>
      <c r="AY25" s="65">
        <f t="shared" si="386"/>
        <v>521255.47114434413</v>
      </c>
      <c r="AZ25" s="65">
        <f t="shared" si="386"/>
        <v>532619.29742127436</v>
      </c>
      <c r="BA25" s="65">
        <f t="shared" si="386"/>
        <v>544026.03278036963</v>
      </c>
      <c r="BB25" s="65">
        <f t="shared" si="386"/>
        <v>555475.67722162954</v>
      </c>
      <c r="BC25" s="65">
        <f t="shared" si="386"/>
        <v>566968.2307450542</v>
      </c>
      <c r="BD25" s="65">
        <f t="shared" si="386"/>
        <v>578503.69335064373</v>
      </c>
      <c r="BE25" s="65">
        <f t="shared" si="386"/>
        <v>590082.06503839837</v>
      </c>
      <c r="BF25" s="65">
        <f t="shared" si="386"/>
        <v>601703.34580831742</v>
      </c>
      <c r="BG25" s="65">
        <f t="shared" si="386"/>
        <v>613367.53566040122</v>
      </c>
      <c r="BH25" s="65">
        <f t="shared" si="386"/>
        <v>625074.63459464977</v>
      </c>
      <c r="BI25" s="65">
        <f t="shared" si="386"/>
        <v>636824.64261106343</v>
      </c>
      <c r="BJ25" s="65">
        <f t="shared" si="386"/>
        <v>648617.55970964173</v>
      </c>
      <c r="BK25" s="65">
        <f t="shared" si="386"/>
        <v>660453.38589038444</v>
      </c>
      <c r="BL25" s="65">
        <f t="shared" si="386"/>
        <v>672332.12115329225</v>
      </c>
      <c r="BM25" s="65">
        <f t="shared" si="386"/>
        <v>684253.76549836504</v>
      </c>
      <c r="BN25" s="65">
        <f t="shared" si="386"/>
        <v>696218.31892560236</v>
      </c>
      <c r="BO25" s="65">
        <f t="shared" si="386"/>
        <v>708225.78143500455</v>
      </c>
      <c r="BP25" s="65">
        <f t="shared" si="386"/>
        <v>720276.15302657161</v>
      </c>
      <c r="BQ25" s="65">
        <f t="shared" si="386"/>
        <v>732369.43370030331</v>
      </c>
      <c r="BR25" s="65">
        <f t="shared" si="386"/>
        <v>744505.62345619977</v>
      </c>
      <c r="BS25" s="65">
        <f t="shared" si="386"/>
        <v>756684.72229426098</v>
      </c>
      <c r="BT25" s="65">
        <f t="shared" si="386"/>
        <v>768906.73021448741</v>
      </c>
      <c r="BU25" s="65">
        <f t="shared" si="386"/>
        <v>781171.64721687837</v>
      </c>
      <c r="BV25" s="65">
        <f t="shared" si="386"/>
        <v>793479.47330143396</v>
      </c>
      <c r="BW25" s="65">
        <f t="shared" si="386"/>
        <v>805830.20846815442</v>
      </c>
      <c r="BX25" s="65">
        <f t="shared" si="386"/>
        <v>818223.85271703964</v>
      </c>
      <c r="BY25" s="65">
        <f t="shared" si="386"/>
        <v>830660.40604808973</v>
      </c>
      <c r="BZ25" s="65">
        <f t="shared" ref="BZ25:CI25" si="387">+(BZ15-BZ17-BZ19+BZ21-BZ23)</f>
        <v>843139.86846130458</v>
      </c>
      <c r="CA25" s="65">
        <f t="shared" si="387"/>
        <v>855662.23995668418</v>
      </c>
      <c r="CB25" s="65">
        <f t="shared" si="387"/>
        <v>868227.52053422865</v>
      </c>
      <c r="CC25" s="65">
        <f t="shared" si="387"/>
        <v>880835.71019393788</v>
      </c>
      <c r="CD25" s="65">
        <f t="shared" si="387"/>
        <v>893486.80893581174</v>
      </c>
      <c r="CE25" s="65">
        <f t="shared" si="387"/>
        <v>906180.81675985071</v>
      </c>
      <c r="CF25" s="65">
        <f t="shared" si="387"/>
        <v>918917.73366605409</v>
      </c>
      <c r="CG25" s="65">
        <f t="shared" si="387"/>
        <v>931697.55965442269</v>
      </c>
      <c r="CH25" s="65">
        <f t="shared" si="387"/>
        <v>944520.29472495581</v>
      </c>
      <c r="CI25" s="65">
        <f t="shared" si="387"/>
        <v>957385.9388776538</v>
      </c>
    </row>
    <row r="26" spans="1:87" s="60" customFormat="1" x14ac:dyDescent="0.25">
      <c r="B26" s="59" t="s">
        <v>736</v>
      </c>
      <c r="C26" s="60">
        <f>C25/C15</f>
        <v>0.22532198257893235</v>
      </c>
      <c r="D26" s="60">
        <f t="shared" ref="D26:M26" si="388">D25/D15</f>
        <v>0.26394052044609667</v>
      </c>
      <c r="E26" s="60">
        <f t="shared" si="388"/>
        <v>0.15015404131931859</v>
      </c>
      <c r="F26" s="60">
        <f t="shared" si="388"/>
        <v>0.31181710544090652</v>
      </c>
      <c r="G26" s="60">
        <f t="shared" si="388"/>
        <v>0.30962486452470023</v>
      </c>
      <c r="H26" s="60">
        <f t="shared" si="388"/>
        <v>0.35505629697450847</v>
      </c>
      <c r="I26" s="60">
        <f t="shared" si="388"/>
        <v>0.3573277788967435</v>
      </c>
      <c r="J26" s="60">
        <f t="shared" si="388"/>
        <v>0.34093789607097591</v>
      </c>
      <c r="K26" s="60">
        <f t="shared" si="388"/>
        <v>0.35944241890359785</v>
      </c>
      <c r="L26" s="60">
        <f t="shared" si="388"/>
        <v>0.36146015248967073</v>
      </c>
      <c r="M26" s="60">
        <f t="shared" si="388"/>
        <v>0.36228385604957275</v>
      </c>
      <c r="N26" s="60">
        <f t="shared" ref="N26" si="389">N25/N15</f>
        <v>0.36310755960947466</v>
      </c>
      <c r="O26" s="60">
        <f t="shared" ref="O26" si="390">O25/O15</f>
        <v>0.36393126316937663</v>
      </c>
      <c r="P26" s="60">
        <f t="shared" ref="P26" si="391">P25/P15</f>
        <v>0.3647549667292786</v>
      </c>
      <c r="Q26" s="60">
        <f t="shared" ref="Q26" si="392">Q25/Q15</f>
        <v>0.36557867028918051</v>
      </c>
      <c r="R26" s="60">
        <f t="shared" ref="R26" si="393">R25/R15</f>
        <v>0.36640237384908264</v>
      </c>
      <c r="S26" s="60">
        <f t="shared" ref="S26" si="394">S25/S15</f>
        <v>0.36722607740898444</v>
      </c>
      <c r="T26" s="60">
        <f t="shared" ref="T26" si="395">T25/T15</f>
        <v>0.36804978096888635</v>
      </c>
      <c r="U26" s="60">
        <f t="shared" ref="U26" si="396">U25/U15</f>
        <v>0.36887348452878849</v>
      </c>
      <c r="V26" s="60">
        <f t="shared" ref="V26" si="397">V25/V15</f>
        <v>0.3696971880886904</v>
      </c>
      <c r="W26" s="60">
        <f t="shared" ref="W26" si="398">W25/W15</f>
        <v>0.37052089164859231</v>
      </c>
      <c r="X26" s="60">
        <f t="shared" ref="X26" si="399">X25/X15</f>
        <v>0.37134459520849428</v>
      </c>
      <c r="Y26" s="60">
        <f t="shared" ref="Y26" si="400">Y25/Y15</f>
        <v>0.3721682987683963</v>
      </c>
      <c r="Z26" s="60">
        <f t="shared" ref="Z26" si="401">Z25/Z15</f>
        <v>0.37299200232829821</v>
      </c>
      <c r="AA26" s="60">
        <f t="shared" ref="AA26" si="402">AA25/AA15</f>
        <v>0.37381570588820018</v>
      </c>
      <c r="AB26" s="60">
        <f t="shared" ref="AB26" si="403">AB25/AB15</f>
        <v>0.37463940944810215</v>
      </c>
      <c r="AC26" s="60">
        <f t="shared" ref="AC26" si="404">AC25/AC15</f>
        <v>0.375463113008004</v>
      </c>
      <c r="AD26" s="60">
        <f t="shared" ref="AD26" si="405">AD25/AD15</f>
        <v>0.37628681656790602</v>
      </c>
      <c r="AE26" s="60">
        <f t="shared" ref="AE26" si="406">AE25/AE15</f>
        <v>0.37711052012780799</v>
      </c>
      <c r="AF26" s="60">
        <f t="shared" ref="AF26" si="407">AF25/AF15</f>
        <v>0.3779342236877099</v>
      </c>
      <c r="AG26" s="60">
        <f t="shared" ref="AG26" si="408">AG25/AG15</f>
        <v>0.37875792724761198</v>
      </c>
      <c r="AH26" s="60">
        <f t="shared" ref="AH26" si="409">AH25/AH15</f>
        <v>0.37958163080751389</v>
      </c>
      <c r="AI26" s="60">
        <f t="shared" ref="AI26" si="410">AI25/AI15</f>
        <v>0.3804053343674158</v>
      </c>
      <c r="AJ26" s="60">
        <f t="shared" ref="AJ26" si="411">AJ25/AJ15</f>
        <v>0.38122903792731777</v>
      </c>
      <c r="AK26" s="60">
        <f t="shared" ref="AK26" si="412">AK25/AK15</f>
        <v>0.38205274148721968</v>
      </c>
      <c r="AL26" s="60">
        <f t="shared" ref="AL26" si="413">AL25/AL15</f>
        <v>0.38287644504712176</v>
      </c>
      <c r="AM26" s="60">
        <f t="shared" ref="AM26" si="414">AM25/AM15</f>
        <v>0.38370014860702362</v>
      </c>
      <c r="AN26" s="60">
        <f t="shared" ref="AN26" si="415">AN25/AN15</f>
        <v>0.38452385216692558</v>
      </c>
      <c r="AO26" s="60">
        <f t="shared" ref="AO26" si="416">AO25/AO15</f>
        <v>0.38534755572682761</v>
      </c>
      <c r="AP26" s="60">
        <f t="shared" ref="AP26" si="417">AP25/AP15</f>
        <v>0.38617125928672952</v>
      </c>
      <c r="AQ26" s="60">
        <f t="shared" ref="AQ26" si="418">AQ25/AQ15</f>
        <v>0.38699496284663143</v>
      </c>
      <c r="AR26" s="60">
        <f t="shared" ref="AR26" si="419">AR25/AR15</f>
        <v>0.38781866640653351</v>
      </c>
      <c r="AS26" s="60">
        <f t="shared" ref="AS26" si="420">AS25/AS15</f>
        <v>0.38864236996643542</v>
      </c>
      <c r="AT26" s="60">
        <f t="shared" ref="AT26" si="421">AT25/AT15</f>
        <v>0.38946607352633739</v>
      </c>
      <c r="AU26" s="60">
        <f t="shared" ref="AU26" si="422">AU25/AU15</f>
        <v>0.39028977708623935</v>
      </c>
      <c r="AV26" s="60">
        <f t="shared" ref="AV26" si="423">AV25/AV15</f>
        <v>0.39111348064614132</v>
      </c>
      <c r="AW26" s="60">
        <f t="shared" ref="AW26" si="424">AW25/AW15</f>
        <v>0.39193718420604318</v>
      </c>
      <c r="AX26" s="60">
        <f t="shared" ref="AX26" si="425">AX25/AX15</f>
        <v>0.39276088776594514</v>
      </c>
      <c r="AY26" s="60">
        <f t="shared" ref="AY26" si="426">AY25/AY15</f>
        <v>0.39358459132584711</v>
      </c>
      <c r="AZ26" s="60">
        <f t="shared" ref="AZ26" si="427">AZ25/AZ15</f>
        <v>0.39440829488574913</v>
      </c>
      <c r="BA26" s="60">
        <f t="shared" ref="BA26" si="428">BA25/BA15</f>
        <v>0.3952319984456511</v>
      </c>
      <c r="BB26" s="60">
        <f t="shared" ref="BB26" si="429">BB25/BB15</f>
        <v>0.39605570200555301</v>
      </c>
      <c r="BC26" s="60">
        <f t="shared" ref="BC26" si="430">BC25/BC15</f>
        <v>0.39687940556545503</v>
      </c>
      <c r="BD26" s="60">
        <f t="shared" ref="BD26" si="431">BD25/BD15</f>
        <v>0.39770310912535695</v>
      </c>
      <c r="BE26" s="60">
        <f t="shared" ref="BE26" si="432">BE25/BE15</f>
        <v>0.39852681268525897</v>
      </c>
      <c r="BF26" s="60">
        <f t="shared" ref="BF26" si="433">BF25/BF15</f>
        <v>0.39935051624516099</v>
      </c>
      <c r="BG26" s="60">
        <f t="shared" ref="BG26" si="434">BG25/BG15</f>
        <v>0.40017421980506285</v>
      </c>
      <c r="BH26" s="60">
        <f t="shared" ref="BH26" si="435">BH25/BH15</f>
        <v>0.40099792336496481</v>
      </c>
      <c r="BI26" s="60">
        <f t="shared" ref="BI26" si="436">BI25/BI15</f>
        <v>0.40182162692486689</v>
      </c>
      <c r="BJ26" s="60">
        <f t="shared" ref="BJ26" si="437">BJ25/BJ15</f>
        <v>0.4026453304847688</v>
      </c>
      <c r="BK26" s="60">
        <f t="shared" ref="BK26" si="438">BK25/BK15</f>
        <v>0.40346903404467072</v>
      </c>
      <c r="BL26" s="60">
        <f t="shared" ref="BL26" si="439">BL25/BL15</f>
        <v>0.40429273760457263</v>
      </c>
      <c r="BM26" s="60">
        <f t="shared" ref="BM26" si="440">BM25/BM15</f>
        <v>0.40511644116447465</v>
      </c>
      <c r="BN26" s="60">
        <f t="shared" ref="BN26" si="441">BN25/BN15</f>
        <v>0.40594014472437662</v>
      </c>
      <c r="BO26" s="60">
        <f t="shared" ref="BO26" si="442">BO25/BO15</f>
        <v>0.40676384828427858</v>
      </c>
      <c r="BP26" s="60">
        <f t="shared" ref="BP26" si="443">BP25/BP15</f>
        <v>0.40758755184418055</v>
      </c>
      <c r="BQ26" s="60">
        <f t="shared" ref="BQ26" si="444">BQ25/BQ15</f>
        <v>0.40841125540408252</v>
      </c>
      <c r="BR26" s="60">
        <f t="shared" ref="BR26" si="445">BR25/BR15</f>
        <v>0.40923495896398443</v>
      </c>
      <c r="BS26" s="60">
        <f t="shared" ref="BS26" si="446">BS25/BS15</f>
        <v>0.4100586625238864</v>
      </c>
      <c r="BT26" s="60">
        <f t="shared" ref="BT26" si="447">BT25/BT15</f>
        <v>0.41088236608378848</v>
      </c>
      <c r="BU26" s="60">
        <f t="shared" ref="BU26" si="448">BU25/BU15</f>
        <v>0.41170606964369039</v>
      </c>
      <c r="BV26" s="60">
        <f t="shared" ref="BV26" si="449">BV25/BV15</f>
        <v>0.4125297732035923</v>
      </c>
      <c r="BW26" s="60">
        <f t="shared" ref="BW26" si="450">BW25/BW15</f>
        <v>0.41335347676349432</v>
      </c>
      <c r="BX26" s="60">
        <f t="shared" ref="BX26" si="451">BX25/BX15</f>
        <v>0.41417718032339623</v>
      </c>
      <c r="BY26" s="60">
        <f t="shared" ref="BY26" si="452">BY25/BY15</f>
        <v>0.41500088388329825</v>
      </c>
      <c r="BZ26" s="60">
        <f t="shared" ref="BZ26" si="453">BZ25/BZ15</f>
        <v>0.41582458744320022</v>
      </c>
      <c r="CA26" s="60">
        <f t="shared" ref="CA26" si="454">CA25/CA15</f>
        <v>0.41664829100310213</v>
      </c>
      <c r="CB26" s="60">
        <f t="shared" ref="CB26" si="455">CB25/CB15</f>
        <v>0.41747199456300416</v>
      </c>
      <c r="CC26" s="60">
        <f t="shared" ref="CC26" si="456">CC25/CC15</f>
        <v>0.41829569812290607</v>
      </c>
      <c r="CD26" s="60">
        <f t="shared" ref="CD26" si="457">CD25/CD15</f>
        <v>0.41911940168280792</v>
      </c>
      <c r="CE26" s="60">
        <f t="shared" ref="CE26" si="458">CE25/CE15</f>
        <v>0.41994310524270995</v>
      </c>
      <c r="CF26" s="60">
        <f t="shared" ref="CF26" si="459">CF25/CF15</f>
        <v>0.42076680880261191</v>
      </c>
      <c r="CG26" s="60">
        <f t="shared" ref="CG26" si="460">CG25/CG15</f>
        <v>0.42159051236251394</v>
      </c>
      <c r="CH26" s="60">
        <f t="shared" ref="CH26" si="461">CH25/CH15</f>
        <v>0.42241421592241585</v>
      </c>
      <c r="CI26" s="60">
        <f t="shared" ref="CI26" si="462">CI25/CI15</f>
        <v>0.42323791948231787</v>
      </c>
    </row>
    <row r="28" spans="1:87" ht="13.8" thickBot="1" x14ac:dyDescent="0.3">
      <c r="F28" s="35" t="s">
        <v>754</v>
      </c>
    </row>
    <row r="29" spans="1:87" ht="14.4" x14ac:dyDescent="0.3">
      <c r="E29" s="79" t="s">
        <v>756</v>
      </c>
      <c r="N29" s="67" t="s">
        <v>552</v>
      </c>
      <c r="O29" s="68">
        <f>+WACC!D16</f>
        <v>8.1629526336362973E-2</v>
      </c>
    </row>
    <row r="30" spans="1:87" ht="14.4" x14ac:dyDescent="0.3">
      <c r="E30" s="56" t="s">
        <v>531</v>
      </c>
      <c r="F30" s="66">
        <f>(V15/M15)^(1/10)-1</f>
        <v>5.8633763073207668E-2</v>
      </c>
      <c r="N30" s="69" t="s">
        <v>554</v>
      </c>
      <c r="O30" s="70">
        <f>NPV(O29,M25:CI25)</f>
        <v>2981729.3056015796</v>
      </c>
    </row>
    <row r="31" spans="1:87" ht="14.4" x14ac:dyDescent="0.3">
      <c r="E31" s="56" t="s">
        <v>755</v>
      </c>
      <c r="F31" s="66">
        <f>(V4/M4)^(1/10)-1</f>
        <v>7.0729625569272203E-2</v>
      </c>
      <c r="N31" s="69" t="s">
        <v>740</v>
      </c>
      <c r="O31" s="71">
        <f>Model!$T$24</f>
        <v>51414</v>
      </c>
    </row>
    <row r="32" spans="1:87" ht="14.4" x14ac:dyDescent="0.3">
      <c r="E32" s="1" t="s">
        <v>713</v>
      </c>
      <c r="F32" s="66">
        <f t="shared" ref="F32:F34" si="463">(V5/M5)^(1/10)-1</f>
        <v>5.282523211006307E-2</v>
      </c>
      <c r="N32" s="69"/>
      <c r="O32" s="71"/>
    </row>
    <row r="33" spans="2:87" ht="14.4" x14ac:dyDescent="0.3">
      <c r="E33" s="1" t="s">
        <v>702</v>
      </c>
      <c r="F33" s="66">
        <f t="shared" si="463"/>
        <v>2.6185083381581764E-2</v>
      </c>
      <c r="N33" s="69"/>
      <c r="O33" s="71"/>
    </row>
    <row r="34" spans="2:87" ht="14.4" x14ac:dyDescent="0.3">
      <c r="E34" s="1" t="s">
        <v>520</v>
      </c>
      <c r="F34" s="66">
        <f t="shared" si="463"/>
        <v>4.9095825496416223E-2</v>
      </c>
      <c r="N34" s="69"/>
      <c r="O34" s="71"/>
    </row>
    <row r="35" spans="2:87" ht="14.4" x14ac:dyDescent="0.3">
      <c r="E35" s="79" t="s">
        <v>753</v>
      </c>
      <c r="F35" s="66"/>
      <c r="N35" s="69" t="s">
        <v>739</v>
      </c>
      <c r="O35" s="71">
        <f>O30+O31</f>
        <v>3033143.3056015796</v>
      </c>
    </row>
    <row r="36" spans="2:87" ht="14.4" x14ac:dyDescent="0.3">
      <c r="E36" s="56" t="s">
        <v>531</v>
      </c>
      <c r="F36" s="66">
        <f>(V60/M60)^(1/10)-1</f>
        <v>9.7728275988784086E-2</v>
      </c>
      <c r="N36" s="69" t="s">
        <v>737</v>
      </c>
      <c r="O36" s="71">
        <f>Model!$T$15</f>
        <v>7432</v>
      </c>
    </row>
    <row r="37" spans="2:87" ht="14.4" x14ac:dyDescent="0.3">
      <c r="E37" s="56" t="s">
        <v>755</v>
      </c>
      <c r="F37" s="66">
        <f>(V49/M49)^(1/10)-1</f>
        <v>0.14265552097455725</v>
      </c>
      <c r="N37" s="69" t="s">
        <v>738</v>
      </c>
      <c r="O37" s="72">
        <f>O35/O36</f>
        <v>408.11938988180566</v>
      </c>
    </row>
    <row r="38" spans="2:87" ht="14.4" x14ac:dyDescent="0.3">
      <c r="E38" s="1" t="s">
        <v>713</v>
      </c>
      <c r="F38" s="66">
        <f t="shared" ref="F38:F40" si="464">(V50/M50)^(1/10)-1</f>
        <v>5.282523211006307E-2</v>
      </c>
      <c r="N38" s="69"/>
      <c r="O38" s="72"/>
    </row>
    <row r="39" spans="2:87" ht="14.4" x14ac:dyDescent="0.3">
      <c r="E39" s="1" t="s">
        <v>702</v>
      </c>
      <c r="F39" s="66">
        <f t="shared" si="464"/>
        <v>2.6185083381581764E-2</v>
      </c>
      <c r="N39" s="69"/>
      <c r="O39" s="72"/>
    </row>
    <row r="40" spans="2:87" ht="14.4" x14ac:dyDescent="0.3">
      <c r="E40" s="1" t="s">
        <v>520</v>
      </c>
      <c r="F40" s="66">
        <f t="shared" si="464"/>
        <v>4.9095825496416223E-2</v>
      </c>
      <c r="N40" s="69"/>
      <c r="O40" s="72"/>
    </row>
    <row r="41" spans="2:87" ht="14.4" x14ac:dyDescent="0.3">
      <c r="E41" s="79" t="s">
        <v>757</v>
      </c>
      <c r="F41" s="66"/>
      <c r="N41" s="69" t="s">
        <v>741</v>
      </c>
      <c r="O41" s="72">
        <v>418.79</v>
      </c>
    </row>
    <row r="42" spans="2:87" ht="13.8" thickBot="1" x14ac:dyDescent="0.3">
      <c r="E42" s="56" t="s">
        <v>531</v>
      </c>
      <c r="F42" s="66">
        <f>(V98/M98)^(1/10)-1</f>
        <v>5.2511216032995911E-2</v>
      </c>
      <c r="N42" s="73" t="s">
        <v>742</v>
      </c>
      <c r="O42" s="74">
        <f>O37/O41-1</f>
        <v>-2.5479620139435943E-2</v>
      </c>
    </row>
    <row r="43" spans="2:87" x14ac:dyDescent="0.25">
      <c r="E43" s="56" t="s">
        <v>755</v>
      </c>
      <c r="F43" s="66">
        <f>(V87/M87)^(1/10)-1</f>
        <v>5.5976635350528658E-2</v>
      </c>
    </row>
    <row r="44" spans="2:87" x14ac:dyDescent="0.25">
      <c r="E44" s="1" t="s">
        <v>713</v>
      </c>
      <c r="F44" s="66">
        <f t="shared" ref="F44:F46" si="465">(V88/M88)^(1/10)-1</f>
        <v>5.76282327415647E-2</v>
      </c>
    </row>
    <row r="45" spans="2:87" x14ac:dyDescent="0.25">
      <c r="E45" s="1" t="s">
        <v>702</v>
      </c>
      <c r="F45" s="66">
        <f t="shared" si="465"/>
        <v>2.6185083381581764E-2</v>
      </c>
    </row>
    <row r="46" spans="2:87" x14ac:dyDescent="0.25">
      <c r="E46" s="1" t="s">
        <v>520</v>
      </c>
      <c r="F46" s="66">
        <f t="shared" si="465"/>
        <v>5.3883386467435512E-2</v>
      </c>
    </row>
    <row r="48" spans="2:87" x14ac:dyDescent="0.25">
      <c r="B48" s="57" t="s">
        <v>743</v>
      </c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</row>
    <row r="49" spans="1:87" x14ac:dyDescent="0.25">
      <c r="A49" s="54" t="s">
        <v>728</v>
      </c>
      <c r="B49" s="1" t="s">
        <v>700</v>
      </c>
      <c r="C49" s="33">
        <v>19062</v>
      </c>
      <c r="D49" s="33">
        <v>21649</v>
      </c>
      <c r="E49" s="33">
        <v>26129</v>
      </c>
      <c r="F49" s="33">
        <v>32622</v>
      </c>
      <c r="G49" s="33">
        <v>41379</v>
      </c>
      <c r="H49" s="33">
        <v>52589</v>
      </c>
      <c r="I49" s="33">
        <v>67350</v>
      </c>
      <c r="J49" s="33">
        <v>79970</v>
      </c>
      <c r="K49" s="33">
        <v>97726</v>
      </c>
      <c r="L49" s="33">
        <v>114163.68737918926</v>
      </c>
      <c r="M49" s="56">
        <f>+L49*1.2</f>
        <v>136996.42485502711</v>
      </c>
      <c r="N49" s="56">
        <f t="shared" ref="N49" si="466">+M49*1.2</f>
        <v>164395.70982603254</v>
      </c>
      <c r="O49" s="56">
        <f>+N49*1.19</f>
        <v>195630.89469297871</v>
      </c>
      <c r="P49" s="56">
        <f>+O49*1.18</f>
        <v>230844.45573771486</v>
      </c>
      <c r="Q49" s="56">
        <f>+P49*1.17</f>
        <v>270088.0132131264</v>
      </c>
      <c r="R49" s="56">
        <f>+Q49*1.16</f>
        <v>313302.09532722662</v>
      </c>
      <c r="S49" s="56">
        <f>+R49*1.15</f>
        <v>360297.40962631057</v>
      </c>
      <c r="T49" s="56">
        <f>+S49*1.14</f>
        <v>410739.046973994</v>
      </c>
      <c r="U49" s="56">
        <f>+T49*1.13</f>
        <v>464135.12308061315</v>
      </c>
      <c r="V49" s="56">
        <f>+U49*1.12</f>
        <v>519831.3378502868</v>
      </c>
      <c r="W49" s="56">
        <f>+V49*1.11</f>
        <v>577012.78501381841</v>
      </c>
      <c r="X49" s="56">
        <f>+W49*(1+Segments!AR76)</f>
        <v>604964.95425000438</v>
      </c>
      <c r="Y49" s="56">
        <f>+X49*(1+Segments!AS76)</f>
        <v>632917.12348619022</v>
      </c>
      <c r="Z49" s="56">
        <f>+Y49*(1+Segments!AT76)</f>
        <v>660869.29272237618</v>
      </c>
      <c r="AA49" s="56">
        <f>+Z49*(1+Segments!AU76)</f>
        <v>688821.46195856214</v>
      </c>
      <c r="AB49" s="56">
        <f>+AA49*(1+Segments!AV76)</f>
        <v>716773.6311947481</v>
      </c>
      <c r="AC49" s="56">
        <f>+AB49*(1+Segments!AW76)</f>
        <v>744725.80043093394</v>
      </c>
      <c r="AD49" s="56">
        <f>+AC49*(1+Segments!AX76)</f>
        <v>772677.96966711991</v>
      </c>
      <c r="AE49" s="56">
        <f>+AD49*(1+Segments!AY76)</f>
        <v>800630.13890330587</v>
      </c>
      <c r="AF49" s="56">
        <f>+AE49*(1+Segments!AZ76)</f>
        <v>828582.30813949171</v>
      </c>
      <c r="AG49" s="56">
        <f>+AF49*(1+Segments!BA76)</f>
        <v>856534.47737567767</v>
      </c>
      <c r="AH49" s="56">
        <f>+AG49*(1+Segments!BB76)</f>
        <v>884486.64661186351</v>
      </c>
      <c r="AI49" s="56">
        <f>+AH49*(1+Segments!BC76)</f>
        <v>912438.81584804947</v>
      </c>
      <c r="AJ49" s="56">
        <f>+AI49*(1+Segments!BD76)</f>
        <v>940390.98508423544</v>
      </c>
      <c r="AK49" s="56">
        <f>+AJ49*(1+Segments!BE76)</f>
        <v>968343.15432042128</v>
      </c>
      <c r="AL49" s="56">
        <f>+AK49*(1+Segments!BF76)</f>
        <v>996295.32355660724</v>
      </c>
      <c r="AM49" s="56">
        <f>+AL49*(1+Segments!BG76)</f>
        <v>1024247.4927927931</v>
      </c>
      <c r="AN49" s="56">
        <f>+AM49*(1+Segments!BH76)</f>
        <v>1052199.662028979</v>
      </c>
      <c r="AO49" s="56">
        <f>+AN49*(1+Segments!BI76)</f>
        <v>1080151.831265165</v>
      </c>
      <c r="AP49" s="56">
        <f>+AO49*(1+Segments!BJ76)</f>
        <v>1108104.000501351</v>
      </c>
      <c r="AQ49" s="56">
        <f>+AP49*(1+Segments!BK76)</f>
        <v>1136056.1697375369</v>
      </c>
      <c r="AR49" s="56">
        <f>+AQ49*(1+Segments!BL76)</f>
        <v>1164008.3389737227</v>
      </c>
      <c r="AS49" s="56">
        <f>+AR49*(1+Segments!BM76)</f>
        <v>1191960.5082099084</v>
      </c>
      <c r="AT49" s="56">
        <f>+AS49*(1+Segments!BN76)</f>
        <v>1219912.6774460941</v>
      </c>
      <c r="AU49" s="56">
        <f>+AT49*(1+Segments!BO76)</f>
        <v>1247864.8466822801</v>
      </c>
      <c r="AV49" s="56">
        <f>+AU49*(1+Segments!BP76)</f>
        <v>1275817.015918466</v>
      </c>
      <c r="AW49" s="56">
        <f>+AV49*(1+Segments!BQ76)</f>
        <v>1303769.1851546518</v>
      </c>
      <c r="AX49" s="56">
        <f>+AW49*(1+Segments!BR76)</f>
        <v>1331721.3543908377</v>
      </c>
      <c r="AY49" s="56">
        <f>+AX49*(1+Segments!BS76)</f>
        <v>1359673.5236270234</v>
      </c>
      <c r="AZ49" s="56">
        <f>+AY49*(1+Segments!BT76)</f>
        <v>1387625.6928632094</v>
      </c>
      <c r="BA49" s="56">
        <f>+AZ49*(1+Segments!BU76)</f>
        <v>1415577.8620993954</v>
      </c>
      <c r="BB49" s="56">
        <f>+BA49*(1+Segments!BV76)</f>
        <v>1443530.0313355813</v>
      </c>
      <c r="BC49" s="56">
        <f>+BB49*(1+Segments!BW76)</f>
        <v>1471482.2005717673</v>
      </c>
      <c r="BD49" s="56">
        <f>+BC49*(1+Segments!BX76)</f>
        <v>1499434.3698079532</v>
      </c>
      <c r="BE49" s="56">
        <f>+BD49*(1+Segments!BY76)</f>
        <v>1527386.5390441392</v>
      </c>
      <c r="BF49" s="56">
        <f>+BE49*(1+Segments!BZ76)</f>
        <v>1555338.7082803249</v>
      </c>
      <c r="BG49" s="56">
        <f>+BF49*(1+Segments!CA76)</f>
        <v>1583290.8775165109</v>
      </c>
      <c r="BH49" s="56">
        <f>+BG49*(1+Segments!CB76)</f>
        <v>1611243.0467526969</v>
      </c>
      <c r="BI49" s="56">
        <f>+BH49*(1+Segments!CC76)</f>
        <v>1639195.2159888828</v>
      </c>
      <c r="BJ49" s="56">
        <f>+BI49*(1+Segments!CD76)</f>
        <v>1667147.3852250688</v>
      </c>
      <c r="BK49" s="56">
        <f>+BJ49*(1+Segments!CE76)</f>
        <v>1695099.5544612547</v>
      </c>
      <c r="BL49" s="56">
        <f>+BK49*(1+Segments!CF76)</f>
        <v>1723051.7236974405</v>
      </c>
      <c r="BM49" s="56">
        <f>+BL49*(1+Segments!CG76)</f>
        <v>1751003.8929336264</v>
      </c>
      <c r="BN49" s="56">
        <f>+BM49*(1+Segments!CH76)</f>
        <v>1778956.0621698122</v>
      </c>
      <c r="BO49" s="56">
        <f>+BN49*(1+Segments!CI76)</f>
        <v>1806908.2314059981</v>
      </c>
      <c r="BP49" s="56">
        <f>+BO49*(1+Segments!CJ76)</f>
        <v>1834860.4006421838</v>
      </c>
      <c r="BQ49" s="56">
        <f>+BP49*(1+Segments!CK76)</f>
        <v>1862812.5698783698</v>
      </c>
      <c r="BR49" s="56">
        <f>+BQ49*(1+Segments!CL76)</f>
        <v>1890764.739114556</v>
      </c>
      <c r="BS49" s="56">
        <f>+BR49*(1+Segments!CM76)</f>
        <v>1918716.908350742</v>
      </c>
      <c r="BT49" s="56">
        <f>+BS49*(1+Segments!CN76)</f>
        <v>1946669.0775869279</v>
      </c>
      <c r="BU49" s="56">
        <f>+BT49*(1+Segments!CO76)</f>
        <v>1974621.2468231141</v>
      </c>
      <c r="BV49" s="56">
        <f>+BU49*(1+Segments!CP76)</f>
        <v>2002573.4160592998</v>
      </c>
      <c r="BW49" s="56">
        <f>+BV49*(1+Segments!CQ76)</f>
        <v>2030525.5852954858</v>
      </c>
      <c r="BX49" s="56">
        <f>+BW49*(1+Segments!CR76)</f>
        <v>2058477.7545316718</v>
      </c>
      <c r="BY49" s="56">
        <f>+BX49*(1+Segments!CS76)</f>
        <v>2086429.9237678575</v>
      </c>
      <c r="BZ49" s="56">
        <f>+BY49*(1+Segments!CT76)</f>
        <v>2114382.0930040432</v>
      </c>
      <c r="CA49" s="56">
        <f>+BZ49*(1+Segments!CU76)</f>
        <v>2142334.2622402292</v>
      </c>
      <c r="CB49" s="56">
        <f>+CA49*(1+Segments!CV76)</f>
        <v>2170286.4314764151</v>
      </c>
      <c r="CC49" s="56">
        <f>+CB49*(1+Segments!CW76)</f>
        <v>2198238.6007126011</v>
      </c>
      <c r="CD49" s="56">
        <f>+CC49*(1+Segments!CX76)</f>
        <v>2226190.7699487866</v>
      </c>
      <c r="CE49" s="56">
        <f>+CD49*(1+Segments!CY76)</f>
        <v>2254142.9391849726</v>
      </c>
      <c r="CF49" s="56">
        <f>+CE49*(1+Segments!CZ76)</f>
        <v>2282095.1084211585</v>
      </c>
      <c r="CG49" s="56">
        <f>+CF49*(1+Segments!DA76)</f>
        <v>2310047.2776573445</v>
      </c>
      <c r="CH49" s="56">
        <f>+CG49*(1+Segments!DB76)</f>
        <v>2337999.4468935304</v>
      </c>
      <c r="CI49" s="56">
        <f>+CH49*(1+Segments!DC76)</f>
        <v>2365951.6161297164</v>
      </c>
    </row>
    <row r="50" spans="1:87" x14ac:dyDescent="0.25">
      <c r="A50" s="1" t="s">
        <v>713</v>
      </c>
      <c r="B50" s="1" t="s">
        <v>701</v>
      </c>
      <c r="C50" s="33">
        <v>23868</v>
      </c>
      <c r="D50" s="33">
        <v>25573</v>
      </c>
      <c r="E50" s="33">
        <v>28316</v>
      </c>
      <c r="F50" s="33">
        <v>31769</v>
      </c>
      <c r="G50" s="33">
        <v>35316</v>
      </c>
      <c r="H50" s="33">
        <v>39872</v>
      </c>
      <c r="I50" s="33">
        <v>44970</v>
      </c>
      <c r="J50" s="33">
        <v>48848</v>
      </c>
      <c r="K50" s="33">
        <v>54875</v>
      </c>
      <c r="L50" s="33">
        <v>64105.072804913849</v>
      </c>
      <c r="M50" s="56">
        <v>71994.544923156122</v>
      </c>
      <c r="N50" s="56">
        <v>79776.807489320709</v>
      </c>
      <c r="O50" s="56">
        <v>84862.885410099218</v>
      </c>
      <c r="P50" s="56">
        <v>89948.963330877697</v>
      </c>
      <c r="Q50" s="56">
        <v>95035.041251656192</v>
      </c>
      <c r="R50" s="56">
        <v>100121.11917243467</v>
      </c>
      <c r="S50" s="56">
        <v>105207.19709321317</v>
      </c>
      <c r="T50" s="56">
        <v>110293.27501399165</v>
      </c>
      <c r="U50" s="56">
        <v>115379.35293477016</v>
      </c>
      <c r="V50" s="56">
        <v>120465.43085554864</v>
      </c>
      <c r="W50" s="56">
        <v>125551.50877632713</v>
      </c>
      <c r="X50" s="56">
        <v>130637.58669710562</v>
      </c>
      <c r="Y50" s="56">
        <v>135723.66461788409</v>
      </c>
      <c r="Z50" s="56">
        <v>140809.74253866257</v>
      </c>
      <c r="AA50" s="56">
        <v>145895.82045944108</v>
      </c>
      <c r="AB50" s="56">
        <v>150981.89838021956</v>
      </c>
      <c r="AC50" s="56">
        <v>156067.97630099804</v>
      </c>
      <c r="AD50" s="56">
        <v>161154.05422177652</v>
      </c>
      <c r="AE50" s="56">
        <v>166240.132142555</v>
      </c>
      <c r="AF50" s="56">
        <v>171326.21006333351</v>
      </c>
      <c r="AG50" s="56">
        <v>176412.28798411199</v>
      </c>
      <c r="AH50" s="56">
        <v>181498.36590489047</v>
      </c>
      <c r="AI50" s="56">
        <v>186584.44382566895</v>
      </c>
      <c r="AJ50" s="56">
        <v>191670.5217464474</v>
      </c>
      <c r="AK50" s="56">
        <v>196756.59966722588</v>
      </c>
      <c r="AL50" s="56">
        <v>201842.67758800436</v>
      </c>
      <c r="AM50" s="56">
        <v>206928.7555087829</v>
      </c>
      <c r="AN50" s="56">
        <v>212014.8334295614</v>
      </c>
      <c r="AO50" s="56">
        <v>217100.91135033988</v>
      </c>
      <c r="AP50" s="56">
        <v>222186.98927111839</v>
      </c>
      <c r="AQ50" s="56">
        <v>227273.06719189687</v>
      </c>
      <c r="AR50" s="56">
        <v>232359.14511267535</v>
      </c>
      <c r="AS50" s="56">
        <v>237445.22303345383</v>
      </c>
      <c r="AT50" s="56">
        <v>242531.30095423228</v>
      </c>
      <c r="AU50" s="56">
        <v>247617.37887501076</v>
      </c>
      <c r="AV50" s="56">
        <v>252703.45679578924</v>
      </c>
      <c r="AW50" s="56">
        <v>257789.53471656775</v>
      </c>
      <c r="AX50" s="56">
        <v>262875.6126373462</v>
      </c>
      <c r="AY50" s="56">
        <v>267961.69055812468</v>
      </c>
      <c r="AZ50" s="56">
        <v>273047.76847890316</v>
      </c>
      <c r="BA50" s="56">
        <v>278133.84639968158</v>
      </c>
      <c r="BB50" s="56">
        <v>283219.92432046012</v>
      </c>
      <c r="BC50" s="56">
        <v>288306.00224123854</v>
      </c>
      <c r="BD50" s="56">
        <v>293392.08016201702</v>
      </c>
      <c r="BE50" s="56">
        <v>298478.1580827955</v>
      </c>
      <c r="BF50" s="56">
        <v>303564.23600357398</v>
      </c>
      <c r="BG50" s="56">
        <v>308650.31392435246</v>
      </c>
      <c r="BH50" s="56">
        <v>313736.39184513089</v>
      </c>
      <c r="BI50" s="56">
        <v>318822.46976590937</v>
      </c>
      <c r="BJ50" s="56">
        <v>323908.54768668785</v>
      </c>
      <c r="BK50" s="56">
        <v>328994.62560746633</v>
      </c>
      <c r="BL50" s="56">
        <v>334080.70352824475</v>
      </c>
      <c r="BM50" s="56">
        <v>339166.78144902328</v>
      </c>
      <c r="BN50" s="56">
        <v>344252.85936980182</v>
      </c>
      <c r="BO50" s="56">
        <v>349338.9372905803</v>
      </c>
      <c r="BP50" s="56">
        <v>354425.01521135878</v>
      </c>
      <c r="BQ50" s="56">
        <v>359511.0931321372</v>
      </c>
      <c r="BR50" s="56">
        <v>364597.17105291568</v>
      </c>
      <c r="BS50" s="56">
        <v>369683.24897369416</v>
      </c>
      <c r="BT50" s="56">
        <v>374769.32689447264</v>
      </c>
      <c r="BU50" s="56">
        <v>379855.40481525112</v>
      </c>
      <c r="BV50" s="56">
        <v>384941.4827360296</v>
      </c>
      <c r="BW50" s="56">
        <v>390027.56065680808</v>
      </c>
      <c r="BX50" s="56">
        <v>395113.63857758656</v>
      </c>
      <c r="BY50" s="56">
        <v>400199.71649836504</v>
      </c>
      <c r="BZ50" s="56">
        <v>405285.79441914352</v>
      </c>
      <c r="CA50" s="56">
        <v>410371.87233992195</v>
      </c>
      <c r="CB50" s="56">
        <v>415457.95026070048</v>
      </c>
      <c r="CC50" s="56">
        <v>420544.02818147896</v>
      </c>
      <c r="CD50" s="56">
        <v>425630.10610225744</v>
      </c>
      <c r="CE50" s="56">
        <v>430716.18402303598</v>
      </c>
      <c r="CF50" s="56">
        <v>435802.26194381446</v>
      </c>
      <c r="CG50" s="56">
        <v>440888.33986459294</v>
      </c>
      <c r="CH50" s="56">
        <v>445974.41778537148</v>
      </c>
      <c r="CI50" s="56">
        <v>451060.49570614996</v>
      </c>
    </row>
    <row r="51" spans="1:87" x14ac:dyDescent="0.25">
      <c r="A51" s="1" t="s">
        <v>702</v>
      </c>
      <c r="B51" s="1" t="s">
        <v>702</v>
      </c>
      <c r="C51" s="33">
        <v>17548</v>
      </c>
      <c r="D51" s="33">
        <v>18593</v>
      </c>
      <c r="E51" s="33">
        <v>19518</v>
      </c>
      <c r="F51" s="33">
        <v>20395</v>
      </c>
      <c r="G51" s="33">
        <v>21510</v>
      </c>
      <c r="H51" s="33">
        <v>22488</v>
      </c>
      <c r="I51" s="33">
        <v>24732</v>
      </c>
      <c r="J51" s="33">
        <v>21507</v>
      </c>
      <c r="K51" s="33">
        <v>23244</v>
      </c>
      <c r="L51" s="33">
        <v>27153.682228290068</v>
      </c>
      <c r="M51" s="56">
        <v>28073.758653867066</v>
      </c>
      <c r="N51" s="56">
        <v>28993.835079444063</v>
      </c>
      <c r="O51" s="56">
        <v>29913.911505021064</v>
      </c>
      <c r="P51" s="56">
        <v>30833.987930598065</v>
      </c>
      <c r="Q51" s="56">
        <v>31754.064356175062</v>
      </c>
      <c r="R51" s="56">
        <v>32674.140781752063</v>
      </c>
      <c r="S51" s="56">
        <v>33594.217207329064</v>
      </c>
      <c r="T51" s="56">
        <v>34514.293632906061</v>
      </c>
      <c r="U51" s="56">
        <v>35434.370058483059</v>
      </c>
      <c r="V51" s="56">
        <v>36354.446484060063</v>
      </c>
      <c r="W51" s="56">
        <v>37274.522909637068</v>
      </c>
      <c r="X51" s="56">
        <v>38194.599335214072</v>
      </c>
      <c r="Y51" s="56">
        <v>39114.675760791077</v>
      </c>
      <c r="Z51" s="56">
        <v>40034.752186368074</v>
      </c>
      <c r="AA51" s="56">
        <v>40954.828611945079</v>
      </c>
      <c r="AB51" s="56">
        <v>41874.905037522083</v>
      </c>
      <c r="AC51" s="56">
        <v>42794.98146309908</v>
      </c>
      <c r="AD51" s="56">
        <v>43715.057888676092</v>
      </c>
      <c r="AE51" s="56">
        <v>44635.134314253082</v>
      </c>
      <c r="AF51" s="56">
        <v>45555.210739830087</v>
      </c>
      <c r="AG51" s="56">
        <v>46475.287165407077</v>
      </c>
      <c r="AH51" s="56">
        <v>47395.363590984081</v>
      </c>
      <c r="AI51" s="56">
        <v>48315.440016561071</v>
      </c>
      <c r="AJ51" s="56">
        <v>49235.516442138083</v>
      </c>
      <c r="AK51" s="56">
        <v>50155.592867715073</v>
      </c>
      <c r="AL51" s="56">
        <v>51075.669293292078</v>
      </c>
      <c r="AM51" s="56">
        <v>51995.745718869075</v>
      </c>
      <c r="AN51" s="56">
        <v>52915.82214444608</v>
      </c>
      <c r="AO51" s="56">
        <v>53835.898570023084</v>
      </c>
      <c r="AP51" s="56">
        <v>54755.974995600089</v>
      </c>
      <c r="AQ51" s="56">
        <v>55676.051421177093</v>
      </c>
      <c r="AR51" s="56">
        <v>56596.127846754098</v>
      </c>
      <c r="AS51" s="56">
        <v>57516.204272331102</v>
      </c>
      <c r="AT51" s="56">
        <v>58436.280697908107</v>
      </c>
      <c r="AU51" s="56">
        <v>59356.357123485112</v>
      </c>
      <c r="AV51" s="56">
        <v>60276.433549062109</v>
      </c>
      <c r="AW51" s="56">
        <v>61196.509974639106</v>
      </c>
      <c r="AX51" s="56">
        <v>62116.586400216103</v>
      </c>
      <c r="AY51" s="56">
        <v>63036.662825793101</v>
      </c>
      <c r="AZ51" s="56">
        <v>63956.739251370098</v>
      </c>
      <c r="BA51" s="56">
        <v>64876.815676947095</v>
      </c>
      <c r="BB51" s="56">
        <v>65796.8921025241</v>
      </c>
      <c r="BC51" s="56">
        <v>66716.968528101104</v>
      </c>
      <c r="BD51" s="56">
        <v>67637.044953678109</v>
      </c>
      <c r="BE51" s="56">
        <v>68557.121379255099</v>
      </c>
      <c r="BF51" s="56">
        <v>69477.197804832103</v>
      </c>
      <c r="BG51" s="56">
        <v>70397.274230409108</v>
      </c>
      <c r="BH51" s="56">
        <v>71317.350655986098</v>
      </c>
      <c r="BI51" s="56">
        <v>72237.427081563103</v>
      </c>
      <c r="BJ51" s="56">
        <v>73157.503507140107</v>
      </c>
      <c r="BK51" s="56">
        <v>74077.579932717097</v>
      </c>
      <c r="BL51" s="56">
        <v>74997.656358294087</v>
      </c>
      <c r="BM51" s="56">
        <v>75917.732783871092</v>
      </c>
      <c r="BN51" s="56">
        <v>76837.809209448096</v>
      </c>
      <c r="BO51" s="56">
        <v>77757.885635025086</v>
      </c>
      <c r="BP51" s="56">
        <v>78677.962060602076</v>
      </c>
      <c r="BQ51" s="56">
        <v>79598.038486179095</v>
      </c>
      <c r="BR51" s="56">
        <v>80518.1149117561</v>
      </c>
      <c r="BS51" s="56">
        <v>81438.19133733309</v>
      </c>
      <c r="BT51" s="56">
        <v>82358.26776291008</v>
      </c>
      <c r="BU51" s="56">
        <v>83278.344188487084</v>
      </c>
      <c r="BV51" s="56">
        <v>84198.420614064089</v>
      </c>
      <c r="BW51" s="56">
        <v>85118.497039641079</v>
      </c>
      <c r="BX51" s="56">
        <v>86038.573465218069</v>
      </c>
      <c r="BY51" s="56">
        <v>86958.649890795088</v>
      </c>
      <c r="BZ51" s="56">
        <v>87878.726316372107</v>
      </c>
      <c r="CA51" s="56">
        <v>88798.802741949097</v>
      </c>
      <c r="CB51" s="56">
        <v>89718.879167526102</v>
      </c>
      <c r="CC51" s="56">
        <v>90638.955593103092</v>
      </c>
      <c r="CD51" s="56">
        <v>91559.032018680096</v>
      </c>
      <c r="CE51" s="56">
        <v>92479.108444257086</v>
      </c>
      <c r="CF51" s="56">
        <v>93399.184869834091</v>
      </c>
      <c r="CG51" s="56">
        <v>94319.261295411081</v>
      </c>
      <c r="CH51" s="56">
        <v>95239.3377209881</v>
      </c>
      <c r="CI51" s="56">
        <v>96159.41414656509</v>
      </c>
    </row>
    <row r="52" spans="1:87" x14ac:dyDescent="0.25">
      <c r="A52" s="1" t="s">
        <v>520</v>
      </c>
      <c r="B52" s="1" t="s">
        <v>520</v>
      </c>
      <c r="C52" s="33">
        <v>9202</v>
      </c>
      <c r="D52" s="33">
        <v>9051</v>
      </c>
      <c r="E52" s="33">
        <v>10353</v>
      </c>
      <c r="F52" s="33">
        <v>11386</v>
      </c>
      <c r="G52" s="33">
        <v>11575</v>
      </c>
      <c r="H52" s="33">
        <v>15370</v>
      </c>
      <c r="I52" s="33">
        <v>16230</v>
      </c>
      <c r="J52" s="33">
        <v>15466</v>
      </c>
      <c r="K52" s="33">
        <v>21503</v>
      </c>
      <c r="L52" s="33">
        <v>23455</v>
      </c>
      <c r="M52" s="56">
        <v>26347.829298422432</v>
      </c>
      <c r="N52" s="56">
        <v>28148.036368174315</v>
      </c>
      <c r="O52" s="56">
        <v>29948.243437926198</v>
      </c>
      <c r="P52" s="56">
        <v>31748.450507678081</v>
      </c>
      <c r="Q52" s="56">
        <v>33548.657577429971</v>
      </c>
      <c r="R52" s="56">
        <v>35348.864647181857</v>
      </c>
      <c r="S52" s="56">
        <v>37149.071716933744</v>
      </c>
      <c r="T52" s="56">
        <v>38949.278786685631</v>
      </c>
      <c r="U52" s="56">
        <v>40749.485856437517</v>
      </c>
      <c r="V52" s="56">
        <v>42549.692926189397</v>
      </c>
      <c r="W52" s="56">
        <v>44349.899995941283</v>
      </c>
      <c r="X52" s="56">
        <v>46150.10706569317</v>
      </c>
      <c r="Y52" s="56">
        <v>47950.314135445049</v>
      </c>
      <c r="Z52" s="56">
        <v>49750.521205196943</v>
      </c>
      <c r="AA52" s="56">
        <v>51550.728274948829</v>
      </c>
      <c r="AB52" s="56">
        <v>53350.935344700723</v>
      </c>
      <c r="AC52" s="56">
        <v>55151.142414452603</v>
      </c>
      <c r="AD52" s="56">
        <v>56951.349484204489</v>
      </c>
      <c r="AE52" s="56">
        <v>58751.556553956376</v>
      </c>
      <c r="AF52" s="56">
        <v>60551.763623708262</v>
      </c>
      <c r="AG52" s="56">
        <v>62351.970693460149</v>
      </c>
      <c r="AH52" s="56">
        <v>64152.177763212036</v>
      </c>
      <c r="AI52" s="56">
        <v>65952.384832963915</v>
      </c>
      <c r="AJ52" s="56">
        <v>67752.591902715809</v>
      </c>
      <c r="AK52" s="56">
        <v>69552.798972467703</v>
      </c>
      <c r="AL52" s="56">
        <v>71353.006042219597</v>
      </c>
      <c r="AM52" s="56">
        <v>73153.213111971476</v>
      </c>
      <c r="AN52" s="56">
        <v>74953.420181723355</v>
      </c>
      <c r="AO52" s="56">
        <v>76753.627251475249</v>
      </c>
      <c r="AP52" s="56">
        <v>78553.834321227143</v>
      </c>
      <c r="AQ52" s="56">
        <v>80354.041390979037</v>
      </c>
      <c r="AR52" s="56">
        <v>82154.248460730916</v>
      </c>
      <c r="AS52" s="56">
        <v>83954.455530482795</v>
      </c>
      <c r="AT52" s="56">
        <v>85754.662600234675</v>
      </c>
      <c r="AU52" s="56">
        <v>87554.869669986554</v>
      </c>
      <c r="AV52" s="56">
        <v>89355.076739738433</v>
      </c>
      <c r="AW52" s="56">
        <v>91155.283809490327</v>
      </c>
      <c r="AX52" s="56">
        <v>92955.490879242207</v>
      </c>
      <c r="AY52" s="56">
        <v>94755.697948994086</v>
      </c>
      <c r="AZ52" s="56">
        <v>96555.90501874598</v>
      </c>
      <c r="BA52" s="56">
        <v>98356.112088497874</v>
      </c>
      <c r="BB52" s="56">
        <v>100156.31915824977</v>
      </c>
      <c r="BC52" s="56">
        <v>101956.52622800165</v>
      </c>
      <c r="BD52" s="56">
        <v>103756.73329775353</v>
      </c>
      <c r="BE52" s="56">
        <v>105556.94036750541</v>
      </c>
      <c r="BF52" s="56">
        <v>107357.1474372573</v>
      </c>
      <c r="BG52" s="56">
        <v>109157.35450700921</v>
      </c>
      <c r="BH52" s="56">
        <v>110957.56157676109</v>
      </c>
      <c r="BI52" s="56">
        <v>112757.76864651297</v>
      </c>
      <c r="BJ52" s="56">
        <v>114557.97571626483</v>
      </c>
      <c r="BK52" s="56">
        <v>116358.18278601671</v>
      </c>
      <c r="BL52" s="56">
        <v>118158.38985576862</v>
      </c>
      <c r="BM52" s="56">
        <v>119958.5969255205</v>
      </c>
      <c r="BN52" s="56">
        <v>121758.80399527239</v>
      </c>
      <c r="BO52" s="56">
        <v>123559.01106502429</v>
      </c>
      <c r="BP52" s="56">
        <v>125359.21813477617</v>
      </c>
      <c r="BQ52" s="56">
        <v>127159.42520452807</v>
      </c>
      <c r="BR52" s="56">
        <v>128959.63227427995</v>
      </c>
      <c r="BS52" s="56">
        <v>130759.83934403183</v>
      </c>
      <c r="BT52" s="56">
        <v>132560.04641378374</v>
      </c>
      <c r="BU52" s="56">
        <v>134360.25348353563</v>
      </c>
      <c r="BV52" s="56">
        <v>136160.46055328756</v>
      </c>
      <c r="BW52" s="56">
        <v>137960.66762303945</v>
      </c>
      <c r="BX52" s="56">
        <v>139760.87469279132</v>
      </c>
      <c r="BY52" s="56">
        <v>141561.08176254321</v>
      </c>
      <c r="BZ52" s="56">
        <v>143361.2888322951</v>
      </c>
      <c r="CA52" s="56">
        <v>145161.495902047</v>
      </c>
      <c r="CB52" s="56">
        <v>146961.70297179889</v>
      </c>
      <c r="CC52" s="56">
        <v>148761.91004155076</v>
      </c>
      <c r="CD52" s="56">
        <v>150562.11711130265</v>
      </c>
      <c r="CE52" s="56">
        <v>152362.32418105452</v>
      </c>
      <c r="CF52" s="56">
        <v>154162.53125080644</v>
      </c>
      <c r="CG52" s="56">
        <v>155962.73832055833</v>
      </c>
      <c r="CH52" s="56">
        <v>157762.94539031025</v>
      </c>
      <c r="CI52" s="56">
        <v>159563.15246006209</v>
      </c>
    </row>
    <row r="53" spans="1:87" x14ac:dyDescent="0.25">
      <c r="A53" s="1" t="s">
        <v>714</v>
      </c>
      <c r="B53" s="1" t="s">
        <v>703</v>
      </c>
      <c r="C53" s="33">
        <v>5428</v>
      </c>
      <c r="D53" s="33">
        <v>6219</v>
      </c>
      <c r="E53" s="33">
        <v>7012</v>
      </c>
      <c r="F53" s="33">
        <v>7628</v>
      </c>
      <c r="G53" s="33">
        <v>8524</v>
      </c>
      <c r="H53" s="33">
        <v>9267</v>
      </c>
      <c r="I53" s="33">
        <v>11526</v>
      </c>
      <c r="J53" s="33">
        <v>12125</v>
      </c>
      <c r="K53" s="33">
        <v>12306</v>
      </c>
      <c r="L53" s="33">
        <v>13878</v>
      </c>
      <c r="M53" s="56">
        <v>14842.3371131229</v>
      </c>
      <c r="N53" s="56">
        <v>15806.674226245801</v>
      </c>
      <c r="O53" s="56">
        <v>16771.011339368702</v>
      </c>
      <c r="P53" s="56">
        <v>17735.348452491606</v>
      </c>
      <c r="Q53" s="56">
        <v>18699.685565614505</v>
      </c>
      <c r="R53" s="56">
        <v>19664.022678737405</v>
      </c>
      <c r="S53" s="56">
        <v>20628.359791860301</v>
      </c>
      <c r="T53" s="56">
        <v>21592.696904983197</v>
      </c>
      <c r="U53" s="56">
        <v>22557.0340181061</v>
      </c>
      <c r="V53" s="56">
        <v>23521.371131229</v>
      </c>
      <c r="W53" s="56">
        <v>24485.708244351899</v>
      </c>
      <c r="X53" s="56">
        <v>25450.045357474803</v>
      </c>
      <c r="Y53" s="56">
        <v>26414.382470597706</v>
      </c>
      <c r="Z53" s="56">
        <v>27378.719583720602</v>
      </c>
      <c r="AA53" s="56">
        <v>28343.056696843501</v>
      </c>
      <c r="AB53" s="56">
        <v>29307.393809966405</v>
      </c>
      <c r="AC53" s="56">
        <v>30271.730923089312</v>
      </c>
      <c r="AD53" s="56">
        <v>31236.068036212211</v>
      </c>
      <c r="AE53" s="56">
        <v>32200.405149335107</v>
      </c>
      <c r="AF53" s="56">
        <v>33164.742262458014</v>
      </c>
      <c r="AG53" s="56">
        <v>34129.079375580914</v>
      </c>
      <c r="AH53" s="56">
        <v>35093.416488703813</v>
      </c>
      <c r="AI53" s="56">
        <v>36057.753601826713</v>
      </c>
      <c r="AJ53" s="56">
        <v>37022.090714949612</v>
      </c>
      <c r="AK53" s="56">
        <v>37986.427828072512</v>
      </c>
      <c r="AL53" s="56">
        <v>38950.764941195412</v>
      </c>
      <c r="AM53" s="56">
        <v>39915.102054318319</v>
      </c>
      <c r="AN53" s="56">
        <v>40879.439167441218</v>
      </c>
      <c r="AO53" s="56">
        <v>41843.776280564125</v>
      </c>
      <c r="AP53" s="56">
        <v>42808.113393687025</v>
      </c>
      <c r="AQ53" s="56">
        <v>43772.450506809924</v>
      </c>
      <c r="AR53" s="56">
        <v>44736.787619932824</v>
      </c>
      <c r="AS53" s="56">
        <v>45701.124733055723</v>
      </c>
      <c r="AT53" s="56">
        <v>46665.461846178623</v>
      </c>
      <c r="AU53" s="56">
        <v>47629.79895930153</v>
      </c>
      <c r="AV53" s="56">
        <v>48594.136072424437</v>
      </c>
      <c r="AW53" s="56">
        <v>49558.473185547329</v>
      </c>
      <c r="AX53" s="56">
        <v>50522.810298670229</v>
      </c>
      <c r="AY53" s="56">
        <v>51487.147411793128</v>
      </c>
      <c r="AZ53" s="56">
        <v>52451.484524916028</v>
      </c>
      <c r="BA53" s="56">
        <v>53415.821638038928</v>
      </c>
      <c r="BB53" s="56">
        <v>54380.158751161827</v>
      </c>
      <c r="BC53" s="56">
        <v>55344.495864284734</v>
      </c>
      <c r="BD53" s="56">
        <v>56308.832977407641</v>
      </c>
      <c r="BE53" s="56">
        <v>57273.170090530541</v>
      </c>
      <c r="BF53" s="56">
        <v>58237.50720365344</v>
      </c>
      <c r="BG53" s="56">
        <v>59201.844316776333</v>
      </c>
      <c r="BH53" s="56">
        <v>60166.181429899232</v>
      </c>
      <c r="BI53" s="56">
        <v>61130.518543022125</v>
      </c>
      <c r="BJ53" s="56">
        <v>62094.855656145039</v>
      </c>
      <c r="BK53" s="56">
        <v>63059.192769267938</v>
      </c>
      <c r="BL53" s="56">
        <v>64023.529882390838</v>
      </c>
      <c r="BM53" s="56">
        <v>64987.86699551373</v>
      </c>
      <c r="BN53" s="56">
        <v>65952.204108636637</v>
      </c>
      <c r="BO53" s="56">
        <v>66916.541221759529</v>
      </c>
      <c r="BP53" s="56">
        <v>67880.878334882436</v>
      </c>
      <c r="BQ53" s="56">
        <v>68845.215448005329</v>
      </c>
      <c r="BR53" s="56">
        <v>69809.552561128236</v>
      </c>
      <c r="BS53" s="56">
        <v>70773.889674251142</v>
      </c>
      <c r="BT53" s="56">
        <v>71738.226787374035</v>
      </c>
      <c r="BU53" s="56">
        <v>72702.563900496942</v>
      </c>
      <c r="BV53" s="56">
        <v>73666.901013619834</v>
      </c>
      <c r="BW53" s="56">
        <v>74631.238126742741</v>
      </c>
      <c r="BX53" s="56">
        <v>75595.575239865648</v>
      </c>
      <c r="BY53" s="56">
        <v>76559.91235298854</v>
      </c>
      <c r="BZ53" s="56">
        <v>77524.249466111447</v>
      </c>
      <c r="CA53" s="56">
        <v>78488.586579234339</v>
      </c>
      <c r="CB53" s="56">
        <v>79452.923692357246</v>
      </c>
      <c r="CC53" s="56">
        <v>80417.260805480139</v>
      </c>
      <c r="CD53" s="56">
        <v>81381.597918603045</v>
      </c>
      <c r="CE53" s="56">
        <v>82345.935031725967</v>
      </c>
      <c r="CF53" s="56">
        <v>83310.272144848859</v>
      </c>
      <c r="CG53" s="56">
        <v>84274.609257971781</v>
      </c>
      <c r="CH53" s="56">
        <v>85238.946371094673</v>
      </c>
      <c r="CI53" s="56">
        <v>86203.283484217565</v>
      </c>
    </row>
    <row r="54" spans="1:87" x14ac:dyDescent="0.25">
      <c r="A54" s="1" t="s">
        <v>715</v>
      </c>
      <c r="B54" s="1" t="s">
        <v>704</v>
      </c>
      <c r="C54" s="33">
        <v>5659</v>
      </c>
      <c r="D54" s="33">
        <v>5542</v>
      </c>
      <c r="E54" s="33">
        <v>5846</v>
      </c>
      <c r="F54" s="33">
        <v>6124</v>
      </c>
      <c r="G54" s="33">
        <v>6409</v>
      </c>
      <c r="H54" s="33">
        <v>6943</v>
      </c>
      <c r="I54" s="33">
        <v>7605</v>
      </c>
      <c r="J54" s="33">
        <v>7900</v>
      </c>
      <c r="K54" s="33">
        <v>7594</v>
      </c>
      <c r="L54" s="33">
        <v>7885</v>
      </c>
      <c r="M54" s="56">
        <v>8177.7238269152467</v>
      </c>
      <c r="N54" s="56">
        <v>8470.4476538304934</v>
      </c>
      <c r="O54" s="56">
        <v>8763.1714807457411</v>
      </c>
      <c r="P54" s="56">
        <v>9055.8953076609869</v>
      </c>
      <c r="Q54" s="56">
        <v>9348.6191345762327</v>
      </c>
      <c r="R54" s="56">
        <v>9641.3429614914803</v>
      </c>
      <c r="S54" s="56">
        <v>9934.0667884067298</v>
      </c>
      <c r="T54" s="56">
        <v>10226.790615321976</v>
      </c>
      <c r="U54" s="56">
        <v>10519.514442237221</v>
      </c>
      <c r="V54" s="56">
        <v>10812.238269152469</v>
      </c>
      <c r="W54" s="56">
        <v>11104.962096067717</v>
      </c>
      <c r="X54" s="56">
        <v>11397.685922982961</v>
      </c>
      <c r="Y54" s="56">
        <v>11690.40974989821</v>
      </c>
      <c r="Z54" s="56">
        <v>11983.133576813458</v>
      </c>
      <c r="AA54" s="56">
        <v>12275.857403728705</v>
      </c>
      <c r="AB54" s="56">
        <v>12568.581230643951</v>
      </c>
      <c r="AC54" s="56">
        <v>12861.305057559199</v>
      </c>
      <c r="AD54" s="56">
        <v>13154.028884474446</v>
      </c>
      <c r="AE54" s="56">
        <v>13446.752711389692</v>
      </c>
      <c r="AF54" s="56">
        <v>13739.47653830494</v>
      </c>
      <c r="AG54" s="56">
        <v>14032.200365220187</v>
      </c>
      <c r="AH54" s="56">
        <v>14324.924192135435</v>
      </c>
      <c r="AI54" s="56">
        <v>14617.648019050679</v>
      </c>
      <c r="AJ54" s="56">
        <v>14910.371845965929</v>
      </c>
      <c r="AK54" s="56">
        <v>15203.095672881176</v>
      </c>
      <c r="AL54" s="56">
        <v>15495.819499796424</v>
      </c>
      <c r="AM54" s="56">
        <v>15788.543326711668</v>
      </c>
      <c r="AN54" s="56">
        <v>16081.267153626917</v>
      </c>
      <c r="AO54" s="56">
        <v>16373.990980542165</v>
      </c>
      <c r="AP54" s="56">
        <v>16666.714807457411</v>
      </c>
      <c r="AQ54" s="56">
        <v>16959.438634372658</v>
      </c>
      <c r="AR54" s="56">
        <v>17252.162461287906</v>
      </c>
      <c r="AS54" s="56">
        <v>17544.886288203154</v>
      </c>
      <c r="AT54" s="56">
        <v>17837.610115118401</v>
      </c>
      <c r="AU54" s="56">
        <v>18130.333942033649</v>
      </c>
      <c r="AV54" s="56">
        <v>18423.057768948893</v>
      </c>
      <c r="AW54" s="56">
        <v>18715.781595864144</v>
      </c>
      <c r="AX54" s="56">
        <v>19008.505422779388</v>
      </c>
      <c r="AY54" s="56">
        <v>19301.229249694632</v>
      </c>
      <c r="AZ54" s="56">
        <v>19593.953076609883</v>
      </c>
      <c r="BA54" s="56">
        <v>19886.676903525127</v>
      </c>
      <c r="BB54" s="56">
        <v>20179.400730440375</v>
      </c>
      <c r="BC54" s="56">
        <v>20472.124557355623</v>
      </c>
      <c r="BD54" s="56">
        <v>20764.84838427087</v>
      </c>
      <c r="BE54" s="56">
        <v>21057.572211186121</v>
      </c>
      <c r="BF54" s="56">
        <v>21350.296038101365</v>
      </c>
      <c r="BG54" s="56">
        <v>21643.019865016609</v>
      </c>
      <c r="BH54" s="56">
        <v>21935.743691931861</v>
      </c>
      <c r="BI54" s="56">
        <v>22228.467518847105</v>
      </c>
      <c r="BJ54" s="56">
        <v>22521.191345762349</v>
      </c>
      <c r="BK54" s="56">
        <v>22813.9151726776</v>
      </c>
      <c r="BL54" s="56">
        <v>23106.638999592844</v>
      </c>
      <c r="BM54" s="56">
        <v>23399.362826508092</v>
      </c>
      <c r="BN54" s="56">
        <v>23692.086653423343</v>
      </c>
      <c r="BO54" s="56">
        <v>23984.81048033859</v>
      </c>
      <c r="BP54" s="56">
        <v>24277.534307253834</v>
      </c>
      <c r="BQ54" s="56">
        <v>24570.258134169086</v>
      </c>
      <c r="BR54" s="56">
        <v>24862.981961084333</v>
      </c>
      <c r="BS54" s="56">
        <v>25155.705787999585</v>
      </c>
      <c r="BT54" s="56">
        <v>25448.429614914832</v>
      </c>
      <c r="BU54" s="56">
        <v>25741.15344183008</v>
      </c>
      <c r="BV54" s="56">
        <v>26033.877268745331</v>
      </c>
      <c r="BW54" s="56">
        <v>26326.601095660575</v>
      </c>
      <c r="BX54" s="56">
        <v>26619.324922575819</v>
      </c>
      <c r="BY54" s="56">
        <v>26912.04874949107</v>
      </c>
      <c r="BZ54" s="56">
        <v>27204.772576406314</v>
      </c>
      <c r="CA54" s="56">
        <v>27497.496403321562</v>
      </c>
      <c r="CB54" s="56">
        <v>27790.220230236813</v>
      </c>
      <c r="CC54" s="56">
        <v>28082.944057152057</v>
      </c>
      <c r="CD54" s="56">
        <v>28375.667884067308</v>
      </c>
      <c r="CE54" s="56">
        <v>28668.391710982552</v>
      </c>
      <c r="CF54" s="56">
        <v>28961.115537897796</v>
      </c>
      <c r="CG54" s="56">
        <v>29253.839364813048</v>
      </c>
      <c r="CH54" s="56">
        <v>29546.563191728292</v>
      </c>
      <c r="CI54" s="56">
        <v>29839.287018643536</v>
      </c>
    </row>
    <row r="55" spans="1:87" x14ac:dyDescent="0.25">
      <c r="A55" s="1" t="s">
        <v>705</v>
      </c>
      <c r="B55" s="1" t="s">
        <v>705</v>
      </c>
      <c r="C55" s="33">
        <v>7888</v>
      </c>
      <c r="D55" s="33">
        <v>5062</v>
      </c>
      <c r="E55" s="33">
        <v>5134</v>
      </c>
      <c r="F55" s="33">
        <v>6095</v>
      </c>
      <c r="G55" s="33">
        <v>6457</v>
      </c>
      <c r="H55" s="33">
        <v>7143</v>
      </c>
      <c r="I55" s="33">
        <v>7306</v>
      </c>
      <c r="J55" s="33">
        <v>5521</v>
      </c>
      <c r="K55" s="33">
        <v>4706</v>
      </c>
      <c r="L55" s="33">
        <v>5497.557587606826</v>
      </c>
      <c r="M55" s="56">
        <v>5573.8916635496562</v>
      </c>
      <c r="N55" s="56">
        <v>5650.2257394924864</v>
      </c>
      <c r="O55" s="56">
        <v>5726.5598154353165</v>
      </c>
      <c r="P55" s="56">
        <v>5802.8938913781476</v>
      </c>
      <c r="Q55" s="56">
        <v>5879.2279673209787</v>
      </c>
      <c r="R55" s="56">
        <v>5955.5620432638088</v>
      </c>
      <c r="S55" s="56">
        <v>6031.8961192066399</v>
      </c>
      <c r="T55" s="56">
        <v>6108.230195149471</v>
      </c>
      <c r="U55" s="56">
        <v>6184.5642710923012</v>
      </c>
      <c r="V55" s="56">
        <v>6260.8983470351322</v>
      </c>
      <c r="W55" s="56">
        <v>6337.2324229779624</v>
      </c>
      <c r="X55" s="56">
        <v>6413.5664989207935</v>
      </c>
      <c r="Y55" s="56">
        <v>6489.9005748636246</v>
      </c>
      <c r="Z55" s="56">
        <v>6566.2346508064556</v>
      </c>
      <c r="AA55" s="56">
        <v>6642.5687267492867</v>
      </c>
      <c r="AB55" s="56">
        <v>6718.9028026921169</v>
      </c>
      <c r="AC55" s="56">
        <v>6795.236878634948</v>
      </c>
      <c r="AD55" s="56">
        <v>6871.5709545777772</v>
      </c>
      <c r="AE55" s="56">
        <v>6947.9050305206083</v>
      </c>
      <c r="AF55" s="56">
        <v>7024.2391064634394</v>
      </c>
      <c r="AG55" s="56">
        <v>7100.5731824062705</v>
      </c>
      <c r="AH55" s="56">
        <v>7176.9072583491015</v>
      </c>
      <c r="AI55" s="56">
        <v>7253.2413342919326</v>
      </c>
      <c r="AJ55" s="56">
        <v>7329.5754102347646</v>
      </c>
      <c r="AK55" s="56">
        <v>7405.9094861775957</v>
      </c>
      <c r="AL55" s="56">
        <v>7482.2435621204268</v>
      </c>
      <c r="AM55" s="56">
        <v>7558.577638063256</v>
      </c>
      <c r="AN55" s="56">
        <v>7634.9117140060862</v>
      </c>
      <c r="AO55" s="56">
        <v>7711.2457899489182</v>
      </c>
      <c r="AP55" s="56">
        <v>7787.5798658917502</v>
      </c>
      <c r="AQ55" s="56">
        <v>7863.9139418345803</v>
      </c>
      <c r="AR55" s="56">
        <v>7940.2480177774114</v>
      </c>
      <c r="AS55" s="56">
        <v>8016.5820937202425</v>
      </c>
      <c r="AT55" s="56">
        <v>8092.9161696630727</v>
      </c>
      <c r="AU55" s="56">
        <v>8169.2502456059028</v>
      </c>
      <c r="AV55" s="56">
        <v>8245.584321548733</v>
      </c>
      <c r="AW55" s="56">
        <v>8321.918397491565</v>
      </c>
      <c r="AX55" s="56">
        <v>8398.252473434397</v>
      </c>
      <c r="AY55" s="56">
        <v>8474.5865493772271</v>
      </c>
      <c r="AZ55" s="56">
        <v>8550.9206253200573</v>
      </c>
      <c r="BA55" s="56">
        <v>8627.2547012628875</v>
      </c>
      <c r="BB55" s="56">
        <v>8703.5887772057195</v>
      </c>
      <c r="BC55" s="56">
        <v>8779.9228531485496</v>
      </c>
      <c r="BD55" s="56">
        <v>8856.2569290913798</v>
      </c>
      <c r="BE55" s="56">
        <v>8932.5910050342081</v>
      </c>
      <c r="BF55" s="56">
        <v>9008.9250809770401</v>
      </c>
      <c r="BG55" s="56">
        <v>9085.2591569198721</v>
      </c>
      <c r="BH55" s="56">
        <v>9161.5932328627041</v>
      </c>
      <c r="BI55" s="56">
        <v>9237.9273088055343</v>
      </c>
      <c r="BJ55" s="56">
        <v>9314.2613847483644</v>
      </c>
      <c r="BK55" s="56">
        <v>9390.5954606911946</v>
      </c>
      <c r="BL55" s="56">
        <v>9466.9295366340266</v>
      </c>
      <c r="BM55" s="56">
        <v>9543.2636125768586</v>
      </c>
      <c r="BN55" s="56">
        <v>9619.5976885196906</v>
      </c>
      <c r="BO55" s="56">
        <v>9695.9317644625207</v>
      </c>
      <c r="BP55" s="56">
        <v>9772.2658404053509</v>
      </c>
      <c r="BQ55" s="56">
        <v>9848.5999163481811</v>
      </c>
      <c r="BR55" s="56">
        <v>9924.9339922910112</v>
      </c>
      <c r="BS55" s="56">
        <v>10001.268068233841</v>
      </c>
      <c r="BT55" s="56">
        <v>10077.602144176672</v>
      </c>
      <c r="BU55" s="56">
        <v>10153.936220119502</v>
      </c>
      <c r="BV55" s="56">
        <v>10230.270296062332</v>
      </c>
      <c r="BW55" s="56">
        <v>10306.604372005162</v>
      </c>
      <c r="BX55" s="56">
        <v>10382.938447947992</v>
      </c>
      <c r="BY55" s="56">
        <v>10459.272523890824</v>
      </c>
      <c r="BZ55" s="56">
        <v>10535.606599833654</v>
      </c>
      <c r="CA55" s="56">
        <v>10611.940675776486</v>
      </c>
      <c r="CB55" s="56">
        <v>10688.274751719318</v>
      </c>
      <c r="CC55" s="56">
        <v>10764.60882766215</v>
      </c>
      <c r="CD55" s="56">
        <v>10840.942903604982</v>
      </c>
      <c r="CE55" s="56">
        <v>10917.276979547813</v>
      </c>
      <c r="CF55" s="56">
        <v>10993.611055490645</v>
      </c>
      <c r="CG55" s="56">
        <v>11069.945131433476</v>
      </c>
      <c r="CH55" s="56">
        <v>11146.279207376305</v>
      </c>
      <c r="CI55" s="56">
        <v>11222.613283319137</v>
      </c>
    </row>
    <row r="56" spans="1:87" x14ac:dyDescent="0.25">
      <c r="A56" s="1"/>
      <c r="B56" s="1" t="s">
        <v>706</v>
      </c>
      <c r="C56" s="33">
        <v>2499</v>
      </c>
      <c r="D56" s="33">
        <v>2611</v>
      </c>
      <c r="E56" s="33">
        <v>2793</v>
      </c>
      <c r="F56" s="33">
        <v>3070</v>
      </c>
      <c r="G56" s="33">
        <v>3768</v>
      </c>
      <c r="H56" s="33">
        <v>4479</v>
      </c>
      <c r="I56" s="33">
        <v>5291</v>
      </c>
      <c r="J56" s="33">
        <v>0</v>
      </c>
      <c r="K56" s="33">
        <v>0</v>
      </c>
      <c r="L56" s="33">
        <v>0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>
        <v>0</v>
      </c>
      <c r="U56" s="56">
        <v>0</v>
      </c>
      <c r="V56" s="56">
        <v>0</v>
      </c>
      <c r="W56" s="56">
        <v>0</v>
      </c>
      <c r="X56" s="56">
        <v>0</v>
      </c>
      <c r="Y56" s="56">
        <v>0</v>
      </c>
      <c r="Z56" s="56">
        <v>0</v>
      </c>
      <c r="AA56" s="56">
        <v>0</v>
      </c>
      <c r="AB56" s="56">
        <v>0</v>
      </c>
      <c r="AC56" s="56">
        <v>0</v>
      </c>
      <c r="AD56" s="56">
        <v>0</v>
      </c>
      <c r="AE56" s="56">
        <v>0</v>
      </c>
      <c r="AF56" s="56">
        <v>0</v>
      </c>
      <c r="AG56" s="56">
        <v>0</v>
      </c>
      <c r="AH56" s="56">
        <v>0</v>
      </c>
      <c r="AI56" s="56">
        <v>0</v>
      </c>
      <c r="AJ56" s="56">
        <v>0</v>
      </c>
      <c r="AK56" s="56">
        <v>0</v>
      </c>
      <c r="AL56" s="56">
        <v>0</v>
      </c>
      <c r="AM56" s="56">
        <v>0</v>
      </c>
      <c r="AN56" s="56">
        <v>0</v>
      </c>
      <c r="AO56" s="56">
        <v>0</v>
      </c>
      <c r="AP56" s="56">
        <v>0</v>
      </c>
      <c r="AQ56" s="56">
        <v>0</v>
      </c>
      <c r="AR56" s="56">
        <v>0</v>
      </c>
      <c r="AS56" s="56">
        <v>0</v>
      </c>
      <c r="AT56" s="56">
        <v>0</v>
      </c>
      <c r="AU56" s="56">
        <v>0</v>
      </c>
      <c r="AV56" s="56">
        <v>0</v>
      </c>
      <c r="AW56" s="56">
        <v>0</v>
      </c>
      <c r="AX56" s="56">
        <v>0</v>
      </c>
      <c r="AY56" s="56">
        <v>0</v>
      </c>
      <c r="AZ56" s="56">
        <v>0</v>
      </c>
      <c r="BA56" s="56">
        <v>0</v>
      </c>
      <c r="BB56" s="56">
        <v>0</v>
      </c>
      <c r="BC56" s="56">
        <v>0</v>
      </c>
      <c r="BD56" s="56">
        <v>0</v>
      </c>
      <c r="BE56" s="56">
        <v>0</v>
      </c>
      <c r="BF56" s="56">
        <v>0</v>
      </c>
      <c r="BG56" s="56">
        <v>0</v>
      </c>
      <c r="BH56" s="56">
        <v>0</v>
      </c>
      <c r="BI56" s="56">
        <v>0</v>
      </c>
      <c r="BJ56" s="56">
        <v>0</v>
      </c>
      <c r="BK56" s="56">
        <v>0</v>
      </c>
      <c r="BL56" s="56">
        <v>0</v>
      </c>
      <c r="BM56" s="56">
        <v>0</v>
      </c>
      <c r="BN56" s="56">
        <v>0</v>
      </c>
      <c r="BO56" s="56">
        <v>0</v>
      </c>
      <c r="BP56" s="56">
        <v>0</v>
      </c>
      <c r="BQ56" s="56">
        <v>0</v>
      </c>
      <c r="BR56" s="56">
        <v>0</v>
      </c>
      <c r="BS56" s="56">
        <v>0</v>
      </c>
      <c r="BT56" s="56">
        <v>0</v>
      </c>
      <c r="BU56" s="56">
        <v>0</v>
      </c>
      <c r="BV56" s="56">
        <v>0</v>
      </c>
      <c r="BW56" s="56">
        <v>0</v>
      </c>
      <c r="BX56" s="56">
        <v>0</v>
      </c>
      <c r="BY56" s="56">
        <v>0</v>
      </c>
      <c r="BZ56" s="56">
        <v>0</v>
      </c>
      <c r="CA56" s="56">
        <v>0</v>
      </c>
      <c r="CB56" s="56">
        <v>0</v>
      </c>
      <c r="CC56" s="56">
        <v>0</v>
      </c>
      <c r="CD56" s="56">
        <v>0</v>
      </c>
      <c r="CE56" s="56">
        <v>0</v>
      </c>
      <c r="CF56" s="56">
        <v>0</v>
      </c>
      <c r="CG56" s="56">
        <v>0</v>
      </c>
      <c r="CH56" s="56">
        <v>0</v>
      </c>
      <c r="CI56" s="56">
        <v>0</v>
      </c>
    </row>
    <row r="57" spans="1:87" x14ac:dyDescent="0.25">
      <c r="A57" s="1" t="s">
        <v>521</v>
      </c>
      <c r="B57" s="1" t="s">
        <v>521</v>
      </c>
      <c r="C57" s="33">
        <v>0</v>
      </c>
      <c r="D57" s="33">
        <v>2271</v>
      </c>
      <c r="E57" s="33">
        <v>5259</v>
      </c>
      <c r="F57" s="33">
        <v>6754</v>
      </c>
      <c r="G57" s="33">
        <v>8077</v>
      </c>
      <c r="H57" s="33">
        <v>10289</v>
      </c>
      <c r="I57" s="33">
        <v>13631</v>
      </c>
      <c r="J57" s="33">
        <v>14989</v>
      </c>
      <c r="K57" s="33">
        <v>16372</v>
      </c>
      <c r="L57" s="33">
        <v>17812</v>
      </c>
      <c r="M57" s="56">
        <v>20625.023405802956</v>
      </c>
      <c r="N57" s="56">
        <v>22634.204364639088</v>
      </c>
      <c r="O57" s="56">
        <v>24643.385323475224</v>
      </c>
      <c r="P57" s="56">
        <v>26652.56628231136</v>
      </c>
      <c r="Q57" s="56">
        <v>28661.747241147499</v>
      </c>
      <c r="R57" s="56">
        <v>30670.928199983631</v>
      </c>
      <c r="S57" s="56">
        <v>32680.109158819767</v>
      </c>
      <c r="T57" s="56">
        <v>34689.290117655895</v>
      </c>
      <c r="U57" s="56">
        <v>36698.471076492038</v>
      </c>
      <c r="V57" s="56">
        <v>38707.652035328174</v>
      </c>
      <c r="W57" s="56">
        <v>40716.83299416431</v>
      </c>
      <c r="X57" s="56">
        <v>42726.013953000445</v>
      </c>
      <c r="Y57" s="56">
        <v>44735.194911836581</v>
      </c>
      <c r="Z57" s="56">
        <v>46744.375870672717</v>
      </c>
      <c r="AA57" s="56">
        <v>48753.55682950886</v>
      </c>
      <c r="AB57" s="56">
        <v>50762.737788344995</v>
      </c>
      <c r="AC57" s="56">
        <v>52771.918747181131</v>
      </c>
      <c r="AD57" s="56">
        <v>54781.099706017259</v>
      </c>
      <c r="AE57" s="56">
        <v>56790.280664853395</v>
      </c>
      <c r="AF57" s="56">
        <v>58799.461623689538</v>
      </c>
      <c r="AG57" s="56">
        <v>60808.642582525674</v>
      </c>
      <c r="AH57" s="56">
        <v>62817.823541361809</v>
      </c>
      <c r="AI57" s="56">
        <v>64827.004500197945</v>
      </c>
      <c r="AJ57" s="56">
        <v>66836.185459034081</v>
      </c>
      <c r="AK57" s="56">
        <v>68845.366417870217</v>
      </c>
      <c r="AL57" s="56">
        <v>70854.547376706338</v>
      </c>
      <c r="AM57" s="56">
        <v>72863.728335542473</v>
      </c>
      <c r="AN57" s="56">
        <v>74872.909294378609</v>
      </c>
      <c r="AO57" s="56">
        <v>76882.090253214745</v>
      </c>
      <c r="AP57" s="56">
        <v>78891.27121205088</v>
      </c>
      <c r="AQ57" s="56">
        <v>80900.452170887002</v>
      </c>
      <c r="AR57" s="56">
        <v>82909.633129723152</v>
      </c>
      <c r="AS57" s="56">
        <v>84918.814088559287</v>
      </c>
      <c r="AT57" s="56">
        <v>86927.995047395409</v>
      </c>
      <c r="AU57" s="56">
        <v>88937.176006231544</v>
      </c>
      <c r="AV57" s="56">
        <v>90946.35696506768</v>
      </c>
      <c r="AW57" s="56">
        <v>92955.537923903816</v>
      </c>
      <c r="AX57" s="56">
        <v>94964.718882739937</v>
      </c>
      <c r="AY57" s="56">
        <v>96973.899841576087</v>
      </c>
      <c r="AZ57" s="56">
        <v>98983.080800412223</v>
      </c>
      <c r="BA57" s="56">
        <v>100992.26175924836</v>
      </c>
      <c r="BB57" s="56">
        <v>103001.44271808449</v>
      </c>
      <c r="BC57" s="56">
        <v>105010.62367692062</v>
      </c>
      <c r="BD57" s="56">
        <v>107019.80463575677</v>
      </c>
      <c r="BE57" s="56">
        <v>109028.9855945929</v>
      </c>
      <c r="BF57" s="56">
        <v>111038.16655342902</v>
      </c>
      <c r="BG57" s="56">
        <v>113047.34751226516</v>
      </c>
      <c r="BH57" s="56">
        <v>115056.52847110129</v>
      </c>
      <c r="BI57" s="56">
        <v>117065.70942993744</v>
      </c>
      <c r="BJ57" s="56">
        <v>119074.89038877359</v>
      </c>
      <c r="BK57" s="56">
        <v>121084.07134760973</v>
      </c>
      <c r="BL57" s="56">
        <v>123093.25230644587</v>
      </c>
      <c r="BM57" s="56">
        <v>125102.433265282</v>
      </c>
      <c r="BN57" s="56">
        <v>127111.61422411814</v>
      </c>
      <c r="BO57" s="56">
        <v>129120.79518295427</v>
      </c>
      <c r="BP57" s="56">
        <v>131129.97614179039</v>
      </c>
      <c r="BQ57" s="56">
        <v>133139.1571006265</v>
      </c>
      <c r="BR57" s="56">
        <v>135148.33805946264</v>
      </c>
      <c r="BS57" s="56">
        <v>137157.51901829877</v>
      </c>
      <c r="BT57" s="56">
        <v>139166.69997713491</v>
      </c>
      <c r="BU57" s="56">
        <v>141175.88093597107</v>
      </c>
      <c r="BV57" s="56">
        <v>143185.06189480718</v>
      </c>
      <c r="BW57" s="56">
        <v>145194.24285364331</v>
      </c>
      <c r="BX57" s="56">
        <v>147203.42381247945</v>
      </c>
      <c r="BY57" s="56">
        <v>149212.60477131559</v>
      </c>
      <c r="BZ57" s="56">
        <v>151221.78573015172</v>
      </c>
      <c r="CA57" s="56">
        <v>153230.96668898783</v>
      </c>
      <c r="CB57" s="56">
        <v>155240.14764782396</v>
      </c>
      <c r="CC57" s="56">
        <v>157249.3286066601</v>
      </c>
      <c r="CD57" s="56">
        <v>159258.50956549626</v>
      </c>
      <c r="CE57" s="56">
        <v>161267.6905243324</v>
      </c>
      <c r="CF57" s="56">
        <v>163276.87148316851</v>
      </c>
      <c r="CG57" s="56">
        <v>165286.05244200464</v>
      </c>
      <c r="CH57" s="56">
        <v>167295.23340084081</v>
      </c>
      <c r="CI57" s="56">
        <v>169304.41435967694</v>
      </c>
    </row>
    <row r="58" spans="1:87" x14ac:dyDescent="0.25">
      <c r="A58" s="1" t="s">
        <v>716</v>
      </c>
      <c r="B58" s="1" t="s">
        <v>707</v>
      </c>
      <c r="C58" s="33">
        <v>0</v>
      </c>
      <c r="D58" s="33">
        <v>0</v>
      </c>
      <c r="E58" s="33">
        <v>0</v>
      </c>
      <c r="F58" s="33">
        <v>0</v>
      </c>
      <c r="G58" s="33">
        <v>0</v>
      </c>
      <c r="H58" s="33">
        <v>3754</v>
      </c>
      <c r="I58" s="33">
        <v>4687</v>
      </c>
      <c r="J58" s="33">
        <v>5796</v>
      </c>
      <c r="K58" s="33">
        <v>6831</v>
      </c>
      <c r="L58" s="33">
        <v>7702</v>
      </c>
      <c r="M58" s="56">
        <v>8743.3983641584637</v>
      </c>
      <c r="N58" s="56">
        <v>9784.796728316931</v>
      </c>
      <c r="O58" s="56">
        <v>10826.195092475398</v>
      </c>
      <c r="P58" s="56">
        <v>11867.593456633866</v>
      </c>
      <c r="Q58" s="56">
        <v>12908.991820792333</v>
      </c>
      <c r="R58" s="56">
        <v>13950.3901849508</v>
      </c>
      <c r="S58" s="56">
        <v>14991.788549109267</v>
      </c>
      <c r="T58" s="56">
        <v>16033.186913267735</v>
      </c>
      <c r="U58" s="56">
        <v>17074.585277426202</v>
      </c>
      <c r="V58" s="56">
        <v>18115.983641584669</v>
      </c>
      <c r="W58" s="56">
        <v>19157.382005743129</v>
      </c>
      <c r="X58" s="56">
        <v>20198.780369901597</v>
      </c>
      <c r="Y58" s="56">
        <v>21240.178734060064</v>
      </c>
      <c r="Z58" s="56">
        <v>22281.577098218531</v>
      </c>
      <c r="AA58" s="56">
        <v>23322.975462376999</v>
      </c>
      <c r="AB58" s="56">
        <v>24364.373826535462</v>
      </c>
      <c r="AC58" s="56">
        <v>25405.77219069393</v>
      </c>
      <c r="AD58" s="56">
        <v>26447.170554852393</v>
      </c>
      <c r="AE58" s="56">
        <v>27488.568919010861</v>
      </c>
      <c r="AF58" s="56">
        <v>28529.967283169328</v>
      </c>
      <c r="AG58" s="56">
        <v>29571.365647327792</v>
      </c>
      <c r="AH58" s="56">
        <v>30612.764011486259</v>
      </c>
      <c r="AI58" s="56">
        <v>31654.162375644719</v>
      </c>
      <c r="AJ58" s="56">
        <v>32695.560739803186</v>
      </c>
      <c r="AK58" s="56">
        <v>33736.95910396165</v>
      </c>
      <c r="AL58" s="56">
        <v>34778.357468120121</v>
      </c>
      <c r="AM58" s="56">
        <v>35819.755832278577</v>
      </c>
      <c r="AN58" s="56">
        <v>36861.154196437048</v>
      </c>
      <c r="AO58" s="56">
        <v>37902.552560595512</v>
      </c>
      <c r="AP58" s="56">
        <v>38943.950924753983</v>
      </c>
      <c r="AQ58" s="56">
        <v>39985.349288912439</v>
      </c>
      <c r="AR58" s="56">
        <v>41026.747653070903</v>
      </c>
      <c r="AS58" s="56">
        <v>42068.146017229374</v>
      </c>
      <c r="AT58" s="56">
        <v>43109.54438138783</v>
      </c>
      <c r="AU58" s="56">
        <v>44150.942745546308</v>
      </c>
      <c r="AV58" s="56">
        <v>45192.341109704772</v>
      </c>
      <c r="AW58" s="56">
        <v>46233.739473863243</v>
      </c>
      <c r="AX58" s="56">
        <v>47275.137838021699</v>
      </c>
      <c r="AY58" s="56">
        <v>48316.536202180163</v>
      </c>
      <c r="AZ58" s="56">
        <v>49357.934566338634</v>
      </c>
      <c r="BA58" s="56">
        <v>50399.332930497105</v>
      </c>
      <c r="BB58" s="56">
        <v>51440.731294655583</v>
      </c>
      <c r="BC58" s="56">
        <v>52482.129658814047</v>
      </c>
      <c r="BD58" s="56">
        <v>53523.52802297251</v>
      </c>
      <c r="BE58" s="56">
        <v>54564.926387130981</v>
      </c>
      <c r="BF58" s="56">
        <v>55606.324751289438</v>
      </c>
      <c r="BG58" s="56">
        <v>56647.723115447901</v>
      </c>
      <c r="BH58" s="56">
        <v>57689.121479606358</v>
      </c>
      <c r="BI58" s="56">
        <v>58730.519843764829</v>
      </c>
      <c r="BJ58" s="56">
        <v>59771.918207923292</v>
      </c>
      <c r="BK58" s="56">
        <v>60813.316572081763</v>
      </c>
      <c r="BL58" s="56">
        <v>61854.714936240227</v>
      </c>
      <c r="BM58" s="56">
        <v>62896.113300398698</v>
      </c>
      <c r="BN58" s="56">
        <v>63937.511664557162</v>
      </c>
      <c r="BO58" s="56">
        <v>64978.910028715625</v>
      </c>
      <c r="BP58" s="56">
        <v>66020.308392874096</v>
      </c>
      <c r="BQ58" s="56">
        <v>67061.706757032574</v>
      </c>
      <c r="BR58" s="56">
        <v>68103.105121191053</v>
      </c>
      <c r="BS58" s="56">
        <v>69144.503485349531</v>
      </c>
      <c r="BT58" s="56">
        <v>70185.90184950798</v>
      </c>
      <c r="BU58" s="56">
        <v>71227.300213666458</v>
      </c>
      <c r="BV58" s="56">
        <v>72268.698577824936</v>
      </c>
      <c r="BW58" s="56">
        <v>73310.0969419834</v>
      </c>
      <c r="BX58" s="56">
        <v>74351.495306141878</v>
      </c>
      <c r="BY58" s="56">
        <v>75392.893670300356</v>
      </c>
      <c r="BZ58" s="56">
        <v>76434.292034458835</v>
      </c>
      <c r="CA58" s="56">
        <v>77475.690398617298</v>
      </c>
      <c r="CB58" s="56">
        <v>78517.088762775777</v>
      </c>
      <c r="CC58" s="56">
        <v>79558.48712693424</v>
      </c>
      <c r="CD58" s="56">
        <v>80599.885491092718</v>
      </c>
      <c r="CE58" s="56">
        <v>81641.283855251182</v>
      </c>
      <c r="CF58" s="56">
        <v>82682.68221940966</v>
      </c>
      <c r="CG58" s="56">
        <v>83724.080583568124</v>
      </c>
      <c r="CH58" s="56">
        <v>84765.478947726588</v>
      </c>
      <c r="CI58" s="56">
        <v>85806.877311885066</v>
      </c>
    </row>
    <row r="59" spans="1:87" x14ac:dyDescent="0.25">
      <c r="B59" s="1" t="s">
        <v>708</v>
      </c>
      <c r="C59" s="33">
        <v>0</v>
      </c>
      <c r="D59" s="33">
        <v>0</v>
      </c>
      <c r="E59" s="33">
        <v>0</v>
      </c>
      <c r="F59" s="33">
        <v>0</v>
      </c>
      <c r="G59" s="33">
        <v>0</v>
      </c>
      <c r="H59" s="33">
        <v>373</v>
      </c>
      <c r="I59" s="33">
        <v>233</v>
      </c>
      <c r="J59" s="33">
        <v>119</v>
      </c>
      <c r="K59" s="33">
        <v>45</v>
      </c>
      <c r="L59" s="33">
        <v>72</v>
      </c>
      <c r="M59" s="56">
        <v>72</v>
      </c>
      <c r="N59" s="56">
        <v>72</v>
      </c>
      <c r="O59" s="56">
        <v>72</v>
      </c>
      <c r="P59" s="56">
        <v>72</v>
      </c>
      <c r="Q59" s="56">
        <v>72</v>
      </c>
      <c r="R59" s="56">
        <v>72</v>
      </c>
      <c r="S59" s="56">
        <v>72</v>
      </c>
      <c r="T59" s="56">
        <v>72</v>
      </c>
      <c r="U59" s="56">
        <v>72</v>
      </c>
      <c r="V59" s="56">
        <v>72</v>
      </c>
      <c r="W59" s="56">
        <v>72</v>
      </c>
      <c r="X59" s="56">
        <v>72</v>
      </c>
      <c r="Y59" s="56">
        <v>72</v>
      </c>
      <c r="Z59" s="56">
        <v>72</v>
      </c>
      <c r="AA59" s="56">
        <v>72</v>
      </c>
      <c r="AB59" s="56">
        <v>72</v>
      </c>
      <c r="AC59" s="56">
        <v>72</v>
      </c>
      <c r="AD59" s="56">
        <v>72</v>
      </c>
      <c r="AE59" s="56">
        <v>72</v>
      </c>
      <c r="AF59" s="56">
        <v>72</v>
      </c>
      <c r="AG59" s="56">
        <v>72</v>
      </c>
      <c r="AH59" s="56">
        <v>72</v>
      </c>
      <c r="AI59" s="56">
        <v>72</v>
      </c>
      <c r="AJ59" s="56">
        <v>72</v>
      </c>
      <c r="AK59" s="56">
        <v>72</v>
      </c>
      <c r="AL59" s="56">
        <v>72</v>
      </c>
      <c r="AM59" s="56">
        <v>72</v>
      </c>
      <c r="AN59" s="56">
        <v>72</v>
      </c>
      <c r="AO59" s="56">
        <v>72</v>
      </c>
      <c r="AP59" s="56">
        <v>72</v>
      </c>
      <c r="AQ59" s="56">
        <v>72</v>
      </c>
      <c r="AR59" s="56">
        <v>72</v>
      </c>
      <c r="AS59" s="56">
        <v>72</v>
      </c>
      <c r="AT59" s="56">
        <v>72</v>
      </c>
      <c r="AU59" s="56">
        <v>72</v>
      </c>
      <c r="AV59" s="56">
        <v>72</v>
      </c>
      <c r="AW59" s="56">
        <v>72</v>
      </c>
      <c r="AX59" s="56">
        <v>72</v>
      </c>
      <c r="AY59" s="56">
        <v>72</v>
      </c>
      <c r="AZ59" s="56">
        <v>72</v>
      </c>
      <c r="BA59" s="56">
        <v>72</v>
      </c>
      <c r="BB59" s="56">
        <v>72</v>
      </c>
      <c r="BC59" s="56">
        <v>72</v>
      </c>
      <c r="BD59" s="56">
        <v>72</v>
      </c>
      <c r="BE59" s="56">
        <v>72</v>
      </c>
      <c r="BF59" s="56">
        <v>72</v>
      </c>
      <c r="BG59" s="56">
        <v>72</v>
      </c>
      <c r="BH59" s="56">
        <v>72</v>
      </c>
      <c r="BI59" s="56">
        <v>72</v>
      </c>
      <c r="BJ59" s="56">
        <v>72</v>
      </c>
      <c r="BK59" s="56">
        <v>72</v>
      </c>
      <c r="BL59" s="56">
        <v>72</v>
      </c>
      <c r="BM59" s="56">
        <v>72</v>
      </c>
      <c r="BN59" s="56">
        <v>72</v>
      </c>
      <c r="BO59" s="56">
        <v>72</v>
      </c>
      <c r="BP59" s="56">
        <v>72</v>
      </c>
      <c r="BQ59" s="56">
        <v>72</v>
      </c>
      <c r="BR59" s="56">
        <v>72</v>
      </c>
      <c r="BS59" s="56">
        <v>72</v>
      </c>
      <c r="BT59" s="56">
        <v>72</v>
      </c>
      <c r="BU59" s="56">
        <v>72</v>
      </c>
      <c r="BV59" s="56">
        <v>72</v>
      </c>
      <c r="BW59" s="56">
        <v>72</v>
      </c>
      <c r="BX59" s="56">
        <v>72</v>
      </c>
      <c r="BY59" s="56">
        <v>72</v>
      </c>
      <c r="BZ59" s="56">
        <v>72</v>
      </c>
      <c r="CA59" s="56">
        <v>72</v>
      </c>
      <c r="CB59" s="56">
        <v>72</v>
      </c>
      <c r="CC59" s="56">
        <v>72</v>
      </c>
      <c r="CD59" s="56">
        <v>72</v>
      </c>
      <c r="CE59" s="56">
        <v>72</v>
      </c>
      <c r="CF59" s="56">
        <v>72</v>
      </c>
      <c r="CG59" s="56">
        <v>72</v>
      </c>
      <c r="CH59" s="56">
        <v>72</v>
      </c>
      <c r="CI59" s="56">
        <v>72</v>
      </c>
    </row>
    <row r="60" spans="1:87" x14ac:dyDescent="0.25">
      <c r="B60" s="34" t="s">
        <v>725</v>
      </c>
      <c r="C60" s="35">
        <f>SUM(C49:C59)</f>
        <v>91154</v>
      </c>
      <c r="D60" s="35">
        <f t="shared" ref="D60" si="467">SUM(D49:D59)</f>
        <v>96571</v>
      </c>
      <c r="E60" s="35">
        <f t="shared" ref="E60" si="468">SUM(E49:E59)</f>
        <v>110360</v>
      </c>
      <c r="F60" s="35">
        <f t="shared" ref="F60" si="469">SUM(F49:F59)</f>
        <v>125843</v>
      </c>
      <c r="G60" s="35">
        <f t="shared" ref="G60" si="470">SUM(G49:G59)</f>
        <v>143015</v>
      </c>
      <c r="H60" s="35">
        <f t="shared" ref="H60" si="471">SUM(H49:H59)</f>
        <v>172567</v>
      </c>
      <c r="I60" s="35">
        <f t="shared" ref="I60" si="472">SUM(I49:I59)</f>
        <v>203561</v>
      </c>
      <c r="J60" s="35">
        <f t="shared" ref="J60" si="473">SUM(J49:J59)</f>
        <v>212241</v>
      </c>
      <c r="K60" s="35">
        <f t="shared" ref="K60" si="474">SUM(K49:K59)</f>
        <v>245202</v>
      </c>
      <c r="L60" s="35">
        <f t="shared" ref="L60" si="475">SUM(L49:L59)</f>
        <v>281724</v>
      </c>
      <c r="M60" s="35">
        <f t="shared" ref="M60" si="476">SUM(M49:M59)</f>
        <v>321446.93210402195</v>
      </c>
      <c r="N60" s="35">
        <f t="shared" ref="N60" si="477">SUM(N49:N59)</f>
        <v>363732.73747549643</v>
      </c>
      <c r="O60" s="35">
        <f t="shared" ref="O60" si="478">SUM(O49:O59)</f>
        <v>407158.25809752557</v>
      </c>
      <c r="P60" s="35">
        <f t="shared" ref="P60" si="479">SUM(P49:P59)</f>
        <v>454562.15489734465</v>
      </c>
      <c r="Q60" s="35">
        <f t="shared" ref="Q60" si="480">SUM(Q49:Q59)</f>
        <v>505996.04812783917</v>
      </c>
      <c r="R60" s="35">
        <f t="shared" ref="R60" si="481">SUM(R49:R59)</f>
        <v>561400.46599702234</v>
      </c>
      <c r="S60" s="35">
        <f t="shared" ref="S60" si="482">SUM(S49:S59)</f>
        <v>620586.11605118925</v>
      </c>
      <c r="T60" s="35">
        <f t="shared" ref="T60" si="483">SUM(T49:T59)</f>
        <v>683218.08915395546</v>
      </c>
      <c r="U60" s="35">
        <f t="shared" ref="U60" si="484">SUM(U49:U59)</f>
        <v>748804.50101565756</v>
      </c>
      <c r="V60" s="35">
        <f t="shared" ref="V60" si="485">SUM(V49:V59)</f>
        <v>816691.05154041434</v>
      </c>
      <c r="W60" s="35">
        <f t="shared" ref="W60" si="486">SUM(W49:W59)</f>
        <v>886062.83445902891</v>
      </c>
      <c r="X60" s="35">
        <f t="shared" ref="X60" si="487">SUM(X49:X59)</f>
        <v>926205.33945029788</v>
      </c>
      <c r="Y60" s="35">
        <f t="shared" ref="Y60" si="488">SUM(Y49:Y59)</f>
        <v>966347.84444156662</v>
      </c>
      <c r="Z60" s="35">
        <f t="shared" ref="Z60" si="489">SUM(Z49:Z59)</f>
        <v>1006490.3494328355</v>
      </c>
      <c r="AA60" s="35">
        <f t="shared" ref="AA60" si="490">SUM(AA49:AA59)</f>
        <v>1046632.8544241043</v>
      </c>
      <c r="AB60" s="35">
        <f t="shared" ref="AB60" si="491">SUM(AB49:AB59)</f>
        <v>1086775.3594153733</v>
      </c>
      <c r="AC60" s="35">
        <f t="shared" ref="AC60" si="492">SUM(AC49:AC59)</f>
        <v>1126917.8644066423</v>
      </c>
      <c r="AD60" s="35">
        <f t="shared" ref="AD60" si="493">SUM(AD49:AD59)</f>
        <v>1167060.3693979108</v>
      </c>
      <c r="AE60" s="35">
        <f t="shared" ref="AE60" si="494">SUM(AE49:AE59)</f>
        <v>1207202.87438918</v>
      </c>
      <c r="AF60" s="35">
        <f t="shared" ref="AF60" si="495">SUM(AF49:AF59)</f>
        <v>1247345.3793804487</v>
      </c>
      <c r="AG60" s="35">
        <f t="shared" ref="AG60" si="496">SUM(AG49:AG59)</f>
        <v>1287487.8843717179</v>
      </c>
      <c r="AH60" s="35">
        <f t="shared" ref="AH60" si="497">SUM(AH49:AH59)</f>
        <v>1327630.3893629864</v>
      </c>
      <c r="AI60" s="35">
        <f t="shared" ref="AI60" si="498">SUM(AI49:AI59)</f>
        <v>1367772.8943542554</v>
      </c>
      <c r="AJ60" s="35">
        <f t="shared" ref="AJ60" si="499">SUM(AJ49:AJ59)</f>
        <v>1407915.3993455241</v>
      </c>
      <c r="AK60" s="35">
        <f t="shared" ref="AK60" si="500">SUM(AK49:AK59)</f>
        <v>1448057.9043367931</v>
      </c>
      <c r="AL60" s="35">
        <f t="shared" ref="AL60" si="501">SUM(AL49:AL59)</f>
        <v>1488200.4093280621</v>
      </c>
      <c r="AM60" s="35">
        <f t="shared" ref="AM60" si="502">SUM(AM49:AM59)</f>
        <v>1528342.9143193311</v>
      </c>
      <c r="AN60" s="35">
        <f t="shared" ref="AN60" si="503">SUM(AN49:AN59)</f>
        <v>1568485.4193105998</v>
      </c>
      <c r="AO60" s="35">
        <f t="shared" ref="AO60" si="504">SUM(AO49:AO59)</f>
        <v>1608627.9243018688</v>
      </c>
      <c r="AP60" s="35">
        <f t="shared" ref="AP60" si="505">SUM(AP49:AP59)</f>
        <v>1648770.4292931375</v>
      </c>
      <c r="AQ60" s="35">
        <f t="shared" ref="AQ60" si="506">SUM(AQ49:AQ59)</f>
        <v>1688912.9342844065</v>
      </c>
      <c r="AR60" s="35">
        <f t="shared" ref="AR60" si="507">SUM(AR49:AR59)</f>
        <v>1729055.4392756752</v>
      </c>
      <c r="AS60" s="35">
        <f t="shared" ref="AS60" si="508">SUM(AS49:AS59)</f>
        <v>1769197.944266944</v>
      </c>
      <c r="AT60" s="35">
        <f t="shared" ref="AT60" si="509">SUM(AT49:AT59)</f>
        <v>1809340.449258212</v>
      </c>
      <c r="AU60" s="35">
        <f t="shared" ref="AU60" si="510">SUM(AU49:AU59)</f>
        <v>1849482.9542494814</v>
      </c>
      <c r="AV60" s="35">
        <f t="shared" ref="AV60" si="511">SUM(AV49:AV59)</f>
        <v>1889625.4592407504</v>
      </c>
      <c r="AW60" s="35">
        <f t="shared" ref="AW60" si="512">SUM(AW49:AW59)</f>
        <v>1929767.9642320191</v>
      </c>
      <c r="AX60" s="35">
        <f t="shared" ref="AX60" si="513">SUM(AX49:AX59)</f>
        <v>1969910.4692232881</v>
      </c>
      <c r="AY60" s="35">
        <f t="shared" ref="AY60" si="514">SUM(AY49:AY59)</f>
        <v>2010052.9742145566</v>
      </c>
      <c r="AZ60" s="35">
        <f t="shared" ref="AZ60" si="515">SUM(AZ49:AZ59)</f>
        <v>2050195.4792058254</v>
      </c>
      <c r="BA60" s="35">
        <f t="shared" ref="BA60" si="516">SUM(BA49:BA59)</f>
        <v>2090337.9841970943</v>
      </c>
      <c r="BB60" s="35">
        <f t="shared" ref="BB60" si="517">SUM(BB49:BB59)</f>
        <v>2130480.4891883633</v>
      </c>
      <c r="BC60" s="35">
        <f t="shared" ref="BC60" si="518">SUM(BC49:BC59)</f>
        <v>2170622.994179632</v>
      </c>
      <c r="BD60" s="35">
        <f t="shared" ref="BD60" si="519">SUM(BD49:BD59)</f>
        <v>2210765.4991709008</v>
      </c>
      <c r="BE60" s="35">
        <f t="shared" ref="BE60" si="520">SUM(BE49:BE59)</f>
        <v>2250908.00416217</v>
      </c>
      <c r="BF60" s="35">
        <f t="shared" ref="BF60" si="521">SUM(BF49:BF59)</f>
        <v>2291050.5091534383</v>
      </c>
      <c r="BG60" s="35">
        <f t="shared" ref="BG60" si="522">SUM(BG49:BG59)</f>
        <v>2331193.0141447075</v>
      </c>
      <c r="BH60" s="35">
        <f t="shared" ref="BH60" si="523">SUM(BH49:BH59)</f>
        <v>2371335.5191359762</v>
      </c>
      <c r="BI60" s="35">
        <f t="shared" ref="BI60" si="524">SUM(BI49:BI59)</f>
        <v>2411478.0241272454</v>
      </c>
      <c r="BJ60" s="35">
        <f t="shared" ref="BJ60" si="525">SUM(BJ49:BJ59)</f>
        <v>2451620.5291185146</v>
      </c>
      <c r="BK60" s="35">
        <f t="shared" ref="BK60" si="526">SUM(BK49:BK59)</f>
        <v>2491763.0341097829</v>
      </c>
      <c r="BL60" s="35">
        <f t="shared" ref="BL60" si="527">SUM(BL49:BL59)</f>
        <v>2531905.5391010521</v>
      </c>
      <c r="BM60" s="35">
        <f t="shared" ref="BM60" si="528">SUM(BM49:BM59)</f>
        <v>2572048.0440923208</v>
      </c>
      <c r="BN60" s="35">
        <f t="shared" ref="BN60" si="529">SUM(BN49:BN59)</f>
        <v>2612190.5490835905</v>
      </c>
      <c r="BO60" s="35">
        <f t="shared" ref="BO60" si="530">SUM(BO49:BO59)</f>
        <v>2652333.0540748583</v>
      </c>
      <c r="BP60" s="35">
        <f t="shared" ref="BP60" si="531">SUM(BP49:BP59)</f>
        <v>2692475.5590661266</v>
      </c>
      <c r="BQ60" s="35">
        <f t="shared" ref="BQ60" si="532">SUM(BQ49:BQ59)</f>
        <v>2732618.0640573953</v>
      </c>
      <c r="BR60" s="35">
        <f t="shared" ref="BR60" si="533">SUM(BR49:BR59)</f>
        <v>2772760.5690486645</v>
      </c>
      <c r="BS60" s="35">
        <f t="shared" ref="BS60" si="534">SUM(BS49:BS59)</f>
        <v>2812903.0740399337</v>
      </c>
      <c r="BT60" s="35">
        <f t="shared" ref="BT60" si="535">SUM(BT49:BT59)</f>
        <v>2853045.5790312029</v>
      </c>
      <c r="BU60" s="35">
        <f t="shared" ref="BU60" si="536">SUM(BU49:BU59)</f>
        <v>2893188.0840224726</v>
      </c>
      <c r="BV60" s="35">
        <f t="shared" ref="BV60" si="537">SUM(BV49:BV59)</f>
        <v>2933330.5890137404</v>
      </c>
      <c r="BW60" s="35">
        <f t="shared" ref="BW60" si="538">SUM(BW49:BW59)</f>
        <v>2973473.0940050092</v>
      </c>
      <c r="BX60" s="35">
        <f t="shared" ref="BX60" si="539">SUM(BX49:BX59)</f>
        <v>3013615.5989962774</v>
      </c>
      <c r="BY60" s="35">
        <f t="shared" ref="BY60" si="540">SUM(BY49:BY59)</f>
        <v>3053758.1039875471</v>
      </c>
      <c r="BZ60" s="35">
        <f t="shared" ref="BZ60" si="541">SUM(BZ49:BZ59)</f>
        <v>3093900.6089788158</v>
      </c>
      <c r="CA60" s="35">
        <f t="shared" ref="CA60" si="542">SUM(CA49:CA59)</f>
        <v>3134043.1139700846</v>
      </c>
      <c r="CB60" s="35">
        <f t="shared" ref="CB60" si="543">SUM(CB49:CB59)</f>
        <v>3174185.6189613538</v>
      </c>
      <c r="CC60" s="35">
        <f t="shared" ref="CC60" si="544">SUM(CC49:CC59)</f>
        <v>3214328.1239526225</v>
      </c>
      <c r="CD60" s="35">
        <f t="shared" ref="CD60" si="545">SUM(CD49:CD59)</f>
        <v>3254470.6289438908</v>
      </c>
      <c r="CE60" s="35">
        <f t="shared" ref="CE60" si="546">SUM(CE49:CE59)</f>
        <v>3294613.1339351605</v>
      </c>
      <c r="CF60" s="35">
        <f t="shared" ref="CF60" si="547">SUM(CF49:CF59)</f>
        <v>3334755.6389264292</v>
      </c>
      <c r="CG60" s="35">
        <f t="shared" ref="CG60" si="548">SUM(CG49:CG59)</f>
        <v>3374898.1439176984</v>
      </c>
      <c r="CH60" s="35">
        <f t="shared" ref="CH60" si="549">SUM(CH49:CH59)</f>
        <v>3415040.6489089672</v>
      </c>
      <c r="CI60" s="35">
        <f>SUM(CI49:CI59)</f>
        <v>3455183.1539002354</v>
      </c>
    </row>
    <row r="61" spans="1:87" x14ac:dyDescent="0.25">
      <c r="B61" s="59" t="s">
        <v>732</v>
      </c>
      <c r="C61" s="60"/>
      <c r="D61" s="60">
        <f t="shared" ref="D61" si="550">D60/C60-1</f>
        <v>5.9426903920837271E-2</v>
      </c>
      <c r="E61" s="60">
        <f t="shared" ref="E61" si="551">E60/D60-1</f>
        <v>0.14278613662486661</v>
      </c>
      <c r="F61" s="60">
        <f>F60/E60-1</f>
        <v>0.14029539688292858</v>
      </c>
      <c r="G61" s="60">
        <f t="shared" ref="G61" si="552">G60/F60-1</f>
        <v>0.13645574247276371</v>
      </c>
      <c r="H61" s="60">
        <f t="shared" ref="H61" si="553">H60/G60-1</f>
        <v>0.206635667587316</v>
      </c>
      <c r="I61" s="60">
        <f t="shared" ref="I61" si="554">I60/H60-1</f>
        <v>0.17960560246165258</v>
      </c>
      <c r="J61" s="60">
        <f t="shared" ref="J61" si="555">J60/I60-1</f>
        <v>4.2640780896144204E-2</v>
      </c>
      <c r="K61" s="60">
        <f t="shared" ref="K61" si="556">K60/J60-1</f>
        <v>0.15529987137263768</v>
      </c>
      <c r="L61" s="60">
        <f t="shared" ref="L61" si="557">L60/K60-1</f>
        <v>0.14894658281743212</v>
      </c>
      <c r="M61" s="60">
        <f t="shared" ref="M61" si="558">M60/L60-1</f>
        <v>0.14099946083408565</v>
      </c>
      <c r="N61" s="60">
        <f t="shared" ref="N61" si="559">N60/M60-1</f>
        <v>0.13154832461673815</v>
      </c>
      <c r="O61" s="60">
        <f t="shared" ref="O61" si="560">O60/N60-1</f>
        <v>0.11938854039761715</v>
      </c>
      <c r="P61" s="60">
        <f t="shared" ref="P61" si="561">P60/O60-1</f>
        <v>0.11642621967516265</v>
      </c>
      <c r="Q61" s="60">
        <f t="shared" ref="Q61" si="562">Q60/P60-1</f>
        <v>0.11315040787350639</v>
      </c>
      <c r="R61" s="60">
        <f>R60/Q60-1</f>
        <v>0.10949575213912599</v>
      </c>
      <c r="S61" s="60">
        <f t="shared" ref="S61" si="563">S60/R60-1</f>
        <v>0.10542501055651221</v>
      </c>
      <c r="T61" s="60">
        <f t="shared" ref="T61" si="564">T60/S60-1</f>
        <v>0.10092390319863354</v>
      </c>
      <c r="U61" s="60">
        <f t="shared" ref="U61" si="565">U60/T60-1</f>
        <v>9.5996304698137136E-2</v>
      </c>
      <c r="V61" s="60">
        <f t="shared" ref="V61" si="566">V60/U60-1</f>
        <v>9.0659912477392135E-2</v>
      </c>
      <c r="W61" s="60">
        <f t="shared" ref="W61" si="567">W60/V60-1</f>
        <v>8.4942504007810449E-2</v>
      </c>
      <c r="X61" s="60">
        <f t="shared" ref="X61" si="568">X60/W60-1</f>
        <v>4.5304354759194254E-2</v>
      </c>
      <c r="Y61" s="60">
        <f t="shared" ref="Y61" si="569">Y60/X60-1</f>
        <v>4.3340826576419023E-2</v>
      </c>
      <c r="Z61" s="60">
        <f t="shared" ref="Z61" si="570">Z60/Y60-1</f>
        <v>4.1540430003718098E-2</v>
      </c>
      <c r="AA61" s="60">
        <f t="shared" ref="AA61" si="571">AA60/Z60-1</f>
        <v>3.9883646190834732E-2</v>
      </c>
      <c r="AB61" s="60">
        <f t="shared" ref="AB61" si="572">AB60/AA60-1</f>
        <v>3.8353950787601399E-2</v>
      </c>
      <c r="AC61" s="60">
        <f t="shared" ref="AC61" si="573">AC60/AB60-1</f>
        <v>3.6937260900784086E-2</v>
      </c>
      <c r="AD61" s="60">
        <f t="shared" ref="AD61" si="574">AD60/AC60-1</f>
        <v>3.5621500252287497E-2</v>
      </c>
      <c r="AE61" s="60">
        <f t="shared" ref="AE61" si="575">AE60/AD60-1</f>
        <v>3.4396254078937538E-2</v>
      </c>
      <c r="AF61" s="60">
        <f t="shared" ref="AF61" si="576">AF60/AE60-1</f>
        <v>3.3252492884909612E-2</v>
      </c>
      <c r="AG61" s="60">
        <f t="shared" ref="AG61" si="577">AG60/AF60-1</f>
        <v>3.2182349535946342E-2</v>
      </c>
      <c r="AH61" s="60">
        <f t="shared" ref="AH61" si="578">AH60/AG60-1</f>
        <v>3.1178938053353145E-2</v>
      </c>
      <c r="AI61" s="60">
        <f t="shared" ref="AI61" si="579">AI60/AH60-1</f>
        <v>3.0236205281900741E-2</v>
      </c>
      <c r="AJ61" s="60">
        <f t="shared" ref="AJ61" si="580">AJ60/AI60-1</f>
        <v>2.9348808677935212E-2</v>
      </c>
      <c r="AK61" s="60">
        <f t="shared" ref="AK61" si="581">AK60/AJ60-1</f>
        <v>2.8512015004544589E-2</v>
      </c>
      <c r="AL61" s="60">
        <f t="shared" ref="AL61" si="582">AL60/AK60-1</f>
        <v>2.7721615876717509E-2</v>
      </c>
      <c r="AM61" s="60">
        <f t="shared" ref="AM61" si="583">AM60/AL60-1</f>
        <v>2.6973856974944477E-2</v>
      </c>
      <c r="AN61" s="60">
        <f t="shared" ref="AN61" si="584">AN60/AM60-1</f>
        <v>2.6265378414206619E-2</v>
      </c>
      <c r="AO61" s="60">
        <f t="shared" ref="AO61" si="585">AO60/AN60-1</f>
        <v>2.5593164269842594E-2</v>
      </c>
      <c r="AP61" s="60">
        <f t="shared" ref="AP61" si="586">AP60/AO60-1</f>
        <v>2.4954499660752916E-2</v>
      </c>
      <c r="AQ61" s="60">
        <f t="shared" ref="AQ61" si="587">AQ60/AP60-1</f>
        <v>2.4346934101965312E-2</v>
      </c>
      <c r="AR61" s="60">
        <f t="shared" ref="AR61" si="588">AR60/AQ60-1</f>
        <v>2.3768250083463949E-2</v>
      </c>
      <c r="AS61" s="60">
        <f t="shared" ref="AS61" si="589">AS60/AR60-1</f>
        <v>2.3216436025952358E-2</v>
      </c>
      <c r="AT61" s="60">
        <f t="shared" ref="AT61" si="590">AT60/AS60-1</f>
        <v>2.26896629183575E-2</v>
      </c>
      <c r="AU61" s="60">
        <f t="shared" ref="AU61" si="591">AU60/AT60-1</f>
        <v>2.2186264065299E-2</v>
      </c>
      <c r="AV61" s="60">
        <f t="shared" ref="AV61" si="592">AV60/AU60-1</f>
        <v>2.17047174720022E-2</v>
      </c>
      <c r="AW61" s="60">
        <f t="shared" ref="AW61" si="593">AW60/AV60-1</f>
        <v>2.1243630474474084E-2</v>
      </c>
      <c r="AX61" s="60">
        <f t="shared" ref="AX61" si="594">AX60/AW60-1</f>
        <v>2.0801726287981159E-2</v>
      </c>
      <c r="AY61" s="60">
        <f t="shared" ref="AY61" si="595">AY60/AX60-1</f>
        <v>2.0377832200209722E-2</v>
      </c>
      <c r="AZ61" s="60">
        <f t="shared" ref="AZ61" si="596">AZ60/AY60-1</f>
        <v>1.9970869179184003E-2</v>
      </c>
      <c r="BA61" s="60">
        <f t="shared" ref="BA61" si="597">BA60/AZ60-1</f>
        <v>1.9579842702032835E-2</v>
      </c>
      <c r="BB61" s="60">
        <f t="shared" ref="BB61" si="598">BB60/BA60-1</f>
        <v>1.9203834640496131E-2</v>
      </c>
      <c r="BC61" s="60">
        <f t="shared" ref="BC61" si="599">BC60/BB60-1</f>
        <v>1.8841996063790001E-2</v>
      </c>
      <c r="BD61" s="60">
        <f t="shared" ref="BD61" si="600">BD60/BC60-1</f>
        <v>1.8493540840075928E-2</v>
      </c>
      <c r="BE61" s="60">
        <f t="shared" ref="BE61" si="601">BE60/BD60-1</f>
        <v>1.815773993502412E-2</v>
      </c>
      <c r="BF61" s="60">
        <f t="shared" ref="BF61" si="602">BF60/BE60-1</f>
        <v>1.7833916320453946E-2</v>
      </c>
      <c r="BG61" s="60">
        <f t="shared" ref="BG61" si="603">BG60/BF60-1</f>
        <v>1.7521440418222012E-2</v>
      </c>
      <c r="BH61" s="60">
        <f t="shared" ref="BH61" si="604">BH60/BG60-1</f>
        <v>1.7219726014834791E-2</v>
      </c>
      <c r="BI61" s="60">
        <f t="shared" ref="BI61" si="605">BI60/BH60-1</f>
        <v>1.6928226591020668E-2</v>
      </c>
      <c r="BJ61" s="60">
        <f t="shared" ref="BJ61" si="606">BJ60/BI60-1</f>
        <v>1.6646432017889623E-2</v>
      </c>
      <c r="BK61" s="60">
        <f t="shared" ref="BK61" si="607">BK60/BJ60-1</f>
        <v>1.6373865577680391E-2</v>
      </c>
      <c r="BL61" s="60">
        <f t="shared" ref="BL61" si="608">BL60/BK60-1</f>
        <v>1.6110081272479704E-2</v>
      </c>
      <c r="BM61" s="60">
        <f t="shared" ref="BM61" si="609">BM60/BL60-1</f>
        <v>1.585466138895586E-2</v>
      </c>
      <c r="BN61" s="60">
        <f t="shared" ref="BN61" si="610">BN60/BM60-1</f>
        <v>1.5607214291145199E-2</v>
      </c>
      <c r="BO61" s="60">
        <f t="shared" ref="BO61" si="611">BO60/BN60-1</f>
        <v>1.5367372416744463E-2</v>
      </c>
      <c r="BP61" s="60">
        <f t="shared" ref="BP61" si="612">BP60/BO60-1</f>
        <v>1.5134790455367586E-2</v>
      </c>
      <c r="BQ61" s="60">
        <f t="shared" ref="BQ61" si="613">BQ60/BP60-1</f>
        <v>1.4909143689754378E-2</v>
      </c>
      <c r="BR61" s="60">
        <f t="shared" ref="BR61" si="614">BR60/BQ60-1</f>
        <v>1.4690126483196009E-2</v>
      </c>
      <c r="BS61" s="60">
        <f t="shared" ref="BS61" si="615">BS60/BR60-1</f>
        <v>1.4477450898344957E-2</v>
      </c>
      <c r="BT61" s="60">
        <f t="shared" ref="BT61" si="616">BT60/BS60-1</f>
        <v>1.4270845434292134E-2</v>
      </c>
      <c r="BU61" s="60">
        <f t="shared" ref="BU61" si="617">BU60/BT60-1</f>
        <v>1.4070053870257615E-2</v>
      </c>
      <c r="BV61" s="60">
        <f t="shared" ref="BV61" si="618">BV60/BU60-1</f>
        <v>1.387483420554414E-2</v>
      </c>
      <c r="BW61" s="60">
        <f t="shared" ref="BW61" si="619">BW60/BV60-1</f>
        <v>1.3684957686533883E-2</v>
      </c>
      <c r="BX61" s="60">
        <f t="shared" ref="BX61" si="620">BX60/BW60-1</f>
        <v>1.3500207912491957E-2</v>
      </c>
      <c r="BY61" s="60">
        <f t="shared" ref="BY61" si="621">BY60/BX60-1</f>
        <v>1.3320380012845634E-2</v>
      </c>
      <c r="BZ61" s="60">
        <f t="shared" ref="BZ61" si="622">BZ60/BY60-1</f>
        <v>1.3145279889343886E-2</v>
      </c>
      <c r="CA61" s="60">
        <f t="shared" ref="CA61" si="623">CA60/BZ60-1</f>
        <v>1.2974723517223286E-2</v>
      </c>
      <c r="CB61" s="60">
        <f t="shared" ref="CB61" si="624">CB60/CA60-1</f>
        <v>1.2808536300069617E-2</v>
      </c>
      <c r="CC61" s="60">
        <f t="shared" ref="CC61" si="625">CC60/CB60-1</f>
        <v>1.2646552473640105E-2</v>
      </c>
      <c r="CD61" s="60">
        <f t="shared" ref="CD61" si="626">CD60/CC60-1</f>
        <v>1.2488614554355237E-2</v>
      </c>
      <c r="CE61" s="60">
        <f t="shared" ref="CE61" si="627">CE60/CD60-1</f>
        <v>1.2334572828606616E-2</v>
      </c>
      <c r="CF61" s="60">
        <f t="shared" ref="CF61" si="628">CF60/CE60-1</f>
        <v>1.2184284879396934E-2</v>
      </c>
      <c r="CG61" s="60">
        <f t="shared" ref="CG61" si="629">CG60/CF60-1</f>
        <v>1.2037615147175273E-2</v>
      </c>
      <c r="CH61" s="60">
        <f t="shared" ref="CH61" si="630">CH60/CG60-1</f>
        <v>1.1894434522006003E-2</v>
      </c>
      <c r="CI61" s="60">
        <f>CI60/CH60-1</f>
        <v>1.1754619964507107E-2</v>
      </c>
    </row>
    <row r="62" spans="1:87" x14ac:dyDescent="0.25">
      <c r="B62" s="62" t="s">
        <v>534</v>
      </c>
      <c r="C62" s="63">
        <v>32780</v>
      </c>
      <c r="D62" s="63">
        <v>34261</v>
      </c>
      <c r="E62" s="63">
        <v>38353</v>
      </c>
      <c r="F62" s="63">
        <v>42910</v>
      </c>
      <c r="G62" s="63">
        <v>46078</v>
      </c>
      <c r="H62" s="63">
        <v>52232</v>
      </c>
      <c r="I62" s="63">
        <v>62650</v>
      </c>
      <c r="J62" s="63">
        <v>65863</v>
      </c>
      <c r="K62" s="63">
        <v>74114</v>
      </c>
      <c r="L62" s="63">
        <v>87831</v>
      </c>
      <c r="M62" s="63">
        <f>M60*(L63)</f>
        <v>100215.12364451858</v>
      </c>
      <c r="N62" s="63">
        <f>N60*(0.315)</f>
        <v>114575.81230478137</v>
      </c>
      <c r="O62" s="63">
        <f t="shared" ref="O62:BZ62" si="631">O60*(0.3)</f>
        <v>122147.47742925766</v>
      </c>
      <c r="P62" s="63">
        <f t="shared" si="631"/>
        <v>136368.64646920338</v>
      </c>
      <c r="Q62" s="63">
        <f t="shared" si="631"/>
        <v>151798.81443835175</v>
      </c>
      <c r="R62" s="63">
        <f t="shared" si="631"/>
        <v>168420.13979910669</v>
      </c>
      <c r="S62" s="63">
        <f t="shared" si="631"/>
        <v>186175.83481535676</v>
      </c>
      <c r="T62" s="63">
        <f t="shared" si="631"/>
        <v>204965.42674618663</v>
      </c>
      <c r="U62" s="63">
        <f t="shared" si="631"/>
        <v>224641.35030469726</v>
      </c>
      <c r="V62" s="63">
        <f t="shared" si="631"/>
        <v>245007.3154621243</v>
      </c>
      <c r="W62" s="63">
        <f t="shared" si="631"/>
        <v>265818.85033770866</v>
      </c>
      <c r="X62" s="63">
        <f t="shared" si="631"/>
        <v>277861.60183508933</v>
      </c>
      <c r="Y62" s="63">
        <f t="shared" si="631"/>
        <v>289904.35333247</v>
      </c>
      <c r="Z62" s="63">
        <f t="shared" si="631"/>
        <v>301947.10482985061</v>
      </c>
      <c r="AA62" s="63">
        <f t="shared" si="631"/>
        <v>313989.85632723127</v>
      </c>
      <c r="AB62" s="63">
        <f t="shared" si="631"/>
        <v>326032.607824612</v>
      </c>
      <c r="AC62" s="63">
        <f t="shared" si="631"/>
        <v>338075.35932199267</v>
      </c>
      <c r="AD62" s="63">
        <f t="shared" si="631"/>
        <v>350118.11081937322</v>
      </c>
      <c r="AE62" s="63">
        <f t="shared" si="631"/>
        <v>362160.86231675401</v>
      </c>
      <c r="AF62" s="63">
        <f t="shared" si="631"/>
        <v>374203.61381413462</v>
      </c>
      <c r="AG62" s="63">
        <f t="shared" si="631"/>
        <v>386246.36531151534</v>
      </c>
      <c r="AH62" s="63">
        <f t="shared" si="631"/>
        <v>398289.11680889589</v>
      </c>
      <c r="AI62" s="63">
        <f t="shared" si="631"/>
        <v>410331.86830627662</v>
      </c>
      <c r="AJ62" s="63">
        <f t="shared" si="631"/>
        <v>422374.61980365723</v>
      </c>
      <c r="AK62" s="63">
        <f t="shared" si="631"/>
        <v>434417.3713010379</v>
      </c>
      <c r="AL62" s="63">
        <f t="shared" si="631"/>
        <v>446460.12279841863</v>
      </c>
      <c r="AM62" s="63">
        <f t="shared" si="631"/>
        <v>458502.87429579929</v>
      </c>
      <c r="AN62" s="63">
        <f t="shared" si="631"/>
        <v>470545.6257931799</v>
      </c>
      <c r="AO62" s="63">
        <f t="shared" si="631"/>
        <v>482588.37729056063</v>
      </c>
      <c r="AP62" s="63">
        <f t="shared" si="631"/>
        <v>494631.12878794124</v>
      </c>
      <c r="AQ62" s="63">
        <f t="shared" si="631"/>
        <v>506673.88028532191</v>
      </c>
      <c r="AR62" s="63">
        <f t="shared" si="631"/>
        <v>518716.63178270252</v>
      </c>
      <c r="AS62" s="63">
        <f t="shared" si="631"/>
        <v>530759.38328008319</v>
      </c>
      <c r="AT62" s="63">
        <f t="shared" si="631"/>
        <v>542802.13477746362</v>
      </c>
      <c r="AU62" s="63">
        <f t="shared" si="631"/>
        <v>554844.88627484441</v>
      </c>
      <c r="AV62" s="63">
        <f t="shared" si="631"/>
        <v>566887.63777222508</v>
      </c>
      <c r="AW62" s="63">
        <f t="shared" si="631"/>
        <v>578930.38926960574</v>
      </c>
      <c r="AX62" s="63">
        <f t="shared" si="631"/>
        <v>590973.14076698641</v>
      </c>
      <c r="AY62" s="63">
        <f t="shared" si="631"/>
        <v>603015.89226436696</v>
      </c>
      <c r="AZ62" s="63">
        <f t="shared" si="631"/>
        <v>615058.64376174763</v>
      </c>
      <c r="BA62" s="63">
        <f t="shared" si="631"/>
        <v>627101.3952591283</v>
      </c>
      <c r="BB62" s="63">
        <f t="shared" si="631"/>
        <v>639144.14675650897</v>
      </c>
      <c r="BC62" s="63">
        <f t="shared" si="631"/>
        <v>651186.89825388964</v>
      </c>
      <c r="BD62" s="63">
        <f t="shared" si="631"/>
        <v>663229.64975127019</v>
      </c>
      <c r="BE62" s="63">
        <f t="shared" si="631"/>
        <v>675272.40124865097</v>
      </c>
      <c r="BF62" s="63">
        <f t="shared" si="631"/>
        <v>687315.15274603141</v>
      </c>
      <c r="BG62" s="63">
        <f t="shared" si="631"/>
        <v>699357.90424341219</v>
      </c>
      <c r="BH62" s="63">
        <f t="shared" si="631"/>
        <v>711400.65574079286</v>
      </c>
      <c r="BI62" s="63">
        <f t="shared" si="631"/>
        <v>723443.40723817365</v>
      </c>
      <c r="BJ62" s="63">
        <f t="shared" si="631"/>
        <v>735486.15873555432</v>
      </c>
      <c r="BK62" s="63">
        <f t="shared" si="631"/>
        <v>747528.91023293487</v>
      </c>
      <c r="BL62" s="63">
        <f t="shared" si="631"/>
        <v>759571.66173031565</v>
      </c>
      <c r="BM62" s="63">
        <f t="shared" si="631"/>
        <v>771614.4132276962</v>
      </c>
      <c r="BN62" s="63">
        <f t="shared" si="631"/>
        <v>783657.16472507711</v>
      </c>
      <c r="BO62" s="63">
        <f t="shared" si="631"/>
        <v>795699.91622245742</v>
      </c>
      <c r="BP62" s="63">
        <f t="shared" si="631"/>
        <v>807742.66771983798</v>
      </c>
      <c r="BQ62" s="63">
        <f t="shared" si="631"/>
        <v>819785.41921721853</v>
      </c>
      <c r="BR62" s="63">
        <f t="shared" si="631"/>
        <v>831828.17071459931</v>
      </c>
      <c r="BS62" s="63">
        <f t="shared" si="631"/>
        <v>843870.9222119801</v>
      </c>
      <c r="BT62" s="63">
        <f t="shared" si="631"/>
        <v>855913.67370936088</v>
      </c>
      <c r="BU62" s="63">
        <f t="shared" si="631"/>
        <v>867956.42520674178</v>
      </c>
      <c r="BV62" s="63">
        <f t="shared" si="631"/>
        <v>879999.1767041221</v>
      </c>
      <c r="BW62" s="63">
        <f t="shared" si="631"/>
        <v>892041.92820150277</v>
      </c>
      <c r="BX62" s="63">
        <f t="shared" si="631"/>
        <v>904084.67969888321</v>
      </c>
      <c r="BY62" s="63">
        <f t="shared" si="631"/>
        <v>916127.43119626411</v>
      </c>
      <c r="BZ62" s="63">
        <f t="shared" si="631"/>
        <v>928170.18269364478</v>
      </c>
      <c r="CA62" s="63">
        <f t="shared" ref="CA62:CI62" si="632">CA60*(0.3)</f>
        <v>940212.93419102533</v>
      </c>
      <c r="CB62" s="63">
        <f t="shared" si="632"/>
        <v>952255.68568840611</v>
      </c>
      <c r="CC62" s="63">
        <f t="shared" si="632"/>
        <v>964298.43718578666</v>
      </c>
      <c r="CD62" s="63">
        <f t="shared" si="632"/>
        <v>976341.18868316722</v>
      </c>
      <c r="CE62" s="63">
        <f t="shared" si="632"/>
        <v>988383.94018054812</v>
      </c>
      <c r="CF62" s="63">
        <f t="shared" si="632"/>
        <v>1000426.6916779287</v>
      </c>
      <c r="CG62" s="63">
        <f t="shared" si="632"/>
        <v>1012469.4431753095</v>
      </c>
      <c r="CH62" s="63">
        <f t="shared" si="632"/>
        <v>1024512.1946726901</v>
      </c>
      <c r="CI62" s="63">
        <f t="shared" si="632"/>
        <v>1036554.9461700706</v>
      </c>
    </row>
    <row r="63" spans="1:87" x14ac:dyDescent="0.25">
      <c r="B63" s="59" t="s">
        <v>733</v>
      </c>
      <c r="C63" s="60">
        <f>C62/C$15</f>
        <v>0.35961120740724489</v>
      </c>
      <c r="D63" s="60">
        <f t="shared" ref="D63" si="633">D62/D$15</f>
        <v>0.35477524308539832</v>
      </c>
      <c r="E63" s="60">
        <f t="shared" ref="E63" si="634">E62/E$15</f>
        <v>0.34752627763682492</v>
      </c>
      <c r="F63" s="60">
        <f t="shared" ref="F63" si="635">F62/F$15</f>
        <v>0.34098042799361111</v>
      </c>
      <c r="G63" s="60">
        <f t="shared" ref="G63" si="636">G62/G$15</f>
        <v>0.32218998007202043</v>
      </c>
      <c r="H63" s="60">
        <f t="shared" ref="H63" si="637">H62/H$15</f>
        <v>0.30267664153633084</v>
      </c>
      <c r="I63" s="60">
        <f t="shared" ref="I63" si="638">I62/I$15</f>
        <v>0.30777015243587919</v>
      </c>
      <c r="J63" s="60">
        <f t="shared" ref="J63" si="639">J62/J$15</f>
        <v>0.31032175687072716</v>
      </c>
      <c r="K63" s="60">
        <f t="shared" ref="K63" si="640">K62/K$15</f>
        <v>0.30225691470705784</v>
      </c>
      <c r="L63" s="60">
        <f t="shared" ref="L63" si="641">L62/L$15</f>
        <v>0.31176257613834818</v>
      </c>
      <c r="M63" s="60">
        <f>M62/M60</f>
        <v>0.31176257613834818</v>
      </c>
      <c r="N63" s="60">
        <f t="shared" ref="N63:BY63" si="642">N62/N60</f>
        <v>0.315</v>
      </c>
      <c r="O63" s="60">
        <f t="shared" si="642"/>
        <v>0.3</v>
      </c>
      <c r="P63" s="60">
        <f t="shared" si="642"/>
        <v>0.3</v>
      </c>
      <c r="Q63" s="60">
        <f t="shared" si="642"/>
        <v>0.3</v>
      </c>
      <c r="R63" s="60">
        <f t="shared" si="642"/>
        <v>0.3</v>
      </c>
      <c r="S63" s="60">
        <f t="shared" si="642"/>
        <v>0.3</v>
      </c>
      <c r="T63" s="60">
        <f t="shared" si="642"/>
        <v>0.3</v>
      </c>
      <c r="U63" s="60">
        <f t="shared" si="642"/>
        <v>0.3</v>
      </c>
      <c r="V63" s="60">
        <f t="shared" si="642"/>
        <v>0.3</v>
      </c>
      <c r="W63" s="60">
        <f t="shared" si="642"/>
        <v>0.3</v>
      </c>
      <c r="X63" s="60">
        <f t="shared" si="642"/>
        <v>0.3</v>
      </c>
      <c r="Y63" s="60">
        <f t="shared" si="642"/>
        <v>0.3</v>
      </c>
      <c r="Z63" s="60">
        <f t="shared" si="642"/>
        <v>0.3</v>
      </c>
      <c r="AA63" s="60">
        <f t="shared" si="642"/>
        <v>0.3</v>
      </c>
      <c r="AB63" s="60">
        <f t="shared" si="642"/>
        <v>0.3</v>
      </c>
      <c r="AC63" s="60">
        <f t="shared" si="642"/>
        <v>0.3</v>
      </c>
      <c r="AD63" s="60">
        <f t="shared" si="642"/>
        <v>0.3</v>
      </c>
      <c r="AE63" s="60">
        <f t="shared" si="642"/>
        <v>0.3</v>
      </c>
      <c r="AF63" s="60">
        <f t="shared" si="642"/>
        <v>0.3</v>
      </c>
      <c r="AG63" s="60">
        <f t="shared" si="642"/>
        <v>0.3</v>
      </c>
      <c r="AH63" s="60">
        <f t="shared" si="642"/>
        <v>0.3</v>
      </c>
      <c r="AI63" s="60">
        <f t="shared" si="642"/>
        <v>0.3</v>
      </c>
      <c r="AJ63" s="60">
        <f t="shared" si="642"/>
        <v>0.3</v>
      </c>
      <c r="AK63" s="60">
        <f t="shared" si="642"/>
        <v>0.3</v>
      </c>
      <c r="AL63" s="60">
        <f t="shared" si="642"/>
        <v>0.3</v>
      </c>
      <c r="AM63" s="60">
        <f t="shared" si="642"/>
        <v>0.3</v>
      </c>
      <c r="AN63" s="60">
        <f t="shared" si="642"/>
        <v>0.3</v>
      </c>
      <c r="AO63" s="60">
        <f t="shared" si="642"/>
        <v>0.3</v>
      </c>
      <c r="AP63" s="60">
        <f t="shared" si="642"/>
        <v>0.3</v>
      </c>
      <c r="AQ63" s="60">
        <f t="shared" si="642"/>
        <v>0.3</v>
      </c>
      <c r="AR63" s="60">
        <f t="shared" si="642"/>
        <v>0.3</v>
      </c>
      <c r="AS63" s="60">
        <f t="shared" si="642"/>
        <v>0.3</v>
      </c>
      <c r="AT63" s="60">
        <f t="shared" si="642"/>
        <v>0.3</v>
      </c>
      <c r="AU63" s="60">
        <f t="shared" si="642"/>
        <v>0.3</v>
      </c>
      <c r="AV63" s="60">
        <f t="shared" si="642"/>
        <v>0.3</v>
      </c>
      <c r="AW63" s="60">
        <f t="shared" si="642"/>
        <v>0.3</v>
      </c>
      <c r="AX63" s="60">
        <f t="shared" si="642"/>
        <v>0.3</v>
      </c>
      <c r="AY63" s="60">
        <f t="shared" si="642"/>
        <v>0.3</v>
      </c>
      <c r="AZ63" s="60">
        <f t="shared" si="642"/>
        <v>0.3</v>
      </c>
      <c r="BA63" s="60">
        <f t="shared" si="642"/>
        <v>0.3</v>
      </c>
      <c r="BB63" s="60">
        <f t="shared" si="642"/>
        <v>0.3</v>
      </c>
      <c r="BC63" s="60">
        <f t="shared" si="642"/>
        <v>0.3</v>
      </c>
      <c r="BD63" s="60">
        <f t="shared" si="642"/>
        <v>0.3</v>
      </c>
      <c r="BE63" s="60">
        <f t="shared" si="642"/>
        <v>0.3</v>
      </c>
      <c r="BF63" s="60">
        <f t="shared" si="642"/>
        <v>0.3</v>
      </c>
      <c r="BG63" s="60">
        <f t="shared" si="642"/>
        <v>0.3</v>
      </c>
      <c r="BH63" s="60">
        <f t="shared" si="642"/>
        <v>0.3</v>
      </c>
      <c r="BI63" s="60">
        <f t="shared" si="642"/>
        <v>0.3</v>
      </c>
      <c r="BJ63" s="60">
        <f t="shared" si="642"/>
        <v>0.3</v>
      </c>
      <c r="BK63" s="60">
        <f t="shared" si="642"/>
        <v>0.3</v>
      </c>
      <c r="BL63" s="60">
        <f t="shared" si="642"/>
        <v>0.3</v>
      </c>
      <c r="BM63" s="60">
        <f t="shared" si="642"/>
        <v>0.3</v>
      </c>
      <c r="BN63" s="60">
        <f t="shared" si="642"/>
        <v>0.3</v>
      </c>
      <c r="BO63" s="60">
        <f t="shared" si="642"/>
        <v>0.3</v>
      </c>
      <c r="BP63" s="60">
        <f t="shared" si="642"/>
        <v>0.3</v>
      </c>
      <c r="BQ63" s="60">
        <f t="shared" si="642"/>
        <v>0.3</v>
      </c>
      <c r="BR63" s="60">
        <f t="shared" si="642"/>
        <v>0.3</v>
      </c>
      <c r="BS63" s="60">
        <f t="shared" si="642"/>
        <v>0.3</v>
      </c>
      <c r="BT63" s="60">
        <f t="shared" si="642"/>
        <v>0.3</v>
      </c>
      <c r="BU63" s="60">
        <f t="shared" si="642"/>
        <v>0.3</v>
      </c>
      <c r="BV63" s="60">
        <f t="shared" si="642"/>
        <v>0.3</v>
      </c>
      <c r="BW63" s="60">
        <f t="shared" si="642"/>
        <v>0.3</v>
      </c>
      <c r="BX63" s="60">
        <f t="shared" si="642"/>
        <v>0.3</v>
      </c>
      <c r="BY63" s="60">
        <f t="shared" si="642"/>
        <v>0.3</v>
      </c>
      <c r="BZ63" s="60">
        <f t="shared" ref="BZ63:CI63" si="643">BZ62/BZ60</f>
        <v>0.3</v>
      </c>
      <c r="CA63" s="60">
        <f t="shared" si="643"/>
        <v>0.3</v>
      </c>
      <c r="CB63" s="60">
        <f t="shared" si="643"/>
        <v>0.3</v>
      </c>
      <c r="CC63" s="60">
        <f t="shared" si="643"/>
        <v>0.3</v>
      </c>
      <c r="CD63" s="60">
        <f t="shared" si="643"/>
        <v>0.3</v>
      </c>
      <c r="CE63" s="60">
        <f t="shared" si="643"/>
        <v>0.3</v>
      </c>
      <c r="CF63" s="60">
        <f t="shared" si="643"/>
        <v>0.3</v>
      </c>
      <c r="CG63" s="60">
        <f t="shared" si="643"/>
        <v>0.3</v>
      </c>
      <c r="CH63" s="60">
        <f t="shared" si="643"/>
        <v>0.3</v>
      </c>
      <c r="CI63" s="60">
        <f t="shared" si="643"/>
        <v>0.3</v>
      </c>
    </row>
    <row r="64" spans="1:87" x14ac:dyDescent="0.25">
      <c r="B64" s="54" t="s">
        <v>734</v>
      </c>
      <c r="C64" s="56">
        <v>32296</v>
      </c>
      <c r="D64" s="56">
        <v>33285</v>
      </c>
      <c r="E64" s="56">
        <v>36949</v>
      </c>
      <c r="F64" s="56">
        <v>39974</v>
      </c>
      <c r="G64" s="56">
        <v>43978</v>
      </c>
      <c r="H64" s="56">
        <v>45940</v>
      </c>
      <c r="I64" s="56">
        <v>52237</v>
      </c>
      <c r="J64" s="56">
        <v>57529</v>
      </c>
      <c r="K64" s="56">
        <v>61575</v>
      </c>
      <c r="L64" s="56">
        <v>65365</v>
      </c>
      <c r="M64" s="56">
        <f>M60*L65</f>
        <v>74581.429757420003</v>
      </c>
      <c r="N64" s="56">
        <f t="shared" ref="N64:BY64" si="644">N60*M65</f>
        <v>84392.491889529541</v>
      </c>
      <c r="O64" s="56">
        <f t="shared" si="644"/>
        <v>94467.988316738207</v>
      </c>
      <c r="P64" s="56">
        <f t="shared" si="644"/>
        <v>105466.53907677346</v>
      </c>
      <c r="Q64" s="56">
        <f t="shared" si="644"/>
        <v>117400.12099031747</v>
      </c>
      <c r="R64" s="56">
        <f t="shared" si="644"/>
        <v>130254.93553937667</v>
      </c>
      <c r="S64" s="56">
        <f t="shared" si="644"/>
        <v>143987.06349365326</v>
      </c>
      <c r="T64" s="56">
        <f t="shared" si="644"/>
        <v>158518.79995154223</v>
      </c>
      <c r="U64" s="56">
        <f t="shared" si="644"/>
        <v>173736.01897207351</v>
      </c>
      <c r="V64" s="56">
        <f t="shared" si="644"/>
        <v>189486.91124625222</v>
      </c>
      <c r="W64" s="56">
        <f t="shared" si="644"/>
        <v>205582.40396421464</v>
      </c>
      <c r="X64" s="56">
        <f t="shared" si="644"/>
        <v>214896.18212565736</v>
      </c>
      <c r="Y64" s="56">
        <f t="shared" si="644"/>
        <v>224209.96028710005</v>
      </c>
      <c r="Z64" s="56">
        <f t="shared" si="644"/>
        <v>233523.73844854278</v>
      </c>
      <c r="AA64" s="56">
        <f t="shared" si="644"/>
        <v>242837.5166099855</v>
      </c>
      <c r="AB64" s="56">
        <f t="shared" si="644"/>
        <v>252151.29477142825</v>
      </c>
      <c r="AC64" s="56">
        <f t="shared" si="644"/>
        <v>261465.07293287097</v>
      </c>
      <c r="AD64" s="56">
        <f t="shared" si="644"/>
        <v>270778.85109431361</v>
      </c>
      <c r="AE64" s="56">
        <f t="shared" si="644"/>
        <v>280092.62925575639</v>
      </c>
      <c r="AF64" s="56">
        <f t="shared" si="644"/>
        <v>289406.40741719905</v>
      </c>
      <c r="AG64" s="56">
        <f t="shared" si="644"/>
        <v>298720.18557864189</v>
      </c>
      <c r="AH64" s="56">
        <f t="shared" si="644"/>
        <v>308033.96374008455</v>
      </c>
      <c r="AI64" s="56">
        <f t="shared" si="644"/>
        <v>317347.74190152733</v>
      </c>
      <c r="AJ64" s="56">
        <f t="shared" si="644"/>
        <v>326661.52006297006</v>
      </c>
      <c r="AK64" s="56">
        <f t="shared" si="644"/>
        <v>335975.29822441278</v>
      </c>
      <c r="AL64" s="56">
        <f t="shared" si="644"/>
        <v>345289.07638585556</v>
      </c>
      <c r="AM64" s="56">
        <f t="shared" si="644"/>
        <v>354602.85454729834</v>
      </c>
      <c r="AN64" s="56">
        <f t="shared" si="644"/>
        <v>363916.632708741</v>
      </c>
      <c r="AO64" s="56">
        <f t="shared" si="644"/>
        <v>373230.41087018378</v>
      </c>
      <c r="AP64" s="56">
        <f t="shared" si="644"/>
        <v>382544.18903162651</v>
      </c>
      <c r="AQ64" s="56">
        <f t="shared" si="644"/>
        <v>391857.96719306923</v>
      </c>
      <c r="AR64" s="56">
        <f t="shared" si="644"/>
        <v>401171.74535451195</v>
      </c>
      <c r="AS64" s="56">
        <f t="shared" si="644"/>
        <v>410485.52351595461</v>
      </c>
      <c r="AT64" s="56">
        <f t="shared" si="644"/>
        <v>419799.30167739716</v>
      </c>
      <c r="AU64" s="56">
        <f t="shared" si="644"/>
        <v>429113.07983884</v>
      </c>
      <c r="AV64" s="56">
        <f t="shared" si="644"/>
        <v>438426.85800028278</v>
      </c>
      <c r="AW64" s="56">
        <f t="shared" si="644"/>
        <v>447740.63616172544</v>
      </c>
      <c r="AX64" s="56">
        <f t="shared" si="644"/>
        <v>457054.41432316822</v>
      </c>
      <c r="AY64" s="56">
        <f t="shared" si="644"/>
        <v>466368.19248461083</v>
      </c>
      <c r="AZ64" s="56">
        <f t="shared" si="644"/>
        <v>475681.97064605355</v>
      </c>
      <c r="BA64" s="56">
        <f t="shared" si="644"/>
        <v>484995.74880749627</v>
      </c>
      <c r="BB64" s="56">
        <f t="shared" si="644"/>
        <v>494309.52696893906</v>
      </c>
      <c r="BC64" s="56">
        <f t="shared" si="644"/>
        <v>503623.30513038172</v>
      </c>
      <c r="BD64" s="56">
        <f t="shared" si="644"/>
        <v>512937.08329182444</v>
      </c>
      <c r="BE64" s="56">
        <f t="shared" si="644"/>
        <v>522250.86145326722</v>
      </c>
      <c r="BF64" s="56">
        <f t="shared" si="644"/>
        <v>531564.63961470977</v>
      </c>
      <c r="BG64" s="56">
        <f t="shared" si="644"/>
        <v>540878.41777615249</v>
      </c>
      <c r="BH64" s="56">
        <f t="shared" si="644"/>
        <v>550192.19593759521</v>
      </c>
      <c r="BI64" s="56">
        <f t="shared" si="644"/>
        <v>559505.97409903805</v>
      </c>
      <c r="BJ64" s="56">
        <f t="shared" si="644"/>
        <v>568819.75226048089</v>
      </c>
      <c r="BK64" s="56">
        <f t="shared" si="644"/>
        <v>578133.5304219235</v>
      </c>
      <c r="BL64" s="56">
        <f t="shared" si="644"/>
        <v>587447.30858336634</v>
      </c>
      <c r="BM64" s="56">
        <f t="shared" si="644"/>
        <v>596761.08674480906</v>
      </c>
      <c r="BN64" s="56">
        <f t="shared" si="644"/>
        <v>606074.86490625201</v>
      </c>
      <c r="BO64" s="56">
        <f t="shared" si="644"/>
        <v>615388.6430676945</v>
      </c>
      <c r="BP64" s="56">
        <f t="shared" si="644"/>
        <v>624702.42122913711</v>
      </c>
      <c r="BQ64" s="56">
        <f t="shared" si="644"/>
        <v>634016.19939057983</v>
      </c>
      <c r="BR64" s="56">
        <f t="shared" si="644"/>
        <v>643329.97755202255</v>
      </c>
      <c r="BS64" s="56">
        <f t="shared" si="644"/>
        <v>652643.75571346539</v>
      </c>
      <c r="BT64" s="56">
        <f t="shared" si="644"/>
        <v>661957.53387490823</v>
      </c>
      <c r="BU64" s="56">
        <f t="shared" si="644"/>
        <v>671271.31203635118</v>
      </c>
      <c r="BV64" s="56">
        <f t="shared" si="644"/>
        <v>680585.09019779367</v>
      </c>
      <c r="BW64" s="56">
        <f t="shared" si="644"/>
        <v>689898.8683592364</v>
      </c>
      <c r="BX64" s="56">
        <f t="shared" si="644"/>
        <v>699212.646520679</v>
      </c>
      <c r="BY64" s="56">
        <f t="shared" si="644"/>
        <v>708526.42468212184</v>
      </c>
      <c r="BZ64" s="56">
        <f t="shared" ref="BZ64:CI64" si="645">BZ60*BY65</f>
        <v>717840.20284356445</v>
      </c>
      <c r="CA64" s="56">
        <f t="shared" si="645"/>
        <v>727153.98100500705</v>
      </c>
      <c r="CB64" s="56">
        <f t="shared" si="645"/>
        <v>736467.75916644977</v>
      </c>
      <c r="CC64" s="56">
        <f t="shared" si="645"/>
        <v>745781.53732789238</v>
      </c>
      <c r="CD64" s="56">
        <f t="shared" si="645"/>
        <v>755095.31548933487</v>
      </c>
      <c r="CE64" s="56">
        <f t="shared" si="645"/>
        <v>764409.09365077771</v>
      </c>
      <c r="CF64" s="56">
        <f t="shared" si="645"/>
        <v>773722.87181222043</v>
      </c>
      <c r="CG64" s="56">
        <f t="shared" si="645"/>
        <v>783036.64997366327</v>
      </c>
      <c r="CH64" s="56">
        <f t="shared" si="645"/>
        <v>792350.42813510587</v>
      </c>
      <c r="CI64" s="56">
        <f t="shared" si="645"/>
        <v>801664.20629654848</v>
      </c>
    </row>
    <row r="65" spans="2:87" x14ac:dyDescent="0.25">
      <c r="B65" s="59" t="s">
        <v>733</v>
      </c>
      <c r="C65" s="60">
        <f>C64/C$15</f>
        <v>0.35430151172740637</v>
      </c>
      <c r="D65" s="60">
        <f t="shared" ref="D65" si="646">D64/D$15</f>
        <v>0.34466868935808886</v>
      </c>
      <c r="E65" s="60">
        <f t="shared" ref="E65" si="647">E64/E$15</f>
        <v>0.3348042769119246</v>
      </c>
      <c r="F65" s="60">
        <f t="shared" ref="F65" si="648">F64/F$15</f>
        <v>0.31764976995144745</v>
      </c>
      <c r="G65" s="60">
        <f t="shared" ref="G65" si="649">G64/G$15</f>
        <v>0.30750620564276476</v>
      </c>
      <c r="H65" s="60">
        <f t="shared" ref="H65" si="650">H64/H$15</f>
        <v>0.26621544095916366</v>
      </c>
      <c r="I65" s="60">
        <f t="shared" ref="I65" si="651">I64/I$15</f>
        <v>0.2566159529575901</v>
      </c>
      <c r="J65" s="60">
        <f t="shared" ref="J65" si="652">J64/J$15</f>
        <v>0.2710550741845355</v>
      </c>
      <c r="K65" s="60">
        <f t="shared" ref="K65" si="653">K64/K$15</f>
        <v>0.25111948515917487</v>
      </c>
      <c r="L65" s="60">
        <f t="shared" ref="L65" si="654">L64/L$15</f>
        <v>0.23201786145305334</v>
      </c>
      <c r="M65" s="60">
        <f>M64/M60</f>
        <v>0.23201786145305331</v>
      </c>
      <c r="N65" s="60">
        <f t="shared" ref="N65:BY65" si="655">N64/N60</f>
        <v>0.23201786145305331</v>
      </c>
      <c r="O65" s="60">
        <f t="shared" si="655"/>
        <v>0.23201786145305331</v>
      </c>
      <c r="P65" s="60">
        <f t="shared" si="655"/>
        <v>0.23201786145305331</v>
      </c>
      <c r="Q65" s="60">
        <f t="shared" si="655"/>
        <v>0.23201786145305328</v>
      </c>
      <c r="R65" s="60">
        <f t="shared" si="655"/>
        <v>0.23201786145305328</v>
      </c>
      <c r="S65" s="60">
        <f t="shared" si="655"/>
        <v>0.23201786145305325</v>
      </c>
      <c r="T65" s="60">
        <f t="shared" si="655"/>
        <v>0.23201786145305325</v>
      </c>
      <c r="U65" s="60">
        <f t="shared" si="655"/>
        <v>0.23201786145305325</v>
      </c>
      <c r="V65" s="60">
        <f t="shared" si="655"/>
        <v>0.23201786145305325</v>
      </c>
      <c r="W65" s="60">
        <f t="shared" si="655"/>
        <v>0.23201786145305325</v>
      </c>
      <c r="X65" s="60">
        <f t="shared" si="655"/>
        <v>0.23201786145305325</v>
      </c>
      <c r="Y65" s="60">
        <f t="shared" si="655"/>
        <v>0.23201786145305325</v>
      </c>
      <c r="Z65" s="60">
        <f t="shared" si="655"/>
        <v>0.23201786145305325</v>
      </c>
      <c r="AA65" s="60">
        <f t="shared" si="655"/>
        <v>0.23201786145305325</v>
      </c>
      <c r="AB65" s="60">
        <f t="shared" si="655"/>
        <v>0.23201786145305325</v>
      </c>
      <c r="AC65" s="60">
        <f t="shared" si="655"/>
        <v>0.23201786145305325</v>
      </c>
      <c r="AD65" s="60">
        <f t="shared" si="655"/>
        <v>0.23201786145305325</v>
      </c>
      <c r="AE65" s="60">
        <f t="shared" si="655"/>
        <v>0.23201786145305323</v>
      </c>
      <c r="AF65" s="60">
        <f t="shared" si="655"/>
        <v>0.23201786145305323</v>
      </c>
      <c r="AG65" s="60">
        <f t="shared" si="655"/>
        <v>0.23201786145305325</v>
      </c>
      <c r="AH65" s="60">
        <f t="shared" si="655"/>
        <v>0.23201786145305328</v>
      </c>
      <c r="AI65" s="60">
        <f t="shared" si="655"/>
        <v>0.23201786145305331</v>
      </c>
      <c r="AJ65" s="60">
        <f t="shared" si="655"/>
        <v>0.23201786145305331</v>
      </c>
      <c r="AK65" s="60">
        <f t="shared" si="655"/>
        <v>0.23201786145305331</v>
      </c>
      <c r="AL65" s="60">
        <f t="shared" si="655"/>
        <v>0.23201786145305334</v>
      </c>
      <c r="AM65" s="60">
        <f t="shared" si="655"/>
        <v>0.23201786145305334</v>
      </c>
      <c r="AN65" s="60">
        <f t="shared" si="655"/>
        <v>0.23201786145305334</v>
      </c>
      <c r="AO65" s="60">
        <f t="shared" si="655"/>
        <v>0.23201786145305336</v>
      </c>
      <c r="AP65" s="60">
        <f t="shared" si="655"/>
        <v>0.23201786145305336</v>
      </c>
      <c r="AQ65" s="60">
        <f t="shared" si="655"/>
        <v>0.23201786145305336</v>
      </c>
      <c r="AR65" s="60">
        <f t="shared" si="655"/>
        <v>0.23201786145305336</v>
      </c>
      <c r="AS65" s="60">
        <f t="shared" si="655"/>
        <v>0.23201786145305336</v>
      </c>
      <c r="AT65" s="60">
        <f t="shared" si="655"/>
        <v>0.23201786145305336</v>
      </c>
      <c r="AU65" s="60">
        <f t="shared" si="655"/>
        <v>0.23201786145305336</v>
      </c>
      <c r="AV65" s="60">
        <f t="shared" si="655"/>
        <v>0.23201786145305336</v>
      </c>
      <c r="AW65" s="60">
        <f t="shared" si="655"/>
        <v>0.23201786145305336</v>
      </c>
      <c r="AX65" s="60">
        <f t="shared" si="655"/>
        <v>0.23201786145305336</v>
      </c>
      <c r="AY65" s="60">
        <f t="shared" si="655"/>
        <v>0.23201786145305336</v>
      </c>
      <c r="AZ65" s="60">
        <f t="shared" si="655"/>
        <v>0.23201786145305336</v>
      </c>
      <c r="BA65" s="60">
        <f t="shared" si="655"/>
        <v>0.23201786145305336</v>
      </c>
      <c r="BB65" s="60">
        <f t="shared" si="655"/>
        <v>0.23201786145305336</v>
      </c>
      <c r="BC65" s="60">
        <f t="shared" si="655"/>
        <v>0.23201786145305336</v>
      </c>
      <c r="BD65" s="60">
        <f t="shared" si="655"/>
        <v>0.23201786145305336</v>
      </c>
      <c r="BE65" s="60">
        <f t="shared" si="655"/>
        <v>0.23201786145305336</v>
      </c>
      <c r="BF65" s="60">
        <f t="shared" si="655"/>
        <v>0.23201786145305334</v>
      </c>
      <c r="BG65" s="60">
        <f t="shared" si="655"/>
        <v>0.23201786145305331</v>
      </c>
      <c r="BH65" s="60">
        <f t="shared" si="655"/>
        <v>0.23201786145305334</v>
      </c>
      <c r="BI65" s="60">
        <f t="shared" si="655"/>
        <v>0.23201786145305334</v>
      </c>
      <c r="BJ65" s="60">
        <f t="shared" si="655"/>
        <v>0.23201786145305336</v>
      </c>
      <c r="BK65" s="60">
        <f t="shared" si="655"/>
        <v>0.23201786145305336</v>
      </c>
      <c r="BL65" s="60">
        <f t="shared" si="655"/>
        <v>0.23201786145305339</v>
      </c>
      <c r="BM65" s="60">
        <f t="shared" si="655"/>
        <v>0.23201786145305339</v>
      </c>
      <c r="BN65" s="60">
        <f t="shared" si="655"/>
        <v>0.23201786145305342</v>
      </c>
      <c r="BO65" s="60">
        <f t="shared" si="655"/>
        <v>0.23201786145305342</v>
      </c>
      <c r="BP65" s="60">
        <f t="shared" si="655"/>
        <v>0.23201786145305342</v>
      </c>
      <c r="BQ65" s="60">
        <f t="shared" si="655"/>
        <v>0.23201786145305342</v>
      </c>
      <c r="BR65" s="60">
        <f t="shared" si="655"/>
        <v>0.23201786145305339</v>
      </c>
      <c r="BS65" s="60">
        <f t="shared" si="655"/>
        <v>0.23201786145305342</v>
      </c>
      <c r="BT65" s="60">
        <f t="shared" si="655"/>
        <v>0.23201786145305342</v>
      </c>
      <c r="BU65" s="60">
        <f t="shared" si="655"/>
        <v>0.23201786145305345</v>
      </c>
      <c r="BV65" s="60">
        <f t="shared" si="655"/>
        <v>0.23201786145305345</v>
      </c>
      <c r="BW65" s="60">
        <f t="shared" si="655"/>
        <v>0.23201786145305345</v>
      </c>
      <c r="BX65" s="60">
        <f t="shared" si="655"/>
        <v>0.23201786145305345</v>
      </c>
      <c r="BY65" s="60">
        <f t="shared" si="655"/>
        <v>0.23201786145305342</v>
      </c>
      <c r="BZ65" s="60">
        <f t="shared" ref="BZ65:CI65" si="656">BZ64/BZ60</f>
        <v>0.23201786145305339</v>
      </c>
      <c r="CA65" s="60">
        <f t="shared" si="656"/>
        <v>0.23201786145305336</v>
      </c>
      <c r="CB65" s="60">
        <f t="shared" si="656"/>
        <v>0.23201786145305334</v>
      </c>
      <c r="CC65" s="60">
        <f t="shared" si="656"/>
        <v>0.23201786145305331</v>
      </c>
      <c r="CD65" s="60">
        <f t="shared" si="656"/>
        <v>0.23201786145305328</v>
      </c>
      <c r="CE65" s="60">
        <f t="shared" si="656"/>
        <v>0.23201786145305328</v>
      </c>
      <c r="CF65" s="60">
        <f t="shared" si="656"/>
        <v>0.23201786145305328</v>
      </c>
      <c r="CG65" s="60">
        <f t="shared" si="656"/>
        <v>0.23201786145305328</v>
      </c>
      <c r="CH65" s="60">
        <f t="shared" si="656"/>
        <v>0.23201786145305328</v>
      </c>
      <c r="CI65" s="60">
        <f t="shared" si="656"/>
        <v>0.23201786145305328</v>
      </c>
    </row>
    <row r="66" spans="2:87" x14ac:dyDescent="0.25">
      <c r="B66" s="54" t="s">
        <v>735</v>
      </c>
      <c r="C66" s="33">
        <v>-439</v>
      </c>
      <c r="D66" s="33">
        <v>876</v>
      </c>
      <c r="E66" s="33">
        <v>1416</v>
      </c>
      <c r="F66" s="33">
        <v>729</v>
      </c>
      <c r="G66" s="33">
        <v>77</v>
      </c>
      <c r="H66" s="33">
        <v>1186</v>
      </c>
      <c r="I66" s="33">
        <v>333</v>
      </c>
      <c r="J66" s="33">
        <v>788</v>
      </c>
      <c r="K66" s="33">
        <v>-1646</v>
      </c>
      <c r="L66" s="33">
        <v>-4901</v>
      </c>
      <c r="M66" s="56">
        <f>M60*(L67)</f>
        <v>-5592.0383575478536</v>
      </c>
      <c r="N66" s="56">
        <f t="shared" ref="N66:BY66" si="657">N60*(M67)</f>
        <v>-6327.6616346758101</v>
      </c>
      <c r="O66" s="56">
        <f t="shared" si="657"/>
        <v>-7083.1119213697548</v>
      </c>
      <c r="P66" s="56">
        <f t="shared" si="657"/>
        <v>-7907.7718659109132</v>
      </c>
      <c r="Q66" s="56">
        <f t="shared" si="657"/>
        <v>-8802.5394779093713</v>
      </c>
      <c r="R66" s="56">
        <f t="shared" si="657"/>
        <v>-9766.3801587774069</v>
      </c>
      <c r="S66" s="56">
        <f t="shared" si="657"/>
        <v>-10796.000890115427</v>
      </c>
      <c r="T66" s="56">
        <f t="shared" si="657"/>
        <v>-11885.575438881797</v>
      </c>
      <c r="U66" s="56">
        <f t="shared" si="657"/>
        <v>-13026.546760225388</v>
      </c>
      <c r="V66" s="56">
        <f t="shared" si="657"/>
        <v>-14207.532349390078</v>
      </c>
      <c r="W66" s="56">
        <f t="shared" si="657"/>
        <v>-15414.355722919241</v>
      </c>
      <c r="X66" s="56">
        <f t="shared" si="657"/>
        <v>-16112.693162974791</v>
      </c>
      <c r="Y66" s="56">
        <f t="shared" si="657"/>
        <v>-16811.030603030333</v>
      </c>
      <c r="Z66" s="56">
        <f t="shared" si="657"/>
        <v>-17509.36804308588</v>
      </c>
      <c r="AA66" s="56">
        <f t="shared" si="657"/>
        <v>-18207.705483141424</v>
      </c>
      <c r="AB66" s="56">
        <f t="shared" si="657"/>
        <v>-18906.042923196976</v>
      </c>
      <c r="AC66" s="56">
        <f t="shared" si="657"/>
        <v>-19604.380363252523</v>
      </c>
      <c r="AD66" s="56">
        <f t="shared" si="657"/>
        <v>-20302.717803308064</v>
      </c>
      <c r="AE66" s="56">
        <f t="shared" si="657"/>
        <v>-21001.055243363615</v>
      </c>
      <c r="AF66" s="56">
        <f t="shared" si="657"/>
        <v>-21699.392683419159</v>
      </c>
      <c r="AG66" s="56">
        <f t="shared" si="657"/>
        <v>-22397.73012347471</v>
      </c>
      <c r="AH66" s="56">
        <f t="shared" si="657"/>
        <v>-23096.06756353025</v>
      </c>
      <c r="AI66" s="56">
        <f t="shared" si="657"/>
        <v>-23794.405003585798</v>
      </c>
      <c r="AJ66" s="56">
        <f t="shared" si="657"/>
        <v>-24492.742443641342</v>
      </c>
      <c r="AK66" s="56">
        <f t="shared" si="657"/>
        <v>-25191.07988369689</v>
      </c>
      <c r="AL66" s="56">
        <f t="shared" si="657"/>
        <v>-25889.417323752437</v>
      </c>
      <c r="AM66" s="56">
        <f t="shared" si="657"/>
        <v>-26587.754763807985</v>
      </c>
      <c r="AN66" s="56">
        <f t="shared" si="657"/>
        <v>-27286.092203863529</v>
      </c>
      <c r="AO66" s="56">
        <f t="shared" si="657"/>
        <v>-27984.429643919077</v>
      </c>
      <c r="AP66" s="56">
        <f t="shared" si="657"/>
        <v>-28682.767083974621</v>
      </c>
      <c r="AQ66" s="56">
        <f t="shared" si="657"/>
        <v>-29381.104524030172</v>
      </c>
      <c r="AR66" s="56">
        <f t="shared" si="657"/>
        <v>-30079.441964085716</v>
      </c>
      <c r="AS66" s="56">
        <f t="shared" si="657"/>
        <v>-30777.77940414126</v>
      </c>
      <c r="AT66" s="56">
        <f t="shared" si="657"/>
        <v>-31476.116844196789</v>
      </c>
      <c r="AU66" s="56">
        <f t="shared" si="657"/>
        <v>-32174.454284252348</v>
      </c>
      <c r="AV66" s="56">
        <f t="shared" si="657"/>
        <v>-32872.791724307892</v>
      </c>
      <c r="AW66" s="56">
        <f t="shared" si="657"/>
        <v>-33571.129164363439</v>
      </c>
      <c r="AX66" s="56">
        <f t="shared" si="657"/>
        <v>-34269.466604418987</v>
      </c>
      <c r="AY66" s="56">
        <f t="shared" si="657"/>
        <v>-34967.804044474527</v>
      </c>
      <c r="AZ66" s="56">
        <f t="shared" si="657"/>
        <v>-35666.141484530068</v>
      </c>
      <c r="BA66" s="56">
        <f t="shared" si="657"/>
        <v>-36364.478924585615</v>
      </c>
      <c r="BB66" s="56">
        <f t="shared" si="657"/>
        <v>-37062.816364641163</v>
      </c>
      <c r="BC66" s="56">
        <f t="shared" si="657"/>
        <v>-37761.153804696711</v>
      </c>
      <c r="BD66" s="56">
        <f t="shared" si="657"/>
        <v>-38459.491244752251</v>
      </c>
      <c r="BE66" s="56">
        <f t="shared" si="657"/>
        <v>-39157.828684807806</v>
      </c>
      <c r="BF66" s="56">
        <f t="shared" si="657"/>
        <v>-39856.166124863339</v>
      </c>
      <c r="BG66" s="56">
        <f t="shared" si="657"/>
        <v>-40554.503564918894</v>
      </c>
      <c r="BH66" s="56">
        <f t="shared" si="657"/>
        <v>-41252.841004974442</v>
      </c>
      <c r="BI66" s="56">
        <f t="shared" si="657"/>
        <v>-41951.178445029989</v>
      </c>
      <c r="BJ66" s="56">
        <f t="shared" si="657"/>
        <v>-42649.515885085544</v>
      </c>
      <c r="BK66" s="56">
        <f t="shared" si="657"/>
        <v>-43347.853325141077</v>
      </c>
      <c r="BL66" s="56">
        <f t="shared" si="657"/>
        <v>-44046.190765196632</v>
      </c>
      <c r="BM66" s="56">
        <f t="shared" si="657"/>
        <v>-44744.528205252172</v>
      </c>
      <c r="BN66" s="56">
        <f t="shared" si="657"/>
        <v>-45442.865645307735</v>
      </c>
      <c r="BO66" s="56">
        <f t="shared" si="657"/>
        <v>-46141.20308536326</v>
      </c>
      <c r="BP66" s="56">
        <f t="shared" si="657"/>
        <v>-46839.540525418801</v>
      </c>
      <c r="BQ66" s="56">
        <f t="shared" si="657"/>
        <v>-47537.877965474341</v>
      </c>
      <c r="BR66" s="56">
        <f t="shared" si="657"/>
        <v>-48236.215405529896</v>
      </c>
      <c r="BS66" s="56">
        <f t="shared" si="657"/>
        <v>-48934.552845585444</v>
      </c>
      <c r="BT66" s="56">
        <f t="shared" si="657"/>
        <v>-49632.890285640999</v>
      </c>
      <c r="BU66" s="56">
        <f t="shared" si="657"/>
        <v>-50331.227725696561</v>
      </c>
      <c r="BV66" s="56">
        <f t="shared" si="657"/>
        <v>-51029.565165752087</v>
      </c>
      <c r="BW66" s="56">
        <f t="shared" si="657"/>
        <v>-51727.902605807634</v>
      </c>
      <c r="BX66" s="56">
        <f t="shared" si="657"/>
        <v>-52426.240045863167</v>
      </c>
      <c r="BY66" s="56">
        <f t="shared" si="657"/>
        <v>-53124.57748591873</v>
      </c>
      <c r="BZ66" s="56">
        <f t="shared" ref="BZ66:CI66" si="658">BZ60*(BY67)</f>
        <v>-53822.91492597427</v>
      </c>
      <c r="CA66" s="56">
        <f t="shared" si="658"/>
        <v>-54521.252366029817</v>
      </c>
      <c r="CB66" s="56">
        <f t="shared" si="658"/>
        <v>-55219.589806085365</v>
      </c>
      <c r="CC66" s="56">
        <f t="shared" si="658"/>
        <v>-55917.927246140913</v>
      </c>
      <c r="CD66" s="56">
        <f t="shared" si="658"/>
        <v>-56616.264686196446</v>
      </c>
      <c r="CE66" s="56">
        <f t="shared" si="658"/>
        <v>-57314.602126252008</v>
      </c>
      <c r="CF66" s="56">
        <f t="shared" si="658"/>
        <v>-58012.939566307548</v>
      </c>
      <c r="CG66" s="56">
        <f t="shared" si="658"/>
        <v>-58711.277006363103</v>
      </c>
      <c r="CH66" s="56">
        <f t="shared" si="658"/>
        <v>-59409.614446418651</v>
      </c>
      <c r="CI66" s="56">
        <f t="shared" si="658"/>
        <v>-60107.951886474184</v>
      </c>
    </row>
    <row r="67" spans="2:87" x14ac:dyDescent="0.25">
      <c r="B67" s="59" t="s">
        <v>733</v>
      </c>
      <c r="C67" s="60">
        <f>C66/C$15</f>
        <v>-4.8160256269609673E-3</v>
      </c>
      <c r="D67" s="60">
        <f t="shared" ref="D67" si="659">D66/D$15</f>
        <v>9.0710461732818343E-3</v>
      </c>
      <c r="E67" s="60">
        <f t="shared" ref="E67" si="660">E66/E$15</f>
        <v>1.2830735773831098E-2</v>
      </c>
      <c r="F67" s="60">
        <f t="shared" ref="F67" si="661">F66/F$15</f>
        <v>5.7929324634663831E-3</v>
      </c>
      <c r="G67" s="60">
        <f t="shared" ref="G67" si="662">G66/G$15</f>
        <v>5.3840506240604132E-4</v>
      </c>
      <c r="H67" s="60">
        <f t="shared" ref="H67" si="663">H66/H$15</f>
        <v>6.8726929250667859E-3</v>
      </c>
      <c r="I67" s="60">
        <f t="shared" ref="I67" si="664">I66/I$15</f>
        <v>1.6358732763152076E-3</v>
      </c>
      <c r="J67" s="60">
        <f t="shared" ref="J67" si="665">J66/J$15</f>
        <v>3.712760493966764E-3</v>
      </c>
      <c r="K67" s="60">
        <f t="shared" ref="K67" si="666">K66/K$15</f>
        <v>-6.712832684888378E-3</v>
      </c>
      <c r="L67" s="60">
        <f t="shared" ref="L67" si="667">L66/L$15</f>
        <v>-1.7396458945634734E-2</v>
      </c>
      <c r="M67" s="60">
        <f>M66/M60</f>
        <v>-1.7396458945634734E-2</v>
      </c>
      <c r="N67" s="60">
        <f t="shared" ref="N67:BY67" si="668">N66/N60</f>
        <v>-1.7396458945634734E-2</v>
      </c>
      <c r="O67" s="60">
        <f t="shared" si="668"/>
        <v>-1.7396458945634734E-2</v>
      </c>
      <c r="P67" s="60">
        <f t="shared" si="668"/>
        <v>-1.7396458945634734E-2</v>
      </c>
      <c r="Q67" s="60">
        <f t="shared" si="668"/>
        <v>-1.7396458945634734E-2</v>
      </c>
      <c r="R67" s="60">
        <f t="shared" si="668"/>
        <v>-1.7396458945634734E-2</v>
      </c>
      <c r="S67" s="60">
        <f t="shared" si="668"/>
        <v>-1.7396458945634734E-2</v>
      </c>
      <c r="T67" s="60">
        <f t="shared" si="668"/>
        <v>-1.7396458945634734E-2</v>
      </c>
      <c r="U67" s="60">
        <f t="shared" si="668"/>
        <v>-1.7396458945634734E-2</v>
      </c>
      <c r="V67" s="60">
        <f t="shared" si="668"/>
        <v>-1.7396458945634734E-2</v>
      </c>
      <c r="W67" s="60">
        <f t="shared" si="668"/>
        <v>-1.7396458945634734E-2</v>
      </c>
      <c r="X67" s="60">
        <f t="shared" si="668"/>
        <v>-1.7396458945634734E-2</v>
      </c>
      <c r="Y67" s="60">
        <f t="shared" si="668"/>
        <v>-1.7396458945634734E-2</v>
      </c>
      <c r="Z67" s="60">
        <f t="shared" si="668"/>
        <v>-1.7396458945634734E-2</v>
      </c>
      <c r="AA67" s="60">
        <f t="shared" si="668"/>
        <v>-1.7396458945634734E-2</v>
      </c>
      <c r="AB67" s="60">
        <f t="shared" si="668"/>
        <v>-1.7396458945634734E-2</v>
      </c>
      <c r="AC67" s="60">
        <f t="shared" si="668"/>
        <v>-1.7396458945634734E-2</v>
      </c>
      <c r="AD67" s="60">
        <f t="shared" si="668"/>
        <v>-1.7396458945634734E-2</v>
      </c>
      <c r="AE67" s="60">
        <f t="shared" si="668"/>
        <v>-1.7396458945634734E-2</v>
      </c>
      <c r="AF67" s="60">
        <f t="shared" si="668"/>
        <v>-1.7396458945634734E-2</v>
      </c>
      <c r="AG67" s="60">
        <f t="shared" si="668"/>
        <v>-1.7396458945634734E-2</v>
      </c>
      <c r="AH67" s="60">
        <f t="shared" si="668"/>
        <v>-1.7396458945634734E-2</v>
      </c>
      <c r="AI67" s="60">
        <f t="shared" si="668"/>
        <v>-1.7396458945634734E-2</v>
      </c>
      <c r="AJ67" s="60">
        <f t="shared" si="668"/>
        <v>-1.7396458945634734E-2</v>
      </c>
      <c r="AK67" s="60">
        <f t="shared" si="668"/>
        <v>-1.7396458945634734E-2</v>
      </c>
      <c r="AL67" s="60">
        <f t="shared" si="668"/>
        <v>-1.7396458945634734E-2</v>
      </c>
      <c r="AM67" s="60">
        <f t="shared" si="668"/>
        <v>-1.7396458945634734E-2</v>
      </c>
      <c r="AN67" s="60">
        <f t="shared" si="668"/>
        <v>-1.7396458945634734E-2</v>
      </c>
      <c r="AO67" s="60">
        <f t="shared" si="668"/>
        <v>-1.7396458945634734E-2</v>
      </c>
      <c r="AP67" s="60">
        <f t="shared" si="668"/>
        <v>-1.7396458945634734E-2</v>
      </c>
      <c r="AQ67" s="60">
        <f t="shared" si="668"/>
        <v>-1.7396458945634734E-2</v>
      </c>
      <c r="AR67" s="60">
        <f t="shared" si="668"/>
        <v>-1.7396458945634734E-2</v>
      </c>
      <c r="AS67" s="60">
        <f t="shared" si="668"/>
        <v>-1.7396458945634734E-2</v>
      </c>
      <c r="AT67" s="60">
        <f t="shared" si="668"/>
        <v>-1.7396458945634734E-2</v>
      </c>
      <c r="AU67" s="60">
        <f t="shared" si="668"/>
        <v>-1.7396458945634734E-2</v>
      </c>
      <c r="AV67" s="60">
        <f t="shared" si="668"/>
        <v>-1.7396458945634734E-2</v>
      </c>
      <c r="AW67" s="60">
        <f t="shared" si="668"/>
        <v>-1.7396458945634734E-2</v>
      </c>
      <c r="AX67" s="60">
        <f t="shared" si="668"/>
        <v>-1.7396458945634734E-2</v>
      </c>
      <c r="AY67" s="60">
        <f t="shared" si="668"/>
        <v>-1.7396458945634734E-2</v>
      </c>
      <c r="AZ67" s="60">
        <f t="shared" si="668"/>
        <v>-1.7396458945634734E-2</v>
      </c>
      <c r="BA67" s="60">
        <f t="shared" si="668"/>
        <v>-1.7396458945634734E-2</v>
      </c>
      <c r="BB67" s="60">
        <f t="shared" si="668"/>
        <v>-1.7396458945634734E-2</v>
      </c>
      <c r="BC67" s="60">
        <f t="shared" si="668"/>
        <v>-1.7396458945634734E-2</v>
      </c>
      <c r="BD67" s="60">
        <f t="shared" si="668"/>
        <v>-1.7396458945634734E-2</v>
      </c>
      <c r="BE67" s="60">
        <f t="shared" si="668"/>
        <v>-1.7396458945634734E-2</v>
      </c>
      <c r="BF67" s="60">
        <f t="shared" si="668"/>
        <v>-1.7396458945634734E-2</v>
      </c>
      <c r="BG67" s="60">
        <f t="shared" si="668"/>
        <v>-1.7396458945634734E-2</v>
      </c>
      <c r="BH67" s="60">
        <f t="shared" si="668"/>
        <v>-1.7396458945634734E-2</v>
      </c>
      <c r="BI67" s="60">
        <f t="shared" si="668"/>
        <v>-1.7396458945634734E-2</v>
      </c>
      <c r="BJ67" s="60">
        <f t="shared" si="668"/>
        <v>-1.7396458945634734E-2</v>
      </c>
      <c r="BK67" s="60">
        <f t="shared" si="668"/>
        <v>-1.7396458945634734E-2</v>
      </c>
      <c r="BL67" s="60">
        <f t="shared" si="668"/>
        <v>-1.7396458945634734E-2</v>
      </c>
      <c r="BM67" s="60">
        <f t="shared" si="668"/>
        <v>-1.7396458945634734E-2</v>
      </c>
      <c r="BN67" s="60">
        <f t="shared" si="668"/>
        <v>-1.7396458945634734E-2</v>
      </c>
      <c r="BO67" s="60">
        <f t="shared" si="668"/>
        <v>-1.7396458945634734E-2</v>
      </c>
      <c r="BP67" s="60">
        <f t="shared" si="668"/>
        <v>-1.7396458945634734E-2</v>
      </c>
      <c r="BQ67" s="60">
        <f t="shared" si="668"/>
        <v>-1.7396458945634734E-2</v>
      </c>
      <c r="BR67" s="60">
        <f t="shared" si="668"/>
        <v>-1.7396458945634734E-2</v>
      </c>
      <c r="BS67" s="60">
        <f t="shared" si="668"/>
        <v>-1.7396458945634734E-2</v>
      </c>
      <c r="BT67" s="60">
        <f t="shared" si="668"/>
        <v>-1.7396458945634734E-2</v>
      </c>
      <c r="BU67" s="60">
        <f t="shared" si="668"/>
        <v>-1.7396458945634734E-2</v>
      </c>
      <c r="BV67" s="60">
        <f t="shared" si="668"/>
        <v>-1.7396458945634734E-2</v>
      </c>
      <c r="BW67" s="60">
        <f t="shared" si="668"/>
        <v>-1.7396458945634734E-2</v>
      </c>
      <c r="BX67" s="60">
        <f t="shared" si="668"/>
        <v>-1.7396458945634734E-2</v>
      </c>
      <c r="BY67" s="60">
        <f t="shared" si="668"/>
        <v>-1.7396458945634734E-2</v>
      </c>
      <c r="BZ67" s="60">
        <f t="shared" ref="BZ67:CI67" si="669">BZ66/BZ60</f>
        <v>-1.7396458945634734E-2</v>
      </c>
      <c r="CA67" s="60">
        <f t="shared" si="669"/>
        <v>-1.7396458945634734E-2</v>
      </c>
      <c r="CB67" s="60">
        <f t="shared" si="669"/>
        <v>-1.7396458945634734E-2</v>
      </c>
      <c r="CC67" s="60">
        <f t="shared" si="669"/>
        <v>-1.7396458945634734E-2</v>
      </c>
      <c r="CD67" s="60">
        <f t="shared" si="669"/>
        <v>-1.7396458945634734E-2</v>
      </c>
      <c r="CE67" s="60">
        <f t="shared" si="669"/>
        <v>-1.7396458945634734E-2</v>
      </c>
      <c r="CF67" s="60">
        <f t="shared" si="669"/>
        <v>-1.7396458945634734E-2</v>
      </c>
      <c r="CG67" s="60">
        <f t="shared" si="669"/>
        <v>-1.7396458945634734E-2</v>
      </c>
      <c r="CH67" s="60">
        <f t="shared" si="669"/>
        <v>-1.7396458945634734E-2</v>
      </c>
      <c r="CI67" s="60">
        <f t="shared" si="669"/>
        <v>-1.7396458945634734E-2</v>
      </c>
    </row>
    <row r="68" spans="2:87" x14ac:dyDescent="0.25">
      <c r="B68" s="54" t="s">
        <v>543</v>
      </c>
      <c r="C68" s="33">
        <v>5100</v>
      </c>
      <c r="D68" s="33">
        <v>4412</v>
      </c>
      <c r="E68" s="33">
        <v>19903</v>
      </c>
      <c r="F68" s="33">
        <v>4448</v>
      </c>
      <c r="G68" s="33">
        <v>8755</v>
      </c>
      <c r="H68" s="33">
        <v>9831</v>
      </c>
      <c r="I68" s="33">
        <v>10978</v>
      </c>
      <c r="J68" s="33">
        <v>16950</v>
      </c>
      <c r="K68" s="33">
        <v>19651</v>
      </c>
      <c r="L68" s="33">
        <v>21795</v>
      </c>
      <c r="M68" s="56">
        <f>+(M60-M62-M64+M66)*M69</f>
        <v>24868.083248878895</v>
      </c>
      <c r="N68" s="56">
        <f t="shared" ref="N68" si="670">+(N60-N62-N64+N66)*N69</f>
        <v>27931.838821905236</v>
      </c>
      <c r="O68" s="56">
        <f t="shared" ref="O68" si="671">+(O60-O62-O64+O66)*O69</f>
        <v>32343.28856136067</v>
      </c>
      <c r="P68" s="56">
        <f t="shared" ref="P68" si="672">+(P60-P62-P64+P66)*P69</f>
        <v>36108.895380422822</v>
      </c>
      <c r="Q68" s="56">
        <f t="shared" ref="Q68" si="673">+(Q60-Q62-Q64+Q66)*Q69</f>
        <v>40194.631620579443</v>
      </c>
      <c r="R68" s="56">
        <f t="shared" ref="R68" si="674">+(R60-R62-R64+R66)*R69</f>
        <v>44595.773041829882</v>
      </c>
      <c r="S68" s="56">
        <f t="shared" ref="S68" si="675">+(S60-S62-S64+S66)*S69</f>
        <v>49297.282885540619</v>
      </c>
      <c r="T68" s="56">
        <f t="shared" ref="T68" si="676">+(T60-T62-T64+T66)*T69</f>
        <v>54272.557091436574</v>
      </c>
      <c r="U68" s="56">
        <f t="shared" ref="U68" si="677">+(U60-U62-U64+U66)*U69</f>
        <v>59482.522018733158</v>
      </c>
      <c r="V68" s="56">
        <f t="shared" ref="V68" si="678">+(V60-V62-V64+V66)*V69</f>
        <v>64875.202258886056</v>
      </c>
      <c r="W68" s="56">
        <f t="shared" ref="W68" si="679">+(W60-W62-W64+W66)*W69</f>
        <v>70385.864386769026</v>
      </c>
      <c r="X68" s="56">
        <f t="shared" ref="X68" si="680">+(X60-X62-X64+X66)*X69</f>
        <v>73574.650556979745</v>
      </c>
      <c r="Y68" s="56">
        <f t="shared" ref="Y68" si="681">+(Y60-Y62-Y64+Y66)*Y69</f>
        <v>76763.436727190419</v>
      </c>
      <c r="Z68" s="56">
        <f t="shared" ref="Z68" si="682">+(Z60-Z62-Z64+Z66)*Z69</f>
        <v>79952.222897401109</v>
      </c>
      <c r="AA68" s="56">
        <f t="shared" ref="AA68" si="683">+(AA60-AA62-AA64+AA66)*AA69</f>
        <v>83141.009067611827</v>
      </c>
      <c r="AB68" s="56">
        <f t="shared" ref="AB68" si="684">+(AB60-AB62-AB64+AB66)*AB69</f>
        <v>86329.795237822545</v>
      </c>
      <c r="AC68" s="56">
        <f t="shared" ref="AC68" si="685">+(AC60-AC62-AC64+AC66)*AC69</f>
        <v>89518.581408033264</v>
      </c>
      <c r="AD68" s="56">
        <f t="shared" ref="AD68" si="686">+(AD60-AD62-AD64+AD66)*AD69</f>
        <v>92707.36757824391</v>
      </c>
      <c r="AE68" s="56">
        <f t="shared" ref="AE68" si="687">+(AE60-AE62-AE64+AE66)*AE69</f>
        <v>95896.153748454657</v>
      </c>
      <c r="AF68" s="56">
        <f t="shared" ref="AF68" si="688">+(AF60-AF62-AF64+AF66)*AF69</f>
        <v>99084.939918665346</v>
      </c>
      <c r="AG68" s="56">
        <f t="shared" ref="AG68" si="689">+(AG60-AG62-AG64+AG66)*AG69</f>
        <v>102273.72608887608</v>
      </c>
      <c r="AH68" s="56">
        <f t="shared" ref="AH68" si="690">+(AH60-AH62-AH64+AH66)*AH69</f>
        <v>105462.51225908674</v>
      </c>
      <c r="AI68" s="56">
        <f t="shared" ref="AI68" si="691">+(AI60-AI62-AI64+AI66)*AI69</f>
        <v>108651.29842929743</v>
      </c>
      <c r="AJ68" s="56">
        <f t="shared" ref="AJ68" si="692">+(AJ60-AJ62-AJ64+AJ66)*AJ69</f>
        <v>111840.08459950815</v>
      </c>
      <c r="AK68" s="56">
        <f t="shared" ref="AK68" si="693">+(AK60-AK62-AK64+AK66)*AK69</f>
        <v>115028.87076971885</v>
      </c>
      <c r="AL68" s="56">
        <f t="shared" ref="AL68" si="694">+(AL60-AL62-AL64+AL66)*AL69</f>
        <v>118217.65693992957</v>
      </c>
      <c r="AM68" s="56">
        <f t="shared" ref="AM68" si="695">+(AM60-AM62-AM64+AM66)*AM69</f>
        <v>121406.44311014029</v>
      </c>
      <c r="AN68" s="56">
        <f t="shared" ref="AN68" si="696">+(AN60-AN62-AN64+AN66)*AN69</f>
        <v>124595.22928035096</v>
      </c>
      <c r="AO68" s="56">
        <f t="shared" ref="AO68" si="697">+(AO60-AO62-AO64+AO66)*AO69</f>
        <v>127784.01545056168</v>
      </c>
      <c r="AP68" s="56">
        <f t="shared" ref="AP68" si="698">+(AP60-AP62-AP64+AP66)*AP69</f>
        <v>130972.80162077234</v>
      </c>
      <c r="AQ68" s="56">
        <f t="shared" ref="AQ68" si="699">+(AQ60-AQ62-AQ64+AQ66)*AQ69</f>
        <v>134161.58779098309</v>
      </c>
      <c r="AR68" s="56">
        <f t="shared" ref="AR68" si="700">+(AR60-AR62-AR64+AR66)*AR69</f>
        <v>137350.37396119381</v>
      </c>
      <c r="AS68" s="56">
        <f t="shared" ref="AS68" si="701">+(AS60-AS62-AS64+AS66)*AS69</f>
        <v>140539.16013140444</v>
      </c>
      <c r="AT68" s="56">
        <f t="shared" ref="AT68" si="702">+(AT60-AT62-AT64+AT66)*AT69</f>
        <v>143727.9463016151</v>
      </c>
      <c r="AU68" s="56">
        <f t="shared" ref="AU68" si="703">+(AU60-AU62-AU64+AU66)*AU69</f>
        <v>146916.73247182585</v>
      </c>
      <c r="AV68" s="56">
        <f t="shared" ref="AV68" si="704">+(AV60-AV62-AV64+AV66)*AV69</f>
        <v>150105.51864203656</v>
      </c>
      <c r="AW68" s="56">
        <f t="shared" ref="AW68" si="705">+(AW60-AW62-AW64+AW66)*AW69</f>
        <v>153294.30481224725</v>
      </c>
      <c r="AX68" s="56">
        <f t="shared" ref="AX68" si="706">+(AX60-AX62-AX64+AX66)*AX69</f>
        <v>156483.09098245797</v>
      </c>
      <c r="AY68" s="56">
        <f t="shared" ref="AY68" si="707">+(AY60-AY62-AY64+AY66)*AY69</f>
        <v>159671.87715266863</v>
      </c>
      <c r="AZ68" s="56">
        <f t="shared" ref="AZ68" si="708">+(AZ60-AZ62-AZ64+AZ66)*AZ69</f>
        <v>162860.66332287935</v>
      </c>
      <c r="BA68" s="56">
        <f t="shared" ref="BA68" si="709">+(BA60-BA62-BA64+BA66)*BA69</f>
        <v>166049.44949309007</v>
      </c>
      <c r="BB68" s="56">
        <f t="shared" ref="BB68" si="710">+(BB60-BB62-BB64+BB66)*BB69</f>
        <v>169238.23566330079</v>
      </c>
      <c r="BC68" s="56">
        <f t="shared" ref="BC68" si="711">+(BC60-BC62-BC64+BC66)*BC69</f>
        <v>172427.02183351142</v>
      </c>
      <c r="BD68" s="56">
        <f t="shared" ref="BD68" si="712">+(BD60-BD62-BD64+BD66)*BD69</f>
        <v>175615.80800372217</v>
      </c>
      <c r="BE68" s="56">
        <f t="shared" ref="BE68" si="713">+(BE60-BE62-BE64+BE66)*BE69</f>
        <v>178804.59417393286</v>
      </c>
      <c r="BF68" s="56">
        <f t="shared" ref="BF68" si="714">+(BF60-BF62-BF64+BF66)*BF69</f>
        <v>181993.38034414357</v>
      </c>
      <c r="BG68" s="56">
        <f t="shared" ref="BG68" si="715">+(BG60-BG62-BG64+BG66)*BG69</f>
        <v>185182.16651435429</v>
      </c>
      <c r="BH68" s="56">
        <f t="shared" ref="BH68" si="716">+(BH60-BH62-BH64+BH66)*BH69</f>
        <v>188370.95268456495</v>
      </c>
      <c r="BI68" s="56">
        <f t="shared" ref="BI68" si="717">+(BI60-BI62-BI64+BI66)*BI69</f>
        <v>191559.73885477564</v>
      </c>
      <c r="BJ68" s="56">
        <f t="shared" ref="BJ68" si="718">+(BJ60-BJ62-BJ64+BJ66)*BJ69</f>
        <v>194748.52502498642</v>
      </c>
      <c r="BK68" s="56">
        <f t="shared" ref="BK68" si="719">+(BK60-BK62-BK64+BK66)*BK69</f>
        <v>197937.31119519705</v>
      </c>
      <c r="BL68" s="56">
        <f t="shared" ref="BL68" si="720">+(BL60-BL62-BL64+BL66)*BL69</f>
        <v>201126.09736540783</v>
      </c>
      <c r="BM68" s="56">
        <f t="shared" ref="BM68" si="721">+(BM60-BM62-BM64+BM66)*BM69</f>
        <v>204314.88353561849</v>
      </c>
      <c r="BN68" s="56">
        <f t="shared" ref="BN68" si="722">+(BN60-BN62-BN64+BN66)*BN69</f>
        <v>207503.66970582923</v>
      </c>
      <c r="BO68" s="56">
        <f t="shared" ref="BO68" si="723">+(BO60-BO62-BO64+BO66)*BO69</f>
        <v>210692.45587603992</v>
      </c>
      <c r="BP68" s="56">
        <f t="shared" ref="BP68" si="724">+(BP60-BP62-BP64+BP66)*BP69</f>
        <v>213881.24204625053</v>
      </c>
      <c r="BQ68" s="56">
        <f t="shared" ref="BQ68" si="725">+(BQ60-BQ62-BQ64+BQ66)*BQ69</f>
        <v>217070.02821646119</v>
      </c>
      <c r="BR68" s="56">
        <f t="shared" ref="BR68" si="726">+(BR60-BR62-BR64+BR66)*BR69</f>
        <v>220258.81438667196</v>
      </c>
      <c r="BS68" s="56">
        <f t="shared" ref="BS68" si="727">+(BS60-BS62-BS64+BS66)*BS69</f>
        <v>223447.60055688271</v>
      </c>
      <c r="BT68" s="56">
        <f t="shared" ref="BT68" si="728">+(BT60-BT62-BT64+BT66)*BT69</f>
        <v>226636.3867270934</v>
      </c>
      <c r="BU68" s="56">
        <f t="shared" ref="BU68" si="729">+(BU60-BU62-BU64+BU66)*BU69</f>
        <v>229825.17289730415</v>
      </c>
      <c r="BV68" s="56">
        <f t="shared" ref="BV68" si="730">+(BV60-BV62-BV64+BV66)*BV69</f>
        <v>233013.95906751475</v>
      </c>
      <c r="BW68" s="56">
        <f t="shared" ref="BW68" si="731">+(BW60-BW62-BW64+BW66)*BW69</f>
        <v>236202.74523772547</v>
      </c>
      <c r="BX68" s="56">
        <f t="shared" ref="BX68" si="732">+(BX60-BX62-BX64+BX66)*BX69</f>
        <v>239391.53140793616</v>
      </c>
      <c r="BY68" s="56">
        <f t="shared" ref="BY68" si="733">+(BY60-BY62-BY64+BY66)*BY69</f>
        <v>242580.31757814693</v>
      </c>
      <c r="BZ68" s="56">
        <f t="shared" ref="BZ68" si="734">+(BZ60-BZ62-BZ64+BZ66)*BZ69</f>
        <v>245769.10374835756</v>
      </c>
      <c r="CA68" s="56">
        <f t="shared" ref="CA68" si="735">+(CA60-CA62-CA64+CA66)*CA69</f>
        <v>248957.88991856834</v>
      </c>
      <c r="CB68" s="56">
        <f t="shared" ref="CB68" si="736">+(CB60-CB62-CB64+CB66)*CB69</f>
        <v>252146.67608877903</v>
      </c>
      <c r="CC68" s="56">
        <f t="shared" ref="CC68" si="737">+(CC60-CC62-CC64+CC66)*CC69</f>
        <v>255335.46225898978</v>
      </c>
      <c r="CD68" s="56">
        <f t="shared" ref="CD68" si="738">+(CD60-CD62-CD64+CD66)*CD69</f>
        <v>258524.24842920047</v>
      </c>
      <c r="CE68" s="56">
        <f t="shared" ref="CE68" si="739">+(CE60-CE62-CE64+CE66)*CE69</f>
        <v>261713.03459941124</v>
      </c>
      <c r="CF68" s="56">
        <f t="shared" ref="CF68" si="740">+(CF60-CF62-CF64+CF66)*CF69</f>
        <v>264901.82076962199</v>
      </c>
      <c r="CG68" s="56">
        <f t="shared" ref="CG68" si="741">+(CG60-CG62-CG64+CG66)*CG69</f>
        <v>268090.60693983268</v>
      </c>
      <c r="CH68" s="56">
        <f t="shared" ref="CH68" si="742">+(CH60-CH62-CH64+CH66)*CH69</f>
        <v>271279.39311004331</v>
      </c>
      <c r="CI68" s="56">
        <f t="shared" ref="CI68" si="743">+(CI60-CI62-CI64+CI66)*CI69</f>
        <v>274468.179280254</v>
      </c>
    </row>
    <row r="69" spans="2:87" x14ac:dyDescent="0.25">
      <c r="B69" s="59" t="s">
        <v>565</v>
      </c>
      <c r="C69" s="60">
        <f>C68/(C60-C62-C64+C66)</f>
        <v>0.19891571434143299</v>
      </c>
      <c r="D69" s="60">
        <f t="shared" ref="D69" si="744">D68/(D60-D62-D64+D66)</f>
        <v>0.14755359352530015</v>
      </c>
      <c r="E69" s="60">
        <f t="shared" ref="E69" si="745">E68/(E60-E62-E64+E66)</f>
        <v>0.5456763722103416</v>
      </c>
      <c r="F69" s="60">
        <f t="shared" ref="F69" si="746">F68/(F60-F62-F64+F66)</f>
        <v>0.10181285478850027</v>
      </c>
      <c r="G69" s="60">
        <f t="shared" ref="G69" si="747">G68/(G60-G62-G64+G66)</f>
        <v>0.16507655177615205</v>
      </c>
      <c r="H69" s="60">
        <f t="shared" ref="H69" si="748">H68/(H60-H62-H64+H66)</f>
        <v>0.13007237268625713</v>
      </c>
      <c r="I69" s="60">
        <f t="shared" ref="I69" si="749">I68/(I60-I62-I64+I66)</f>
        <v>0.1233386138168908</v>
      </c>
      <c r="J69" s="60">
        <f t="shared" ref="J69" si="750">J68/(J60-J62-J64+J66)</f>
        <v>0.1890960206164865</v>
      </c>
      <c r="K69" s="60">
        <f t="shared" ref="K69" si="751">K68/(K60-K62-K64+K66)</f>
        <v>0.18217805260181519</v>
      </c>
      <c r="L69" s="60">
        <f t="shared" ref="L69" si="752">L68/(L60-L62-L64+L66)</f>
        <v>0.17629644009803683</v>
      </c>
      <c r="M69" s="60">
        <v>0.17629644009803683</v>
      </c>
      <c r="N69" s="60">
        <v>0.17629644009803683</v>
      </c>
      <c r="O69" s="60">
        <v>0.17629644009803683</v>
      </c>
      <c r="P69" s="60">
        <v>0.17629644009803683</v>
      </c>
      <c r="Q69" s="60">
        <v>0.17629644009803683</v>
      </c>
      <c r="R69" s="60">
        <v>0.17629644009803683</v>
      </c>
      <c r="S69" s="60">
        <v>0.17629644009803683</v>
      </c>
      <c r="T69" s="60">
        <v>0.17629644009803683</v>
      </c>
      <c r="U69" s="60">
        <v>0.17629644009803683</v>
      </c>
      <c r="V69" s="60">
        <v>0.17629644009803683</v>
      </c>
      <c r="W69" s="60">
        <v>0.17629644009803683</v>
      </c>
      <c r="X69" s="60">
        <v>0.17629644009803683</v>
      </c>
      <c r="Y69" s="60">
        <v>0.17629644009803683</v>
      </c>
      <c r="Z69" s="60">
        <v>0.17629644009803683</v>
      </c>
      <c r="AA69" s="60">
        <v>0.17629644009803683</v>
      </c>
      <c r="AB69" s="60">
        <v>0.17629644009803683</v>
      </c>
      <c r="AC69" s="60">
        <v>0.17629644009803683</v>
      </c>
      <c r="AD69" s="60">
        <v>0.17629644009803683</v>
      </c>
      <c r="AE69" s="60">
        <v>0.17629644009803683</v>
      </c>
      <c r="AF69" s="60">
        <v>0.17629644009803683</v>
      </c>
      <c r="AG69" s="60">
        <v>0.17629644009803683</v>
      </c>
      <c r="AH69" s="60">
        <v>0.17629644009803683</v>
      </c>
      <c r="AI69" s="60">
        <v>0.17629644009803683</v>
      </c>
      <c r="AJ69" s="60">
        <v>0.17629644009803683</v>
      </c>
      <c r="AK69" s="60">
        <v>0.17629644009803683</v>
      </c>
      <c r="AL69" s="60">
        <v>0.17629644009803683</v>
      </c>
      <c r="AM69" s="60">
        <v>0.17629644009803683</v>
      </c>
      <c r="AN69" s="60">
        <v>0.17629644009803683</v>
      </c>
      <c r="AO69" s="60">
        <v>0.17629644009803683</v>
      </c>
      <c r="AP69" s="60">
        <v>0.17629644009803683</v>
      </c>
      <c r="AQ69" s="60">
        <v>0.17629644009803683</v>
      </c>
      <c r="AR69" s="60">
        <v>0.17629644009803683</v>
      </c>
      <c r="AS69" s="60">
        <v>0.17629644009803683</v>
      </c>
      <c r="AT69" s="60">
        <v>0.17629644009803683</v>
      </c>
      <c r="AU69" s="60">
        <v>0.17629644009803683</v>
      </c>
      <c r="AV69" s="60">
        <v>0.17629644009803683</v>
      </c>
      <c r="AW69" s="60">
        <v>0.17629644009803683</v>
      </c>
      <c r="AX69" s="60">
        <v>0.17629644009803683</v>
      </c>
      <c r="AY69" s="60">
        <v>0.17629644009803683</v>
      </c>
      <c r="AZ69" s="60">
        <v>0.17629644009803683</v>
      </c>
      <c r="BA69" s="60">
        <v>0.17629644009803683</v>
      </c>
      <c r="BB69" s="60">
        <v>0.17629644009803683</v>
      </c>
      <c r="BC69" s="60">
        <v>0.17629644009803683</v>
      </c>
      <c r="BD69" s="60">
        <v>0.17629644009803683</v>
      </c>
      <c r="BE69" s="60">
        <v>0.17629644009803683</v>
      </c>
      <c r="BF69" s="60">
        <v>0.17629644009803683</v>
      </c>
      <c r="BG69" s="60">
        <v>0.17629644009803683</v>
      </c>
      <c r="BH69" s="60">
        <v>0.17629644009803683</v>
      </c>
      <c r="BI69" s="60">
        <v>0.17629644009803683</v>
      </c>
      <c r="BJ69" s="60">
        <v>0.17629644009803683</v>
      </c>
      <c r="BK69" s="60">
        <v>0.17629644009803683</v>
      </c>
      <c r="BL69" s="60">
        <v>0.17629644009803683</v>
      </c>
      <c r="BM69" s="60">
        <v>0.17629644009803683</v>
      </c>
      <c r="BN69" s="60">
        <v>0.17629644009803683</v>
      </c>
      <c r="BO69" s="60">
        <v>0.17629644009803683</v>
      </c>
      <c r="BP69" s="60">
        <v>0.17629644009803683</v>
      </c>
      <c r="BQ69" s="60">
        <v>0.17629644009803683</v>
      </c>
      <c r="BR69" s="60">
        <v>0.17629644009803683</v>
      </c>
      <c r="BS69" s="60">
        <v>0.17629644009803683</v>
      </c>
      <c r="BT69" s="60">
        <v>0.17629644009803683</v>
      </c>
      <c r="BU69" s="60">
        <v>0.17629644009803683</v>
      </c>
      <c r="BV69" s="60">
        <v>0.17629644009803683</v>
      </c>
      <c r="BW69" s="60">
        <v>0.17629644009803683</v>
      </c>
      <c r="BX69" s="60">
        <v>0.17629644009803683</v>
      </c>
      <c r="BY69" s="60">
        <v>0.17629644009803683</v>
      </c>
      <c r="BZ69" s="60">
        <v>0.17629644009803683</v>
      </c>
      <c r="CA69" s="60">
        <v>0.17629644009803683</v>
      </c>
      <c r="CB69" s="60">
        <v>0.17629644009803683</v>
      </c>
      <c r="CC69" s="60">
        <v>0.17629644009803683</v>
      </c>
      <c r="CD69" s="60">
        <v>0.17629644009803683</v>
      </c>
      <c r="CE69" s="60">
        <v>0.17629644009803683</v>
      </c>
      <c r="CF69" s="60">
        <v>0.17629644009803683</v>
      </c>
      <c r="CG69" s="60">
        <v>0.17629644009803683</v>
      </c>
      <c r="CH69" s="60">
        <v>0.17629644009803683</v>
      </c>
      <c r="CI69" s="60">
        <v>0.17629644009803683</v>
      </c>
    </row>
    <row r="70" spans="2:87" x14ac:dyDescent="0.25">
      <c r="B70" s="64" t="s">
        <v>544</v>
      </c>
      <c r="C70" s="65">
        <v>20539</v>
      </c>
      <c r="D70" s="65">
        <v>25489</v>
      </c>
      <c r="E70" s="65">
        <v>16571</v>
      </c>
      <c r="F70" s="65">
        <v>39240</v>
      </c>
      <c r="G70" s="65">
        <v>44281</v>
      </c>
      <c r="H70" s="65">
        <v>61271</v>
      </c>
      <c r="I70" s="65">
        <v>72738</v>
      </c>
      <c r="J70" s="65">
        <v>72361</v>
      </c>
      <c r="K70" s="65">
        <v>88136</v>
      </c>
      <c r="L70" s="65">
        <v>101832</v>
      </c>
      <c r="M70" s="65">
        <f>+(M60-M62-M64+M66-M68)</f>
        <v>116190.25709565662</v>
      </c>
      <c r="N70" s="65">
        <f t="shared" ref="N70:BY70" si="753">+(N60-N62-N64+N66-N68)</f>
        <v>130504.93282460448</v>
      </c>
      <c r="O70" s="65">
        <f t="shared" si="753"/>
        <v>151116.39186879926</v>
      </c>
      <c r="P70" s="65">
        <f t="shared" si="753"/>
        <v>168710.30210503406</v>
      </c>
      <c r="Q70" s="65">
        <f t="shared" si="753"/>
        <v>187799.94160068117</v>
      </c>
      <c r="R70" s="65">
        <f t="shared" si="753"/>
        <v>208363.23745793168</v>
      </c>
      <c r="S70" s="65">
        <f t="shared" si="753"/>
        <v>230329.93396652315</v>
      </c>
      <c r="T70" s="65">
        <f t="shared" si="753"/>
        <v>253575.72992590821</v>
      </c>
      <c r="U70" s="65">
        <f t="shared" si="753"/>
        <v>277918.06295992824</v>
      </c>
      <c r="V70" s="65">
        <f t="shared" si="753"/>
        <v>303114.09022376162</v>
      </c>
      <c r="W70" s="65">
        <f t="shared" si="753"/>
        <v>328861.36004741746</v>
      </c>
      <c r="X70" s="65">
        <f t="shared" si="753"/>
        <v>343760.21176959673</v>
      </c>
      <c r="Y70" s="65">
        <f t="shared" si="753"/>
        <v>358659.06349177589</v>
      </c>
      <c r="Z70" s="65">
        <f t="shared" si="753"/>
        <v>373557.9152139551</v>
      </c>
      <c r="AA70" s="65">
        <f t="shared" si="753"/>
        <v>388456.76693613431</v>
      </c>
      <c r="AB70" s="65">
        <f t="shared" si="753"/>
        <v>403355.61865831364</v>
      </c>
      <c r="AC70" s="65">
        <f t="shared" si="753"/>
        <v>418254.47038049292</v>
      </c>
      <c r="AD70" s="65">
        <f t="shared" si="753"/>
        <v>433153.3221026719</v>
      </c>
      <c r="AE70" s="65">
        <f t="shared" si="753"/>
        <v>448052.1738248514</v>
      </c>
      <c r="AF70" s="65">
        <f t="shared" si="753"/>
        <v>462951.0255470305</v>
      </c>
      <c r="AG70" s="65">
        <f t="shared" si="753"/>
        <v>477849.87726920989</v>
      </c>
      <c r="AH70" s="65">
        <f t="shared" si="753"/>
        <v>492748.72899138893</v>
      </c>
      <c r="AI70" s="65">
        <f t="shared" si="753"/>
        <v>507647.58071356814</v>
      </c>
      <c r="AJ70" s="65">
        <f t="shared" si="753"/>
        <v>522546.43243574741</v>
      </c>
      <c r="AK70" s="65">
        <f t="shared" si="753"/>
        <v>537445.28415792657</v>
      </c>
      <c r="AL70" s="65">
        <f t="shared" si="753"/>
        <v>552344.1358801059</v>
      </c>
      <c r="AM70" s="65">
        <f t="shared" si="753"/>
        <v>567242.98760228523</v>
      </c>
      <c r="AN70" s="65">
        <f t="shared" si="753"/>
        <v>582141.83932446432</v>
      </c>
      <c r="AO70" s="65">
        <f t="shared" si="753"/>
        <v>597040.69104664365</v>
      </c>
      <c r="AP70" s="65">
        <f t="shared" si="753"/>
        <v>611939.54276882263</v>
      </c>
      <c r="AQ70" s="65">
        <f t="shared" si="753"/>
        <v>626838.3944910022</v>
      </c>
      <c r="AR70" s="65">
        <f t="shared" si="753"/>
        <v>641737.24621318129</v>
      </c>
      <c r="AS70" s="65">
        <f t="shared" si="753"/>
        <v>656636.09793536039</v>
      </c>
      <c r="AT70" s="65">
        <f t="shared" si="753"/>
        <v>671534.94965753937</v>
      </c>
      <c r="AU70" s="65">
        <f t="shared" si="753"/>
        <v>686433.80137971882</v>
      </c>
      <c r="AV70" s="65">
        <f t="shared" si="753"/>
        <v>701332.65310189803</v>
      </c>
      <c r="AW70" s="65">
        <f t="shared" si="753"/>
        <v>716231.50482407713</v>
      </c>
      <c r="AX70" s="65">
        <f t="shared" si="753"/>
        <v>731130.35654625657</v>
      </c>
      <c r="AY70" s="65">
        <f t="shared" si="753"/>
        <v>746029.20826843556</v>
      </c>
      <c r="AZ70" s="65">
        <f t="shared" si="753"/>
        <v>760928.05999061489</v>
      </c>
      <c r="BA70" s="65">
        <f t="shared" si="753"/>
        <v>775826.91171279422</v>
      </c>
      <c r="BB70" s="65">
        <f t="shared" si="753"/>
        <v>790725.76343497355</v>
      </c>
      <c r="BC70" s="65">
        <f t="shared" si="753"/>
        <v>805624.61515715241</v>
      </c>
      <c r="BD70" s="65">
        <f t="shared" si="753"/>
        <v>820523.46687933174</v>
      </c>
      <c r="BE70" s="65">
        <f t="shared" si="753"/>
        <v>835422.31860151095</v>
      </c>
      <c r="BF70" s="65">
        <f t="shared" si="753"/>
        <v>850321.17032369017</v>
      </c>
      <c r="BG70" s="65">
        <f t="shared" si="753"/>
        <v>865220.02204586961</v>
      </c>
      <c r="BH70" s="65">
        <f t="shared" si="753"/>
        <v>880118.87376804859</v>
      </c>
      <c r="BI70" s="65">
        <f t="shared" si="753"/>
        <v>895017.72549022781</v>
      </c>
      <c r="BJ70" s="65">
        <f t="shared" si="753"/>
        <v>909916.57721240749</v>
      </c>
      <c r="BK70" s="65">
        <f t="shared" si="753"/>
        <v>924815.42893458623</v>
      </c>
      <c r="BL70" s="65">
        <f t="shared" si="753"/>
        <v>939714.2806567658</v>
      </c>
      <c r="BM70" s="65">
        <f t="shared" si="753"/>
        <v>954613.13237894489</v>
      </c>
      <c r="BN70" s="65">
        <f t="shared" si="753"/>
        <v>969511.98410112422</v>
      </c>
      <c r="BO70" s="65">
        <f t="shared" si="753"/>
        <v>984410.83582330344</v>
      </c>
      <c r="BP70" s="65">
        <f t="shared" si="753"/>
        <v>999309.6875454823</v>
      </c>
      <c r="BQ70" s="65">
        <f t="shared" si="753"/>
        <v>1014208.5392676613</v>
      </c>
      <c r="BR70" s="65">
        <f t="shared" si="753"/>
        <v>1029107.3909898408</v>
      </c>
      <c r="BS70" s="65">
        <f t="shared" si="753"/>
        <v>1044006.2427120203</v>
      </c>
      <c r="BT70" s="65">
        <f t="shared" si="753"/>
        <v>1058905.0944341994</v>
      </c>
      <c r="BU70" s="65">
        <f t="shared" si="753"/>
        <v>1073803.9461563788</v>
      </c>
      <c r="BV70" s="65">
        <f t="shared" si="753"/>
        <v>1088702.7978785578</v>
      </c>
      <c r="BW70" s="65">
        <f t="shared" si="753"/>
        <v>1103601.6496007368</v>
      </c>
      <c r="BX70" s="65">
        <f t="shared" si="753"/>
        <v>1118500.501322916</v>
      </c>
      <c r="BY70" s="65">
        <f t="shared" si="753"/>
        <v>1133399.3530450957</v>
      </c>
      <c r="BZ70" s="65">
        <f t="shared" ref="BZ70:CI70" si="754">+(BZ60-BZ62-BZ64+BZ66-BZ68)</f>
        <v>1148298.2047672744</v>
      </c>
      <c r="CA70" s="65">
        <f t="shared" si="754"/>
        <v>1163197.0564894541</v>
      </c>
      <c r="CB70" s="65">
        <f t="shared" si="754"/>
        <v>1178095.9082116333</v>
      </c>
      <c r="CC70" s="65">
        <f t="shared" si="754"/>
        <v>1192994.7599338128</v>
      </c>
      <c r="CD70" s="65">
        <f t="shared" si="754"/>
        <v>1207893.611655992</v>
      </c>
      <c r="CE70" s="65">
        <f t="shared" si="754"/>
        <v>1222792.4633781714</v>
      </c>
      <c r="CF70" s="65">
        <f t="shared" si="754"/>
        <v>1237691.3151003509</v>
      </c>
      <c r="CG70" s="65">
        <f t="shared" si="754"/>
        <v>1252590.1668225301</v>
      </c>
      <c r="CH70" s="65">
        <f t="shared" si="754"/>
        <v>1267489.0185447091</v>
      </c>
      <c r="CI70" s="65">
        <f t="shared" si="754"/>
        <v>1282387.8702668881</v>
      </c>
    </row>
    <row r="71" spans="2:87" x14ac:dyDescent="0.25">
      <c r="B71" s="59" t="s">
        <v>736</v>
      </c>
      <c r="C71" s="60">
        <f>C70/C60</f>
        <v>0.22532198257893235</v>
      </c>
      <c r="D71" s="60">
        <f t="shared" ref="D71" si="755">D70/D60</f>
        <v>0.26394052044609667</v>
      </c>
      <c r="E71" s="60">
        <f t="shared" ref="E71" si="756">E70/E60</f>
        <v>0.15015404131931859</v>
      </c>
      <c r="F71" s="60">
        <f t="shared" ref="F71" si="757">F70/F60</f>
        <v>0.31181710544090652</v>
      </c>
      <c r="G71" s="60">
        <f t="shared" ref="G71" si="758">G70/G60</f>
        <v>0.30962486452470023</v>
      </c>
      <c r="H71" s="60">
        <f t="shared" ref="H71" si="759">H70/H60</f>
        <v>0.35505629697450847</v>
      </c>
      <c r="I71" s="60">
        <f t="shared" ref="I71" si="760">I70/I60</f>
        <v>0.3573277788967435</v>
      </c>
      <c r="J71" s="60">
        <f t="shared" ref="J71" si="761">J70/J60</f>
        <v>0.34093789607097591</v>
      </c>
      <c r="K71" s="60">
        <f t="shared" ref="K71" si="762">K70/K60</f>
        <v>0.35944241890359785</v>
      </c>
      <c r="L71" s="60">
        <f t="shared" ref="L71" si="763">L70/L60</f>
        <v>0.36146015248967073</v>
      </c>
      <c r="M71" s="60">
        <f t="shared" ref="M71" si="764">M70/M60</f>
        <v>0.36146015248967078</v>
      </c>
      <c r="N71" s="60">
        <f t="shared" ref="N71" si="765">N70/N60</f>
        <v>0.35879347492991664</v>
      </c>
      <c r="O71" s="60">
        <f t="shared" ref="O71" si="766">O70/O60</f>
        <v>0.37114902832844604</v>
      </c>
      <c r="P71" s="60">
        <f t="shared" ref="P71" si="767">P70/P60</f>
        <v>0.3711490283284461</v>
      </c>
      <c r="Q71" s="60">
        <f t="shared" ref="Q71" si="768">Q70/Q60</f>
        <v>0.3711490283284461</v>
      </c>
      <c r="R71" s="60">
        <f t="shared" ref="R71" si="769">R70/R60</f>
        <v>0.3711490283284461</v>
      </c>
      <c r="S71" s="60">
        <f t="shared" ref="S71" si="770">S70/S60</f>
        <v>0.37114902832844604</v>
      </c>
      <c r="T71" s="60">
        <f t="shared" ref="T71" si="771">T70/T60</f>
        <v>0.3711490283284461</v>
      </c>
      <c r="U71" s="60">
        <f t="shared" ref="U71" si="772">U70/U60</f>
        <v>0.3711490283284461</v>
      </c>
      <c r="V71" s="60">
        <f t="shared" ref="V71" si="773">V70/V60</f>
        <v>0.37114902832844604</v>
      </c>
      <c r="W71" s="60">
        <f t="shared" ref="W71" si="774">W70/W60</f>
        <v>0.37114902832844621</v>
      </c>
      <c r="X71" s="60">
        <f t="shared" ref="X71" si="775">X70/X60</f>
        <v>0.37114902832844621</v>
      </c>
      <c r="Y71" s="60">
        <f t="shared" ref="Y71" si="776">Y70/Y60</f>
        <v>0.37114902832844615</v>
      </c>
      <c r="Z71" s="60">
        <f t="shared" ref="Z71" si="777">Z70/Z60</f>
        <v>0.37114902832844615</v>
      </c>
      <c r="AA71" s="60">
        <f t="shared" ref="AA71" si="778">AA70/AA60</f>
        <v>0.3711490283284461</v>
      </c>
      <c r="AB71" s="60">
        <f t="shared" ref="AB71" si="779">AB70/AB60</f>
        <v>0.37114902832844615</v>
      </c>
      <c r="AC71" s="60">
        <f t="shared" ref="AC71" si="780">AC70/AC60</f>
        <v>0.37114902832844615</v>
      </c>
      <c r="AD71" s="60">
        <f t="shared" ref="AD71" si="781">AD70/AD60</f>
        <v>0.37114902832844604</v>
      </c>
      <c r="AE71" s="60">
        <f t="shared" ref="AE71" si="782">AE70/AE60</f>
        <v>0.37114902832844615</v>
      </c>
      <c r="AF71" s="60">
        <f t="shared" ref="AF71" si="783">AF70/AF60</f>
        <v>0.3711490283284461</v>
      </c>
      <c r="AG71" s="60">
        <f t="shared" ref="AG71" si="784">AG70/AG60</f>
        <v>0.3711490283284461</v>
      </c>
      <c r="AH71" s="60">
        <f t="shared" ref="AH71" si="785">AH70/AH60</f>
        <v>0.37114902832844604</v>
      </c>
      <c r="AI71" s="60">
        <f t="shared" ref="AI71" si="786">AI70/AI60</f>
        <v>0.37114902832844604</v>
      </c>
      <c r="AJ71" s="60">
        <f t="shared" ref="AJ71" si="787">AJ70/AJ60</f>
        <v>0.3711490283284461</v>
      </c>
      <c r="AK71" s="60">
        <f t="shared" ref="AK71" si="788">AK70/AK60</f>
        <v>0.37114902832844598</v>
      </c>
      <c r="AL71" s="60">
        <f t="shared" ref="AL71" si="789">AL70/AL60</f>
        <v>0.37114902832844604</v>
      </c>
      <c r="AM71" s="60">
        <f t="shared" ref="AM71" si="790">AM70/AM60</f>
        <v>0.3711490283284461</v>
      </c>
      <c r="AN71" s="60">
        <f t="shared" ref="AN71" si="791">AN70/AN60</f>
        <v>0.37114902832844598</v>
      </c>
      <c r="AO71" s="60">
        <f t="shared" ref="AO71" si="792">AO70/AO60</f>
        <v>0.37114902832844604</v>
      </c>
      <c r="AP71" s="60">
        <f t="shared" ref="AP71" si="793">AP70/AP60</f>
        <v>0.37114902832844593</v>
      </c>
      <c r="AQ71" s="60">
        <f t="shared" ref="AQ71" si="794">AQ70/AQ60</f>
        <v>0.3711490283284461</v>
      </c>
      <c r="AR71" s="60">
        <f t="shared" ref="AR71" si="795">AR70/AR60</f>
        <v>0.37114902832844604</v>
      </c>
      <c r="AS71" s="60">
        <f t="shared" ref="AS71" si="796">AS70/AS60</f>
        <v>0.37114902832844598</v>
      </c>
      <c r="AT71" s="60">
        <f t="shared" ref="AT71" si="797">AT70/AT60</f>
        <v>0.37114902832844604</v>
      </c>
      <c r="AU71" s="60">
        <f t="shared" ref="AU71" si="798">AU70/AU60</f>
        <v>0.37114902832844604</v>
      </c>
      <c r="AV71" s="60">
        <f t="shared" ref="AV71" si="799">AV70/AV60</f>
        <v>0.37114902832844598</v>
      </c>
      <c r="AW71" s="60">
        <f t="shared" ref="AW71" si="800">AW70/AW60</f>
        <v>0.37114902832844593</v>
      </c>
      <c r="AX71" s="60">
        <f t="shared" ref="AX71" si="801">AX70/AX60</f>
        <v>0.37114902832844604</v>
      </c>
      <c r="AY71" s="60">
        <f t="shared" ref="AY71" si="802">AY70/AY60</f>
        <v>0.37114902832844598</v>
      </c>
      <c r="AZ71" s="60">
        <f t="shared" ref="AZ71" si="803">AZ70/AZ60</f>
        <v>0.37114902832844604</v>
      </c>
      <c r="BA71" s="60">
        <f t="shared" ref="BA71" si="804">BA70/BA60</f>
        <v>0.3711490283284461</v>
      </c>
      <c r="BB71" s="60">
        <f t="shared" ref="BB71" si="805">BB70/BB60</f>
        <v>0.3711490283284461</v>
      </c>
      <c r="BC71" s="60">
        <f t="shared" ref="BC71" si="806">BC70/BC60</f>
        <v>0.37114902832844593</v>
      </c>
      <c r="BD71" s="60">
        <f t="shared" ref="BD71" si="807">BD70/BD60</f>
        <v>0.37114902832844598</v>
      </c>
      <c r="BE71" s="60">
        <f t="shared" ref="BE71" si="808">BE70/BE60</f>
        <v>0.37114902832844593</v>
      </c>
      <c r="BF71" s="60">
        <f t="shared" ref="BF71" si="809">BF70/BF60</f>
        <v>0.37114902832844604</v>
      </c>
      <c r="BG71" s="60">
        <f t="shared" ref="BG71" si="810">BG70/BG60</f>
        <v>0.3711490283284461</v>
      </c>
      <c r="BH71" s="60">
        <f t="shared" ref="BH71" si="811">BH70/BH60</f>
        <v>0.37114902832844598</v>
      </c>
      <c r="BI71" s="60">
        <f t="shared" ref="BI71" si="812">BI70/BI60</f>
        <v>0.37114902832844593</v>
      </c>
      <c r="BJ71" s="60">
        <f t="shared" ref="BJ71" si="813">BJ70/BJ60</f>
        <v>0.37114902832844604</v>
      </c>
      <c r="BK71" s="60">
        <f t="shared" ref="BK71" si="814">BK70/BK60</f>
        <v>0.37114902832844593</v>
      </c>
      <c r="BL71" s="60">
        <f t="shared" ref="BL71" si="815">BL70/BL60</f>
        <v>0.37114902832844604</v>
      </c>
      <c r="BM71" s="60">
        <f t="shared" ref="BM71" si="816">BM70/BM60</f>
        <v>0.37114902832844598</v>
      </c>
      <c r="BN71" s="60">
        <f t="shared" ref="BN71" si="817">BN70/BN60</f>
        <v>0.37114902832844593</v>
      </c>
      <c r="BO71" s="60">
        <f t="shared" ref="BO71" si="818">BO70/BO60</f>
        <v>0.37114902832844604</v>
      </c>
      <c r="BP71" s="60">
        <f t="shared" ref="BP71" si="819">BP70/BP60</f>
        <v>0.37114902832844598</v>
      </c>
      <c r="BQ71" s="60">
        <f t="shared" ref="BQ71" si="820">BQ70/BQ60</f>
        <v>0.37114902832844593</v>
      </c>
      <c r="BR71" s="60">
        <f t="shared" ref="BR71" si="821">BR70/BR60</f>
        <v>0.37114902832844598</v>
      </c>
      <c r="BS71" s="60">
        <f t="shared" ref="BS71" si="822">BS70/BS60</f>
        <v>0.37114902832844604</v>
      </c>
      <c r="BT71" s="60">
        <f t="shared" ref="BT71" si="823">BT70/BT60</f>
        <v>0.37114902832844593</v>
      </c>
      <c r="BU71" s="60">
        <f t="shared" ref="BU71" si="824">BU70/BU60</f>
        <v>0.37114902832844593</v>
      </c>
      <c r="BV71" s="60">
        <f t="shared" ref="BV71" si="825">BV70/BV60</f>
        <v>0.37114902832844598</v>
      </c>
      <c r="BW71" s="60">
        <f t="shared" ref="BW71" si="826">BW70/BW60</f>
        <v>0.37114902832844587</v>
      </c>
      <c r="BX71" s="60">
        <f t="shared" ref="BX71" si="827">BX70/BX60</f>
        <v>0.37114902832844598</v>
      </c>
      <c r="BY71" s="60">
        <f t="shared" ref="BY71" si="828">BY70/BY60</f>
        <v>0.37114902832844598</v>
      </c>
      <c r="BZ71" s="60">
        <f t="shared" ref="BZ71" si="829">BZ70/BZ60</f>
        <v>0.37114902832844587</v>
      </c>
      <c r="CA71" s="60">
        <f t="shared" ref="CA71" si="830">CA70/CA60</f>
        <v>0.37114902832844604</v>
      </c>
      <c r="CB71" s="60">
        <f t="shared" ref="CB71" si="831">CB70/CB60</f>
        <v>0.37114902832844598</v>
      </c>
      <c r="CC71" s="60">
        <f t="shared" ref="CC71" si="832">CC70/CC60</f>
        <v>0.37114902832844604</v>
      </c>
      <c r="CD71" s="60">
        <f t="shared" ref="CD71" si="833">CD70/CD60</f>
        <v>0.3711490283284461</v>
      </c>
      <c r="CE71" s="60">
        <f t="shared" ref="CE71" si="834">CE70/CE60</f>
        <v>0.3711490283284461</v>
      </c>
      <c r="CF71" s="60">
        <f t="shared" ref="CF71" si="835">CF70/CF60</f>
        <v>0.37114902832844615</v>
      </c>
      <c r="CG71" s="60">
        <f t="shared" ref="CG71" si="836">CG70/CG60</f>
        <v>0.37114902832844615</v>
      </c>
      <c r="CH71" s="60">
        <f t="shared" ref="CH71" si="837">CH70/CH60</f>
        <v>0.37114902832844604</v>
      </c>
      <c r="CI71" s="60">
        <f t="shared" ref="CI71" si="838">CI70/CI60</f>
        <v>0.37114902832844604</v>
      </c>
    </row>
    <row r="73" spans="2:87" ht="13.8" thickBot="1" x14ac:dyDescent="0.3"/>
    <row r="74" spans="2:87" ht="14.4" x14ac:dyDescent="0.3">
      <c r="N74" s="67" t="s">
        <v>552</v>
      </c>
      <c r="O74" s="68">
        <f>+WACC!$D$16</f>
        <v>8.1629526336362973E-2</v>
      </c>
    </row>
    <row r="75" spans="2:87" ht="14.4" x14ac:dyDescent="0.3">
      <c r="N75" s="69" t="s">
        <v>554</v>
      </c>
      <c r="O75" s="70">
        <f>NPV(O74,M70:CI70)</f>
        <v>4070336.6739790873</v>
      </c>
    </row>
    <row r="76" spans="2:87" ht="14.4" x14ac:dyDescent="0.3">
      <c r="N76" s="69" t="s">
        <v>740</v>
      </c>
      <c r="O76" s="71">
        <f>Model!$T$24</f>
        <v>51414</v>
      </c>
    </row>
    <row r="77" spans="2:87" ht="14.4" x14ac:dyDescent="0.3">
      <c r="N77" s="69" t="s">
        <v>739</v>
      </c>
      <c r="O77" s="71">
        <f>O75+O76</f>
        <v>4121750.6739790873</v>
      </c>
    </row>
    <row r="78" spans="2:87" ht="14.4" x14ac:dyDescent="0.3">
      <c r="N78" s="69" t="s">
        <v>737</v>
      </c>
      <c r="O78" s="71">
        <f>Model!$T$15</f>
        <v>7432</v>
      </c>
    </row>
    <row r="79" spans="2:87" ht="14.4" x14ac:dyDescent="0.3">
      <c r="N79" s="69" t="s">
        <v>738</v>
      </c>
      <c r="O79" s="72">
        <f>O77/O78</f>
        <v>554.59508530396761</v>
      </c>
    </row>
    <row r="80" spans="2:87" ht="14.4" x14ac:dyDescent="0.3">
      <c r="N80" s="69" t="s">
        <v>741</v>
      </c>
      <c r="O80" s="72">
        <v>418.79</v>
      </c>
    </row>
    <row r="81" spans="1:87" ht="13.8" thickBot="1" x14ac:dyDescent="0.3">
      <c r="N81" s="75" t="s">
        <v>744</v>
      </c>
      <c r="O81" s="76">
        <f>O79/O80-1</f>
        <v>0.32427967550315806</v>
      </c>
    </row>
    <row r="86" spans="1:87" x14ac:dyDescent="0.25">
      <c r="B86" s="57" t="s">
        <v>745</v>
      </c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</row>
    <row r="87" spans="1:87" x14ac:dyDescent="0.25">
      <c r="A87" s="54" t="s">
        <v>728</v>
      </c>
      <c r="B87" s="1" t="s">
        <v>700</v>
      </c>
      <c r="C87" s="33">
        <v>19062</v>
      </c>
      <c r="D87" s="33">
        <v>21649</v>
      </c>
      <c r="E87" s="33">
        <v>26129</v>
      </c>
      <c r="F87" s="33">
        <v>32622</v>
      </c>
      <c r="G87" s="33">
        <v>41379</v>
      </c>
      <c r="H87" s="33">
        <v>52589</v>
      </c>
      <c r="I87" s="33">
        <v>67350</v>
      </c>
      <c r="J87" s="33">
        <v>79970</v>
      </c>
      <c r="K87" s="33">
        <v>97726</v>
      </c>
      <c r="L87" s="33">
        <v>114163.68737918926</v>
      </c>
      <c r="M87" s="56">
        <f>+L87*1.11</f>
        <v>126721.69299090009</v>
      </c>
      <c r="N87" s="56">
        <f>+M87*1.1</f>
        <v>139393.86228999012</v>
      </c>
      <c r="O87" s="56">
        <f>+N87*1.09</f>
        <v>151939.30989608925</v>
      </c>
      <c r="P87" s="56">
        <f>+O87*1.08</f>
        <v>164094.45468777639</v>
      </c>
      <c r="Q87" s="56">
        <f>+P87*1.07</f>
        <v>175581.06651592074</v>
      </c>
      <c r="R87" s="56">
        <f>+Q87*1.06</f>
        <v>186115.930506876</v>
      </c>
      <c r="S87" s="56">
        <f>+R87*1.05</f>
        <v>195421.72703221982</v>
      </c>
      <c r="T87" s="56">
        <f>+S87*1.04</f>
        <v>203238.59611350863</v>
      </c>
      <c r="U87" s="56">
        <f>+T87*1.03</f>
        <v>209335.7539969139</v>
      </c>
      <c r="V87" s="56">
        <f>+U87*(1+Segments!AP76-0.01)</f>
        <v>218471.13101640448</v>
      </c>
      <c r="W87" s="56">
        <f>+V87*(1+Segments!AQ76-0.01)</f>
        <v>227408.5833652429</v>
      </c>
      <c r="X87" s="56">
        <f>+W87*(1+Segments!AR76-0.01)</f>
        <v>236150.82745196534</v>
      </c>
      <c r="Y87" s="56">
        <f>+X87*(1+Segments!AS76-0.01)</f>
        <v>244700.57585079473</v>
      </c>
      <c r="Z87" s="56">
        <f>+Y87*(1+Segments!AT76-0.01)</f>
        <v>253060.53304929833</v>
      </c>
      <c r="AA87" s="56">
        <f>+Z87*(1+Segments!AU76-0.01)</f>
        <v>261233.39196610689</v>
      </c>
      <c r="AB87" s="56">
        <f>+AA87*(1+Segments!AV76-0.01)</f>
        <v>269221.83108510409</v>
      </c>
      <c r="AC87" s="56">
        <f>+AB87*(1+Segments!AW76-0.01)</f>
        <v>277028.51208786637</v>
      </c>
      <c r="AD87" s="56">
        <f>+AC87*(1+Segments!AX76-0.01)</f>
        <v>284656.07789231895</v>
      </c>
      <c r="AE87" s="56">
        <f>+AD87*(1+Segments!AY76-0.01)</f>
        <v>292107.15102520888</v>
      </c>
      <c r="AF87" s="56">
        <f>+AE87*(1+Segments!AZ76-0.01)</f>
        <v>299384.33227089362</v>
      </c>
      <c r="AG87" s="56">
        <f>+AF87*(1+Segments!BA76-0.01)</f>
        <v>306490.19955036871</v>
      </c>
      <c r="AH87" s="56">
        <f>+AG87*(1+Segments!BB76-0.01)</f>
        <v>313427.30699330912</v>
      </c>
      <c r="AI87" s="56">
        <f>+AH87*(1+Segments!BC76-0.01)</f>
        <v>320198.18417282181</v>
      </c>
      <c r="AJ87" s="56">
        <f>+AI87*(1+Segments!BD76-0.01)</f>
        <v>326805.33547806466</v>
      </c>
      <c r="AK87" s="56">
        <f>+AJ87*(1+Segments!BE76-0.01)</f>
        <v>333251.23960422806</v>
      </c>
      <c r="AL87" s="56">
        <f>+AK87*(1+Segments!BF76-0.01)</f>
        <v>339538.34914285358</v>
      </c>
      <c r="AM87" s="56">
        <f>+AL87*(1+Segments!BG76-0.01)</f>
        <v>345669.09025826905</v>
      </c>
      <c r="AN87" s="56">
        <f>+AM87*(1+Segments!BH76-0.01)</f>
        <v>351645.86243819963</v>
      </c>
      <c r="AO87" s="56">
        <f>+AN87*(1+Segments!BI76-0.01)</f>
        <v>357471.03830847534</v>
      </c>
      <c r="AP87" s="56">
        <f>+AO87*(1+Segments!BJ76-0.01)</f>
        <v>363146.96350328898</v>
      </c>
      <c r="AQ87" s="56">
        <f>+AP87*(1+Segments!BK76-0.01)</f>
        <v>368675.95658372174</v>
      </c>
      <c r="AR87" s="56">
        <f>+AQ87*(1+Segments!BL76-0.01)</f>
        <v>374060.30899830861</v>
      </c>
      <c r="AS87" s="56">
        <f>+AR87*(1+Segments!BM76-0.01)</f>
        <v>379302.28508029203</v>
      </c>
      <c r="AT87" s="56">
        <f>+AS87*(1+Segments!BN76-0.01)</f>
        <v>384404.12207695079</v>
      </c>
      <c r="AU87" s="56">
        <f>+AT87*(1+Segments!BO76-0.01)</f>
        <v>389368.03020701272</v>
      </c>
      <c r="AV87" s="56">
        <f>+AU87*(1+Segments!BP76-0.01)</f>
        <v>394196.19274268532</v>
      </c>
      <c r="AW87" s="56">
        <f>+AV87*(1+Segments!BQ76-0.01)</f>
        <v>398890.76611328573</v>
      </c>
      <c r="AX87" s="56">
        <f>+AW87*(1+Segments!BR76-0.01)</f>
        <v>403453.88002783374</v>
      </c>
      <c r="AY87" s="56">
        <f>+AX87*(1+Segments!BS76-0.01)</f>
        <v>407887.63761429646</v>
      </c>
      <c r="AZ87" s="56">
        <f>+AY87*(1+Segments!BT76-0.01)</f>
        <v>412194.11557345669</v>
      </c>
      <c r="BA87" s="56">
        <f>+AZ87*(1+Segments!BU76-0.01)</f>
        <v>416375.36434561649</v>
      </c>
      <c r="BB87" s="56">
        <f>+BA87*(1+Segments!BV76-0.01)</f>
        <v>420433.4082885583</v>
      </c>
      <c r="BC87" s="56">
        <f>+BB87*(1+Segments!BW76-0.01)</f>
        <v>424370.24586536799</v>
      </c>
      <c r="BD87" s="56">
        <f>+BC87*(1+Segments!BX76-0.01)</f>
        <v>428187.84984088078</v>
      </c>
      <c r="BE87" s="56">
        <f>+BD87*(1+Segments!BY76-0.01)</f>
        <v>431888.1674856508</v>
      </c>
      <c r="BF87" s="56">
        <f>+BE87*(1+Segments!BZ76-0.01)</f>
        <v>435473.1207864646</v>
      </c>
      <c r="BG87" s="56">
        <f>+BF87*(1+Segments!CA76-0.01)</f>
        <v>438944.60666252492</v>
      </c>
      <c r="BH87" s="56">
        <f>+BG87*(1+Segments!CB76-0.01)</f>
        <v>442304.49718652497</v>
      </c>
      <c r="BI87" s="56">
        <f>+BH87*(1+Segments!CC76-0.01)</f>
        <v>445554.63980991486</v>
      </c>
      <c r="BJ87" s="56">
        <f>+BI87*(1+Segments!CD76-0.01)</f>
        <v>448696.8575917345</v>
      </c>
      <c r="BK87" s="56">
        <f>+BJ87*(1+Segments!CE76-0.01)</f>
        <v>451732.94943045214</v>
      </c>
      <c r="BL87" s="56">
        <f>+BK87*(1+Segments!CF76-0.01)</f>
        <v>454664.69029830373</v>
      </c>
      <c r="BM87" s="56">
        <f>+BL87*(1+Segments!CG76-0.01)</f>
        <v>457493.83147768001</v>
      </c>
      <c r="BN87" s="56">
        <f>+BM87*(1+Segments!CH76-0.01)</f>
        <v>460222.10079915251</v>
      </c>
      <c r="BO87" s="56">
        <f>+BN87*(1+Segments!CI76-0.01)</f>
        <v>462851.20288077137</v>
      </c>
      <c r="BP87" s="56">
        <f>+BO87*(1+Segments!CJ76-0.01)</f>
        <v>465382.81936830137</v>
      </c>
      <c r="BQ87" s="56">
        <f>+BP87*(1+Segments!CK76-0.01)</f>
        <v>467818.6091760986</v>
      </c>
      <c r="BR87" s="56">
        <f>+BQ87*(1+Segments!CL76-0.01)</f>
        <v>470160.20872835512</v>
      </c>
      <c r="BS87" s="56">
        <f>+BR87*(1+Segments!CM76-0.01)</f>
        <v>472409.23220046813</v>
      </c>
      <c r="BT87" s="56">
        <f>+BS87*(1+Segments!CN76-0.01)</f>
        <v>474567.27176031284</v>
      </c>
      <c r="BU87" s="56">
        <f>+BT87*(1+Segments!CO76-0.01)</f>
        <v>476635.89780921745</v>
      </c>
      <c r="BV87" s="56">
        <f>+BU87*(1+Segments!CP76-0.01)</f>
        <v>478616.65922246076</v>
      </c>
      <c r="BW87" s="56">
        <f>+BV87*(1+Segments!CQ76-0.01)</f>
        <v>480511.08358912863</v>
      </c>
      <c r="BX87" s="56">
        <f>+BW87*(1+Segments!CR76-0.01)</f>
        <v>482320.67745117977</v>
      </c>
      <c r="BY87" s="56">
        <f>+BX87*(1+Segments!CS76-0.01)</f>
        <v>484046.92654158908</v>
      </c>
      <c r="BZ87" s="56">
        <f>+BY87*(1+Segments!CT76-0.01)</f>
        <v>485691.29602144589</v>
      </c>
      <c r="CA87" s="56">
        <f>+BZ87*(1+Segments!CU76-0.01)</f>
        <v>487255.23071589798</v>
      </c>
      <c r="CB87" s="56">
        <f>+CA87*(1+Segments!CV76-0.01)</f>
        <v>488740.15534884325</v>
      </c>
      <c r="CC87" s="56">
        <f>+CB87*(1+Segments!CW76-0.01)</f>
        <v>490147.47477627947</v>
      </c>
      <c r="CD87" s="56">
        <f>+CC87*(1+Segments!CX76-0.01)</f>
        <v>491478.57421823125</v>
      </c>
      <c r="CE87" s="56">
        <f>+CD87*(1+Segments!CY76-0.01)</f>
        <v>492734.81948918331</v>
      </c>
      <c r="CF87" s="56">
        <f>+CE87*(1+Segments!CZ76-0.01)</f>
        <v>493917.55722695333</v>
      </c>
      <c r="CG87" s="56">
        <f>+CF87*(1+Segments!DA76-0.01)</f>
        <v>495028.11511994811</v>
      </c>
      <c r="CH87" s="56">
        <f>+CG87*(1+Segments!DB76-0.01)</f>
        <v>496067.80213274888</v>
      </c>
      <c r="CI87" s="56">
        <f>+CH87*(1+Segments!DC76-0.01)</f>
        <v>497037.90872998117</v>
      </c>
    </row>
    <row r="88" spans="1:87" x14ac:dyDescent="0.25">
      <c r="A88" s="1" t="s">
        <v>713</v>
      </c>
      <c r="B88" s="1" t="s">
        <v>701</v>
      </c>
      <c r="C88" s="33">
        <v>23868</v>
      </c>
      <c r="D88" s="33">
        <v>25573</v>
      </c>
      <c r="E88" s="33">
        <v>28316</v>
      </c>
      <c r="F88" s="33">
        <v>31769</v>
      </c>
      <c r="G88" s="33">
        <v>35316</v>
      </c>
      <c r="H88" s="33">
        <v>39872</v>
      </c>
      <c r="I88" s="33">
        <v>44970</v>
      </c>
      <c r="J88" s="33">
        <v>48848</v>
      </c>
      <c r="K88" s="33">
        <v>54875</v>
      </c>
      <c r="L88" s="33">
        <v>64105.072804913849</v>
      </c>
      <c r="M88" s="56">
        <f>L5*(1+Segments!AG77-0.001)</f>
        <v>68725.18621010553</v>
      </c>
      <c r="N88" s="56">
        <f>M5*(1+Segments!AH77-0.001)</f>
        <v>76825.031147471309</v>
      </c>
      <c r="O88" s="56">
        <f>N5*(1+Segments!AI77-0.001)</f>
        <v>84783.108602609907</v>
      </c>
      <c r="P88" s="56">
        <f>O5*(1+Segments!AJ77-0.001)</f>
        <v>89864.1004454676</v>
      </c>
      <c r="Q88" s="56">
        <f>P5*(1+Segments!AK77-0.001)</f>
        <v>94945.092288325322</v>
      </c>
      <c r="R88" s="56">
        <f>Q5*(1+Segments!AL77-0.001)</f>
        <v>100026.08413118303</v>
      </c>
      <c r="S88" s="56">
        <f>R5*(1+Segments!AM77-0.001)</f>
        <v>105107.07597404074</v>
      </c>
      <c r="T88" s="56">
        <f>S5*(1+Segments!AN77-0.001)</f>
        <v>110188.06781689845</v>
      </c>
      <c r="U88" s="56">
        <f>T5*(1+Segments!AO77-0.001)</f>
        <v>115269.05965975618</v>
      </c>
      <c r="V88" s="56">
        <f>U5*(1+Segments!AP77-0.001)</f>
        <v>120350.05150261387</v>
      </c>
      <c r="W88" s="56">
        <f>V5*(1+Segments!AQ77-0.001)</f>
        <v>125431.0433454716</v>
      </c>
      <c r="X88" s="56">
        <f>W5*(1+Segments!AR77-0.001)</f>
        <v>130512.0351883293</v>
      </c>
      <c r="Y88" s="56">
        <f>X5*(1+Segments!AS77-0.001)</f>
        <v>135593.027031187</v>
      </c>
      <c r="Z88" s="56">
        <f>Y5*(1+Segments!AT77-0.001)</f>
        <v>140674.0188740447</v>
      </c>
      <c r="AA88" s="56">
        <f>Z5*(1+Segments!AU77-0.001)</f>
        <v>145755.01071690244</v>
      </c>
      <c r="AB88" s="56">
        <f>AA5*(1+Segments!AV77-0.001)</f>
        <v>150836.00255976015</v>
      </c>
      <c r="AC88" s="56">
        <f>AB5*(1+Segments!AW77-0.001)</f>
        <v>155916.99440261783</v>
      </c>
      <c r="AD88" s="56">
        <f>AC5*(1+Segments!AX77-0.001)</f>
        <v>160997.98624547553</v>
      </c>
      <c r="AE88" s="56">
        <f>AD5*(1+Segments!AY77-0.001)</f>
        <v>166078.97808833324</v>
      </c>
      <c r="AF88" s="56">
        <f>AE5*(1+Segments!AZ77-0.001)</f>
        <v>171159.96993119095</v>
      </c>
      <c r="AG88" s="56">
        <f>AF5*(1+Segments!BA77-0.001)</f>
        <v>176240.96177404869</v>
      </c>
      <c r="AH88" s="56">
        <f>AG5*(1+Segments!BB77-0.001)</f>
        <v>181321.95361690639</v>
      </c>
      <c r="AI88" s="56">
        <f>AH5*(1+Segments!BC77-0.001)</f>
        <v>186402.9454597641</v>
      </c>
      <c r="AJ88" s="56">
        <f>AI5*(1+Segments!BD77-0.001)</f>
        <v>191483.93730262175</v>
      </c>
      <c r="AK88" s="56">
        <f>AJ5*(1+Segments!BE77-0.001)</f>
        <v>196564.92914547946</v>
      </c>
      <c r="AL88" s="56">
        <f>AK5*(1+Segments!BF77-0.001)</f>
        <v>201645.92098833717</v>
      </c>
      <c r="AM88" s="56">
        <f>AL5*(1+Segments!BG77-0.001)</f>
        <v>206726.9128311949</v>
      </c>
      <c r="AN88" s="56">
        <f>AM5*(1+Segments!BH77-0.001)</f>
        <v>211807.90467405264</v>
      </c>
      <c r="AO88" s="56">
        <f>AN5*(1+Segments!BI77-0.001)</f>
        <v>216888.89651691035</v>
      </c>
      <c r="AP88" s="56">
        <f>AO5*(1+Segments!BJ77-0.001)</f>
        <v>221969.88835976805</v>
      </c>
      <c r="AQ88" s="56">
        <f>AP5*(1+Segments!BK77-0.001)</f>
        <v>227050.88020262579</v>
      </c>
      <c r="AR88" s="56">
        <f>AQ5*(1+Segments!BL77-0.001)</f>
        <v>232131.8720454835</v>
      </c>
      <c r="AS88" s="56">
        <f>AR5*(1+Segments!BM77-0.001)</f>
        <v>237212.86388834118</v>
      </c>
      <c r="AT88" s="56">
        <f>AS5*(1+Segments!BN77-0.001)</f>
        <v>242293.85573119886</v>
      </c>
      <c r="AU88" s="56">
        <f>AT5*(1+Segments!BO77-0.001)</f>
        <v>247374.84757405656</v>
      </c>
      <c r="AV88" s="56">
        <f>AU5*(1+Segments!BP77-0.001)</f>
        <v>252455.83941691424</v>
      </c>
      <c r="AW88" s="56">
        <f>AV5*(1+Segments!BQ77-0.001)</f>
        <v>257536.83125977198</v>
      </c>
      <c r="AX88" s="56">
        <f>AW5*(1+Segments!BR77-0.001)</f>
        <v>262617.82310262969</v>
      </c>
      <c r="AY88" s="56">
        <f>AX5*(1+Segments!BS77-0.001)</f>
        <v>267698.81494548742</v>
      </c>
      <c r="AZ88" s="56">
        <f>AY5*(1+Segments!BT77-0.001)</f>
        <v>272779.8067883451</v>
      </c>
      <c r="BA88" s="56">
        <f>AZ5*(1+Segments!BU77-0.001)</f>
        <v>277860.79863120272</v>
      </c>
      <c r="BB88" s="56">
        <f>BA5*(1+Segments!BV77-0.001)</f>
        <v>282941.79047406046</v>
      </c>
      <c r="BC88" s="56">
        <f>BB5*(1+Segments!BW77-0.001)</f>
        <v>288022.78231691814</v>
      </c>
      <c r="BD88" s="56">
        <f>BC5*(1+Segments!BX77-0.001)</f>
        <v>293103.77415977587</v>
      </c>
      <c r="BE88" s="56">
        <f>BD5*(1+Segments!BY77-0.001)</f>
        <v>298184.76600263349</v>
      </c>
      <c r="BF88" s="56">
        <f>BE5*(1+Segments!BZ77-0.001)</f>
        <v>303265.75784549123</v>
      </c>
      <c r="BG88" s="56">
        <f>BF5*(1+Segments!CA77-0.001)</f>
        <v>308346.74968834897</v>
      </c>
      <c r="BH88" s="56">
        <f>BG5*(1+Segments!CB77-0.001)</f>
        <v>313427.74153120653</v>
      </c>
      <c r="BI88" s="56">
        <f>BH5*(1+Segments!CC77-0.001)</f>
        <v>318508.73337406426</v>
      </c>
      <c r="BJ88" s="56">
        <f>BI5*(1+Segments!CD77-0.001)</f>
        <v>323589.725216922</v>
      </c>
      <c r="BK88" s="56">
        <f>BJ5*(1+Segments!CE77-0.001)</f>
        <v>328670.71705977968</v>
      </c>
      <c r="BL88" s="56">
        <f>BK5*(1+Segments!CF77-0.001)</f>
        <v>333751.7089026373</v>
      </c>
      <c r="BM88" s="56">
        <f>BL5*(1+Segments!CG77-0.001)</f>
        <v>338832.70074549504</v>
      </c>
      <c r="BN88" s="56">
        <f>BM5*(1+Segments!CH77-0.001)</f>
        <v>343913.69258835283</v>
      </c>
      <c r="BO88" s="56">
        <f>BN5*(1+Segments!CI77-0.001)</f>
        <v>348994.68443121057</v>
      </c>
      <c r="BP88" s="56">
        <f>BO5*(1+Segments!CJ77-0.001)</f>
        <v>354075.67627406825</v>
      </c>
      <c r="BQ88" s="56">
        <f>BP5*(1+Segments!CK77-0.001)</f>
        <v>359156.66811692592</v>
      </c>
      <c r="BR88" s="56">
        <f>BQ5*(1+Segments!CL77-0.001)</f>
        <v>364237.65995978354</v>
      </c>
      <c r="BS88" s="56">
        <f>BR5*(1+Segments!CM77-0.001)</f>
        <v>369318.65180264128</v>
      </c>
      <c r="BT88" s="56">
        <f>BS5*(1+Segments!CN77-0.001)</f>
        <v>374399.64364549896</v>
      </c>
      <c r="BU88" s="56">
        <f>BT5*(1+Segments!CO77-0.001)</f>
        <v>379480.6354883567</v>
      </c>
      <c r="BV88" s="56">
        <f>BU5*(1+Segments!CP77-0.001)</f>
        <v>384561.62733121437</v>
      </c>
      <c r="BW88" s="56">
        <f>BV5*(1+Segments!CQ77-0.001)</f>
        <v>389642.61917407211</v>
      </c>
      <c r="BX88" s="56">
        <f>BW5*(1+Segments!CR77-0.001)</f>
        <v>394723.61101692979</v>
      </c>
      <c r="BY88" s="56">
        <f>BX5*(1+Segments!CS77-0.001)</f>
        <v>399804.60285978753</v>
      </c>
      <c r="BZ88" s="56">
        <f>BY5*(1+Segments!CT77-0.001)</f>
        <v>404885.5947026452</v>
      </c>
      <c r="CA88" s="56">
        <f>BZ5*(1+Segments!CU77-0.001)</f>
        <v>409966.58654550283</v>
      </c>
      <c r="CB88" s="56">
        <f>CA5*(1+Segments!CV77-0.001)</f>
        <v>415047.57838836062</v>
      </c>
      <c r="CC88" s="56">
        <f>CB5*(1+Segments!CW77-0.001)</f>
        <v>420128.5702312183</v>
      </c>
      <c r="CD88" s="56">
        <f>CC5*(1+Segments!CX77-0.001)</f>
        <v>425209.56207407604</v>
      </c>
      <c r="CE88" s="56">
        <f>CD5*(1+Segments!CY77-0.001)</f>
        <v>430290.55391693377</v>
      </c>
      <c r="CF88" s="56">
        <f>CE5*(1+Segments!CZ77-0.001)</f>
        <v>435371.54575979145</v>
      </c>
      <c r="CG88" s="56">
        <f>CF5*(1+Segments!DA77-0.001)</f>
        <v>440452.53760264913</v>
      </c>
      <c r="CH88" s="56">
        <f>CG5*(1+Segments!DB77-0.001)</f>
        <v>445533.52944550692</v>
      </c>
      <c r="CI88" s="56">
        <f>CH5*(1+Segments!DC77-0.001)</f>
        <v>450614.5212883646</v>
      </c>
    </row>
    <row r="89" spans="1:87" x14ac:dyDescent="0.25">
      <c r="A89" s="1" t="s">
        <v>702</v>
      </c>
      <c r="B89" s="1" t="s">
        <v>702</v>
      </c>
      <c r="C89" s="33">
        <v>17548</v>
      </c>
      <c r="D89" s="33">
        <v>18593</v>
      </c>
      <c r="E89" s="33">
        <v>19518</v>
      </c>
      <c r="F89" s="33">
        <v>20395</v>
      </c>
      <c r="G89" s="33">
        <v>21510</v>
      </c>
      <c r="H89" s="33">
        <v>22488</v>
      </c>
      <c r="I89" s="33">
        <v>24732</v>
      </c>
      <c r="J89" s="33">
        <v>21507</v>
      </c>
      <c r="K89" s="33">
        <v>23244</v>
      </c>
      <c r="L89" s="33">
        <v>27153.682228290068</v>
      </c>
      <c r="M89" s="56">
        <v>28073.758653867066</v>
      </c>
      <c r="N89" s="56">
        <v>28993.835079444063</v>
      </c>
      <c r="O89" s="56">
        <v>29913.911505021064</v>
      </c>
      <c r="P89" s="56">
        <v>30833.987930598065</v>
      </c>
      <c r="Q89" s="56">
        <v>31754.064356175062</v>
      </c>
      <c r="R89" s="56">
        <v>32674.140781752063</v>
      </c>
      <c r="S89" s="56">
        <v>33594.217207329064</v>
      </c>
      <c r="T89" s="56">
        <v>34514.293632906061</v>
      </c>
      <c r="U89" s="56">
        <v>35434.370058483059</v>
      </c>
      <c r="V89" s="56">
        <v>36354.446484060063</v>
      </c>
      <c r="W89" s="56">
        <v>37274.522909637068</v>
      </c>
      <c r="X89" s="56">
        <v>38194.599335214072</v>
      </c>
      <c r="Y89" s="56">
        <v>39114.675760791077</v>
      </c>
      <c r="Z89" s="56">
        <v>40034.752186368074</v>
      </c>
      <c r="AA89" s="56">
        <v>40954.828611945079</v>
      </c>
      <c r="AB89" s="56">
        <v>41874.905037522083</v>
      </c>
      <c r="AC89" s="56">
        <v>42794.98146309908</v>
      </c>
      <c r="AD89" s="56">
        <v>43715.057888676092</v>
      </c>
      <c r="AE89" s="56">
        <v>44635.134314253082</v>
      </c>
      <c r="AF89" s="56">
        <v>45555.210739830087</v>
      </c>
      <c r="AG89" s="56">
        <v>46475.287165407077</v>
      </c>
      <c r="AH89" s="56">
        <v>47395.363590984081</v>
      </c>
      <c r="AI89" s="56">
        <v>48315.440016561071</v>
      </c>
      <c r="AJ89" s="56">
        <v>49235.516442138083</v>
      </c>
      <c r="AK89" s="56">
        <v>50155.592867715073</v>
      </c>
      <c r="AL89" s="56">
        <v>51075.669293292078</v>
      </c>
      <c r="AM89" s="56">
        <v>51995.745718869075</v>
      </c>
      <c r="AN89" s="56">
        <v>52915.82214444608</v>
      </c>
      <c r="AO89" s="56">
        <v>53835.898570023084</v>
      </c>
      <c r="AP89" s="56">
        <v>54755.974995600089</v>
      </c>
      <c r="AQ89" s="56">
        <v>55676.051421177093</v>
      </c>
      <c r="AR89" s="56">
        <v>56596.127846754098</v>
      </c>
      <c r="AS89" s="56">
        <v>57516.204272331102</v>
      </c>
      <c r="AT89" s="56">
        <v>58436.280697908107</v>
      </c>
      <c r="AU89" s="56">
        <v>59356.357123485112</v>
      </c>
      <c r="AV89" s="56">
        <v>60276.433549062109</v>
      </c>
      <c r="AW89" s="56">
        <v>61196.509974639106</v>
      </c>
      <c r="AX89" s="56">
        <v>62116.586400216103</v>
      </c>
      <c r="AY89" s="56">
        <v>63036.662825793101</v>
      </c>
      <c r="AZ89" s="56">
        <v>63956.739251370098</v>
      </c>
      <c r="BA89" s="56">
        <v>64876.815676947095</v>
      </c>
      <c r="BB89" s="56">
        <v>65796.8921025241</v>
      </c>
      <c r="BC89" s="56">
        <v>66716.968528101104</v>
      </c>
      <c r="BD89" s="56">
        <v>67637.044953678109</v>
      </c>
      <c r="BE89" s="56">
        <v>68557.121379255099</v>
      </c>
      <c r="BF89" s="56">
        <v>69477.197804832103</v>
      </c>
      <c r="BG89" s="56">
        <v>70397.274230409108</v>
      </c>
      <c r="BH89" s="56">
        <v>71317.350655986098</v>
      </c>
      <c r="BI89" s="56">
        <v>72237.427081563103</v>
      </c>
      <c r="BJ89" s="56">
        <v>73157.503507140107</v>
      </c>
      <c r="BK89" s="56">
        <v>74077.579932717097</v>
      </c>
      <c r="BL89" s="56">
        <v>74997.656358294087</v>
      </c>
      <c r="BM89" s="56">
        <v>75917.732783871092</v>
      </c>
      <c r="BN89" s="56">
        <v>76837.809209448096</v>
      </c>
      <c r="BO89" s="56">
        <v>77757.885635025086</v>
      </c>
      <c r="BP89" s="56">
        <v>78677.962060602076</v>
      </c>
      <c r="BQ89" s="56">
        <v>79598.038486179095</v>
      </c>
      <c r="BR89" s="56">
        <v>80518.1149117561</v>
      </c>
      <c r="BS89" s="56">
        <v>81438.19133733309</v>
      </c>
      <c r="BT89" s="56">
        <v>82358.26776291008</v>
      </c>
      <c r="BU89" s="56">
        <v>83278.344188487084</v>
      </c>
      <c r="BV89" s="56">
        <v>84198.420614064089</v>
      </c>
      <c r="BW89" s="56">
        <v>85118.497039641079</v>
      </c>
      <c r="BX89" s="56">
        <v>86038.573465218069</v>
      </c>
      <c r="BY89" s="56">
        <v>86958.649890795088</v>
      </c>
      <c r="BZ89" s="56">
        <v>87878.726316372107</v>
      </c>
      <c r="CA89" s="56">
        <v>88798.802741949097</v>
      </c>
      <c r="CB89" s="56">
        <v>89718.879167526102</v>
      </c>
      <c r="CC89" s="56">
        <v>90638.955593103092</v>
      </c>
      <c r="CD89" s="56">
        <v>91559.032018680096</v>
      </c>
      <c r="CE89" s="56">
        <v>92479.108444257086</v>
      </c>
      <c r="CF89" s="56">
        <v>93399.184869834091</v>
      </c>
      <c r="CG89" s="56">
        <v>94319.261295411081</v>
      </c>
      <c r="CH89" s="56">
        <v>95239.3377209881</v>
      </c>
      <c r="CI89" s="56">
        <v>96159.41414656509</v>
      </c>
    </row>
    <row r="90" spans="1:87" x14ac:dyDescent="0.25">
      <c r="A90" s="1" t="s">
        <v>520</v>
      </c>
      <c r="B90" s="1" t="s">
        <v>520</v>
      </c>
      <c r="C90" s="33">
        <v>9202</v>
      </c>
      <c r="D90" s="33">
        <v>9051</v>
      </c>
      <c r="E90" s="33">
        <v>10353</v>
      </c>
      <c r="F90" s="33">
        <v>11386</v>
      </c>
      <c r="G90" s="33">
        <v>11575</v>
      </c>
      <c r="H90" s="33">
        <v>15370</v>
      </c>
      <c r="I90" s="33">
        <v>16230</v>
      </c>
      <c r="J90" s="33">
        <v>15466</v>
      </c>
      <c r="K90" s="33">
        <v>21503</v>
      </c>
      <c r="L90" s="33">
        <v>23455</v>
      </c>
      <c r="M90" s="56">
        <f>L7*(1+Segments!AG79)</f>
        <v>25175.079298422428</v>
      </c>
      <c r="N90" s="56">
        <f>M7*(1+Segments!AH79)</f>
        <v>28148.036368174315</v>
      </c>
      <c r="O90" s="56">
        <f>N7*(1+Segments!AI79)</f>
        <v>29948.243437926198</v>
      </c>
      <c r="P90" s="56">
        <f>O7*(1+Segments!AJ79)</f>
        <v>31748.450507678081</v>
      </c>
      <c r="Q90" s="56">
        <f>P7*(1+Segments!AK79)</f>
        <v>33548.657577429971</v>
      </c>
      <c r="R90" s="56">
        <f>Q7*(1+Segments!AL79)</f>
        <v>35348.864647181857</v>
      </c>
      <c r="S90" s="56">
        <f>R7*(1+Segments!AM79)</f>
        <v>37149.071716933744</v>
      </c>
      <c r="T90" s="56">
        <f>S7*(1+Segments!AN79)</f>
        <v>38949.278786685631</v>
      </c>
      <c r="U90" s="56">
        <f>T7*(1+Segments!AO79)</f>
        <v>40749.485856437517</v>
      </c>
      <c r="V90" s="56">
        <f>U7*(1+Segments!AP79)</f>
        <v>42549.692926189397</v>
      </c>
      <c r="W90" s="56">
        <f>V7*(1+Segments!AQ79)</f>
        <v>44349.899995941283</v>
      </c>
      <c r="X90" s="56">
        <f>W7*(1+Segments!AR79)</f>
        <v>46150.10706569317</v>
      </c>
      <c r="Y90" s="56">
        <f>X7*(1+Segments!AS79)</f>
        <v>47950.314135445049</v>
      </c>
      <c r="Z90" s="56">
        <f>Y7*(1+Segments!AT79)</f>
        <v>49750.521205196943</v>
      </c>
      <c r="AA90" s="56">
        <f>Z7*(1+Segments!AU79)</f>
        <v>51550.728274948829</v>
      </c>
      <c r="AB90" s="56">
        <f>AA7*(1+Segments!AV79)</f>
        <v>53350.935344700723</v>
      </c>
      <c r="AC90" s="56">
        <f>AB7*(1+Segments!AW79)</f>
        <v>55151.142414452603</v>
      </c>
      <c r="AD90" s="56">
        <f>AC7*(1+Segments!AX79)</f>
        <v>56951.349484204489</v>
      </c>
      <c r="AE90" s="56">
        <f>AD7*(1+Segments!AY79)</f>
        <v>58751.556553956376</v>
      </c>
      <c r="AF90" s="56">
        <f>AE7*(1+Segments!AZ79)</f>
        <v>60551.763623708262</v>
      </c>
      <c r="AG90" s="56">
        <f>AF7*(1+Segments!BA79)</f>
        <v>62351.970693460149</v>
      </c>
      <c r="AH90" s="56">
        <f>AG7*(1+Segments!BB79)</f>
        <v>64152.177763212036</v>
      </c>
      <c r="AI90" s="56">
        <f>AH7*(1+Segments!BC79)</f>
        <v>65952.384832963915</v>
      </c>
      <c r="AJ90" s="56">
        <f>AI7*(1+Segments!BD79)</f>
        <v>67752.591902715809</v>
      </c>
      <c r="AK90" s="56">
        <f>AJ7*(1+Segments!BE79)</f>
        <v>69552.798972467703</v>
      </c>
      <c r="AL90" s="56">
        <f>AK7*(1+Segments!BF79)</f>
        <v>71353.006042219597</v>
      </c>
      <c r="AM90" s="56">
        <f>AL7*(1+Segments!BG79)</f>
        <v>73153.213111971476</v>
      </c>
      <c r="AN90" s="56">
        <f>AM7*(1+Segments!BH79)</f>
        <v>74953.420181723355</v>
      </c>
      <c r="AO90" s="56">
        <f>AN7*(1+Segments!BI79)</f>
        <v>76753.627251475249</v>
      </c>
      <c r="AP90" s="56">
        <f>AO7*(1+Segments!BJ79)</f>
        <v>78553.834321227143</v>
      </c>
      <c r="AQ90" s="56">
        <f>AP7*(1+Segments!BK79)</f>
        <v>80354.041390979037</v>
      </c>
      <c r="AR90" s="56">
        <f>AQ7*(1+Segments!BL79)</f>
        <v>82154.248460730916</v>
      </c>
      <c r="AS90" s="56">
        <f>AR7*(1+Segments!BM79)</f>
        <v>83954.455530482795</v>
      </c>
      <c r="AT90" s="56">
        <f>AS7*(1+Segments!BN79)</f>
        <v>85754.662600234675</v>
      </c>
      <c r="AU90" s="56">
        <f>AT7*(1+Segments!BO79)</f>
        <v>87554.869669986554</v>
      </c>
      <c r="AV90" s="56">
        <f>AU7*(1+Segments!BP79)</f>
        <v>89355.076739738433</v>
      </c>
      <c r="AW90" s="56">
        <f>AV7*(1+Segments!BQ79)</f>
        <v>91155.283809490327</v>
      </c>
      <c r="AX90" s="56">
        <f>AW7*(1+Segments!BR79)</f>
        <v>92955.490879242207</v>
      </c>
      <c r="AY90" s="56">
        <f>AX7*(1+Segments!BS79)</f>
        <v>94755.697948994086</v>
      </c>
      <c r="AZ90" s="56">
        <f>AY7*(1+Segments!BT79)</f>
        <v>96555.90501874598</v>
      </c>
      <c r="BA90" s="56">
        <f>AZ7*(1+Segments!BU79)</f>
        <v>98356.112088497874</v>
      </c>
      <c r="BB90" s="56">
        <f>BA7*(1+Segments!BV79)</f>
        <v>100156.31915824977</v>
      </c>
      <c r="BC90" s="56">
        <f>BB7*(1+Segments!BW79)</f>
        <v>101956.52622800165</v>
      </c>
      <c r="BD90" s="56">
        <f>BC7*(1+Segments!BX79)</f>
        <v>103756.73329775353</v>
      </c>
      <c r="BE90" s="56">
        <f>BD7*(1+Segments!BY79)</f>
        <v>105556.94036750541</v>
      </c>
      <c r="BF90" s="56">
        <f>BE7*(1+Segments!BZ79)</f>
        <v>107357.1474372573</v>
      </c>
      <c r="BG90" s="56">
        <f>BF7*(1+Segments!CA79)</f>
        <v>109157.35450700921</v>
      </c>
      <c r="BH90" s="56">
        <f>BG7*(1+Segments!CB79)</f>
        <v>110957.56157676109</v>
      </c>
      <c r="BI90" s="56">
        <f>BH7*(1+Segments!CC79)</f>
        <v>112757.76864651297</v>
      </c>
      <c r="BJ90" s="56">
        <f>BI7*(1+Segments!CD79)</f>
        <v>114557.97571626483</v>
      </c>
      <c r="BK90" s="56">
        <f>BJ7*(1+Segments!CE79)</f>
        <v>116358.18278601671</v>
      </c>
      <c r="BL90" s="56">
        <f>BK7*(1+Segments!CF79)</f>
        <v>118158.38985576862</v>
      </c>
      <c r="BM90" s="56">
        <f>BL7*(1+Segments!CG79)</f>
        <v>119958.5969255205</v>
      </c>
      <c r="BN90" s="56">
        <f>BM7*(1+Segments!CH79)</f>
        <v>121758.80399527239</v>
      </c>
      <c r="BO90" s="56">
        <f>BN7*(1+Segments!CI79)</f>
        <v>123559.01106502429</v>
      </c>
      <c r="BP90" s="56">
        <f>BO7*(1+Segments!CJ79)</f>
        <v>125359.21813477617</v>
      </c>
      <c r="BQ90" s="56">
        <f>BP7*(1+Segments!CK79)</f>
        <v>127159.42520452807</v>
      </c>
      <c r="BR90" s="56">
        <f>BQ7*(1+Segments!CL79)</f>
        <v>128959.63227427995</v>
      </c>
      <c r="BS90" s="56">
        <f>BR7*(1+Segments!CM79)</f>
        <v>130759.83934403183</v>
      </c>
      <c r="BT90" s="56">
        <f>BS7*(1+Segments!CN79)</f>
        <v>132560.04641378374</v>
      </c>
      <c r="BU90" s="56">
        <f>BT7*(1+Segments!CO79)</f>
        <v>134360.25348353563</v>
      </c>
      <c r="BV90" s="56">
        <f>BU7*(1+Segments!CP79)</f>
        <v>136160.46055328756</v>
      </c>
      <c r="BW90" s="56">
        <f>BV7*(1+Segments!CQ79)</f>
        <v>137960.66762303945</v>
      </c>
      <c r="BX90" s="56">
        <f>BW7*(1+Segments!CR79)</f>
        <v>139760.87469279132</v>
      </c>
      <c r="BY90" s="56">
        <f>BX7*(1+Segments!CS79)</f>
        <v>141561.08176254321</v>
      </c>
      <c r="BZ90" s="56">
        <f>BY7*(1+Segments!CT79)</f>
        <v>143361.2888322951</v>
      </c>
      <c r="CA90" s="56">
        <f>BZ7*(1+Segments!CU79)</f>
        <v>145161.495902047</v>
      </c>
      <c r="CB90" s="56">
        <f>CA7*(1+Segments!CV79)</f>
        <v>146961.70297179889</v>
      </c>
      <c r="CC90" s="56">
        <f>CB7*(1+Segments!CW79)</f>
        <v>148761.91004155076</v>
      </c>
      <c r="CD90" s="56">
        <f>CC7*(1+Segments!CX79)</f>
        <v>150562.11711130265</v>
      </c>
      <c r="CE90" s="56">
        <f>CD7*(1+Segments!CY79)</f>
        <v>152362.32418105452</v>
      </c>
      <c r="CF90" s="56">
        <f>CE7*(1+Segments!CZ79)</f>
        <v>154162.53125080644</v>
      </c>
      <c r="CG90" s="56">
        <f>CF7*(1+Segments!DA79)</f>
        <v>155962.73832055833</v>
      </c>
      <c r="CH90" s="56">
        <f>CG7*(1+Segments!DB79)</f>
        <v>157762.94539031025</v>
      </c>
      <c r="CI90" s="56">
        <f>CH7*(1+Segments!DC79)</f>
        <v>159563.15246006209</v>
      </c>
    </row>
    <row r="91" spans="1:87" x14ac:dyDescent="0.25">
      <c r="A91" s="1" t="s">
        <v>714</v>
      </c>
      <c r="B91" s="1" t="s">
        <v>703</v>
      </c>
      <c r="C91" s="33">
        <v>5428</v>
      </c>
      <c r="D91" s="33">
        <v>6219</v>
      </c>
      <c r="E91" s="33">
        <v>7012</v>
      </c>
      <c r="F91" s="33">
        <v>7628</v>
      </c>
      <c r="G91" s="33">
        <v>8524</v>
      </c>
      <c r="H91" s="33">
        <v>9267</v>
      </c>
      <c r="I91" s="33">
        <v>11526</v>
      </c>
      <c r="J91" s="33">
        <v>12125</v>
      </c>
      <c r="K91" s="33">
        <v>12306</v>
      </c>
      <c r="L91" s="33">
        <v>13878</v>
      </c>
      <c r="M91" s="56">
        <v>14842.3371131229</v>
      </c>
      <c r="N91" s="56">
        <v>15806.674226245801</v>
      </c>
      <c r="O91" s="56">
        <v>16771.011339368702</v>
      </c>
      <c r="P91" s="56">
        <v>17735.348452491606</v>
      </c>
      <c r="Q91" s="56">
        <v>18699.685565614505</v>
      </c>
      <c r="R91" s="56">
        <v>19664.022678737405</v>
      </c>
      <c r="S91" s="56">
        <v>20628.359791860301</v>
      </c>
      <c r="T91" s="56">
        <f>S91*0.99</f>
        <v>20422.076193941699</v>
      </c>
      <c r="U91" s="56">
        <f t="shared" ref="U91:CF91" si="839">T91*0.99</f>
        <v>20217.855432002281</v>
      </c>
      <c r="V91" s="56">
        <f t="shared" si="839"/>
        <v>20015.676877682257</v>
      </c>
      <c r="W91" s="56">
        <f t="shared" si="839"/>
        <v>19815.520108905435</v>
      </c>
      <c r="X91" s="56">
        <f t="shared" si="839"/>
        <v>19617.36490781638</v>
      </c>
      <c r="Y91" s="56">
        <f t="shared" si="839"/>
        <v>19421.191258738218</v>
      </c>
      <c r="Z91" s="56">
        <f t="shared" si="839"/>
        <v>19226.979346150834</v>
      </c>
      <c r="AA91" s="56">
        <f t="shared" si="839"/>
        <v>19034.709552689324</v>
      </c>
      <c r="AB91" s="56">
        <f t="shared" si="839"/>
        <v>18844.362457162431</v>
      </c>
      <c r="AC91" s="56">
        <f t="shared" si="839"/>
        <v>18655.918832590807</v>
      </c>
      <c r="AD91" s="56">
        <f t="shared" si="839"/>
        <v>18469.3596442649</v>
      </c>
      <c r="AE91" s="56">
        <f t="shared" si="839"/>
        <v>18284.666047822251</v>
      </c>
      <c r="AF91" s="56">
        <f t="shared" si="839"/>
        <v>18101.819387344029</v>
      </c>
      <c r="AG91" s="56">
        <f t="shared" si="839"/>
        <v>17920.801193470586</v>
      </c>
      <c r="AH91" s="56">
        <f t="shared" si="839"/>
        <v>17741.593181535882</v>
      </c>
      <c r="AI91" s="56">
        <f t="shared" si="839"/>
        <v>17564.177249720524</v>
      </c>
      <c r="AJ91" s="56">
        <f t="shared" si="839"/>
        <v>17388.535477223319</v>
      </c>
      <c r="AK91" s="56">
        <f t="shared" si="839"/>
        <v>17214.650122451087</v>
      </c>
      <c r="AL91" s="56">
        <f t="shared" si="839"/>
        <v>17042.503621226577</v>
      </c>
      <c r="AM91" s="56">
        <f t="shared" si="839"/>
        <v>16872.078585014311</v>
      </c>
      <c r="AN91" s="56">
        <f t="shared" si="839"/>
        <v>16703.357799164169</v>
      </c>
      <c r="AO91" s="56">
        <f t="shared" si="839"/>
        <v>16536.324221172526</v>
      </c>
      <c r="AP91" s="56">
        <f t="shared" si="839"/>
        <v>16370.9609789608</v>
      </c>
      <c r="AQ91" s="56">
        <f t="shared" si="839"/>
        <v>16207.251369171192</v>
      </c>
      <c r="AR91" s="56">
        <f t="shared" si="839"/>
        <v>16045.17885547948</v>
      </c>
      <c r="AS91" s="56">
        <f t="shared" si="839"/>
        <v>15884.727066924685</v>
      </c>
      <c r="AT91" s="56">
        <f t="shared" si="839"/>
        <v>15725.879796255438</v>
      </c>
      <c r="AU91" s="56">
        <f t="shared" si="839"/>
        <v>15568.620998292883</v>
      </c>
      <c r="AV91" s="56">
        <f t="shared" si="839"/>
        <v>15412.934788309954</v>
      </c>
      <c r="AW91" s="56">
        <f t="shared" si="839"/>
        <v>15258.805440426855</v>
      </c>
      <c r="AX91" s="56">
        <f t="shared" si="839"/>
        <v>15106.217386022587</v>
      </c>
      <c r="AY91" s="56">
        <f t="shared" si="839"/>
        <v>14955.155212162361</v>
      </c>
      <c r="AZ91" s="56">
        <f t="shared" si="839"/>
        <v>14805.603660040737</v>
      </c>
      <c r="BA91" s="56">
        <f t="shared" si="839"/>
        <v>14657.547623440329</v>
      </c>
      <c r="BB91" s="56">
        <f t="shared" si="839"/>
        <v>14510.972147205925</v>
      </c>
      <c r="BC91" s="56">
        <f t="shared" si="839"/>
        <v>14365.862425733865</v>
      </c>
      <c r="BD91" s="56">
        <f t="shared" si="839"/>
        <v>14222.203801476526</v>
      </c>
      <c r="BE91" s="56">
        <f t="shared" si="839"/>
        <v>14079.981763461761</v>
      </c>
      <c r="BF91" s="56">
        <f t="shared" si="839"/>
        <v>13939.181945827144</v>
      </c>
      <c r="BG91" s="56">
        <f t="shared" si="839"/>
        <v>13799.790126368873</v>
      </c>
      <c r="BH91" s="56">
        <f t="shared" si="839"/>
        <v>13661.792225105184</v>
      </c>
      <c r="BI91" s="56">
        <f t="shared" si="839"/>
        <v>13525.174302854131</v>
      </c>
      <c r="BJ91" s="56">
        <f t="shared" si="839"/>
        <v>13389.922559825591</v>
      </c>
      <c r="BK91" s="56">
        <f t="shared" si="839"/>
        <v>13256.023334227335</v>
      </c>
      <c r="BL91" s="56">
        <f t="shared" si="839"/>
        <v>13123.463100885061</v>
      </c>
      <c r="BM91" s="56">
        <f t="shared" si="839"/>
        <v>12992.228469876211</v>
      </c>
      <c r="BN91" s="56">
        <f t="shared" si="839"/>
        <v>12862.306185177449</v>
      </c>
      <c r="BO91" s="56">
        <f t="shared" si="839"/>
        <v>12733.683123325674</v>
      </c>
      <c r="BP91" s="56">
        <f t="shared" si="839"/>
        <v>12606.346292092418</v>
      </c>
      <c r="BQ91" s="56">
        <f t="shared" si="839"/>
        <v>12480.282829171494</v>
      </c>
      <c r="BR91" s="56">
        <f t="shared" si="839"/>
        <v>12355.480000879779</v>
      </c>
      <c r="BS91" s="56">
        <f t="shared" si="839"/>
        <v>12231.925200870981</v>
      </c>
      <c r="BT91" s="56">
        <f t="shared" si="839"/>
        <v>12109.60594886227</v>
      </c>
      <c r="BU91" s="56">
        <f t="shared" si="839"/>
        <v>11988.509889373649</v>
      </c>
      <c r="BV91" s="56">
        <f t="shared" si="839"/>
        <v>11868.624790479911</v>
      </c>
      <c r="BW91" s="56">
        <f t="shared" si="839"/>
        <v>11749.938542575112</v>
      </c>
      <c r="BX91" s="56">
        <f t="shared" si="839"/>
        <v>11632.43915714936</v>
      </c>
      <c r="BY91" s="56">
        <f t="shared" si="839"/>
        <v>11516.114765577866</v>
      </c>
      <c r="BZ91" s="56">
        <f t="shared" si="839"/>
        <v>11400.953617922087</v>
      </c>
      <c r="CA91" s="56">
        <f t="shared" si="839"/>
        <v>11286.944081742866</v>
      </c>
      <c r="CB91" s="56">
        <f t="shared" si="839"/>
        <v>11174.074640925437</v>
      </c>
      <c r="CC91" s="56">
        <f t="shared" si="839"/>
        <v>11062.333894516183</v>
      </c>
      <c r="CD91" s="56">
        <f t="shared" si="839"/>
        <v>10951.71055557102</v>
      </c>
      <c r="CE91" s="56">
        <f t="shared" si="839"/>
        <v>10842.193450015309</v>
      </c>
      <c r="CF91" s="56">
        <f t="shared" si="839"/>
        <v>10733.771515515156</v>
      </c>
      <c r="CG91" s="56">
        <f t="shared" ref="CG91:CI91" si="840">CF91*0.99</f>
        <v>10626.433800360004</v>
      </c>
      <c r="CH91" s="56">
        <f t="shared" si="840"/>
        <v>10520.169462356404</v>
      </c>
      <c r="CI91" s="56">
        <f t="shared" si="840"/>
        <v>10414.96776773284</v>
      </c>
    </row>
    <row r="92" spans="1:87" x14ac:dyDescent="0.25">
      <c r="A92" s="1" t="s">
        <v>715</v>
      </c>
      <c r="B92" s="1" t="s">
        <v>704</v>
      </c>
      <c r="C92" s="33">
        <v>5659</v>
      </c>
      <c r="D92" s="33">
        <v>5542</v>
      </c>
      <c r="E92" s="33">
        <v>5846</v>
      </c>
      <c r="F92" s="33">
        <v>6124</v>
      </c>
      <c r="G92" s="33">
        <v>6409</v>
      </c>
      <c r="H92" s="33">
        <v>6943</v>
      </c>
      <c r="I92" s="33">
        <v>7605</v>
      </c>
      <c r="J92" s="33">
        <v>7900</v>
      </c>
      <c r="K92" s="33">
        <v>7594</v>
      </c>
      <c r="L92" s="33">
        <v>7885</v>
      </c>
      <c r="M92" s="56">
        <v>8177.7238269152467</v>
      </c>
      <c r="N92" s="56">
        <v>8470.4476538304934</v>
      </c>
      <c r="O92" s="56">
        <v>8763.1714807457411</v>
      </c>
      <c r="P92" s="56">
        <v>9055.8953076609869</v>
      </c>
      <c r="Q92" s="56">
        <v>9348.6191345762327</v>
      </c>
      <c r="R92" s="56">
        <v>9641.3429614914803</v>
      </c>
      <c r="S92" s="56">
        <v>9934.0667884067298</v>
      </c>
      <c r="T92" s="56">
        <v>10226.790615321976</v>
      </c>
      <c r="U92" s="56">
        <v>10519.514442237221</v>
      </c>
      <c r="V92" s="56">
        <v>10812.238269152469</v>
      </c>
      <c r="W92" s="56">
        <v>11104.962096067717</v>
      </c>
      <c r="X92" s="56">
        <v>11397.685922982961</v>
      </c>
      <c r="Y92" s="56">
        <v>11690.40974989821</v>
      </c>
      <c r="Z92" s="56">
        <v>11983.133576813458</v>
      </c>
      <c r="AA92" s="56">
        <v>12275.857403728705</v>
      </c>
      <c r="AB92" s="56">
        <v>12568.581230643951</v>
      </c>
      <c r="AC92" s="56">
        <v>12861.305057559199</v>
      </c>
      <c r="AD92" s="56">
        <v>13154.028884474446</v>
      </c>
      <c r="AE92" s="56">
        <v>13446.752711389692</v>
      </c>
      <c r="AF92" s="56">
        <v>13739.47653830494</v>
      </c>
      <c r="AG92" s="56">
        <v>14032.200365220187</v>
      </c>
      <c r="AH92" s="56">
        <v>14324.924192135435</v>
      </c>
      <c r="AI92" s="56">
        <v>14617.648019050679</v>
      </c>
      <c r="AJ92" s="56">
        <v>14910.371845965929</v>
      </c>
      <c r="AK92" s="56">
        <v>15203.095672881176</v>
      </c>
      <c r="AL92" s="56">
        <v>15495.819499796424</v>
      </c>
      <c r="AM92" s="56">
        <v>15788.543326711668</v>
      </c>
      <c r="AN92" s="56">
        <v>16081.267153626917</v>
      </c>
      <c r="AO92" s="56">
        <v>16373.990980542165</v>
      </c>
      <c r="AP92" s="56">
        <v>16666.714807457411</v>
      </c>
      <c r="AQ92" s="56">
        <v>16959.438634372658</v>
      </c>
      <c r="AR92" s="56">
        <v>17252.162461287906</v>
      </c>
      <c r="AS92" s="56">
        <v>17544.886288203154</v>
      </c>
      <c r="AT92" s="56">
        <v>17837.610115118401</v>
      </c>
      <c r="AU92" s="56">
        <v>18130.333942033649</v>
      </c>
      <c r="AV92" s="56">
        <v>18423.057768948893</v>
      </c>
      <c r="AW92" s="56">
        <v>18715.781595864144</v>
      </c>
      <c r="AX92" s="56">
        <v>19008.505422779388</v>
      </c>
      <c r="AY92" s="56">
        <v>19301.229249694632</v>
      </c>
      <c r="AZ92" s="56">
        <v>19593.953076609883</v>
      </c>
      <c r="BA92" s="56">
        <v>19886.676903525127</v>
      </c>
      <c r="BB92" s="56">
        <v>20179.400730440375</v>
      </c>
      <c r="BC92" s="56">
        <v>20472.124557355623</v>
      </c>
      <c r="BD92" s="56">
        <v>20764.84838427087</v>
      </c>
      <c r="BE92" s="56">
        <v>21057.572211186121</v>
      </c>
      <c r="BF92" s="56">
        <v>21350.296038101365</v>
      </c>
      <c r="BG92" s="56">
        <v>21643.019865016609</v>
      </c>
      <c r="BH92" s="56">
        <v>21935.743691931861</v>
      </c>
      <c r="BI92" s="56">
        <v>22228.467518847105</v>
      </c>
      <c r="BJ92" s="56">
        <v>22521.191345762349</v>
      </c>
      <c r="BK92" s="56">
        <v>22813.9151726776</v>
      </c>
      <c r="BL92" s="56">
        <v>23106.638999592844</v>
      </c>
      <c r="BM92" s="56">
        <v>23399.362826508092</v>
      </c>
      <c r="BN92" s="56">
        <v>23692.086653423343</v>
      </c>
      <c r="BO92" s="56">
        <v>23984.81048033859</v>
      </c>
      <c r="BP92" s="56">
        <v>24277.534307253834</v>
      </c>
      <c r="BQ92" s="56">
        <v>24570.258134169086</v>
      </c>
      <c r="BR92" s="56">
        <v>24862.981961084333</v>
      </c>
      <c r="BS92" s="56">
        <v>25155.705787999585</v>
      </c>
      <c r="BT92" s="56">
        <v>25448.429614914832</v>
      </c>
      <c r="BU92" s="56">
        <v>25741.15344183008</v>
      </c>
      <c r="BV92" s="56">
        <v>26033.877268745331</v>
      </c>
      <c r="BW92" s="56">
        <v>26326.601095660575</v>
      </c>
      <c r="BX92" s="56">
        <v>26619.324922575819</v>
      </c>
      <c r="BY92" s="56">
        <v>26912.04874949107</v>
      </c>
      <c r="BZ92" s="56">
        <v>27204.772576406314</v>
      </c>
      <c r="CA92" s="56">
        <v>27497.496403321562</v>
      </c>
      <c r="CB92" s="56">
        <v>27790.220230236813</v>
      </c>
      <c r="CC92" s="56">
        <v>28082.944057152057</v>
      </c>
      <c r="CD92" s="56">
        <v>28375.667884067308</v>
      </c>
      <c r="CE92" s="56">
        <v>28668.391710982552</v>
      </c>
      <c r="CF92" s="56">
        <v>28961.115537897796</v>
      </c>
      <c r="CG92" s="56">
        <v>29253.839364813048</v>
      </c>
      <c r="CH92" s="56">
        <v>29546.563191728292</v>
      </c>
      <c r="CI92" s="56">
        <v>29839.287018643536</v>
      </c>
    </row>
    <row r="93" spans="1:87" x14ac:dyDescent="0.25">
      <c r="A93" s="1" t="s">
        <v>705</v>
      </c>
      <c r="B93" s="1" t="s">
        <v>705</v>
      </c>
      <c r="C93" s="33">
        <v>7888</v>
      </c>
      <c r="D93" s="33">
        <v>5062</v>
      </c>
      <c r="E93" s="33">
        <v>5134</v>
      </c>
      <c r="F93" s="33">
        <v>6095</v>
      </c>
      <c r="G93" s="33">
        <v>6457</v>
      </c>
      <c r="H93" s="33">
        <v>7143</v>
      </c>
      <c r="I93" s="33">
        <v>7306</v>
      </c>
      <c r="J93" s="33">
        <v>5521</v>
      </c>
      <c r="K93" s="33">
        <v>4706</v>
      </c>
      <c r="L93" s="33">
        <v>5497.557587606826</v>
      </c>
      <c r="M93" s="56">
        <v>5573.8916635496562</v>
      </c>
      <c r="N93" s="56">
        <v>5650.2257394924864</v>
      </c>
      <c r="O93" s="56">
        <v>5726.5598154353165</v>
      </c>
      <c r="P93" s="56">
        <v>5802.8938913781476</v>
      </c>
      <c r="Q93" s="56">
        <v>5879.2279673209787</v>
      </c>
      <c r="R93" s="56">
        <v>5955.5620432638088</v>
      </c>
      <c r="S93" s="56">
        <v>6031.8961192066399</v>
      </c>
      <c r="T93" s="56">
        <v>6108.230195149471</v>
      </c>
      <c r="U93" s="56">
        <v>6184.5642710923012</v>
      </c>
      <c r="V93" s="56">
        <v>6260.8983470351322</v>
      </c>
      <c r="W93" s="56">
        <v>6337.2324229779624</v>
      </c>
      <c r="X93" s="56">
        <v>6413.5664989207935</v>
      </c>
      <c r="Y93" s="56">
        <v>6489.9005748636246</v>
      </c>
      <c r="Z93" s="56">
        <v>6566.2346508064556</v>
      </c>
      <c r="AA93" s="56">
        <v>6642.5687267492867</v>
      </c>
      <c r="AB93" s="56">
        <v>6718.9028026921169</v>
      </c>
      <c r="AC93" s="56">
        <v>6795.236878634948</v>
      </c>
      <c r="AD93" s="56">
        <v>6871.5709545777772</v>
      </c>
      <c r="AE93" s="56">
        <v>6947.9050305206083</v>
      </c>
      <c r="AF93" s="56">
        <v>7024.2391064634394</v>
      </c>
      <c r="AG93" s="56">
        <v>7100.5731824062705</v>
      </c>
      <c r="AH93" s="56">
        <v>7176.9072583491015</v>
      </c>
      <c r="AI93" s="56">
        <v>7253.2413342919326</v>
      </c>
      <c r="AJ93" s="56">
        <v>7329.5754102347646</v>
      </c>
      <c r="AK93" s="56">
        <v>7405.9094861775957</v>
      </c>
      <c r="AL93" s="56">
        <v>7482.2435621204268</v>
      </c>
      <c r="AM93" s="56">
        <v>7558.577638063256</v>
      </c>
      <c r="AN93" s="56">
        <v>7634.9117140060862</v>
      </c>
      <c r="AO93" s="56">
        <v>7711.2457899489182</v>
      </c>
      <c r="AP93" s="56">
        <v>7787.5798658917502</v>
      </c>
      <c r="AQ93" s="56">
        <v>7863.9139418345803</v>
      </c>
      <c r="AR93" s="56">
        <v>7940.2480177774114</v>
      </c>
      <c r="AS93" s="56">
        <v>8016.5820937202425</v>
      </c>
      <c r="AT93" s="56">
        <v>8092.9161696630727</v>
      </c>
      <c r="AU93" s="56">
        <v>8169.2502456059028</v>
      </c>
      <c r="AV93" s="56">
        <v>8245.584321548733</v>
      </c>
      <c r="AW93" s="56">
        <v>8321.918397491565</v>
      </c>
      <c r="AX93" s="56">
        <v>8398.252473434397</v>
      </c>
      <c r="AY93" s="56">
        <v>8474.5865493772271</v>
      </c>
      <c r="AZ93" s="56">
        <v>8550.9206253200573</v>
      </c>
      <c r="BA93" s="56">
        <v>8627.2547012628875</v>
      </c>
      <c r="BB93" s="56">
        <v>8703.5887772057195</v>
      </c>
      <c r="BC93" s="56">
        <v>8779.9228531485496</v>
      </c>
      <c r="BD93" s="56">
        <v>8856.2569290913798</v>
      </c>
      <c r="BE93" s="56">
        <v>8932.5910050342081</v>
      </c>
      <c r="BF93" s="56">
        <v>9008.9250809770401</v>
      </c>
      <c r="BG93" s="56">
        <v>9085.2591569198721</v>
      </c>
      <c r="BH93" s="56">
        <v>9161.5932328627041</v>
      </c>
      <c r="BI93" s="56">
        <v>9237.9273088055343</v>
      </c>
      <c r="BJ93" s="56">
        <v>9314.2613847483644</v>
      </c>
      <c r="BK93" s="56">
        <v>9390.5954606911946</v>
      </c>
      <c r="BL93" s="56">
        <v>9466.9295366340266</v>
      </c>
      <c r="BM93" s="56">
        <v>9543.2636125768586</v>
      </c>
      <c r="BN93" s="56">
        <v>9619.5976885196906</v>
      </c>
      <c r="BO93" s="56">
        <v>9695.9317644625207</v>
      </c>
      <c r="BP93" s="56">
        <v>9772.2658404053509</v>
      </c>
      <c r="BQ93" s="56">
        <v>9848.5999163481811</v>
      </c>
      <c r="BR93" s="56">
        <v>9924.9339922910112</v>
      </c>
      <c r="BS93" s="56">
        <v>10001.268068233841</v>
      </c>
      <c r="BT93" s="56">
        <v>10077.602144176672</v>
      </c>
      <c r="BU93" s="56">
        <v>10153.936220119502</v>
      </c>
      <c r="BV93" s="56">
        <v>10230.270296062332</v>
      </c>
      <c r="BW93" s="56">
        <v>10306.604372005162</v>
      </c>
      <c r="BX93" s="56">
        <v>10382.938447947992</v>
      </c>
      <c r="BY93" s="56">
        <v>10459.272523890824</v>
      </c>
      <c r="BZ93" s="56">
        <v>10535.606599833654</v>
      </c>
      <c r="CA93" s="56">
        <v>10611.940675776486</v>
      </c>
      <c r="CB93" s="56">
        <v>10688.274751719318</v>
      </c>
      <c r="CC93" s="56">
        <v>10764.60882766215</v>
      </c>
      <c r="CD93" s="56">
        <v>10840.942903604982</v>
      </c>
      <c r="CE93" s="56">
        <v>10917.276979547813</v>
      </c>
      <c r="CF93" s="56">
        <v>10993.611055490645</v>
      </c>
      <c r="CG93" s="56">
        <v>11069.945131433476</v>
      </c>
      <c r="CH93" s="56">
        <v>11146.279207376305</v>
      </c>
      <c r="CI93" s="56">
        <v>11222.613283319137</v>
      </c>
    </row>
    <row r="94" spans="1:87" x14ac:dyDescent="0.25">
      <c r="A94" s="1"/>
      <c r="B94" s="1" t="s">
        <v>706</v>
      </c>
      <c r="C94" s="33">
        <v>2499</v>
      </c>
      <c r="D94" s="33">
        <v>2611</v>
      </c>
      <c r="E94" s="33">
        <v>2793</v>
      </c>
      <c r="F94" s="33">
        <v>3070</v>
      </c>
      <c r="G94" s="33">
        <v>3768</v>
      </c>
      <c r="H94" s="33">
        <v>4479</v>
      </c>
      <c r="I94" s="33">
        <v>5291</v>
      </c>
      <c r="J94" s="33">
        <v>0</v>
      </c>
      <c r="K94" s="33">
        <v>0</v>
      </c>
      <c r="L94" s="33">
        <v>0</v>
      </c>
      <c r="M94" s="56">
        <v>0</v>
      </c>
      <c r="N94" s="56">
        <v>0</v>
      </c>
      <c r="O94" s="56">
        <v>0</v>
      </c>
      <c r="P94" s="56">
        <v>0</v>
      </c>
      <c r="Q94" s="56">
        <v>0</v>
      </c>
      <c r="R94" s="56">
        <v>0</v>
      </c>
      <c r="S94" s="56">
        <v>0</v>
      </c>
      <c r="T94" s="56">
        <v>0</v>
      </c>
      <c r="U94" s="56">
        <v>0</v>
      </c>
      <c r="V94" s="56">
        <v>0</v>
      </c>
      <c r="W94" s="56">
        <v>0</v>
      </c>
      <c r="X94" s="56">
        <v>0</v>
      </c>
      <c r="Y94" s="56">
        <v>0</v>
      </c>
      <c r="Z94" s="56">
        <v>0</v>
      </c>
      <c r="AA94" s="56">
        <v>0</v>
      </c>
      <c r="AB94" s="56">
        <v>0</v>
      </c>
      <c r="AC94" s="56">
        <v>0</v>
      </c>
      <c r="AD94" s="56">
        <v>0</v>
      </c>
      <c r="AE94" s="56">
        <v>0</v>
      </c>
      <c r="AF94" s="56">
        <v>0</v>
      </c>
      <c r="AG94" s="56">
        <v>0</v>
      </c>
      <c r="AH94" s="56">
        <v>0</v>
      </c>
      <c r="AI94" s="56">
        <v>0</v>
      </c>
      <c r="AJ94" s="56">
        <v>0</v>
      </c>
      <c r="AK94" s="56">
        <v>0</v>
      </c>
      <c r="AL94" s="56">
        <v>0</v>
      </c>
      <c r="AM94" s="56">
        <v>0</v>
      </c>
      <c r="AN94" s="56">
        <v>0</v>
      </c>
      <c r="AO94" s="56">
        <v>0</v>
      </c>
      <c r="AP94" s="56">
        <v>0</v>
      </c>
      <c r="AQ94" s="56">
        <v>0</v>
      </c>
      <c r="AR94" s="56">
        <v>0</v>
      </c>
      <c r="AS94" s="56">
        <v>0</v>
      </c>
      <c r="AT94" s="56">
        <v>0</v>
      </c>
      <c r="AU94" s="56">
        <v>0</v>
      </c>
      <c r="AV94" s="56">
        <v>0</v>
      </c>
      <c r="AW94" s="56">
        <v>0</v>
      </c>
      <c r="AX94" s="56">
        <v>0</v>
      </c>
      <c r="AY94" s="56">
        <v>0</v>
      </c>
      <c r="AZ94" s="56">
        <v>0</v>
      </c>
      <c r="BA94" s="56">
        <v>0</v>
      </c>
      <c r="BB94" s="56">
        <v>0</v>
      </c>
      <c r="BC94" s="56">
        <v>0</v>
      </c>
      <c r="BD94" s="56">
        <v>0</v>
      </c>
      <c r="BE94" s="56">
        <v>0</v>
      </c>
      <c r="BF94" s="56">
        <v>0</v>
      </c>
      <c r="BG94" s="56">
        <v>0</v>
      </c>
      <c r="BH94" s="56">
        <v>0</v>
      </c>
      <c r="BI94" s="56">
        <v>0</v>
      </c>
      <c r="BJ94" s="56">
        <v>0</v>
      </c>
      <c r="BK94" s="56">
        <v>0</v>
      </c>
      <c r="BL94" s="56">
        <v>0</v>
      </c>
      <c r="BM94" s="56">
        <v>0</v>
      </c>
      <c r="BN94" s="56">
        <v>0</v>
      </c>
      <c r="BO94" s="56">
        <v>0</v>
      </c>
      <c r="BP94" s="56">
        <v>0</v>
      </c>
      <c r="BQ94" s="56">
        <v>0</v>
      </c>
      <c r="BR94" s="56">
        <v>0</v>
      </c>
      <c r="BS94" s="56">
        <v>0</v>
      </c>
      <c r="BT94" s="56">
        <v>0</v>
      </c>
      <c r="BU94" s="56">
        <v>0</v>
      </c>
      <c r="BV94" s="56">
        <v>0</v>
      </c>
      <c r="BW94" s="56">
        <v>0</v>
      </c>
      <c r="BX94" s="56">
        <v>0</v>
      </c>
      <c r="BY94" s="56">
        <v>0</v>
      </c>
      <c r="BZ94" s="56">
        <v>0</v>
      </c>
      <c r="CA94" s="56">
        <v>0</v>
      </c>
      <c r="CB94" s="56">
        <v>0</v>
      </c>
      <c r="CC94" s="56">
        <v>0</v>
      </c>
      <c r="CD94" s="56">
        <v>0</v>
      </c>
      <c r="CE94" s="56">
        <v>0</v>
      </c>
      <c r="CF94" s="56">
        <v>0</v>
      </c>
      <c r="CG94" s="56">
        <v>0</v>
      </c>
      <c r="CH94" s="56">
        <v>0</v>
      </c>
      <c r="CI94" s="56">
        <v>0</v>
      </c>
    </row>
    <row r="95" spans="1:87" x14ac:dyDescent="0.25">
      <c r="A95" s="1" t="s">
        <v>521</v>
      </c>
      <c r="B95" s="1" t="s">
        <v>521</v>
      </c>
      <c r="C95" s="33">
        <v>0</v>
      </c>
      <c r="D95" s="33">
        <v>2271</v>
      </c>
      <c r="E95" s="33">
        <v>5259</v>
      </c>
      <c r="F95" s="33">
        <v>6754</v>
      </c>
      <c r="G95" s="33">
        <v>8077</v>
      </c>
      <c r="H95" s="33">
        <v>10289</v>
      </c>
      <c r="I95" s="33">
        <v>13631</v>
      </c>
      <c r="J95" s="33">
        <v>14989</v>
      </c>
      <c r="K95" s="33">
        <v>16372</v>
      </c>
      <c r="L95" s="33">
        <v>17812</v>
      </c>
      <c r="M95" s="56">
        <v>20625.023405802956</v>
      </c>
      <c r="N95" s="56">
        <v>22634.204364639088</v>
      </c>
      <c r="O95" s="56">
        <v>24643.385323475224</v>
      </c>
      <c r="P95" s="56">
        <v>26652.56628231136</v>
      </c>
      <c r="Q95" s="56">
        <v>28661.747241147499</v>
      </c>
      <c r="R95" s="56">
        <v>30670.928199983631</v>
      </c>
      <c r="S95" s="56">
        <v>32680.109158819767</v>
      </c>
      <c r="T95" s="56">
        <v>34689.290117655895</v>
      </c>
      <c r="U95" s="56">
        <v>36698.471076492038</v>
      </c>
      <c r="V95" s="56">
        <v>38707.652035328174</v>
      </c>
      <c r="W95" s="56">
        <v>40716.83299416431</v>
      </c>
      <c r="X95" s="56">
        <v>42726.013953000445</v>
      </c>
      <c r="Y95" s="56">
        <v>44735.194911836581</v>
      </c>
      <c r="Z95" s="56">
        <v>46744.375870672717</v>
      </c>
      <c r="AA95" s="56">
        <v>48753.55682950886</v>
      </c>
      <c r="AB95" s="56">
        <v>50762.737788344995</v>
      </c>
      <c r="AC95" s="56">
        <v>52771.918747181131</v>
      </c>
      <c r="AD95" s="56">
        <v>54781.099706017259</v>
      </c>
      <c r="AE95" s="56">
        <v>56790.280664853395</v>
      </c>
      <c r="AF95" s="56">
        <v>58799.461623689538</v>
      </c>
      <c r="AG95" s="56">
        <v>60808.642582525674</v>
      </c>
      <c r="AH95" s="56">
        <v>62817.823541361809</v>
      </c>
      <c r="AI95" s="56">
        <v>64827.004500197945</v>
      </c>
      <c r="AJ95" s="56">
        <v>66836.185459034081</v>
      </c>
      <c r="AK95" s="56">
        <v>68845.366417870217</v>
      </c>
      <c r="AL95" s="56">
        <v>70854.547376706338</v>
      </c>
      <c r="AM95" s="56">
        <v>72863.728335542473</v>
      </c>
      <c r="AN95" s="56">
        <v>74872.909294378609</v>
      </c>
      <c r="AO95" s="56">
        <v>76882.090253214745</v>
      </c>
      <c r="AP95" s="56">
        <v>78891.27121205088</v>
      </c>
      <c r="AQ95" s="56">
        <v>80900.452170887002</v>
      </c>
      <c r="AR95" s="56">
        <v>82909.633129723152</v>
      </c>
      <c r="AS95" s="56">
        <v>84918.814088559287</v>
      </c>
      <c r="AT95" s="56">
        <v>86927.995047395409</v>
      </c>
      <c r="AU95" s="56">
        <v>88937.176006231544</v>
      </c>
      <c r="AV95" s="56">
        <v>90946.35696506768</v>
      </c>
      <c r="AW95" s="56">
        <v>92955.537923903816</v>
      </c>
      <c r="AX95" s="56">
        <v>94964.718882739937</v>
      </c>
      <c r="AY95" s="56">
        <v>96973.899841576087</v>
      </c>
      <c r="AZ95" s="56">
        <v>98983.080800412223</v>
      </c>
      <c r="BA95" s="56">
        <v>100992.26175924836</v>
      </c>
      <c r="BB95" s="56">
        <v>103001.44271808449</v>
      </c>
      <c r="BC95" s="56">
        <v>105010.62367692062</v>
      </c>
      <c r="BD95" s="56">
        <v>107019.80463575677</v>
      </c>
      <c r="BE95" s="56">
        <v>109028.9855945929</v>
      </c>
      <c r="BF95" s="56">
        <v>111038.16655342902</v>
      </c>
      <c r="BG95" s="56">
        <v>113047.34751226516</v>
      </c>
      <c r="BH95" s="56">
        <v>115056.52847110129</v>
      </c>
      <c r="BI95" s="56">
        <v>117065.70942993744</v>
      </c>
      <c r="BJ95" s="56">
        <v>119074.89038877359</v>
      </c>
      <c r="BK95" s="56">
        <v>121084.07134760973</v>
      </c>
      <c r="BL95" s="56">
        <v>123093.25230644587</v>
      </c>
      <c r="BM95" s="56">
        <v>125102.433265282</v>
      </c>
      <c r="BN95" s="56">
        <v>127111.61422411814</v>
      </c>
      <c r="BO95" s="56">
        <v>129120.79518295427</v>
      </c>
      <c r="BP95" s="56">
        <v>131129.97614179039</v>
      </c>
      <c r="BQ95" s="56">
        <v>133139.1571006265</v>
      </c>
      <c r="BR95" s="56">
        <v>135148.33805946264</v>
      </c>
      <c r="BS95" s="56">
        <v>137157.51901829877</v>
      </c>
      <c r="BT95" s="56">
        <v>139166.69997713491</v>
      </c>
      <c r="BU95" s="56">
        <v>141175.88093597107</v>
      </c>
      <c r="BV95" s="56">
        <v>143185.06189480718</v>
      </c>
      <c r="BW95" s="56">
        <v>145194.24285364331</v>
      </c>
      <c r="BX95" s="56">
        <v>147203.42381247945</v>
      </c>
      <c r="BY95" s="56">
        <v>149212.60477131559</v>
      </c>
      <c r="BZ95" s="56">
        <v>151221.78573015172</v>
      </c>
      <c r="CA95" s="56">
        <v>153230.96668898783</v>
      </c>
      <c r="CB95" s="56">
        <v>155240.14764782396</v>
      </c>
      <c r="CC95" s="56">
        <v>157249.3286066601</v>
      </c>
      <c r="CD95" s="56">
        <v>159258.50956549626</v>
      </c>
      <c r="CE95" s="56">
        <v>161267.6905243324</v>
      </c>
      <c r="CF95" s="56">
        <v>163276.87148316851</v>
      </c>
      <c r="CG95" s="56">
        <v>165286.05244200464</v>
      </c>
      <c r="CH95" s="56">
        <v>167295.23340084081</v>
      </c>
      <c r="CI95" s="56">
        <v>169304.41435967694</v>
      </c>
    </row>
    <row r="96" spans="1:87" x14ac:dyDescent="0.25">
      <c r="A96" s="1" t="s">
        <v>716</v>
      </c>
      <c r="B96" s="1" t="s">
        <v>707</v>
      </c>
      <c r="C96" s="33">
        <v>0</v>
      </c>
      <c r="D96" s="33">
        <v>0</v>
      </c>
      <c r="E96" s="33">
        <v>0</v>
      </c>
      <c r="F96" s="33">
        <v>0</v>
      </c>
      <c r="G96" s="33">
        <v>0</v>
      </c>
      <c r="H96" s="33">
        <v>3754</v>
      </c>
      <c r="I96" s="33">
        <v>4687</v>
      </c>
      <c r="J96" s="33">
        <v>5796</v>
      </c>
      <c r="K96" s="33">
        <v>6831</v>
      </c>
      <c r="L96" s="33">
        <v>7702</v>
      </c>
      <c r="M96" s="56">
        <v>8743.3983641584637</v>
      </c>
      <c r="N96" s="56">
        <v>9784.796728316931</v>
      </c>
      <c r="O96" s="56">
        <v>10826.195092475398</v>
      </c>
      <c r="P96" s="56">
        <v>11867.593456633866</v>
      </c>
      <c r="Q96" s="56">
        <v>12908.991820792333</v>
      </c>
      <c r="R96" s="56">
        <v>13950.3901849508</v>
      </c>
      <c r="S96" s="56">
        <v>14991.788549109267</v>
      </c>
      <c r="T96" s="56">
        <v>16033.186913267735</v>
      </c>
      <c r="U96" s="56">
        <v>17074.585277426202</v>
      </c>
      <c r="V96" s="56">
        <v>18115.983641584669</v>
      </c>
      <c r="W96" s="56">
        <v>19157.382005743129</v>
      </c>
      <c r="X96" s="56">
        <v>20198.780369901597</v>
      </c>
      <c r="Y96" s="56">
        <v>21240.178734060064</v>
      </c>
      <c r="Z96" s="56">
        <v>22281.577098218531</v>
      </c>
      <c r="AA96" s="56">
        <v>23322.975462376999</v>
      </c>
      <c r="AB96" s="56">
        <v>24364.373826535462</v>
      </c>
      <c r="AC96" s="56">
        <v>25405.77219069393</v>
      </c>
      <c r="AD96" s="56">
        <v>26447.170554852393</v>
      </c>
      <c r="AE96" s="56">
        <v>27488.568919010861</v>
      </c>
      <c r="AF96" s="56">
        <v>28529.967283169328</v>
      </c>
      <c r="AG96" s="56">
        <v>29571.365647327792</v>
      </c>
      <c r="AH96" s="56">
        <v>30612.764011486259</v>
      </c>
      <c r="AI96" s="56">
        <v>31654.162375644719</v>
      </c>
      <c r="AJ96" s="56">
        <v>32695.560739803186</v>
      </c>
      <c r="AK96" s="56">
        <v>33736.95910396165</v>
      </c>
      <c r="AL96" s="56">
        <v>34778.357468120121</v>
      </c>
      <c r="AM96" s="56">
        <v>35819.755832278577</v>
      </c>
      <c r="AN96" s="56">
        <v>36861.154196437048</v>
      </c>
      <c r="AO96" s="56">
        <v>37902.552560595512</v>
      </c>
      <c r="AP96" s="56">
        <v>38943.950924753983</v>
      </c>
      <c r="AQ96" s="56">
        <v>39985.349288912439</v>
      </c>
      <c r="AR96" s="56">
        <v>41026.747653070903</v>
      </c>
      <c r="AS96" s="56">
        <v>42068.146017229374</v>
      </c>
      <c r="AT96" s="56">
        <v>43109.54438138783</v>
      </c>
      <c r="AU96" s="56">
        <v>44150.942745546308</v>
      </c>
      <c r="AV96" s="56">
        <v>45192.341109704772</v>
      </c>
      <c r="AW96" s="56">
        <v>46233.739473863243</v>
      </c>
      <c r="AX96" s="56">
        <v>47275.137838021699</v>
      </c>
      <c r="AY96" s="56">
        <v>48316.536202180163</v>
      </c>
      <c r="AZ96" s="56">
        <v>49357.934566338634</v>
      </c>
      <c r="BA96" s="56">
        <v>50399.332930497105</v>
      </c>
      <c r="BB96" s="56">
        <v>51440.731294655583</v>
      </c>
      <c r="BC96" s="56">
        <v>52482.129658814047</v>
      </c>
      <c r="BD96" s="56">
        <v>53523.52802297251</v>
      </c>
      <c r="BE96" s="56">
        <v>54564.926387130981</v>
      </c>
      <c r="BF96" s="56">
        <v>55606.324751289438</v>
      </c>
      <c r="BG96" s="56">
        <v>56647.723115447901</v>
      </c>
      <c r="BH96" s="56">
        <v>57689.121479606358</v>
      </c>
      <c r="BI96" s="56">
        <v>58730.519843764829</v>
      </c>
      <c r="BJ96" s="56">
        <v>59771.918207923292</v>
      </c>
      <c r="BK96" s="56">
        <v>60813.316572081763</v>
      </c>
      <c r="BL96" s="56">
        <v>61854.714936240227</v>
      </c>
      <c r="BM96" s="56">
        <v>62896.113300398698</v>
      </c>
      <c r="BN96" s="56">
        <v>63937.511664557162</v>
      </c>
      <c r="BO96" s="56">
        <v>64978.910028715625</v>
      </c>
      <c r="BP96" s="56">
        <v>66020.308392874096</v>
      </c>
      <c r="BQ96" s="56">
        <v>67061.706757032574</v>
      </c>
      <c r="BR96" s="56">
        <v>68103.105121191053</v>
      </c>
      <c r="BS96" s="56">
        <v>69144.503485349531</v>
      </c>
      <c r="BT96" s="56">
        <v>70185.90184950798</v>
      </c>
      <c r="BU96" s="56">
        <v>71227.300213666458</v>
      </c>
      <c r="BV96" s="56">
        <v>72268.698577824936</v>
      </c>
      <c r="BW96" s="56">
        <v>73310.0969419834</v>
      </c>
      <c r="BX96" s="56">
        <v>74351.495306141878</v>
      </c>
      <c r="BY96" s="56">
        <v>75392.893670300356</v>
      </c>
      <c r="BZ96" s="56">
        <v>76434.292034458835</v>
      </c>
      <c r="CA96" s="56">
        <v>77475.690398617298</v>
      </c>
      <c r="CB96" s="56">
        <v>78517.088762775777</v>
      </c>
      <c r="CC96" s="56">
        <v>79558.48712693424</v>
      </c>
      <c r="CD96" s="56">
        <v>80599.885491092718</v>
      </c>
      <c r="CE96" s="56">
        <v>81641.283855251182</v>
      </c>
      <c r="CF96" s="56">
        <v>82682.68221940966</v>
      </c>
      <c r="CG96" s="56">
        <v>83724.080583568124</v>
      </c>
      <c r="CH96" s="56">
        <v>84765.478947726588</v>
      </c>
      <c r="CI96" s="56">
        <v>85806.877311885066</v>
      </c>
    </row>
    <row r="97" spans="2:87" x14ac:dyDescent="0.25">
      <c r="B97" s="1" t="s">
        <v>708</v>
      </c>
      <c r="C97" s="33">
        <v>0</v>
      </c>
      <c r="D97" s="33">
        <v>0</v>
      </c>
      <c r="E97" s="33">
        <v>0</v>
      </c>
      <c r="F97" s="33">
        <v>0</v>
      </c>
      <c r="G97" s="33">
        <v>0</v>
      </c>
      <c r="H97" s="33">
        <v>373</v>
      </c>
      <c r="I97" s="33">
        <v>233</v>
      </c>
      <c r="J97" s="33">
        <v>119</v>
      </c>
      <c r="K97" s="33">
        <v>45</v>
      </c>
      <c r="L97" s="33">
        <v>72</v>
      </c>
      <c r="M97" s="56">
        <v>72</v>
      </c>
      <c r="N97" s="56">
        <v>72</v>
      </c>
      <c r="O97" s="56">
        <v>72</v>
      </c>
      <c r="P97" s="56">
        <v>72</v>
      </c>
      <c r="Q97" s="56">
        <v>72</v>
      </c>
      <c r="R97" s="56">
        <v>72</v>
      </c>
      <c r="S97" s="56">
        <v>72</v>
      </c>
      <c r="T97" s="56">
        <v>72</v>
      </c>
      <c r="U97" s="56">
        <v>72</v>
      </c>
      <c r="V97" s="56">
        <v>72</v>
      </c>
      <c r="W97" s="56">
        <v>72</v>
      </c>
      <c r="X97" s="56">
        <v>72</v>
      </c>
      <c r="Y97" s="56">
        <v>72</v>
      </c>
      <c r="Z97" s="56">
        <v>72</v>
      </c>
      <c r="AA97" s="56">
        <v>72</v>
      </c>
      <c r="AB97" s="56">
        <v>72</v>
      </c>
      <c r="AC97" s="56">
        <v>72</v>
      </c>
      <c r="AD97" s="56">
        <v>72</v>
      </c>
      <c r="AE97" s="56">
        <v>72</v>
      </c>
      <c r="AF97" s="56">
        <v>72</v>
      </c>
      <c r="AG97" s="56">
        <v>72</v>
      </c>
      <c r="AH97" s="56">
        <v>72</v>
      </c>
      <c r="AI97" s="56">
        <v>72</v>
      </c>
      <c r="AJ97" s="56">
        <v>72</v>
      </c>
      <c r="AK97" s="56">
        <v>72</v>
      </c>
      <c r="AL97" s="56">
        <v>72</v>
      </c>
      <c r="AM97" s="56">
        <v>72</v>
      </c>
      <c r="AN97" s="56">
        <v>72</v>
      </c>
      <c r="AO97" s="56">
        <v>72</v>
      </c>
      <c r="AP97" s="56">
        <v>72</v>
      </c>
      <c r="AQ97" s="56">
        <v>72</v>
      </c>
      <c r="AR97" s="56">
        <v>72</v>
      </c>
      <c r="AS97" s="56">
        <v>72</v>
      </c>
      <c r="AT97" s="56">
        <v>72</v>
      </c>
      <c r="AU97" s="56">
        <v>72</v>
      </c>
      <c r="AV97" s="56">
        <v>72</v>
      </c>
      <c r="AW97" s="56">
        <v>72</v>
      </c>
      <c r="AX97" s="56">
        <v>72</v>
      </c>
      <c r="AY97" s="56">
        <v>72</v>
      </c>
      <c r="AZ97" s="56">
        <v>72</v>
      </c>
      <c r="BA97" s="56">
        <v>72</v>
      </c>
      <c r="BB97" s="56">
        <v>72</v>
      </c>
      <c r="BC97" s="56">
        <v>72</v>
      </c>
      <c r="BD97" s="56">
        <v>72</v>
      </c>
      <c r="BE97" s="56">
        <v>72</v>
      </c>
      <c r="BF97" s="56">
        <v>72</v>
      </c>
      <c r="BG97" s="56">
        <v>72</v>
      </c>
      <c r="BH97" s="56">
        <v>72</v>
      </c>
      <c r="BI97" s="56">
        <v>72</v>
      </c>
      <c r="BJ97" s="56">
        <v>72</v>
      </c>
      <c r="BK97" s="56">
        <v>72</v>
      </c>
      <c r="BL97" s="56">
        <v>72</v>
      </c>
      <c r="BM97" s="56">
        <v>72</v>
      </c>
      <c r="BN97" s="56">
        <v>72</v>
      </c>
      <c r="BO97" s="56">
        <v>72</v>
      </c>
      <c r="BP97" s="56">
        <v>72</v>
      </c>
      <c r="BQ97" s="56">
        <v>72</v>
      </c>
      <c r="BR97" s="56">
        <v>72</v>
      </c>
      <c r="BS97" s="56">
        <v>72</v>
      </c>
      <c r="BT97" s="56">
        <v>72</v>
      </c>
      <c r="BU97" s="56">
        <v>72</v>
      </c>
      <c r="BV97" s="56">
        <v>72</v>
      </c>
      <c r="BW97" s="56">
        <v>72</v>
      </c>
      <c r="BX97" s="56">
        <v>72</v>
      </c>
      <c r="BY97" s="56">
        <v>72</v>
      </c>
      <c r="BZ97" s="56">
        <v>72</v>
      </c>
      <c r="CA97" s="56">
        <v>72</v>
      </c>
      <c r="CB97" s="56">
        <v>72</v>
      </c>
      <c r="CC97" s="56">
        <v>72</v>
      </c>
      <c r="CD97" s="56">
        <v>72</v>
      </c>
      <c r="CE97" s="56">
        <v>72</v>
      </c>
      <c r="CF97" s="56">
        <v>72</v>
      </c>
      <c r="CG97" s="56">
        <v>72</v>
      </c>
      <c r="CH97" s="56">
        <v>72</v>
      </c>
      <c r="CI97" s="56">
        <v>72</v>
      </c>
    </row>
    <row r="98" spans="2:87" x14ac:dyDescent="0.25">
      <c r="B98" s="34" t="s">
        <v>725</v>
      </c>
      <c r="C98" s="35">
        <f>SUM(C87:C97)</f>
        <v>91154</v>
      </c>
      <c r="D98" s="35">
        <f t="shared" ref="D98" si="841">SUM(D87:D97)</f>
        <v>96571</v>
      </c>
      <c r="E98" s="35">
        <f t="shared" ref="E98" si="842">SUM(E87:E97)</f>
        <v>110360</v>
      </c>
      <c r="F98" s="35">
        <f t="shared" ref="F98" si="843">SUM(F87:F97)</f>
        <v>125843</v>
      </c>
      <c r="G98" s="35">
        <f t="shared" ref="G98" si="844">SUM(G87:G97)</f>
        <v>143015</v>
      </c>
      <c r="H98" s="35">
        <f t="shared" ref="H98" si="845">SUM(H87:H97)</f>
        <v>172567</v>
      </c>
      <c r="I98" s="35">
        <f t="shared" ref="I98" si="846">SUM(I87:I97)</f>
        <v>203561</v>
      </c>
      <c r="J98" s="35">
        <f t="shared" ref="J98" si="847">SUM(J87:J97)</f>
        <v>212241</v>
      </c>
      <c r="K98" s="35">
        <f t="shared" ref="K98" si="848">SUM(K87:K97)</f>
        <v>245202</v>
      </c>
      <c r="L98" s="35">
        <f t="shared" ref="L98" si="849">SUM(L87:L97)</f>
        <v>281724</v>
      </c>
      <c r="M98" s="35">
        <f>SUM(M87:M97)</f>
        <v>306730.09152684436</v>
      </c>
      <c r="N98" s="35">
        <f t="shared" ref="N98" si="850">SUM(N87:N97)</f>
        <v>335779.11359760462</v>
      </c>
      <c r="O98" s="35">
        <f t="shared" ref="O98" si="851">SUM(O87:O97)</f>
        <v>363386.89649314678</v>
      </c>
      <c r="P98" s="35">
        <f t="shared" ref="P98" si="852">SUM(P87:P97)</f>
        <v>387727.29096199607</v>
      </c>
      <c r="Q98" s="35">
        <f t="shared" ref="Q98" si="853">SUM(Q87:Q97)</f>
        <v>411399.15246730263</v>
      </c>
      <c r="R98" s="35">
        <f t="shared" ref="R98" si="854">SUM(R87:R97)</f>
        <v>434119.26613542007</v>
      </c>
      <c r="S98" s="35">
        <f t="shared" ref="S98" si="855">SUM(S87:S97)</f>
        <v>455610.31233792601</v>
      </c>
      <c r="T98" s="35">
        <f t="shared" ref="T98" si="856">SUM(T87:T97)</f>
        <v>474441.81038533547</v>
      </c>
      <c r="U98" s="35">
        <f t="shared" ref="U98" si="857">SUM(U87:U97)</f>
        <v>491555.66007084073</v>
      </c>
      <c r="V98" s="35">
        <f t="shared" ref="V98" si="858">SUM(V87:V97)</f>
        <v>511709.77110005054</v>
      </c>
      <c r="W98" s="35">
        <f t="shared" ref="W98" si="859">SUM(W87:W97)</f>
        <v>531667.97924415139</v>
      </c>
      <c r="X98" s="35">
        <f t="shared" ref="X98" si="860">SUM(X87:X97)</f>
        <v>551432.98069382412</v>
      </c>
      <c r="Y98" s="35">
        <f t="shared" ref="Y98" si="861">SUM(Y87:Y97)</f>
        <v>571007.46800761449</v>
      </c>
      <c r="Z98" s="35">
        <f t="shared" ref="Z98" si="862">SUM(Z87:Z97)</f>
        <v>590394.12585756998</v>
      </c>
      <c r="AA98" s="35">
        <f t="shared" ref="AA98" si="863">SUM(AA87:AA97)</f>
        <v>609595.6275449564</v>
      </c>
      <c r="AB98" s="35">
        <f t="shared" ref="AB98" si="864">SUM(AB87:AB97)</f>
        <v>628614.63213246595</v>
      </c>
      <c r="AC98" s="35">
        <f t="shared" ref="AC98" si="865">SUM(AC87:AC97)</f>
        <v>647453.7820746958</v>
      </c>
      <c r="AD98" s="35">
        <f t="shared" ref="AD98" si="866">SUM(AD87:AD97)</f>
        <v>666115.70125486178</v>
      </c>
      <c r="AE98" s="35">
        <f t="shared" ref="AE98" si="867">SUM(AE87:AE97)</f>
        <v>684602.99335534836</v>
      </c>
      <c r="AF98" s="35">
        <f t="shared" ref="AF98" si="868">SUM(AF87:AF97)</f>
        <v>702918.24050459405</v>
      </c>
      <c r="AG98" s="35">
        <f t="shared" ref="AG98" si="869">SUM(AG87:AG97)</f>
        <v>721064.00215423515</v>
      </c>
      <c r="AH98" s="35">
        <f t="shared" ref="AH98" si="870">SUM(AH87:AH97)</f>
        <v>739042.81414928008</v>
      </c>
      <c r="AI98" s="35">
        <f t="shared" ref="AI98" si="871">SUM(AI87:AI97)</f>
        <v>756857.18796101678</v>
      </c>
      <c r="AJ98" s="35">
        <f t="shared" ref="AJ98" si="872">SUM(AJ87:AJ97)</f>
        <v>774509.61005780171</v>
      </c>
      <c r="AK98" s="35">
        <f t="shared" ref="AK98" si="873">SUM(AK87:AK97)</f>
        <v>792002.54139323207</v>
      </c>
      <c r="AL98" s="35">
        <f t="shared" ref="AL98" si="874">SUM(AL87:AL97)</f>
        <v>809338.41699467239</v>
      </c>
      <c r="AM98" s="35">
        <f t="shared" ref="AM98" si="875">SUM(AM87:AM97)</f>
        <v>826519.64563791477</v>
      </c>
      <c r="AN98" s="35">
        <f t="shared" ref="AN98" si="876">SUM(AN87:AN97)</f>
        <v>843548.60959603451</v>
      </c>
      <c r="AO98" s="35">
        <f t="shared" ref="AO98" si="877">SUM(AO87:AO97)</f>
        <v>860427.66445235792</v>
      </c>
      <c r="AP98" s="35">
        <f t="shared" ref="AP98" si="878">SUM(AP87:AP97)</f>
        <v>877159.13896899915</v>
      </c>
      <c r="AQ98" s="35">
        <f t="shared" ref="AQ98" si="879">SUM(AQ87:AQ97)</f>
        <v>893745.33500368171</v>
      </c>
      <c r="AR98" s="35">
        <f t="shared" ref="AR98" si="880">SUM(AR87:AR97)</f>
        <v>910188.52746861603</v>
      </c>
      <c r="AS98" s="35">
        <f t="shared" ref="AS98" si="881">SUM(AS87:AS97)</f>
        <v>926490.96432608389</v>
      </c>
      <c r="AT98" s="35">
        <f t="shared" ref="AT98" si="882">SUM(AT87:AT97)</f>
        <v>942654.86661611253</v>
      </c>
      <c r="AU98" s="35">
        <f t="shared" ref="AU98" si="883">SUM(AU87:AU97)</f>
        <v>958682.42851225135</v>
      </c>
      <c r="AV98" s="35">
        <f t="shared" ref="AV98" si="884">SUM(AV87:AV97)</f>
        <v>974575.81740198017</v>
      </c>
      <c r="AW98" s="35">
        <f t="shared" ref="AW98" si="885">SUM(AW87:AW97)</f>
        <v>990337.17398873658</v>
      </c>
      <c r="AX98" s="35">
        <f t="shared" ref="AX98" si="886">SUM(AX87:AX97)</f>
        <v>1005968.6124129196</v>
      </c>
      <c r="AY98" s="35">
        <f t="shared" ref="AY98" si="887">SUM(AY87:AY97)</f>
        <v>1021472.2203895616</v>
      </c>
      <c r="AZ98" s="35">
        <f t="shared" ref="AZ98" si="888">SUM(AZ87:AZ97)</f>
        <v>1036850.0593606394</v>
      </c>
      <c r="BA98" s="35">
        <f t="shared" ref="BA98" si="889">SUM(BA87:BA97)</f>
        <v>1052104.164660238</v>
      </c>
      <c r="BB98" s="35">
        <f t="shared" ref="BB98" si="890">SUM(BB87:BB97)</f>
        <v>1067236.5456909845</v>
      </c>
      <c r="BC98" s="35">
        <f t="shared" ref="BC98" si="891">SUM(BC87:BC97)</f>
        <v>1082249.1861103615</v>
      </c>
      <c r="BD98" s="35">
        <f t="shared" ref="BD98" si="892">SUM(BD87:BD97)</f>
        <v>1097144.0440256563</v>
      </c>
      <c r="BE98" s="35">
        <f t="shared" ref="BE98" si="893">SUM(BE87:BE97)</f>
        <v>1111923.0521964508</v>
      </c>
      <c r="BF98" s="35">
        <f t="shared" ref="BF98" si="894">SUM(BF87:BF97)</f>
        <v>1126588.1182436692</v>
      </c>
      <c r="BG98" s="35">
        <f t="shared" ref="BG98" si="895">SUM(BG87:BG97)</f>
        <v>1141141.1248643105</v>
      </c>
      <c r="BH98" s="35">
        <f t="shared" ref="BH98" si="896">SUM(BH87:BH97)</f>
        <v>1155583.930051086</v>
      </c>
      <c r="BI98" s="35">
        <f t="shared" ref="BI98" si="897">SUM(BI87:BI97)</f>
        <v>1169918.3673162642</v>
      </c>
      <c r="BJ98" s="35">
        <f t="shared" ref="BJ98" si="898">SUM(BJ87:BJ97)</f>
        <v>1184146.2459190944</v>
      </c>
      <c r="BK98" s="35">
        <f t="shared" ref="BK98" si="899">SUM(BK87:BK97)</f>
        <v>1198269.3510962534</v>
      </c>
      <c r="BL98" s="35">
        <f t="shared" ref="BL98" si="900">SUM(BL87:BL97)</f>
        <v>1212289.4442948019</v>
      </c>
      <c r="BM98" s="35">
        <f t="shared" ref="BM98" si="901">SUM(BM87:BM97)</f>
        <v>1226208.2634072085</v>
      </c>
      <c r="BN98" s="35">
        <f t="shared" ref="BN98" si="902">SUM(BN87:BN97)</f>
        <v>1240027.5230080218</v>
      </c>
      <c r="BO98" s="35">
        <f t="shared" ref="BO98" si="903">SUM(BO87:BO97)</f>
        <v>1253748.9145918281</v>
      </c>
      <c r="BP98" s="35">
        <f t="shared" ref="BP98" si="904">SUM(BP87:BP97)</f>
        <v>1267374.106812164</v>
      </c>
      <c r="BQ98" s="35">
        <f t="shared" ref="BQ98" si="905">SUM(BQ87:BQ97)</f>
        <v>1280904.7457210796</v>
      </c>
      <c r="BR98" s="35">
        <f t="shared" ref="BR98" si="906">SUM(BR87:BR97)</f>
        <v>1294342.4550090837</v>
      </c>
      <c r="BS98" s="35">
        <f t="shared" ref="BS98" si="907">SUM(BS87:BS97)</f>
        <v>1307688.8362452267</v>
      </c>
      <c r="BT98" s="35">
        <f t="shared" ref="BT98" si="908">SUM(BT87:BT97)</f>
        <v>1320945.4691171022</v>
      </c>
      <c r="BU98" s="35">
        <f t="shared" ref="BU98" si="909">SUM(BU87:BU97)</f>
        <v>1334113.9116705575</v>
      </c>
      <c r="BV98" s="35">
        <f t="shared" ref="BV98" si="910">SUM(BV87:BV97)</f>
        <v>1347195.7005489466</v>
      </c>
      <c r="BW98" s="35">
        <f t="shared" ref="BW98" si="911">SUM(BW87:BW97)</f>
        <v>1360192.3512317489</v>
      </c>
      <c r="BX98" s="35">
        <f t="shared" ref="BX98" si="912">SUM(BX87:BX97)</f>
        <v>1373105.3582724135</v>
      </c>
      <c r="BY98" s="35">
        <f t="shared" ref="BY98" si="913">SUM(BY87:BY97)</f>
        <v>1385936.1955352905</v>
      </c>
      <c r="BZ98" s="35">
        <f t="shared" ref="BZ98" si="914">SUM(BZ87:BZ97)</f>
        <v>1398686.316431531</v>
      </c>
      <c r="CA98" s="35">
        <f t="shared" ref="CA98" si="915">SUM(CA87:CA97)</f>
        <v>1411357.1541538429</v>
      </c>
      <c r="CB98" s="35">
        <f t="shared" ref="CB98" si="916">SUM(CB87:CB97)</f>
        <v>1423950.1219100102</v>
      </c>
      <c r="CC98" s="35">
        <f t="shared" ref="CC98" si="917">SUM(CC87:CC97)</f>
        <v>1436466.6131550765</v>
      </c>
      <c r="CD98" s="35">
        <f t="shared" ref="CD98" si="918">SUM(CD87:CD97)</f>
        <v>1448908.0018221226</v>
      </c>
      <c r="CE98" s="35">
        <f t="shared" ref="CE98" si="919">SUM(CE87:CE97)</f>
        <v>1461275.6425515583</v>
      </c>
      <c r="CF98" s="35">
        <f t="shared" ref="CF98" si="920">SUM(CF87:CF97)</f>
        <v>1473570.8709188669</v>
      </c>
      <c r="CG98" s="35">
        <f t="shared" ref="CG98" si="921">SUM(CG87:CG97)</f>
        <v>1485795.0036607459</v>
      </c>
      <c r="CH98" s="35">
        <f t="shared" ref="CH98" si="922">SUM(CH87:CH97)</f>
        <v>1497949.3388995824</v>
      </c>
      <c r="CI98" s="35">
        <f>SUM(CI87:CI97)</f>
        <v>1510035.1563662307</v>
      </c>
    </row>
    <row r="99" spans="2:87" x14ac:dyDescent="0.25">
      <c r="B99" s="59" t="s">
        <v>732</v>
      </c>
      <c r="C99" s="60"/>
      <c r="D99" s="60">
        <f t="shared" ref="D99" si="923">D98/C98-1</f>
        <v>5.9426903920837271E-2</v>
      </c>
      <c r="E99" s="60">
        <f t="shared" ref="E99" si="924">E98/D98-1</f>
        <v>0.14278613662486661</v>
      </c>
      <c r="F99" s="60">
        <f>F98/E98-1</f>
        <v>0.14029539688292858</v>
      </c>
      <c r="G99" s="60">
        <f t="shared" ref="G99" si="925">G98/F98-1</f>
        <v>0.13645574247276371</v>
      </c>
      <c r="H99" s="60">
        <f t="shared" ref="H99" si="926">H98/G98-1</f>
        <v>0.206635667587316</v>
      </c>
      <c r="I99" s="60">
        <f t="shared" ref="I99" si="927">I98/H98-1</f>
        <v>0.17960560246165258</v>
      </c>
      <c r="J99" s="60">
        <f t="shared" ref="J99" si="928">J98/I98-1</f>
        <v>4.2640780896144204E-2</v>
      </c>
      <c r="K99" s="60">
        <f t="shared" ref="K99" si="929">K98/J98-1</f>
        <v>0.15529987137263768</v>
      </c>
      <c r="L99" s="60">
        <f t="shared" ref="L99" si="930">L98/K98-1</f>
        <v>0.14894658281743212</v>
      </c>
      <c r="M99" s="60">
        <f t="shared" ref="M99" si="931">M98/L98-1</f>
        <v>8.8760955853403933E-2</v>
      </c>
      <c r="N99" s="60">
        <f t="shared" ref="N99" si="932">N98/M98-1</f>
        <v>9.4705484962886111E-2</v>
      </c>
      <c r="O99" s="60">
        <f t="shared" ref="O99" si="933">O98/N98-1</f>
        <v>8.2220071998364785E-2</v>
      </c>
      <c r="P99" s="60">
        <f t="shared" ref="P99" si="934">P98/O98-1</f>
        <v>6.6982036787086807E-2</v>
      </c>
      <c r="Q99" s="60">
        <f t="shared" ref="Q99" si="935">Q98/P98-1</f>
        <v>6.1052863848128691E-2</v>
      </c>
      <c r="R99" s="60">
        <f>R98/Q98-1</f>
        <v>5.5226447433975201E-2</v>
      </c>
      <c r="S99" s="60">
        <f t="shared" ref="S99" si="936">S98/R98-1</f>
        <v>4.9504935346043721E-2</v>
      </c>
      <c r="T99" s="60">
        <f t="shared" ref="T99" si="937">T98/S98-1</f>
        <v>4.1332466666035739E-2</v>
      </c>
      <c r="U99" s="60">
        <f t="shared" ref="U99" si="938">U98/T98-1</f>
        <v>3.6071546206279059E-2</v>
      </c>
      <c r="V99" s="60">
        <f t="shared" ref="V99" si="939">V98/U98-1</f>
        <v>4.1000669235108145E-2</v>
      </c>
      <c r="W99" s="60">
        <f t="shared" ref="W99" si="940">W98/V98-1</f>
        <v>3.9002984252568762E-2</v>
      </c>
      <c r="X99" s="60">
        <f t="shared" ref="X99" si="941">X98/W98-1</f>
        <v>3.7175459537307054E-2</v>
      </c>
      <c r="Y99" s="60">
        <f t="shared" ref="Y99" si="942">Y98/X98-1</f>
        <v>3.5497491080713539E-2</v>
      </c>
      <c r="Z99" s="60">
        <f t="shared" ref="Z99" si="943">Z98/Y98-1</f>
        <v>3.3951671276034823E-2</v>
      </c>
      <c r="AA99" s="60">
        <f t="shared" ref="AA99" si="944">AA98/Z98-1</f>
        <v>3.2523192298865577E-2</v>
      </c>
      <c r="AB99" s="60">
        <f t="shared" ref="AB99" si="945">AB98/AA98-1</f>
        <v>3.1199378289679336E-2</v>
      </c>
      <c r="AC99" s="60">
        <f t="shared" ref="AC99" si="946">AC98/AB98-1</f>
        <v>2.9969315029020782E-2</v>
      </c>
      <c r="AD99" s="60">
        <f t="shared" ref="AD99" si="947">AD98/AC98-1</f>
        <v>2.8823554200835488E-2</v>
      </c>
      <c r="AE99" s="60">
        <f t="shared" ref="AE99" si="948">AE98/AD98-1</f>
        <v>2.7753875288721419E-2</v>
      </c>
      <c r="AF99" s="60">
        <f t="shared" ref="AF99" si="949">AF98/AE98-1</f>
        <v>2.6753092415620072E-2</v>
      </c>
      <c r="AG99" s="60">
        <f t="shared" ref="AG99" si="950">AG98/AF98-1</f>
        <v>2.5814896532796006E-2</v>
      </c>
      <c r="AH99" s="60">
        <f t="shared" ref="AH99" si="951">AH98/AG98-1</f>
        <v>2.4933725635077897E-2</v>
      </c>
      <c r="AI99" s="60">
        <f t="shared" ref="AI99" si="952">AI98/AH98-1</f>
        <v>2.4104657363109627E-2</v>
      </c>
      <c r="AJ99" s="60">
        <f t="shared" ref="AJ99" si="953">AJ98/AI98-1</f>
        <v>2.3323319613758109E-2</v>
      </c>
      <c r="AK99" s="60">
        <f t="shared" ref="AK99" si="954">AK98/AJ98-1</f>
        <v>2.2585815732002246E-2</v>
      </c>
      <c r="AL99" s="60">
        <f t="shared" ref="AL99" si="955">AL98/AK98-1</f>
        <v>2.1888661583010061E-2</v>
      </c>
      <c r="AM99" s="60">
        <f t="shared" ref="AM99" si="956">AM98/AL98-1</f>
        <v>2.1228732360242697E-2</v>
      </c>
      <c r="AN99" s="60">
        <f t="shared" ref="AN99" si="957">AN98/AM98-1</f>
        <v>2.0603217416540254E-2</v>
      </c>
      <c r="AO99" s="60">
        <f t="shared" ref="AO99" si="958">AO98/AN98-1</f>
        <v>2.0009581741124105E-2</v>
      </c>
      <c r="AP99" s="60">
        <f t="shared" ref="AP99" si="959">AP98/AO98-1</f>
        <v>1.9445532969108337E-2</v>
      </c>
      <c r="AQ99" s="60">
        <f t="shared" ref="AQ99" si="960">AQ98/AP98-1</f>
        <v>1.8908993018276865E-2</v>
      </c>
      <c r="AR99" s="60">
        <f t="shared" ref="AR99" si="961">AR98/AQ98-1</f>
        <v>1.8398073613292265E-2</v>
      </c>
      <c r="AS99" s="60">
        <f t="shared" ref="AS99" si="962">AS98/AR98-1</f>
        <v>1.7911055089661065E-2</v>
      </c>
      <c r="AT99" s="60">
        <f t="shared" ref="AT99" si="963">AT98/AS98-1</f>
        <v>1.7446367975953336E-2</v>
      </c>
      <c r="AU99" s="60">
        <f t="shared" ref="AU99" si="964">AU98/AT98-1</f>
        <v>1.7002576938549785E-2</v>
      </c>
      <c r="AV99" s="60">
        <f t="shared" ref="AV99" si="965">AV98/AU98-1</f>
        <v>1.6578366742773465E-2</v>
      </c>
      <c r="AW99" s="60">
        <f t="shared" ref="AW99" si="966">AW98/AV98-1</f>
        <v>1.6172529941049563E-2</v>
      </c>
      <c r="AX99" s="60">
        <f t="shared" ref="AX99" si="967">AX98/AW98-1</f>
        <v>1.5783956045217318E-2</v>
      </c>
      <c r="AY99" s="60">
        <f t="shared" ref="AY99" si="968">AY98/AX98-1</f>
        <v>1.5411621978398404E-2</v>
      </c>
      <c r="AZ99" s="60">
        <f t="shared" ref="AZ99" si="969">AZ98/AY98-1</f>
        <v>1.5054583633427709E-2</v>
      </c>
      <c r="BA99" s="60">
        <f t="shared" ref="BA99" si="970">BA98/AZ98-1</f>
        <v>1.4711968391075469E-2</v>
      </c>
      <c r="BB99" s="60">
        <f t="shared" ref="BB99" si="971">BB98/BA98-1</f>
        <v>1.4382968473120039E-2</v>
      </c>
      <c r="BC99" s="60">
        <f t="shared" ref="BC99" si="972">BC98/BB98-1</f>
        <v>1.4066835023586188E-2</v>
      </c>
      <c r="BD99" s="60">
        <f t="shared" ref="BD99" si="973">BD98/BC98-1</f>
        <v>1.3762872826753814E-2</v>
      </c>
      <c r="BE99" s="60">
        <f t="shared" ref="BE99" si="974">BE98/BD98-1</f>
        <v>1.3470435583432749E-2</v>
      </c>
      <c r="BF99" s="60">
        <f t="shared" ref="BF99" si="975">BF98/BE98-1</f>
        <v>1.3188921677853127E-2</v>
      </c>
      <c r="BG99" s="60">
        <f t="shared" ref="BG99" si="976">BG98/BF98-1</f>
        <v>1.2917770376745352E-2</v>
      </c>
      <c r="BH99" s="60">
        <f t="shared" ref="BH99" si="977">BH98/BG98-1</f>
        <v>1.2656458409991078E-2</v>
      </c>
      <c r="BI99" s="60">
        <f t="shared" ref="BI99" si="978">BI98/BH98-1</f>
        <v>1.2404496888896999E-2</v>
      </c>
      <c r="BJ99" s="60">
        <f t="shared" ref="BJ99" si="979">BJ98/BI98-1</f>
        <v>1.2161428523827844E-2</v>
      </c>
      <c r="BK99" s="60">
        <f t="shared" ref="BK99" si="980">BK98/BJ98-1</f>
        <v>1.1926825107820171E-2</v>
      </c>
      <c r="BL99" s="60">
        <f t="shared" ref="BL99" si="981">BL98/BK98-1</f>
        <v>1.1700285236972752E-2</v>
      </c>
      <c r="BM99" s="60">
        <f t="shared" ref="BM99" si="982">BM98/BL98-1</f>
        <v>1.1481432242036238E-2</v>
      </c>
      <c r="BN99" s="60">
        <f t="shared" ref="BN99" si="983">BN98/BM98-1</f>
        <v>1.1269912308708774E-2</v>
      </c>
      <c r="BO99" s="60">
        <f t="shared" ref="BO99" si="984">BO98/BN98-1</f>
        <v>1.1065392766864912E-2</v>
      </c>
      <c r="BP99" s="60">
        <f t="shared" ref="BP99" si="985">BP98/BO98-1</f>
        <v>1.0867560531266029E-2</v>
      </c>
      <c r="BQ99" s="60">
        <f t="shared" ref="BQ99" si="986">BQ98/BP98-1</f>
        <v>1.0676120678328571E-2</v>
      </c>
      <c r="BR99" s="60">
        <f t="shared" ref="BR99" si="987">BR98/BQ98-1</f>
        <v>1.0490795145301268E-2</v>
      </c>
      <c r="BS99" s="60">
        <f t="shared" ref="BS99" si="988">BS98/BR98-1</f>
        <v>1.0311321539746121E-2</v>
      </c>
      <c r="BT99" s="60">
        <f t="shared" ref="BT99" si="989">BT98/BS98-1</f>
        <v>1.0137452048561757E-2</v>
      </c>
      <c r="BU99" s="60">
        <f t="shared" ref="BU99" si="990">BU98/BT98-1</f>
        <v>9.968952436966827E-3</v>
      </c>
      <c r="BV99" s="60">
        <f t="shared" ref="BV99" si="991">BV98/BU98-1</f>
        <v>9.8056011289233691E-3</v>
      </c>
      <c r="BW99" s="60">
        <f t="shared" ref="BW99" si="992">BW98/BV98-1</f>
        <v>9.6471883613542531E-3</v>
      </c>
      <c r="BX99" s="60">
        <f t="shared" ref="BX99" si="993">BX98/BW98-1</f>
        <v>9.4935154053550352E-3</v>
      </c>
      <c r="BY99" s="60">
        <f t="shared" ref="BY99" si="994">BY98/BX98-1</f>
        <v>9.3443938482771216E-3</v>
      </c>
      <c r="BZ99" s="60">
        <f t="shared" ref="BZ99" si="995">BZ98/BY98-1</f>
        <v>9.1996449312126138E-3</v>
      </c>
      <c r="CA99" s="60">
        <f t="shared" ref="CA99" si="996">CA98/BZ98-1</f>
        <v>9.0590989369503383E-3</v>
      </c>
      <c r="CB99" s="60">
        <f t="shared" ref="CB99" si="997">CB98/CA98-1</f>
        <v>8.922594623979041E-3</v>
      </c>
      <c r="CC99" s="60">
        <f t="shared" ref="CC99" si="998">CC98/CB98-1</f>
        <v>8.7899787025387255E-3</v>
      </c>
      <c r="CD99" s="60">
        <f t="shared" ref="CD99" si="999">CD98/CC98-1</f>
        <v>8.6611053491314482E-3</v>
      </c>
      <c r="CE99" s="60">
        <f t="shared" ref="CE99" si="1000">CE98/CD98-1</f>
        <v>8.5358357562264064E-3</v>
      </c>
      <c r="CF99" s="60">
        <f t="shared" ref="CF99" si="1001">CF98/CE98-1</f>
        <v>8.414037714225886E-3</v>
      </c>
      <c r="CG99" s="60">
        <f t="shared" ref="CG99" si="1002">CG98/CF98-1</f>
        <v>8.2955852230279792E-3</v>
      </c>
      <c r="CH99" s="60">
        <f t="shared" ref="CH99" si="1003">CH98/CG98-1</f>
        <v>8.1803581307584583E-3</v>
      </c>
      <c r="CI99" s="60">
        <f>CI98/CH98-1</f>
        <v>8.0682417975008747E-3</v>
      </c>
    </row>
    <row r="100" spans="2:87" x14ac:dyDescent="0.25">
      <c r="B100" s="62" t="s">
        <v>534</v>
      </c>
      <c r="C100" s="63">
        <v>32780</v>
      </c>
      <c r="D100" s="63">
        <v>34261</v>
      </c>
      <c r="E100" s="63">
        <v>38353</v>
      </c>
      <c r="F100" s="63">
        <v>42910</v>
      </c>
      <c r="G100" s="63">
        <v>46078</v>
      </c>
      <c r="H100" s="63">
        <v>52232</v>
      </c>
      <c r="I100" s="63">
        <v>62650</v>
      </c>
      <c r="J100" s="63">
        <v>65863</v>
      </c>
      <c r="K100" s="63">
        <v>74114</v>
      </c>
      <c r="L100" s="63">
        <v>87831</v>
      </c>
      <c r="M100" s="63">
        <f>M98*(L101-0.001)</f>
        <v>95320.233422033474</v>
      </c>
      <c r="N100" s="63">
        <f>N98*(0.315)</f>
        <v>105770.42078324546</v>
      </c>
      <c r="O100" s="63">
        <f t="shared" ref="O100:BZ100" si="1004">O98*(0.315)</f>
        <v>114466.87239534124</v>
      </c>
      <c r="P100" s="63">
        <f t="shared" si="1004"/>
        <v>122134.09665302877</v>
      </c>
      <c r="Q100" s="63">
        <f t="shared" si="1004"/>
        <v>129590.73302720033</v>
      </c>
      <c r="R100" s="63">
        <f t="shared" si="1004"/>
        <v>136747.56883265733</v>
      </c>
      <c r="S100" s="63">
        <f t="shared" si="1004"/>
        <v>143517.24838644671</v>
      </c>
      <c r="T100" s="63">
        <f t="shared" si="1004"/>
        <v>149449.17027138069</v>
      </c>
      <c r="U100" s="63">
        <f t="shared" si="1004"/>
        <v>154840.03292231483</v>
      </c>
      <c r="V100" s="63">
        <f t="shared" si="1004"/>
        <v>161188.57789651593</v>
      </c>
      <c r="W100" s="63">
        <f t="shared" si="1004"/>
        <v>167475.41346190768</v>
      </c>
      <c r="X100" s="63">
        <f t="shared" si="1004"/>
        <v>173701.38891855461</v>
      </c>
      <c r="Y100" s="63">
        <f t="shared" si="1004"/>
        <v>179867.35242239857</v>
      </c>
      <c r="Z100" s="63">
        <f t="shared" si="1004"/>
        <v>185974.14964513454</v>
      </c>
      <c r="AA100" s="63">
        <f t="shared" si="1004"/>
        <v>192022.62267666127</v>
      </c>
      <c r="AB100" s="63">
        <f t="shared" si="1004"/>
        <v>198013.60912172677</v>
      </c>
      <c r="AC100" s="63">
        <f t="shared" si="1004"/>
        <v>203947.94135352917</v>
      </c>
      <c r="AD100" s="63">
        <f t="shared" si="1004"/>
        <v>209826.44589528147</v>
      </c>
      <c r="AE100" s="63">
        <f t="shared" si="1004"/>
        <v>215649.94290693474</v>
      </c>
      <c r="AF100" s="63">
        <f t="shared" si="1004"/>
        <v>221419.24575894713</v>
      </c>
      <c r="AG100" s="63">
        <f t="shared" si="1004"/>
        <v>227135.16067858407</v>
      </c>
      <c r="AH100" s="63">
        <f t="shared" si="1004"/>
        <v>232798.48645702322</v>
      </c>
      <c r="AI100" s="63">
        <f t="shared" si="1004"/>
        <v>238410.01420772029</v>
      </c>
      <c r="AJ100" s="63">
        <f t="shared" si="1004"/>
        <v>243970.52716820754</v>
      </c>
      <c r="AK100" s="63">
        <f t="shared" si="1004"/>
        <v>249480.80053886809</v>
      </c>
      <c r="AL100" s="63">
        <f t="shared" si="1004"/>
        <v>254941.60135332181</v>
      </c>
      <c r="AM100" s="63">
        <f t="shared" si="1004"/>
        <v>260353.68837594317</v>
      </c>
      <c r="AN100" s="63">
        <f t="shared" si="1004"/>
        <v>265717.81202275085</v>
      </c>
      <c r="AO100" s="63">
        <f t="shared" si="1004"/>
        <v>271034.71430249274</v>
      </c>
      <c r="AP100" s="63">
        <f t="shared" si="1004"/>
        <v>276305.12877523474</v>
      </c>
      <c r="AQ100" s="63">
        <f t="shared" si="1004"/>
        <v>281529.78052615974</v>
      </c>
      <c r="AR100" s="63">
        <f t="shared" si="1004"/>
        <v>286709.38615261402</v>
      </c>
      <c r="AS100" s="63">
        <f t="shared" si="1004"/>
        <v>291844.65376271645</v>
      </c>
      <c r="AT100" s="63">
        <f t="shared" si="1004"/>
        <v>296936.28298407543</v>
      </c>
      <c r="AU100" s="63">
        <f t="shared" si="1004"/>
        <v>301984.9649813592</v>
      </c>
      <c r="AV100" s="63">
        <f t="shared" si="1004"/>
        <v>306991.38248162373</v>
      </c>
      <c r="AW100" s="63">
        <f t="shared" si="1004"/>
        <v>311956.20980645204</v>
      </c>
      <c r="AX100" s="63">
        <f t="shared" si="1004"/>
        <v>316880.1129100697</v>
      </c>
      <c r="AY100" s="63">
        <f t="shared" si="1004"/>
        <v>321763.7494227119</v>
      </c>
      <c r="AZ100" s="63">
        <f t="shared" si="1004"/>
        <v>326607.7686986014</v>
      </c>
      <c r="BA100" s="63">
        <f t="shared" si="1004"/>
        <v>331412.81186797493</v>
      </c>
      <c r="BB100" s="63">
        <f t="shared" si="1004"/>
        <v>336179.51189266011</v>
      </c>
      <c r="BC100" s="63">
        <f t="shared" si="1004"/>
        <v>340908.49362476385</v>
      </c>
      <c r="BD100" s="63">
        <f t="shared" si="1004"/>
        <v>345600.37386808172</v>
      </c>
      <c r="BE100" s="63">
        <f t="shared" si="1004"/>
        <v>350255.761441882</v>
      </c>
      <c r="BF100" s="63">
        <f t="shared" si="1004"/>
        <v>354875.25724675576</v>
      </c>
      <c r="BG100" s="63">
        <f t="shared" si="1004"/>
        <v>359459.4543322578</v>
      </c>
      <c r="BH100" s="63">
        <f t="shared" si="1004"/>
        <v>364008.93796609208</v>
      </c>
      <c r="BI100" s="63">
        <f t="shared" si="1004"/>
        <v>368524.28570462321</v>
      </c>
      <c r="BJ100" s="63">
        <f t="shared" si="1004"/>
        <v>373006.06746451475</v>
      </c>
      <c r="BK100" s="63">
        <f t="shared" si="1004"/>
        <v>377454.84559531981</v>
      </c>
      <c r="BL100" s="63">
        <f t="shared" si="1004"/>
        <v>381871.17495286261</v>
      </c>
      <c r="BM100" s="63">
        <f t="shared" si="1004"/>
        <v>386255.6029732707</v>
      </c>
      <c r="BN100" s="63">
        <f t="shared" si="1004"/>
        <v>390608.66974752687</v>
      </c>
      <c r="BO100" s="63">
        <f t="shared" si="1004"/>
        <v>394930.90809642588</v>
      </c>
      <c r="BP100" s="63">
        <f t="shared" si="1004"/>
        <v>399222.84364583163</v>
      </c>
      <c r="BQ100" s="63">
        <f t="shared" si="1004"/>
        <v>403484.99490214011</v>
      </c>
      <c r="BR100" s="63">
        <f t="shared" si="1004"/>
        <v>407717.87332786137</v>
      </c>
      <c r="BS100" s="63">
        <f t="shared" si="1004"/>
        <v>411921.98341724643</v>
      </c>
      <c r="BT100" s="63">
        <f t="shared" si="1004"/>
        <v>416097.82277188718</v>
      </c>
      <c r="BU100" s="63">
        <f t="shared" si="1004"/>
        <v>420245.8821762256</v>
      </c>
      <c r="BV100" s="63">
        <f t="shared" si="1004"/>
        <v>424366.64567291818</v>
      </c>
      <c r="BW100" s="63">
        <f t="shared" si="1004"/>
        <v>428460.59063800093</v>
      </c>
      <c r="BX100" s="63">
        <f t="shared" si="1004"/>
        <v>432528.18785581028</v>
      </c>
      <c r="BY100" s="63">
        <f t="shared" si="1004"/>
        <v>436569.90159361652</v>
      </c>
      <c r="BZ100" s="63">
        <f t="shared" si="1004"/>
        <v>440586.18967593228</v>
      </c>
      <c r="CA100" s="63">
        <f t="shared" ref="CA100:CI100" si="1005">CA98*(0.315)</f>
        <v>444577.50355846051</v>
      </c>
      <c r="CB100" s="63">
        <f t="shared" si="1005"/>
        <v>448544.28840165323</v>
      </c>
      <c r="CC100" s="63">
        <f t="shared" si="1005"/>
        <v>452486.98314384912</v>
      </c>
      <c r="CD100" s="63">
        <f t="shared" si="1005"/>
        <v>456406.02057396865</v>
      </c>
      <c r="CE100" s="63">
        <f t="shared" si="1005"/>
        <v>460301.8274037409</v>
      </c>
      <c r="CF100" s="63">
        <f t="shared" si="1005"/>
        <v>464174.82433944312</v>
      </c>
      <c r="CG100" s="63">
        <f t="shared" si="1005"/>
        <v>468025.42615313496</v>
      </c>
      <c r="CH100" s="63">
        <f t="shared" si="1005"/>
        <v>471854.04175336845</v>
      </c>
      <c r="CI100" s="63">
        <f t="shared" si="1005"/>
        <v>475661.07425536268</v>
      </c>
    </row>
    <row r="101" spans="2:87" x14ac:dyDescent="0.25">
      <c r="B101" s="59" t="s">
        <v>733</v>
      </c>
      <c r="C101" s="60">
        <f>C100/C$15</f>
        <v>0.35961120740724489</v>
      </c>
      <c r="D101" s="60">
        <f t="shared" ref="D101" si="1006">D100/D$15</f>
        <v>0.35477524308539832</v>
      </c>
      <c r="E101" s="60">
        <f t="shared" ref="E101" si="1007">E100/E$15</f>
        <v>0.34752627763682492</v>
      </c>
      <c r="F101" s="60">
        <f t="shared" ref="F101" si="1008">F100/F$15</f>
        <v>0.34098042799361111</v>
      </c>
      <c r="G101" s="60">
        <f t="shared" ref="G101" si="1009">G100/G$15</f>
        <v>0.32218998007202043</v>
      </c>
      <c r="H101" s="60">
        <f t="shared" ref="H101" si="1010">H100/H$15</f>
        <v>0.30267664153633084</v>
      </c>
      <c r="I101" s="60">
        <f t="shared" ref="I101" si="1011">I100/I$15</f>
        <v>0.30777015243587919</v>
      </c>
      <c r="J101" s="60">
        <f t="shared" ref="J101" si="1012">J100/J$15</f>
        <v>0.31032175687072716</v>
      </c>
      <c r="K101" s="60">
        <f t="shared" ref="K101" si="1013">K100/K$15</f>
        <v>0.30225691470705784</v>
      </c>
      <c r="L101" s="60">
        <f t="shared" ref="L101" si="1014">L100/L$15</f>
        <v>0.31176257613834818</v>
      </c>
      <c r="M101" s="60">
        <f>M100/M98</f>
        <v>0.31076257613834818</v>
      </c>
      <c r="N101" s="60">
        <f t="shared" ref="N101" si="1015">N100/N98</f>
        <v>0.315</v>
      </c>
      <c r="O101" s="60">
        <f t="shared" ref="O101" si="1016">O100/O98</f>
        <v>0.315</v>
      </c>
      <c r="P101" s="60">
        <f t="shared" ref="P101" si="1017">P100/P98</f>
        <v>0.315</v>
      </c>
      <c r="Q101" s="60">
        <f t="shared" ref="Q101" si="1018">Q100/Q98</f>
        <v>0.315</v>
      </c>
      <c r="R101" s="60">
        <f t="shared" ref="R101" si="1019">R100/R98</f>
        <v>0.315</v>
      </c>
      <c r="S101" s="60">
        <f t="shared" ref="S101" si="1020">S100/S98</f>
        <v>0.31500000000000006</v>
      </c>
      <c r="T101" s="60">
        <f t="shared" ref="T101" si="1021">T100/T98</f>
        <v>0.31500000000000006</v>
      </c>
      <c r="U101" s="60">
        <f t="shared" ref="U101" si="1022">U100/U98</f>
        <v>0.315</v>
      </c>
      <c r="V101" s="60">
        <f t="shared" ref="V101" si="1023">V100/V98</f>
        <v>0.315</v>
      </c>
      <c r="W101" s="60">
        <f t="shared" ref="W101" si="1024">W100/W98</f>
        <v>0.315</v>
      </c>
      <c r="X101" s="60">
        <f t="shared" ref="X101" si="1025">X100/X98</f>
        <v>0.315</v>
      </c>
      <c r="Y101" s="60">
        <f t="shared" ref="Y101" si="1026">Y100/Y98</f>
        <v>0.315</v>
      </c>
      <c r="Z101" s="60">
        <f t="shared" ref="Z101" si="1027">Z100/Z98</f>
        <v>0.315</v>
      </c>
      <c r="AA101" s="60">
        <f t="shared" ref="AA101" si="1028">AA100/AA98</f>
        <v>0.315</v>
      </c>
      <c r="AB101" s="60">
        <f t="shared" ref="AB101" si="1029">AB100/AB98</f>
        <v>0.315</v>
      </c>
      <c r="AC101" s="60">
        <f t="shared" ref="AC101" si="1030">AC100/AC98</f>
        <v>0.315</v>
      </c>
      <c r="AD101" s="60">
        <f t="shared" ref="AD101" si="1031">AD100/AD98</f>
        <v>0.315</v>
      </c>
      <c r="AE101" s="60">
        <f t="shared" ref="AE101" si="1032">AE100/AE98</f>
        <v>0.315</v>
      </c>
      <c r="AF101" s="60">
        <f t="shared" ref="AF101" si="1033">AF100/AF98</f>
        <v>0.315</v>
      </c>
      <c r="AG101" s="60">
        <f t="shared" ref="AG101" si="1034">AG100/AG98</f>
        <v>0.315</v>
      </c>
      <c r="AH101" s="60">
        <f t="shared" ref="AH101" si="1035">AH100/AH98</f>
        <v>0.315</v>
      </c>
      <c r="AI101" s="60">
        <f t="shared" ref="AI101" si="1036">AI100/AI98</f>
        <v>0.315</v>
      </c>
      <c r="AJ101" s="60">
        <f t="shared" ref="AJ101" si="1037">AJ100/AJ98</f>
        <v>0.315</v>
      </c>
      <c r="AK101" s="60">
        <f t="shared" ref="AK101" si="1038">AK100/AK98</f>
        <v>0.315</v>
      </c>
      <c r="AL101" s="60">
        <f t="shared" ref="AL101" si="1039">AL100/AL98</f>
        <v>0.315</v>
      </c>
      <c r="AM101" s="60">
        <f t="shared" ref="AM101" si="1040">AM100/AM98</f>
        <v>0.315</v>
      </c>
      <c r="AN101" s="60">
        <f t="shared" ref="AN101" si="1041">AN100/AN98</f>
        <v>0.31499999999999995</v>
      </c>
      <c r="AO101" s="60">
        <f t="shared" ref="AO101" si="1042">AO100/AO98</f>
        <v>0.315</v>
      </c>
      <c r="AP101" s="60">
        <f t="shared" ref="AP101" si="1043">AP100/AP98</f>
        <v>0.315</v>
      </c>
      <c r="AQ101" s="60">
        <f t="shared" ref="AQ101" si="1044">AQ100/AQ98</f>
        <v>0.315</v>
      </c>
      <c r="AR101" s="60">
        <f t="shared" ref="AR101" si="1045">AR100/AR98</f>
        <v>0.31499999999999995</v>
      </c>
      <c r="AS101" s="60">
        <f t="shared" ref="AS101" si="1046">AS100/AS98</f>
        <v>0.315</v>
      </c>
      <c r="AT101" s="60">
        <f t="shared" ref="AT101" si="1047">AT100/AT98</f>
        <v>0.315</v>
      </c>
      <c r="AU101" s="60">
        <f t="shared" ref="AU101" si="1048">AU100/AU98</f>
        <v>0.315</v>
      </c>
      <c r="AV101" s="60">
        <f t="shared" ref="AV101" si="1049">AV100/AV98</f>
        <v>0.315</v>
      </c>
      <c r="AW101" s="60">
        <f t="shared" ref="AW101" si="1050">AW100/AW98</f>
        <v>0.315</v>
      </c>
      <c r="AX101" s="60">
        <f t="shared" ref="AX101" si="1051">AX100/AX98</f>
        <v>0.315</v>
      </c>
      <c r="AY101" s="60">
        <f t="shared" ref="AY101" si="1052">AY100/AY98</f>
        <v>0.315</v>
      </c>
      <c r="AZ101" s="60">
        <f t="shared" ref="AZ101" si="1053">AZ100/AZ98</f>
        <v>0.315</v>
      </c>
      <c r="BA101" s="60">
        <f t="shared" ref="BA101" si="1054">BA100/BA98</f>
        <v>0.315</v>
      </c>
      <c r="BB101" s="60">
        <f t="shared" ref="BB101" si="1055">BB100/BB98</f>
        <v>0.315</v>
      </c>
      <c r="BC101" s="60">
        <f t="shared" ref="BC101" si="1056">BC100/BC98</f>
        <v>0.315</v>
      </c>
      <c r="BD101" s="60">
        <f t="shared" ref="BD101" si="1057">BD100/BD98</f>
        <v>0.315</v>
      </c>
      <c r="BE101" s="60">
        <f t="shared" ref="BE101" si="1058">BE100/BE98</f>
        <v>0.315</v>
      </c>
      <c r="BF101" s="60">
        <f t="shared" ref="BF101" si="1059">BF100/BF98</f>
        <v>0.315</v>
      </c>
      <c r="BG101" s="60">
        <f t="shared" ref="BG101" si="1060">BG100/BG98</f>
        <v>0.315</v>
      </c>
      <c r="BH101" s="60">
        <f t="shared" ref="BH101" si="1061">BH100/BH98</f>
        <v>0.315</v>
      </c>
      <c r="BI101" s="60">
        <f t="shared" ref="BI101" si="1062">BI100/BI98</f>
        <v>0.315</v>
      </c>
      <c r="BJ101" s="60">
        <f t="shared" ref="BJ101" si="1063">BJ100/BJ98</f>
        <v>0.315</v>
      </c>
      <c r="BK101" s="60">
        <f t="shared" ref="BK101" si="1064">BK100/BK98</f>
        <v>0.315</v>
      </c>
      <c r="BL101" s="60">
        <f t="shared" ref="BL101" si="1065">BL100/BL98</f>
        <v>0.315</v>
      </c>
      <c r="BM101" s="60">
        <f t="shared" ref="BM101" si="1066">BM100/BM98</f>
        <v>0.315</v>
      </c>
      <c r="BN101" s="60">
        <f t="shared" ref="BN101" si="1067">BN100/BN98</f>
        <v>0.315</v>
      </c>
      <c r="BO101" s="60">
        <f t="shared" ref="BO101" si="1068">BO100/BO98</f>
        <v>0.315</v>
      </c>
      <c r="BP101" s="60">
        <f t="shared" ref="BP101" si="1069">BP100/BP98</f>
        <v>0.315</v>
      </c>
      <c r="BQ101" s="60">
        <f t="shared" ref="BQ101" si="1070">BQ100/BQ98</f>
        <v>0.315</v>
      </c>
      <c r="BR101" s="60">
        <f t="shared" ref="BR101" si="1071">BR100/BR98</f>
        <v>0.315</v>
      </c>
      <c r="BS101" s="60">
        <f t="shared" ref="BS101" si="1072">BS100/BS98</f>
        <v>0.315</v>
      </c>
      <c r="BT101" s="60">
        <f t="shared" ref="BT101" si="1073">BT100/BT98</f>
        <v>0.315</v>
      </c>
      <c r="BU101" s="60">
        <f t="shared" ref="BU101" si="1074">BU100/BU98</f>
        <v>0.315</v>
      </c>
      <c r="BV101" s="60">
        <f t="shared" ref="BV101" si="1075">BV100/BV98</f>
        <v>0.315</v>
      </c>
      <c r="BW101" s="60">
        <f t="shared" ref="BW101" si="1076">BW100/BW98</f>
        <v>0.315</v>
      </c>
      <c r="BX101" s="60">
        <f t="shared" ref="BX101" si="1077">BX100/BX98</f>
        <v>0.315</v>
      </c>
      <c r="BY101" s="60">
        <f t="shared" ref="BY101" si="1078">BY100/BY98</f>
        <v>0.315</v>
      </c>
      <c r="BZ101" s="60">
        <f t="shared" ref="BZ101" si="1079">BZ100/BZ98</f>
        <v>0.315</v>
      </c>
      <c r="CA101" s="60">
        <f t="shared" ref="CA101" si="1080">CA100/CA98</f>
        <v>0.315</v>
      </c>
      <c r="CB101" s="60">
        <f t="shared" ref="CB101" si="1081">CB100/CB98</f>
        <v>0.315</v>
      </c>
      <c r="CC101" s="60">
        <f t="shared" ref="CC101" si="1082">CC100/CC98</f>
        <v>0.315</v>
      </c>
      <c r="CD101" s="60">
        <f t="shared" ref="CD101" si="1083">CD100/CD98</f>
        <v>0.315</v>
      </c>
      <c r="CE101" s="60">
        <f t="shared" ref="CE101" si="1084">CE100/CE98</f>
        <v>0.315</v>
      </c>
      <c r="CF101" s="60">
        <f t="shared" ref="CF101" si="1085">CF100/CF98</f>
        <v>0.315</v>
      </c>
      <c r="CG101" s="60">
        <f t="shared" ref="CG101" si="1086">CG100/CG98</f>
        <v>0.315</v>
      </c>
      <c r="CH101" s="60">
        <f t="shared" ref="CH101" si="1087">CH100/CH98</f>
        <v>0.315</v>
      </c>
      <c r="CI101" s="60">
        <f t="shared" ref="CI101" si="1088">CI100/CI98</f>
        <v>0.315</v>
      </c>
    </row>
    <row r="102" spans="2:87" x14ac:dyDescent="0.25">
      <c r="B102" s="54" t="s">
        <v>734</v>
      </c>
      <c r="C102" s="56">
        <v>32296</v>
      </c>
      <c r="D102" s="56">
        <v>33285</v>
      </c>
      <c r="E102" s="56">
        <v>36949</v>
      </c>
      <c r="F102" s="56">
        <v>39974</v>
      </c>
      <c r="G102" s="56">
        <v>43978</v>
      </c>
      <c r="H102" s="56">
        <v>45940</v>
      </c>
      <c r="I102" s="56">
        <v>52237</v>
      </c>
      <c r="J102" s="56">
        <v>57529</v>
      </c>
      <c r="K102" s="56">
        <v>61575</v>
      </c>
      <c r="L102" s="56">
        <v>65365</v>
      </c>
      <c r="M102" s="56">
        <f>M98*L103</f>
        <v>71166.85987935774</v>
      </c>
      <c r="N102" s="56">
        <f t="shared" ref="N102:BY102" si="1089">N98*M103</f>
        <v>77906.751857518073</v>
      </c>
      <c r="O102" s="56">
        <f t="shared" si="1089"/>
        <v>84312.250604401954</v>
      </c>
      <c r="P102" s="56">
        <f t="shared" si="1089"/>
        <v>89959.65687598809</v>
      </c>
      <c r="Q102" s="56">
        <f t="shared" si="1089"/>
        <v>95451.951559062174</v>
      </c>
      <c r="R102" s="56">
        <f t="shared" si="1089"/>
        <v>100723.42374430907</v>
      </c>
      <c r="S102" s="56">
        <f t="shared" si="1089"/>
        <v>105709.73032460327</v>
      </c>
      <c r="T102" s="56">
        <f t="shared" si="1089"/>
        <v>110078.97422952057</v>
      </c>
      <c r="U102" s="56">
        <f t="shared" si="1089"/>
        <v>114049.6930347805</v>
      </c>
      <c r="V102" s="56">
        <f t="shared" si="1089"/>
        <v>118725.80677526516</v>
      </c>
      <c r="W102" s="56">
        <f t="shared" si="1089"/>
        <v>123356.46754729435</v>
      </c>
      <c r="X102" s="56">
        <f t="shared" si="1089"/>
        <v>127942.30091526393</v>
      </c>
      <c r="Y102" s="56">
        <f t="shared" si="1089"/>
        <v>132483.93160084949</v>
      </c>
      <c r="Z102" s="56">
        <f t="shared" si="1089"/>
        <v>136981.98249591823</v>
      </c>
      <c r="AA102" s="56">
        <f t="shared" si="1089"/>
        <v>141437.07385411282</v>
      </c>
      <c r="AB102" s="56">
        <f t="shared" si="1089"/>
        <v>145849.82262547259</v>
      </c>
      <c r="AC102" s="56">
        <f t="shared" si="1089"/>
        <v>150220.84190666219</v>
      </c>
      <c r="AD102" s="56">
        <f t="shared" si="1089"/>
        <v>154550.74048545404</v>
      </c>
      <c r="AE102" s="56">
        <f t="shared" si="1089"/>
        <v>158840.12246266686</v>
      </c>
      <c r="AF102" s="56">
        <f t="shared" si="1089"/>
        <v>163089.58693821897</v>
      </c>
      <c r="AG102" s="56">
        <f t="shared" si="1089"/>
        <v>167299.72775060553</v>
      </c>
      <c r="AH102" s="56">
        <f t="shared" si="1089"/>
        <v>171471.13326116235</v>
      </c>
      <c r="AI102" s="56">
        <f t="shared" si="1089"/>
        <v>175604.38617608679</v>
      </c>
      <c r="AJ102" s="56">
        <f t="shared" si="1089"/>
        <v>179700.06340044943</v>
      </c>
      <c r="AK102" s="56">
        <f t="shared" si="1089"/>
        <v>183758.7359194411</v>
      </c>
      <c r="AL102" s="56">
        <f t="shared" si="1089"/>
        <v>187780.96870290345</v>
      </c>
      <c r="AM102" s="56">
        <f t="shared" si="1089"/>
        <v>191767.3206298445</v>
      </c>
      <c r="AN102" s="56">
        <f t="shared" si="1089"/>
        <v>195718.34443016857</v>
      </c>
      <c r="AO102" s="56">
        <f t="shared" si="1089"/>
        <v>199634.58664128149</v>
      </c>
      <c r="AP102" s="56">
        <f t="shared" si="1089"/>
        <v>203516.58757758886</v>
      </c>
      <c r="AQ102" s="56">
        <f t="shared" si="1089"/>
        <v>207364.88131119701</v>
      </c>
      <c r="AR102" s="56">
        <f t="shared" si="1089"/>
        <v>211179.99566237204</v>
      </c>
      <c r="AS102" s="56">
        <f t="shared" si="1089"/>
        <v>214962.45219851515</v>
      </c>
      <c r="AT102" s="56">
        <f t="shared" si="1089"/>
        <v>218712.7662405837</v>
      </c>
      <c r="AU102" s="56">
        <f t="shared" si="1089"/>
        <v>222431.44687603228</v>
      </c>
      <c r="AV102" s="56">
        <f t="shared" si="1089"/>
        <v>226118.99697746887</v>
      </c>
      <c r="AW102" s="56">
        <f t="shared" si="1089"/>
        <v>229775.9132263271</v>
      </c>
      <c r="AX102" s="56">
        <f t="shared" si="1089"/>
        <v>233402.68614094114</v>
      </c>
      <c r="AY102" s="56">
        <f t="shared" si="1089"/>
        <v>236999.8001084881</v>
      </c>
      <c r="AZ102" s="56">
        <f t="shared" si="1089"/>
        <v>240567.73342032699</v>
      </c>
      <c r="BA102" s="56">
        <f t="shared" si="1089"/>
        <v>244106.95831031955</v>
      </c>
      <c r="BB102" s="56">
        <f t="shared" si="1089"/>
        <v>247617.94099576608</v>
      </c>
      <c r="BC102" s="56">
        <f t="shared" si="1089"/>
        <v>251101.1417206336</v>
      </c>
      <c r="BD102" s="56">
        <f t="shared" si="1089"/>
        <v>254557.01480078741</v>
      </c>
      <c r="BE102" s="56">
        <f t="shared" si="1089"/>
        <v>257986.00867097234</v>
      </c>
      <c r="BF102" s="56">
        <f t="shared" si="1089"/>
        <v>261388.56593331572</v>
      </c>
      <c r="BG102" s="56">
        <f t="shared" si="1089"/>
        <v>264765.12340714905</v>
      </c>
      <c r="BH102" s="56">
        <f t="shared" si="1089"/>
        <v>268116.11217996781</v>
      </c>
      <c r="BI102" s="56">
        <f t="shared" si="1089"/>
        <v>271441.95765936741</v>
      </c>
      <c r="BJ102" s="56">
        <f t="shared" si="1089"/>
        <v>274743.07962580974</v>
      </c>
      <c r="BK102" s="56">
        <f t="shared" si="1089"/>
        <v>278019.8922860907</v>
      </c>
      <c r="BL102" s="56">
        <f t="shared" si="1089"/>
        <v>281272.80432739045</v>
      </c>
      <c r="BM102" s="56">
        <f t="shared" si="1089"/>
        <v>284502.21897180291</v>
      </c>
      <c r="BN102" s="56">
        <f t="shared" si="1089"/>
        <v>287708.53403124819</v>
      </c>
      <c r="BO102" s="56">
        <f t="shared" si="1089"/>
        <v>290892.14196268283</v>
      </c>
      <c r="BP102" s="56">
        <f t="shared" si="1089"/>
        <v>294053.42992353189</v>
      </c>
      <c r="BQ102" s="56">
        <f t="shared" si="1089"/>
        <v>297192.779827272</v>
      </c>
      <c r="BR102" s="56">
        <f t="shared" si="1089"/>
        <v>300310.56839910254</v>
      </c>
      <c r="BS102" s="56">
        <f t="shared" si="1089"/>
        <v>303407.16723164957</v>
      </c>
      <c r="BT102" s="56">
        <f t="shared" si="1089"/>
        <v>306482.94284065039</v>
      </c>
      <c r="BU102" s="56">
        <f t="shared" si="1089"/>
        <v>309538.2567205705</v>
      </c>
      <c r="BV102" s="56">
        <f t="shared" si="1089"/>
        <v>312573.46540011471</v>
      </c>
      <c r="BW102" s="56">
        <f t="shared" si="1089"/>
        <v>315588.92049759085</v>
      </c>
      <c r="BX102" s="56">
        <f t="shared" si="1089"/>
        <v>318584.96877609409</v>
      </c>
      <c r="BY102" s="56">
        <f t="shared" si="1089"/>
        <v>321561.95219847898</v>
      </c>
      <c r="BZ102" s="56">
        <f t="shared" ref="BZ102:CI102" si="1090">BZ98*BY103</f>
        <v>324520.20798209257</v>
      </c>
      <c r="CA102" s="56">
        <f t="shared" si="1090"/>
        <v>327460.06865324208</v>
      </c>
      <c r="CB102" s="56">
        <f t="shared" si="1090"/>
        <v>330381.8621013753</v>
      </c>
      <c r="CC102" s="56">
        <f t="shared" si="1090"/>
        <v>333285.91163295141</v>
      </c>
      <c r="CD102" s="56">
        <f t="shared" si="1090"/>
        <v>336172.53602498572</v>
      </c>
      <c r="CE102" s="56">
        <f t="shared" si="1090"/>
        <v>339042.04957824905</v>
      </c>
      <c r="CF102" s="56">
        <f t="shared" si="1090"/>
        <v>341894.76217010891</v>
      </c>
      <c r="CG102" s="56">
        <f t="shared" si="1090"/>
        <v>344730.97930699791</v>
      </c>
      <c r="CH102" s="56">
        <f t="shared" si="1090"/>
        <v>347551.00217649626</v>
      </c>
      <c r="CI102" s="56">
        <f t="shared" si="1090"/>
        <v>350355.12769901997</v>
      </c>
    </row>
    <row r="103" spans="2:87" x14ac:dyDescent="0.25">
      <c r="B103" s="59" t="s">
        <v>733</v>
      </c>
      <c r="C103" s="60">
        <f>C102/C$15</f>
        <v>0.35430151172740637</v>
      </c>
      <c r="D103" s="60">
        <f t="shared" ref="D103" si="1091">D102/D$15</f>
        <v>0.34466868935808886</v>
      </c>
      <c r="E103" s="60">
        <f t="shared" ref="E103" si="1092">E102/E$15</f>
        <v>0.3348042769119246</v>
      </c>
      <c r="F103" s="60">
        <f t="shared" ref="F103" si="1093">F102/F$15</f>
        <v>0.31764976995144745</v>
      </c>
      <c r="G103" s="60">
        <f t="shared" ref="G103" si="1094">G102/G$15</f>
        <v>0.30750620564276476</v>
      </c>
      <c r="H103" s="60">
        <f t="shared" ref="H103" si="1095">H102/H$15</f>
        <v>0.26621544095916366</v>
      </c>
      <c r="I103" s="60">
        <f t="shared" ref="I103" si="1096">I102/I$15</f>
        <v>0.2566159529575901</v>
      </c>
      <c r="J103" s="60">
        <f t="shared" ref="J103" si="1097">J102/J$15</f>
        <v>0.2710550741845355</v>
      </c>
      <c r="K103" s="60">
        <f t="shared" ref="K103" si="1098">K102/K$15</f>
        <v>0.25111948515917487</v>
      </c>
      <c r="L103" s="60">
        <f t="shared" ref="L103" si="1099">L102/L$15</f>
        <v>0.23201786145305334</v>
      </c>
      <c r="M103" s="60">
        <f>M102/M98</f>
        <v>0.23201786145305331</v>
      </c>
      <c r="N103" s="60">
        <f t="shared" ref="N103" si="1100">N102/N98</f>
        <v>0.23201786145305331</v>
      </c>
      <c r="O103" s="60">
        <f t="shared" ref="O103" si="1101">O102/O98</f>
        <v>0.23201786145305331</v>
      </c>
      <c r="P103" s="60">
        <f t="shared" ref="P103" si="1102">P102/P98</f>
        <v>0.23201786145305331</v>
      </c>
      <c r="Q103" s="60">
        <f t="shared" ref="Q103" si="1103">Q102/Q98</f>
        <v>0.23201786145305331</v>
      </c>
      <c r="R103" s="60">
        <f t="shared" ref="R103" si="1104">R102/R98</f>
        <v>0.23201786145305331</v>
      </c>
      <c r="S103" s="60">
        <f t="shared" ref="S103" si="1105">S102/S98</f>
        <v>0.23201786145305334</v>
      </c>
      <c r="T103" s="60">
        <f t="shared" ref="T103" si="1106">T102/T98</f>
        <v>0.23201786145305334</v>
      </c>
      <c r="U103" s="60">
        <f t="shared" ref="U103" si="1107">U102/U98</f>
        <v>0.23201786145305334</v>
      </c>
      <c r="V103" s="60">
        <f t="shared" ref="V103" si="1108">V102/V98</f>
        <v>0.23201786145305334</v>
      </c>
      <c r="W103" s="60">
        <f t="shared" ref="W103" si="1109">W102/W98</f>
        <v>0.23201786145305334</v>
      </c>
      <c r="X103" s="60">
        <f t="shared" ref="X103" si="1110">X102/X98</f>
        <v>0.23201786145305334</v>
      </c>
      <c r="Y103" s="60">
        <f t="shared" ref="Y103" si="1111">Y102/Y98</f>
        <v>0.23201786145305336</v>
      </c>
      <c r="Z103" s="60">
        <f t="shared" ref="Z103" si="1112">Z102/Z98</f>
        <v>0.23201786145305336</v>
      </c>
      <c r="AA103" s="60">
        <f t="shared" ref="AA103" si="1113">AA102/AA98</f>
        <v>0.23201786145305336</v>
      </c>
      <c r="AB103" s="60">
        <f t="shared" ref="AB103" si="1114">AB102/AB98</f>
        <v>0.23201786145305336</v>
      </c>
      <c r="AC103" s="60">
        <f t="shared" ref="AC103" si="1115">AC102/AC98</f>
        <v>0.23201786145305339</v>
      </c>
      <c r="AD103" s="60">
        <f t="shared" ref="AD103" si="1116">AD102/AD98</f>
        <v>0.23201786145305342</v>
      </c>
      <c r="AE103" s="60">
        <f t="shared" ref="AE103" si="1117">AE102/AE98</f>
        <v>0.23201786145305339</v>
      </c>
      <c r="AF103" s="60">
        <f t="shared" ref="AF103" si="1118">AF102/AF98</f>
        <v>0.23201786145305339</v>
      </c>
      <c r="AG103" s="60">
        <f t="shared" ref="AG103" si="1119">AG102/AG98</f>
        <v>0.23201786145305339</v>
      </c>
      <c r="AH103" s="60">
        <f t="shared" ref="AH103" si="1120">AH102/AH98</f>
        <v>0.23201786145305339</v>
      </c>
      <c r="AI103" s="60">
        <f t="shared" ref="AI103" si="1121">AI102/AI98</f>
        <v>0.23201786145305339</v>
      </c>
      <c r="AJ103" s="60">
        <f t="shared" ref="AJ103" si="1122">AJ102/AJ98</f>
        <v>0.23201786145305339</v>
      </c>
      <c r="AK103" s="60">
        <f t="shared" ref="AK103" si="1123">AK102/AK98</f>
        <v>0.23201786145305339</v>
      </c>
      <c r="AL103" s="60">
        <f t="shared" ref="AL103" si="1124">AL102/AL98</f>
        <v>0.23201786145305339</v>
      </c>
      <c r="AM103" s="60">
        <f t="shared" ref="AM103" si="1125">AM102/AM98</f>
        <v>0.23201786145305339</v>
      </c>
      <c r="AN103" s="60">
        <f t="shared" ref="AN103" si="1126">AN102/AN98</f>
        <v>0.23201786145305339</v>
      </c>
      <c r="AO103" s="60">
        <f t="shared" ref="AO103" si="1127">AO102/AO98</f>
        <v>0.23201786145305339</v>
      </c>
      <c r="AP103" s="60">
        <f t="shared" ref="AP103" si="1128">AP102/AP98</f>
        <v>0.23201786145305339</v>
      </c>
      <c r="AQ103" s="60">
        <f t="shared" ref="AQ103" si="1129">AQ102/AQ98</f>
        <v>0.23201786145305339</v>
      </c>
      <c r="AR103" s="60">
        <f t="shared" ref="AR103" si="1130">AR102/AR98</f>
        <v>0.23201786145305339</v>
      </c>
      <c r="AS103" s="60">
        <f t="shared" ref="AS103" si="1131">AS102/AS98</f>
        <v>0.23201786145305336</v>
      </c>
      <c r="AT103" s="60">
        <f t="shared" ref="AT103" si="1132">AT102/AT98</f>
        <v>0.23201786145305336</v>
      </c>
      <c r="AU103" s="60">
        <f t="shared" ref="AU103" si="1133">AU102/AU98</f>
        <v>0.23201786145305336</v>
      </c>
      <c r="AV103" s="60">
        <f t="shared" ref="AV103" si="1134">AV102/AV98</f>
        <v>0.23201786145305336</v>
      </c>
      <c r="AW103" s="60">
        <f t="shared" ref="AW103" si="1135">AW102/AW98</f>
        <v>0.23201786145305336</v>
      </c>
      <c r="AX103" s="60">
        <f t="shared" ref="AX103" si="1136">AX102/AX98</f>
        <v>0.23201786145305336</v>
      </c>
      <c r="AY103" s="60">
        <f t="shared" ref="AY103" si="1137">AY102/AY98</f>
        <v>0.23201786145305336</v>
      </c>
      <c r="AZ103" s="60">
        <f t="shared" ref="AZ103" si="1138">AZ102/AZ98</f>
        <v>0.23201786145305336</v>
      </c>
      <c r="BA103" s="60">
        <f t="shared" ref="BA103" si="1139">BA102/BA98</f>
        <v>0.23201786145305336</v>
      </c>
      <c r="BB103" s="60">
        <f t="shared" ref="BB103" si="1140">BB102/BB98</f>
        <v>0.23201786145305336</v>
      </c>
      <c r="BC103" s="60">
        <f t="shared" ref="BC103" si="1141">BC102/BC98</f>
        <v>0.23201786145305336</v>
      </c>
      <c r="BD103" s="60">
        <f t="shared" ref="BD103" si="1142">BD102/BD98</f>
        <v>0.23201786145305336</v>
      </c>
      <c r="BE103" s="60">
        <f t="shared" ref="BE103" si="1143">BE102/BE98</f>
        <v>0.23201786145305336</v>
      </c>
      <c r="BF103" s="60">
        <f t="shared" ref="BF103" si="1144">BF102/BF98</f>
        <v>0.23201786145305336</v>
      </c>
      <c r="BG103" s="60">
        <f t="shared" ref="BG103" si="1145">BG102/BG98</f>
        <v>0.23201786145305336</v>
      </c>
      <c r="BH103" s="60">
        <f t="shared" ref="BH103" si="1146">BH102/BH98</f>
        <v>0.23201786145305339</v>
      </c>
      <c r="BI103" s="60">
        <f t="shared" ref="BI103" si="1147">BI102/BI98</f>
        <v>0.23201786145305339</v>
      </c>
      <c r="BJ103" s="60">
        <f t="shared" ref="BJ103" si="1148">BJ102/BJ98</f>
        <v>0.23201786145305339</v>
      </c>
      <c r="BK103" s="60">
        <f t="shared" ref="BK103" si="1149">BK102/BK98</f>
        <v>0.23201786145305339</v>
      </c>
      <c r="BL103" s="60">
        <f t="shared" ref="BL103" si="1150">BL102/BL98</f>
        <v>0.23201786145305339</v>
      </c>
      <c r="BM103" s="60">
        <f t="shared" ref="BM103" si="1151">BM102/BM98</f>
        <v>0.23201786145305339</v>
      </c>
      <c r="BN103" s="60">
        <f t="shared" ref="BN103" si="1152">BN102/BN98</f>
        <v>0.23201786145305339</v>
      </c>
      <c r="BO103" s="60">
        <f t="shared" ref="BO103" si="1153">BO102/BO98</f>
        <v>0.23201786145305336</v>
      </c>
      <c r="BP103" s="60">
        <f t="shared" ref="BP103" si="1154">BP102/BP98</f>
        <v>0.23201786145305334</v>
      </c>
      <c r="BQ103" s="60">
        <f t="shared" ref="BQ103" si="1155">BQ102/BQ98</f>
        <v>0.23201786145305336</v>
      </c>
      <c r="BR103" s="60">
        <f t="shared" ref="BR103" si="1156">BR102/BR98</f>
        <v>0.23201786145305336</v>
      </c>
      <c r="BS103" s="60">
        <f t="shared" ref="BS103" si="1157">BS102/BS98</f>
        <v>0.23201786145305334</v>
      </c>
      <c r="BT103" s="60">
        <f t="shared" ref="BT103" si="1158">BT102/BT98</f>
        <v>0.23201786145305336</v>
      </c>
      <c r="BU103" s="60">
        <f t="shared" ref="BU103" si="1159">BU102/BU98</f>
        <v>0.23201786145305339</v>
      </c>
      <c r="BV103" s="60">
        <f t="shared" ref="BV103" si="1160">BV102/BV98</f>
        <v>0.23201786145305339</v>
      </c>
      <c r="BW103" s="60">
        <f t="shared" ref="BW103" si="1161">BW102/BW98</f>
        <v>0.23201786145305339</v>
      </c>
      <c r="BX103" s="60">
        <f t="shared" ref="BX103" si="1162">BX102/BX98</f>
        <v>0.23201786145305339</v>
      </c>
      <c r="BY103" s="60">
        <f t="shared" ref="BY103" si="1163">BY102/BY98</f>
        <v>0.23201786145305342</v>
      </c>
      <c r="BZ103" s="60">
        <f t="shared" ref="BZ103" si="1164">BZ102/BZ98</f>
        <v>0.23201786145305342</v>
      </c>
      <c r="CA103" s="60">
        <f t="shared" ref="CA103" si="1165">CA102/CA98</f>
        <v>0.23201786145305342</v>
      </c>
      <c r="CB103" s="60">
        <f t="shared" ref="CB103" si="1166">CB102/CB98</f>
        <v>0.23201786145305342</v>
      </c>
      <c r="CC103" s="60">
        <f t="shared" ref="CC103" si="1167">CC102/CC98</f>
        <v>0.23201786145305342</v>
      </c>
      <c r="CD103" s="60">
        <f t="shared" ref="CD103" si="1168">CD102/CD98</f>
        <v>0.23201786145305342</v>
      </c>
      <c r="CE103" s="60">
        <f t="shared" ref="CE103" si="1169">CE102/CE98</f>
        <v>0.23201786145305339</v>
      </c>
      <c r="CF103" s="60">
        <f t="shared" ref="CF103" si="1170">CF102/CF98</f>
        <v>0.23201786145305339</v>
      </c>
      <c r="CG103" s="60">
        <f t="shared" ref="CG103" si="1171">CG102/CG98</f>
        <v>0.23201786145305339</v>
      </c>
      <c r="CH103" s="60">
        <f t="shared" ref="CH103" si="1172">CH102/CH98</f>
        <v>0.23201786145305342</v>
      </c>
      <c r="CI103" s="60">
        <f t="shared" ref="CI103" si="1173">CI102/CI98</f>
        <v>0.23201786145305342</v>
      </c>
    </row>
    <row r="104" spans="2:87" x14ac:dyDescent="0.25">
      <c r="B104" s="54" t="s">
        <v>735</v>
      </c>
      <c r="C104" s="33">
        <v>-439</v>
      </c>
      <c r="D104" s="33">
        <v>876</v>
      </c>
      <c r="E104" s="33">
        <v>1416</v>
      </c>
      <c r="F104" s="33">
        <v>729</v>
      </c>
      <c r="G104" s="33">
        <v>77</v>
      </c>
      <c r="H104" s="33">
        <v>1186</v>
      </c>
      <c r="I104" s="33">
        <v>333</v>
      </c>
      <c r="J104" s="33">
        <v>788</v>
      </c>
      <c r="K104" s="33">
        <v>-1646</v>
      </c>
      <c r="L104" s="33">
        <v>-4901</v>
      </c>
      <c r="M104" s="56">
        <f>M98*(L105)</f>
        <v>-5336.0174446375322</v>
      </c>
      <c r="N104" s="56">
        <f t="shared" ref="N104:BY104" si="1174">N98*(M105)</f>
        <v>-8058.6987263425108</v>
      </c>
      <c r="O104" s="56">
        <f t="shared" si="1174"/>
        <v>-8721.2855158355233</v>
      </c>
      <c r="P104" s="56">
        <f t="shared" si="1174"/>
        <v>-9305.4549830879059</v>
      </c>
      <c r="Q104" s="56">
        <f t="shared" si="1174"/>
        <v>-9873.5796592152637</v>
      </c>
      <c r="R104" s="56">
        <f t="shared" si="1174"/>
        <v>-10418.862387250081</v>
      </c>
      <c r="S104" s="56">
        <f t="shared" si="1174"/>
        <v>-10934.647496110225</v>
      </c>
      <c r="T104" s="56">
        <f t="shared" si="1174"/>
        <v>-11386.603449248052</v>
      </c>
      <c r="U104" s="56">
        <f t="shared" si="1174"/>
        <v>-11797.335841700178</v>
      </c>
      <c r="V104" s="56">
        <f t="shared" si="1174"/>
        <v>-12281.034506401213</v>
      </c>
      <c r="W104" s="56">
        <f t="shared" si="1174"/>
        <v>-12760.031501859634</v>
      </c>
      <c r="X104" s="56">
        <f t="shared" si="1174"/>
        <v>-13234.391536651779</v>
      </c>
      <c r="Y104" s="56">
        <f t="shared" si="1174"/>
        <v>-13704.179232182749</v>
      </c>
      <c r="Z104" s="56">
        <f t="shared" si="1174"/>
        <v>-14169.45902058168</v>
      </c>
      <c r="AA104" s="56">
        <f t="shared" si="1174"/>
        <v>-14630.295061078954</v>
      </c>
      <c r="AB104" s="56">
        <f t="shared" si="1174"/>
        <v>-15086.751171179183</v>
      </c>
      <c r="AC104" s="56">
        <f t="shared" si="1174"/>
        <v>-15538.890769792699</v>
      </c>
      <c r="AD104" s="56">
        <f t="shared" si="1174"/>
        <v>-15986.776830116683</v>
      </c>
      <c r="AE104" s="56">
        <f t="shared" si="1174"/>
        <v>-16430.47184052836</v>
      </c>
      <c r="AF104" s="56">
        <f t="shared" si="1174"/>
        <v>-16870.037772110256</v>
      </c>
      <c r="AG104" s="56">
        <f t="shared" si="1174"/>
        <v>-17305.536051701645</v>
      </c>
      <c r="AH104" s="56">
        <f t="shared" si="1174"/>
        <v>-17737.027539582723</v>
      </c>
      <c r="AI104" s="56">
        <f t="shared" si="1174"/>
        <v>-18164.572511064402</v>
      </c>
      <c r="AJ104" s="56">
        <f t="shared" si="1174"/>
        <v>-18588.230641387243</v>
      </c>
      <c r="AK104" s="56">
        <f t="shared" si="1174"/>
        <v>-19008.060993437572</v>
      </c>
      <c r="AL104" s="56">
        <f t="shared" si="1174"/>
        <v>-19424.122007872138</v>
      </c>
      <c r="AM104" s="56">
        <f t="shared" si="1174"/>
        <v>-19836.471495309954</v>
      </c>
      <c r="AN104" s="56">
        <f t="shared" si="1174"/>
        <v>-20245.16663030483</v>
      </c>
      <c r="AO104" s="56">
        <f t="shared" si="1174"/>
        <v>-20650.26394685659</v>
      </c>
      <c r="AP104" s="56">
        <f t="shared" si="1174"/>
        <v>-21051.819335255979</v>
      </c>
      <c r="AQ104" s="56">
        <f t="shared" si="1174"/>
        <v>-21449.888040088361</v>
      </c>
      <c r="AR104" s="56">
        <f t="shared" si="1174"/>
        <v>-21844.524659246785</v>
      </c>
      <c r="AS104" s="56">
        <f t="shared" si="1174"/>
        <v>-22235.783143826015</v>
      </c>
      <c r="AT104" s="56">
        <f t="shared" si="1174"/>
        <v>-22623.7167987867</v>
      </c>
      <c r="AU104" s="56">
        <f t="shared" si="1174"/>
        <v>-23008.378284294035</v>
      </c>
      <c r="AV104" s="56">
        <f t="shared" si="1174"/>
        <v>-23389.819617647525</v>
      </c>
      <c r="AW104" s="56">
        <f t="shared" si="1174"/>
        <v>-23768.092175729678</v>
      </c>
      <c r="AX104" s="56">
        <f t="shared" si="1174"/>
        <v>-24143.246697910072</v>
      </c>
      <c r="AY104" s="56">
        <f t="shared" si="1174"/>
        <v>-24515.333289349481</v>
      </c>
      <c r="AZ104" s="56">
        <f t="shared" si="1174"/>
        <v>-24884.401424655345</v>
      </c>
      <c r="BA104" s="56">
        <f t="shared" si="1174"/>
        <v>-25250.499951845712</v>
      </c>
      <c r="BB104" s="56">
        <f t="shared" si="1174"/>
        <v>-25613.677096583629</v>
      </c>
      <c r="BC104" s="56">
        <f t="shared" si="1174"/>
        <v>-25973.980466648674</v>
      </c>
      <c r="BD104" s="56">
        <f t="shared" si="1174"/>
        <v>-26331.457056615753</v>
      </c>
      <c r="BE104" s="56">
        <f t="shared" si="1174"/>
        <v>-26686.153252714819</v>
      </c>
      <c r="BF104" s="56">
        <f t="shared" si="1174"/>
        <v>-27038.114837848061</v>
      </c>
      <c r="BG104" s="56">
        <f t="shared" si="1174"/>
        <v>-27387.386996743451</v>
      </c>
      <c r="BH104" s="56">
        <f t="shared" si="1174"/>
        <v>-27734.014321226066</v>
      </c>
      <c r="BI104" s="56">
        <f t="shared" si="1174"/>
        <v>-28078.040815590342</v>
      </c>
      <c r="BJ104" s="56">
        <f t="shared" si="1174"/>
        <v>-28419.509902058267</v>
      </c>
      <c r="BK104" s="56">
        <f t="shared" si="1174"/>
        <v>-28758.464426310082</v>
      </c>
      <c r="BL104" s="56">
        <f t="shared" si="1174"/>
        <v>-29094.946663075247</v>
      </c>
      <c r="BM104" s="56">
        <f t="shared" si="1174"/>
        <v>-29428.998321773004</v>
      </c>
      <c r="BN104" s="56">
        <f t="shared" si="1174"/>
        <v>-29760.660552192523</v>
      </c>
      <c r="BO104" s="56">
        <f t="shared" si="1174"/>
        <v>-30089.973950203876</v>
      </c>
      <c r="BP104" s="56">
        <f t="shared" si="1174"/>
        <v>-30416.978563491935</v>
      </c>
      <c r="BQ104" s="56">
        <f t="shared" si="1174"/>
        <v>-30741.713897305912</v>
      </c>
      <c r="BR104" s="56">
        <f t="shared" si="1174"/>
        <v>-31064.218920218009</v>
      </c>
      <c r="BS104" s="56">
        <f t="shared" si="1174"/>
        <v>-31384.532069885441</v>
      </c>
      <c r="BT104" s="56">
        <f t="shared" si="1174"/>
        <v>-31702.691258810453</v>
      </c>
      <c r="BU104" s="56">
        <f t="shared" si="1174"/>
        <v>-32018.733880093379</v>
      </c>
      <c r="BV104" s="56">
        <f t="shared" si="1174"/>
        <v>-32332.69681317472</v>
      </c>
      <c r="BW104" s="56">
        <f t="shared" si="1174"/>
        <v>-32644.616429561975</v>
      </c>
      <c r="BX104" s="56">
        <f t="shared" si="1174"/>
        <v>-32954.528598537923</v>
      </c>
      <c r="BY104" s="56">
        <f t="shared" si="1174"/>
        <v>-33262.468692846975</v>
      </c>
      <c r="BZ104" s="56">
        <f t="shared" ref="BZ104:CI104" si="1175">BZ98*(BY105)</f>
        <v>-33568.471594356743</v>
      </c>
      <c r="CA104" s="56">
        <f t="shared" si="1175"/>
        <v>-33872.571699692235</v>
      </c>
      <c r="CB104" s="56">
        <f t="shared" si="1175"/>
        <v>-34174.802925840246</v>
      </c>
      <c r="CC104" s="56">
        <f t="shared" si="1175"/>
        <v>-34475.198715721839</v>
      </c>
      <c r="CD104" s="56">
        <f t="shared" si="1175"/>
        <v>-34773.792043730944</v>
      </c>
      <c r="CE104" s="56">
        <f t="shared" si="1175"/>
        <v>-35070.615421237402</v>
      </c>
      <c r="CF104" s="56">
        <f t="shared" si="1175"/>
        <v>-35365.700902052806</v>
      </c>
      <c r="CG104" s="56">
        <f t="shared" si="1175"/>
        <v>-35659.080087857903</v>
      </c>
      <c r="CH104" s="56">
        <f t="shared" si="1175"/>
        <v>-35950.784133589979</v>
      </c>
      <c r="CI104" s="56">
        <f t="shared" si="1175"/>
        <v>-36240.843752789537</v>
      </c>
    </row>
    <row r="105" spans="2:87" x14ac:dyDescent="0.25">
      <c r="B105" s="59" t="s">
        <v>733</v>
      </c>
      <c r="C105" s="60">
        <f>C104/C$15</f>
        <v>-4.8160256269609673E-3</v>
      </c>
      <c r="D105" s="60">
        <f t="shared" ref="D105" si="1176">D104/D$15</f>
        <v>9.0710461732818343E-3</v>
      </c>
      <c r="E105" s="60">
        <f t="shared" ref="E105" si="1177">E104/E$15</f>
        <v>1.2830735773831098E-2</v>
      </c>
      <c r="F105" s="60">
        <f t="shared" ref="F105" si="1178">F104/F$15</f>
        <v>5.7929324634663831E-3</v>
      </c>
      <c r="G105" s="60">
        <f t="shared" ref="G105" si="1179">G104/G$15</f>
        <v>5.3840506240604132E-4</v>
      </c>
      <c r="H105" s="60">
        <f t="shared" ref="H105" si="1180">H104/H$15</f>
        <v>6.8726929250667859E-3</v>
      </c>
      <c r="I105" s="60">
        <f t="shared" ref="I105" si="1181">I104/I$15</f>
        <v>1.6358732763152076E-3</v>
      </c>
      <c r="J105" s="60">
        <f t="shared" ref="J105" si="1182">J104/J$15</f>
        <v>3.712760493966764E-3</v>
      </c>
      <c r="K105" s="60">
        <f t="shared" ref="K105" si="1183">K104/K$15</f>
        <v>-6.712832684888378E-3</v>
      </c>
      <c r="L105" s="60">
        <f t="shared" ref="L105" si="1184">L104/L$15</f>
        <v>-1.7396458945634734E-2</v>
      </c>
      <c r="M105" s="60">
        <v>-2.4E-2</v>
      </c>
      <c r="N105" s="60">
        <v>-2.4E-2</v>
      </c>
      <c r="O105" s="60">
        <v>-2.4E-2</v>
      </c>
      <c r="P105" s="60">
        <v>-2.4E-2</v>
      </c>
      <c r="Q105" s="60">
        <v>-2.4E-2</v>
      </c>
      <c r="R105" s="60">
        <v>-2.4E-2</v>
      </c>
      <c r="S105" s="60">
        <v>-2.4E-2</v>
      </c>
      <c r="T105" s="60">
        <v>-2.4E-2</v>
      </c>
      <c r="U105" s="60">
        <v>-2.4E-2</v>
      </c>
      <c r="V105" s="60">
        <v>-2.4E-2</v>
      </c>
      <c r="W105" s="60">
        <v>-2.4E-2</v>
      </c>
      <c r="X105" s="60">
        <v>-2.4E-2</v>
      </c>
      <c r="Y105" s="60">
        <v>-2.4E-2</v>
      </c>
      <c r="Z105" s="60">
        <v>-2.4E-2</v>
      </c>
      <c r="AA105" s="60">
        <v>-2.4E-2</v>
      </c>
      <c r="AB105" s="60">
        <v>-2.4E-2</v>
      </c>
      <c r="AC105" s="60">
        <v>-2.4E-2</v>
      </c>
      <c r="AD105" s="60">
        <v>-2.4E-2</v>
      </c>
      <c r="AE105" s="60">
        <v>-2.4E-2</v>
      </c>
      <c r="AF105" s="60">
        <v>-2.4E-2</v>
      </c>
      <c r="AG105" s="60">
        <v>-2.4E-2</v>
      </c>
      <c r="AH105" s="60">
        <v>-2.4E-2</v>
      </c>
      <c r="AI105" s="60">
        <v>-2.4E-2</v>
      </c>
      <c r="AJ105" s="60">
        <v>-2.4E-2</v>
      </c>
      <c r="AK105" s="60">
        <v>-2.4E-2</v>
      </c>
      <c r="AL105" s="60">
        <v>-2.4E-2</v>
      </c>
      <c r="AM105" s="60">
        <v>-2.4E-2</v>
      </c>
      <c r="AN105" s="60">
        <v>-2.4E-2</v>
      </c>
      <c r="AO105" s="60">
        <v>-2.4E-2</v>
      </c>
      <c r="AP105" s="60">
        <v>-2.4E-2</v>
      </c>
      <c r="AQ105" s="60">
        <v>-2.4E-2</v>
      </c>
      <c r="AR105" s="60">
        <v>-2.4E-2</v>
      </c>
      <c r="AS105" s="60">
        <v>-2.4E-2</v>
      </c>
      <c r="AT105" s="60">
        <v>-2.4E-2</v>
      </c>
      <c r="AU105" s="60">
        <v>-2.4E-2</v>
      </c>
      <c r="AV105" s="60">
        <v>-2.4E-2</v>
      </c>
      <c r="AW105" s="60">
        <v>-2.4E-2</v>
      </c>
      <c r="AX105" s="60">
        <v>-2.4E-2</v>
      </c>
      <c r="AY105" s="60">
        <v>-2.4E-2</v>
      </c>
      <c r="AZ105" s="60">
        <v>-2.4E-2</v>
      </c>
      <c r="BA105" s="60">
        <v>-2.4E-2</v>
      </c>
      <c r="BB105" s="60">
        <v>-2.4E-2</v>
      </c>
      <c r="BC105" s="60">
        <v>-2.4E-2</v>
      </c>
      <c r="BD105" s="60">
        <v>-2.4E-2</v>
      </c>
      <c r="BE105" s="60">
        <v>-2.4E-2</v>
      </c>
      <c r="BF105" s="60">
        <v>-2.4E-2</v>
      </c>
      <c r="BG105" s="60">
        <v>-2.4E-2</v>
      </c>
      <c r="BH105" s="60">
        <v>-2.4E-2</v>
      </c>
      <c r="BI105" s="60">
        <v>-2.4E-2</v>
      </c>
      <c r="BJ105" s="60">
        <v>-2.4E-2</v>
      </c>
      <c r="BK105" s="60">
        <v>-2.4E-2</v>
      </c>
      <c r="BL105" s="60">
        <v>-2.4E-2</v>
      </c>
      <c r="BM105" s="60">
        <v>-2.4E-2</v>
      </c>
      <c r="BN105" s="60">
        <v>-2.4E-2</v>
      </c>
      <c r="BO105" s="60">
        <v>-2.4E-2</v>
      </c>
      <c r="BP105" s="60">
        <v>-2.4E-2</v>
      </c>
      <c r="BQ105" s="60">
        <v>-2.4E-2</v>
      </c>
      <c r="BR105" s="60">
        <v>-2.4E-2</v>
      </c>
      <c r="BS105" s="60">
        <v>-2.4E-2</v>
      </c>
      <c r="BT105" s="60">
        <v>-2.4E-2</v>
      </c>
      <c r="BU105" s="60">
        <v>-2.4E-2</v>
      </c>
      <c r="BV105" s="60">
        <v>-2.4E-2</v>
      </c>
      <c r="BW105" s="60">
        <v>-2.4E-2</v>
      </c>
      <c r="BX105" s="60">
        <v>-2.4E-2</v>
      </c>
      <c r="BY105" s="60">
        <v>-2.4E-2</v>
      </c>
      <c r="BZ105" s="60">
        <v>-2.4E-2</v>
      </c>
      <c r="CA105" s="60">
        <v>-2.4E-2</v>
      </c>
      <c r="CB105" s="60">
        <v>-2.4E-2</v>
      </c>
      <c r="CC105" s="60">
        <v>-2.4E-2</v>
      </c>
      <c r="CD105" s="60">
        <v>-2.4E-2</v>
      </c>
      <c r="CE105" s="60">
        <v>-2.4E-2</v>
      </c>
      <c r="CF105" s="60">
        <v>-2.4E-2</v>
      </c>
      <c r="CG105" s="60">
        <v>-2.4E-2</v>
      </c>
      <c r="CH105" s="60">
        <v>-2.4E-2</v>
      </c>
      <c r="CI105" s="60">
        <v>-2.4E-2</v>
      </c>
    </row>
    <row r="106" spans="2:87" x14ac:dyDescent="0.25">
      <c r="B106" s="54" t="s">
        <v>543</v>
      </c>
      <c r="C106" s="33">
        <v>5100</v>
      </c>
      <c r="D106" s="33">
        <v>4412</v>
      </c>
      <c r="E106" s="33">
        <v>19903</v>
      </c>
      <c r="F106" s="33">
        <v>4448</v>
      </c>
      <c r="G106" s="33">
        <v>8755</v>
      </c>
      <c r="H106" s="33">
        <v>9831</v>
      </c>
      <c r="I106" s="33">
        <v>10978</v>
      </c>
      <c r="J106" s="33">
        <v>16950</v>
      </c>
      <c r="K106" s="33">
        <v>19651</v>
      </c>
      <c r="L106" s="33">
        <v>21795</v>
      </c>
      <c r="M106" s="56">
        <f>+(M98-M100-M102+M104)*M107</f>
        <v>25510.373219037054</v>
      </c>
      <c r="N106" s="56">
        <f t="shared" ref="N106" si="1185">+(N98-N100-N102+N104)*N107</f>
        <v>27238.003902483921</v>
      </c>
      <c r="O106" s="56">
        <f t="shared" ref="O106" si="1186">+(O98-O100-O102+O104)*O107</f>
        <v>29477.514544437887</v>
      </c>
      <c r="P106" s="56">
        <f t="shared" ref="P106" si="1187">+(P98-P100-P102+P104)*P107</f>
        <v>31451.978508045322</v>
      </c>
      <c r="Q106" s="56">
        <f t="shared" ref="Q106" si="1188">+(Q98-Q100-Q102+Q104)*Q107</f>
        <v>33372.211869651277</v>
      </c>
      <c r="R106" s="56">
        <f t="shared" ref="R106" si="1189">+(R98-R100-R102+R104)*R107</f>
        <v>35215.24057422606</v>
      </c>
      <c r="S106" s="56">
        <f t="shared" ref="S106" si="1190">+(S98-S100-S102+S104)*S107</f>
        <v>36958.568782048482</v>
      </c>
      <c r="T106" s="56">
        <f t="shared" ref="T106" si="1191">+(T98-T100-T102+T104)*T107</f>
        <v>38486.157594256903</v>
      </c>
      <c r="U106" s="56">
        <f t="shared" ref="U106" si="1192">+(U98-U100-U102+U104)*U107</f>
        <v>39874.412806220273</v>
      </c>
      <c r="V106" s="56">
        <f t="shared" ref="V106" si="1193">+(V98-V100-V102+V104)*V107</f>
        <v>41509.29041663227</v>
      </c>
      <c r="W106" s="56">
        <f t="shared" ref="W106" si="1194">+(W98-W100-W102+W104)*W107</f>
        <v>43128.276617087497</v>
      </c>
      <c r="X106" s="56">
        <f t="shared" ref="X106" si="1195">+(X98-X100-X102+X104)*X107</f>
        <v>44731.590119379791</v>
      </c>
      <c r="Y106" s="56">
        <f t="shared" ref="Y106" si="1196">+(Y98-Y100-Y102+Y104)*Y107</f>
        <v>46319.449340668623</v>
      </c>
      <c r="Z106" s="56">
        <f t="shared" ref="Z106" si="1197">+(Z98-Z100-Z102+Z104)*Z107</f>
        <v>47892.072058369944</v>
      </c>
      <c r="AA106" s="56">
        <f t="shared" ref="AA106" si="1198">+(AA98-AA100-AA102+AA104)*AA107</f>
        <v>49449.675127515453</v>
      </c>
      <c r="AB106" s="56">
        <f t="shared" ref="AB106" si="1199">+(AB98-AB100-AB102+AB104)*AB107</f>
        <v>50992.474248120547</v>
      </c>
      <c r="AC106" s="56">
        <f t="shared" ref="AC106" si="1200">+(AC98-AC100-AC102+AC104)*AC107</f>
        <v>52520.683772971701</v>
      </c>
      <c r="AD106" s="56">
        <f t="shared" ref="AD106" si="1201">+(AD98-AD100-AD102+AD104)*AD107</f>
        <v>54034.516548366882</v>
      </c>
      <c r="AE106" s="56">
        <f t="shared" ref="AE106" si="1202">+(AE98-AE100-AE102+AE104)*AE107</f>
        <v>55534.183781936612</v>
      </c>
      <c r="AF106" s="56">
        <f t="shared" ref="AF106" si="1203">+(AF98-AF100-AF102+AF104)*AF107</f>
        <v>57019.894932880794</v>
      </c>
      <c r="AG106" s="56">
        <f t="shared" ref="AG106" si="1204">+(AG98-AG100-AG102+AG104)*AG107</f>
        <v>58491.85762088401</v>
      </c>
      <c r="AH106" s="56">
        <f t="shared" ref="AH106" si="1205">+(AH98-AH100-AH102+AH104)*AH107</f>
        <v>59950.277550689178</v>
      </c>
      <c r="AI106" s="56">
        <f t="shared" ref="AI106" si="1206">+(AI98-AI100-AI102+AI104)*AI107</f>
        <v>61395.358449871848</v>
      </c>
      <c r="AJ106" s="56">
        <f t="shared" ref="AJ106" si="1207">+(AJ98-AJ100-AJ102+AJ104)*AJ107</f>
        <v>62827.302017799448</v>
      </c>
      <c r="AK106" s="56">
        <f t="shared" ref="AK106" si="1208">+(AK98-AK100-AK102+AK104)*AK107</f>
        <v>64246.307884112321</v>
      </c>
      <c r="AL106" s="56">
        <f t="shared" ref="AL106" si="1209">+(AL98-AL100-AL102+AL104)*AL107</f>
        <v>65652.573575345508</v>
      </c>
      <c r="AM106" s="56">
        <f t="shared" ref="AM106" si="1210">+(AM98-AM100-AM102+AM104)*AM107</f>
        <v>67046.294488537678</v>
      </c>
      <c r="AN106" s="56">
        <f t="shared" ref="AN106" si="1211">+(AN98-AN100-AN102+AN104)*AN107</f>
        <v>68427.663870858407</v>
      </c>
      <c r="AO106" s="56">
        <f t="shared" ref="AO106" si="1212">+(AO98-AO100-AO102+AO104)*AO107</f>
        <v>69796.872804436483</v>
      </c>
      <c r="AP106" s="56">
        <f t="shared" ref="AP106" si="1213">+(AP98-AP100-AP102+AP104)*AP107</f>
        <v>71154.11019569583</v>
      </c>
      <c r="AQ106" s="56">
        <f t="shared" ref="AQ106" si="1214">+(AQ98-AQ100-AQ102+AQ104)*AQ107</f>
        <v>72499.562768607939</v>
      </c>
      <c r="AR106" s="56">
        <f t="shared" ref="AR106" si="1215">+(AR98-AR100-AR102+AR104)*AR107</f>
        <v>73833.415061356311</v>
      </c>
      <c r="AS106" s="56">
        <f t="shared" ref="AS106" si="1216">+(AS98-AS100-AS102+AS104)*AS107</f>
        <v>75155.849425978056</v>
      </c>
      <c r="AT106" s="56">
        <f t="shared" ref="AT106" si="1217">+(AT98-AT100-AT102+AT104)*AT107</f>
        <v>76467.046030608995</v>
      </c>
      <c r="AU106" s="56">
        <f t="shared" ref="AU106" si="1218">+(AU98-AU100-AU102+AU104)*AU107</f>
        <v>77767.182864008064</v>
      </c>
      <c r="AV106" s="56">
        <f t="shared" ref="AV106" si="1219">+(AV98-AV100-AV102+AV104)*AV107</f>
        <v>79056.435742079935</v>
      </c>
      <c r="AW106" s="56">
        <f t="shared" ref="AW106" si="1220">+(AW98-AW100-AW102+AW104)*AW107</f>
        <v>80334.978316151377</v>
      </c>
      <c r="AX106" s="56">
        <f t="shared" ref="AX106" si="1221">+(AX98-AX100-AX102+AX104)*AX107</f>
        <v>81602.982082787028</v>
      </c>
      <c r="AY106" s="56">
        <f t="shared" ref="AY106" si="1222">+(AY98-AY100-AY102+AY104)*AY107</f>
        <v>82860.61639495696</v>
      </c>
      <c r="AZ106" s="56">
        <f t="shared" ref="AZ106" si="1223">+(AZ98-AZ100-AZ102+AZ104)*AZ107</f>
        <v>84108.048474392213</v>
      </c>
      <c r="BA106" s="56">
        <f t="shared" ref="BA106" si="1224">+(BA98-BA100-BA102+BA104)*BA107</f>
        <v>85345.443424982499</v>
      </c>
      <c r="BB106" s="56">
        <f t="shared" ref="BB106" si="1225">+(BB98-BB100-BB102+BB104)*BB107</f>
        <v>86572.964247088486</v>
      </c>
      <c r="BC106" s="56">
        <f t="shared" ref="BC106" si="1226">+(BC98-BC100-BC102+BC104)*BC107</f>
        <v>87790.771852655103</v>
      </c>
      <c r="BD106" s="56">
        <f t="shared" ref="BD106" si="1227">+(BD98-BD100-BD102+BD104)*BD107</f>
        <v>88999.025081025757</v>
      </c>
      <c r="BE106" s="56">
        <f t="shared" ref="BE106" si="1228">+(BE98-BE100-BE102+BE104)*BE107</f>
        <v>90197.880715368025</v>
      </c>
      <c r="BF106" s="56">
        <f t="shared" ref="BF106" si="1229">+(BF98-BF100-BF102+BF104)*BF107</f>
        <v>91387.493499631368</v>
      </c>
      <c r="BG106" s="56">
        <f t="shared" ref="BG106" si="1230">+(BG98-BG100-BG102+BG104)*BG107</f>
        <v>92568.016155965888</v>
      </c>
      <c r="BH106" s="56">
        <f t="shared" ref="BH106" si="1231">+(BH98-BH100-BH102+BH104)*BH107</f>
        <v>93739.599402539272</v>
      </c>
      <c r="BI106" s="56">
        <f t="shared" ref="BI106" si="1232">+(BI98-BI100-BI102+BI104)*BI107</f>
        <v>94902.391971694495</v>
      </c>
      <c r="BJ106" s="56">
        <f t="shared" ref="BJ106" si="1233">+(BJ98-BJ100-BJ102+BJ104)*BJ107</f>
        <v>96056.540628398579</v>
      </c>
      <c r="BK106" s="56">
        <f t="shared" ref="BK106" si="1234">+(BK98-BK100-BK102+BK104)*BK107</f>
        <v>97202.19018893574</v>
      </c>
      <c r="BL106" s="56">
        <f t="shared" ref="BL106" si="1235">+(BL98-BL100-BL102+BL104)*BL107</f>
        <v>98339.483539804773</v>
      </c>
      <c r="BM106" s="56">
        <f t="shared" ref="BM106" si="1236">+(BM98-BM100-BM102+BM104)*BM107</f>
        <v>99468.561656783859</v>
      </c>
      <c r="BN106" s="56">
        <f t="shared" ref="BN106" si="1237">+(BN98-BN100-BN102+BN104)*BN107</f>
        <v>100589.56362412921</v>
      </c>
      <c r="BO106" s="56">
        <f t="shared" ref="BO106" si="1238">+(BO98-BO100-BO102+BO104)*BO107</f>
        <v>101702.62665387773</v>
      </c>
      <c r="BP106" s="56">
        <f t="shared" ref="BP106" si="1239">+(BP98-BP100-BP102+BP104)*BP107</f>
        <v>102807.88610522755</v>
      </c>
      <c r="BQ106" s="56">
        <f t="shared" ref="BQ106" si="1240">+(BQ98-BQ100-BQ102+BQ104)*BQ107</f>
        <v>103905.47550397081</v>
      </c>
      <c r="BR106" s="56">
        <f t="shared" ref="BR106" si="1241">+(BR98-BR100-BR102+BR104)*BR107</f>
        <v>104995.52656195808</v>
      </c>
      <c r="BS106" s="56">
        <f t="shared" ref="BS106" si="1242">+(BS98-BS100-BS102+BS104)*BS107</f>
        <v>106078.16919657335</v>
      </c>
      <c r="BT106" s="56">
        <f t="shared" ref="BT106" si="1243">+(BT98-BT100-BT102+BT104)*BT107</f>
        <v>107153.53155020287</v>
      </c>
      <c r="BU106" s="56">
        <f t="shared" ref="BU106" si="1244">+(BU98-BU100-BU102+BU104)*BU107</f>
        <v>108221.74000967985</v>
      </c>
      <c r="BV106" s="56">
        <f t="shared" ref="BV106" si="1245">+(BV98-BV100-BV102+BV104)*BV107</f>
        <v>109282.91922569279</v>
      </c>
      <c r="BW106" s="56">
        <f t="shared" ref="BW106" si="1246">+(BW98-BW100-BW102+BW104)*BW107</f>
        <v>110337.19213214172</v>
      </c>
      <c r="BX106" s="56">
        <f t="shared" ref="BX106" si="1247">+(BX98-BX100-BX102+BX104)*BX107</f>
        <v>111384.67996543182</v>
      </c>
      <c r="BY106" s="56">
        <f t="shared" ref="BY106" si="1248">+(BY98-BY100-BY102+BY104)*BY107</f>
        <v>112425.50228369313</v>
      </c>
      <c r="BZ106" s="56">
        <f t="shared" ref="BZ106" si="1249">+(BZ98-BZ100-BZ102+BZ104)*BZ107</f>
        <v>113459.77698591634</v>
      </c>
      <c r="CA106" s="56">
        <f t="shared" ref="CA106" si="1250">+(CA98-CA100-CA102+CA104)*CA107</f>
        <v>114487.62033099607</v>
      </c>
      <c r="CB106" s="56">
        <f t="shared" ref="CB106" si="1251">+(CB98-CB100-CB102+CB104)*CB107</f>
        <v>115509.14695667353</v>
      </c>
      <c r="CC106" s="56">
        <f t="shared" ref="CC106" si="1252">+(CC98-CC100-CC102+CC104)*CC107</f>
        <v>116524.46989837116</v>
      </c>
      <c r="CD106" s="56">
        <f t="shared" ref="CD106" si="1253">+(CD98-CD100-CD102+CD104)*CD107</f>
        <v>117533.7006079126</v>
      </c>
      <c r="CE106" s="56">
        <f t="shared" ref="CE106" si="1254">+(CE98-CE100-CE102+CE104)*CE107</f>
        <v>118536.94897212324</v>
      </c>
      <c r="CF106" s="56">
        <f t="shared" ref="CF106" si="1255">+(CF98-CF100-CF102+CF104)*CF107</f>
        <v>119534.32333130395</v>
      </c>
      <c r="CG106" s="56">
        <f t="shared" ref="CG106" si="1256">+(CG98-CG100-CG102+CG104)*CG107</f>
        <v>120525.93049757575</v>
      </c>
      <c r="CH106" s="56">
        <f t="shared" ref="CH106" si="1257">+(CH98-CH100-CH102+CH104)*CH107</f>
        <v>121511.87577308886</v>
      </c>
      <c r="CI106" s="56">
        <f t="shared" ref="CI106" si="1258">+(CI98-CI100-CI102+CI104)*CI107</f>
        <v>122492.26296809402</v>
      </c>
    </row>
    <row r="107" spans="2:87" x14ac:dyDescent="0.25">
      <c r="B107" s="59" t="s">
        <v>565</v>
      </c>
      <c r="C107" s="60">
        <f>C106/(C98-C100-C102+C104)</f>
        <v>0.19891571434143299</v>
      </c>
      <c r="D107" s="60">
        <f t="shared" ref="D107" si="1259">D106/(D98-D100-D102+D104)</f>
        <v>0.14755359352530015</v>
      </c>
      <c r="E107" s="60">
        <f t="shared" ref="E107" si="1260">E106/(E98-E100-E102+E104)</f>
        <v>0.5456763722103416</v>
      </c>
      <c r="F107" s="60">
        <f t="shared" ref="F107" si="1261">F106/(F98-F100-F102+F104)</f>
        <v>0.10181285478850027</v>
      </c>
      <c r="G107" s="60">
        <f t="shared" ref="G107" si="1262">G106/(G98-G100-G102+G104)</f>
        <v>0.16507655177615205</v>
      </c>
      <c r="H107" s="60">
        <f t="shared" ref="H107" si="1263">H106/(H98-H100-H102+H104)</f>
        <v>0.13007237268625713</v>
      </c>
      <c r="I107" s="60">
        <f t="shared" ref="I107" si="1264">I106/(I98-I100-I102+I104)</f>
        <v>0.1233386138168908</v>
      </c>
      <c r="J107" s="60">
        <f t="shared" ref="J107" si="1265">J106/(J98-J100-J102+J104)</f>
        <v>0.1890960206164865</v>
      </c>
      <c r="K107" s="60">
        <f t="shared" ref="K107" si="1266">K106/(K98-K100-K102+K104)</f>
        <v>0.18217805260181519</v>
      </c>
      <c r="L107" s="60">
        <f t="shared" ref="L107" si="1267">L106/(L98-L100-L102+L104)</f>
        <v>0.17629644009803683</v>
      </c>
      <c r="M107" s="60">
        <f>$J$107</f>
        <v>0.1890960206164865</v>
      </c>
      <c r="N107" s="60">
        <f t="shared" ref="N107:BY107" si="1268">$J$107</f>
        <v>0.1890960206164865</v>
      </c>
      <c r="O107" s="60">
        <f t="shared" si="1268"/>
        <v>0.1890960206164865</v>
      </c>
      <c r="P107" s="60">
        <f t="shared" si="1268"/>
        <v>0.1890960206164865</v>
      </c>
      <c r="Q107" s="60">
        <f t="shared" si="1268"/>
        <v>0.1890960206164865</v>
      </c>
      <c r="R107" s="60">
        <f t="shared" si="1268"/>
        <v>0.1890960206164865</v>
      </c>
      <c r="S107" s="60">
        <f t="shared" si="1268"/>
        <v>0.1890960206164865</v>
      </c>
      <c r="T107" s="60">
        <f t="shared" si="1268"/>
        <v>0.1890960206164865</v>
      </c>
      <c r="U107" s="60">
        <f t="shared" si="1268"/>
        <v>0.1890960206164865</v>
      </c>
      <c r="V107" s="60">
        <f t="shared" si="1268"/>
        <v>0.1890960206164865</v>
      </c>
      <c r="W107" s="60">
        <f t="shared" si="1268"/>
        <v>0.1890960206164865</v>
      </c>
      <c r="X107" s="60">
        <f t="shared" si="1268"/>
        <v>0.1890960206164865</v>
      </c>
      <c r="Y107" s="60">
        <f t="shared" si="1268"/>
        <v>0.1890960206164865</v>
      </c>
      <c r="Z107" s="60">
        <f t="shared" si="1268"/>
        <v>0.1890960206164865</v>
      </c>
      <c r="AA107" s="60">
        <f t="shared" si="1268"/>
        <v>0.1890960206164865</v>
      </c>
      <c r="AB107" s="60">
        <f t="shared" si="1268"/>
        <v>0.1890960206164865</v>
      </c>
      <c r="AC107" s="60">
        <f t="shared" si="1268"/>
        <v>0.1890960206164865</v>
      </c>
      <c r="AD107" s="60">
        <f t="shared" si="1268"/>
        <v>0.1890960206164865</v>
      </c>
      <c r="AE107" s="60">
        <f t="shared" si="1268"/>
        <v>0.1890960206164865</v>
      </c>
      <c r="AF107" s="60">
        <f t="shared" si="1268"/>
        <v>0.1890960206164865</v>
      </c>
      <c r="AG107" s="60">
        <f t="shared" si="1268"/>
        <v>0.1890960206164865</v>
      </c>
      <c r="AH107" s="60">
        <f t="shared" si="1268"/>
        <v>0.1890960206164865</v>
      </c>
      <c r="AI107" s="60">
        <f t="shared" si="1268"/>
        <v>0.1890960206164865</v>
      </c>
      <c r="AJ107" s="60">
        <f t="shared" si="1268"/>
        <v>0.1890960206164865</v>
      </c>
      <c r="AK107" s="60">
        <f t="shared" si="1268"/>
        <v>0.1890960206164865</v>
      </c>
      <c r="AL107" s="60">
        <f t="shared" si="1268"/>
        <v>0.1890960206164865</v>
      </c>
      <c r="AM107" s="60">
        <f t="shared" si="1268"/>
        <v>0.1890960206164865</v>
      </c>
      <c r="AN107" s="60">
        <f t="shared" si="1268"/>
        <v>0.1890960206164865</v>
      </c>
      <c r="AO107" s="60">
        <f t="shared" si="1268"/>
        <v>0.1890960206164865</v>
      </c>
      <c r="AP107" s="60">
        <f t="shared" si="1268"/>
        <v>0.1890960206164865</v>
      </c>
      <c r="AQ107" s="60">
        <f t="shared" si="1268"/>
        <v>0.1890960206164865</v>
      </c>
      <c r="AR107" s="60">
        <f t="shared" si="1268"/>
        <v>0.1890960206164865</v>
      </c>
      <c r="AS107" s="60">
        <f t="shared" si="1268"/>
        <v>0.1890960206164865</v>
      </c>
      <c r="AT107" s="60">
        <f t="shared" si="1268"/>
        <v>0.1890960206164865</v>
      </c>
      <c r="AU107" s="60">
        <f t="shared" si="1268"/>
        <v>0.1890960206164865</v>
      </c>
      <c r="AV107" s="60">
        <f t="shared" si="1268"/>
        <v>0.1890960206164865</v>
      </c>
      <c r="AW107" s="60">
        <f t="shared" si="1268"/>
        <v>0.1890960206164865</v>
      </c>
      <c r="AX107" s="60">
        <f t="shared" si="1268"/>
        <v>0.1890960206164865</v>
      </c>
      <c r="AY107" s="60">
        <f t="shared" si="1268"/>
        <v>0.1890960206164865</v>
      </c>
      <c r="AZ107" s="60">
        <f t="shared" si="1268"/>
        <v>0.1890960206164865</v>
      </c>
      <c r="BA107" s="60">
        <f t="shared" si="1268"/>
        <v>0.1890960206164865</v>
      </c>
      <c r="BB107" s="60">
        <f t="shared" si="1268"/>
        <v>0.1890960206164865</v>
      </c>
      <c r="BC107" s="60">
        <f t="shared" si="1268"/>
        <v>0.1890960206164865</v>
      </c>
      <c r="BD107" s="60">
        <f t="shared" si="1268"/>
        <v>0.1890960206164865</v>
      </c>
      <c r="BE107" s="60">
        <f t="shared" si="1268"/>
        <v>0.1890960206164865</v>
      </c>
      <c r="BF107" s="60">
        <f t="shared" si="1268"/>
        <v>0.1890960206164865</v>
      </c>
      <c r="BG107" s="60">
        <f t="shared" si="1268"/>
        <v>0.1890960206164865</v>
      </c>
      <c r="BH107" s="60">
        <f t="shared" si="1268"/>
        <v>0.1890960206164865</v>
      </c>
      <c r="BI107" s="60">
        <f t="shared" si="1268"/>
        <v>0.1890960206164865</v>
      </c>
      <c r="BJ107" s="60">
        <f t="shared" si="1268"/>
        <v>0.1890960206164865</v>
      </c>
      <c r="BK107" s="60">
        <f t="shared" si="1268"/>
        <v>0.1890960206164865</v>
      </c>
      <c r="BL107" s="60">
        <f t="shared" si="1268"/>
        <v>0.1890960206164865</v>
      </c>
      <c r="BM107" s="60">
        <f t="shared" si="1268"/>
        <v>0.1890960206164865</v>
      </c>
      <c r="BN107" s="60">
        <f t="shared" si="1268"/>
        <v>0.1890960206164865</v>
      </c>
      <c r="BO107" s="60">
        <f t="shared" si="1268"/>
        <v>0.1890960206164865</v>
      </c>
      <c r="BP107" s="60">
        <f t="shared" si="1268"/>
        <v>0.1890960206164865</v>
      </c>
      <c r="BQ107" s="60">
        <f t="shared" si="1268"/>
        <v>0.1890960206164865</v>
      </c>
      <c r="BR107" s="60">
        <f t="shared" si="1268"/>
        <v>0.1890960206164865</v>
      </c>
      <c r="BS107" s="60">
        <f t="shared" si="1268"/>
        <v>0.1890960206164865</v>
      </c>
      <c r="BT107" s="60">
        <f t="shared" si="1268"/>
        <v>0.1890960206164865</v>
      </c>
      <c r="BU107" s="60">
        <f t="shared" si="1268"/>
        <v>0.1890960206164865</v>
      </c>
      <c r="BV107" s="60">
        <f t="shared" si="1268"/>
        <v>0.1890960206164865</v>
      </c>
      <c r="BW107" s="60">
        <f t="shared" si="1268"/>
        <v>0.1890960206164865</v>
      </c>
      <c r="BX107" s="60">
        <f t="shared" si="1268"/>
        <v>0.1890960206164865</v>
      </c>
      <c r="BY107" s="60">
        <f t="shared" si="1268"/>
        <v>0.1890960206164865</v>
      </c>
      <c r="BZ107" s="60">
        <f t="shared" ref="BZ107:CI107" si="1269">$J$107</f>
        <v>0.1890960206164865</v>
      </c>
      <c r="CA107" s="60">
        <f t="shared" si="1269"/>
        <v>0.1890960206164865</v>
      </c>
      <c r="CB107" s="60">
        <f t="shared" si="1269"/>
        <v>0.1890960206164865</v>
      </c>
      <c r="CC107" s="60">
        <f t="shared" si="1269"/>
        <v>0.1890960206164865</v>
      </c>
      <c r="CD107" s="60">
        <f t="shared" si="1269"/>
        <v>0.1890960206164865</v>
      </c>
      <c r="CE107" s="60">
        <f t="shared" si="1269"/>
        <v>0.1890960206164865</v>
      </c>
      <c r="CF107" s="60">
        <f t="shared" si="1269"/>
        <v>0.1890960206164865</v>
      </c>
      <c r="CG107" s="60">
        <f t="shared" si="1269"/>
        <v>0.1890960206164865</v>
      </c>
      <c r="CH107" s="60">
        <f t="shared" si="1269"/>
        <v>0.1890960206164865</v>
      </c>
      <c r="CI107" s="60">
        <f t="shared" si="1269"/>
        <v>0.1890960206164865</v>
      </c>
    </row>
    <row r="108" spans="2:87" x14ac:dyDescent="0.25">
      <c r="B108" s="64" t="s">
        <v>544</v>
      </c>
      <c r="C108" s="65">
        <v>20539</v>
      </c>
      <c r="D108" s="65">
        <v>25489</v>
      </c>
      <c r="E108" s="65">
        <v>16571</v>
      </c>
      <c r="F108" s="65">
        <v>39240</v>
      </c>
      <c r="G108" s="65">
        <v>44281</v>
      </c>
      <c r="H108" s="65">
        <v>61271</v>
      </c>
      <c r="I108" s="65">
        <v>72738</v>
      </c>
      <c r="J108" s="65">
        <v>72361</v>
      </c>
      <c r="K108" s="65">
        <v>88136</v>
      </c>
      <c r="L108" s="65">
        <v>101832</v>
      </c>
      <c r="M108" s="65">
        <f>+(M98-M100-M102+M104-M106)</f>
        <v>109396.60756177854</v>
      </c>
      <c r="N108" s="65">
        <f t="shared" ref="N108:BY108" si="1270">+(N98-N100-N102+N104-N106)</f>
        <v>116805.23832801466</v>
      </c>
      <c r="O108" s="65">
        <f t="shared" si="1270"/>
        <v>126408.97343313017</v>
      </c>
      <c r="P108" s="65">
        <f t="shared" si="1270"/>
        <v>134876.10394184603</v>
      </c>
      <c r="Q108" s="65">
        <f t="shared" si="1270"/>
        <v>143110.67635217358</v>
      </c>
      <c r="R108" s="65">
        <f t="shared" si="1270"/>
        <v>151014.17059697758</v>
      </c>
      <c r="S108" s="65">
        <f t="shared" si="1270"/>
        <v>158490.11734871729</v>
      </c>
      <c r="T108" s="65">
        <f t="shared" si="1270"/>
        <v>165040.90484092926</v>
      </c>
      <c r="U108" s="65">
        <f t="shared" si="1270"/>
        <v>170994.18546582496</v>
      </c>
      <c r="V108" s="65">
        <f t="shared" si="1270"/>
        <v>178005.06150523596</v>
      </c>
      <c r="W108" s="65">
        <f t="shared" si="1270"/>
        <v>184947.79011600226</v>
      </c>
      <c r="X108" s="65">
        <f t="shared" si="1270"/>
        <v>191823.30920397397</v>
      </c>
      <c r="Y108" s="65">
        <f t="shared" si="1270"/>
        <v>198632.55541151506</v>
      </c>
      <c r="Z108" s="65">
        <f t="shared" si="1270"/>
        <v>205376.46263756556</v>
      </c>
      <c r="AA108" s="65">
        <f t="shared" si="1270"/>
        <v>212055.96082558794</v>
      </c>
      <c r="AB108" s="65">
        <f t="shared" si="1270"/>
        <v>218671.97496596683</v>
      </c>
      <c r="AC108" s="65">
        <f t="shared" si="1270"/>
        <v>225225.42427174005</v>
      </c>
      <c r="AD108" s="65">
        <f t="shared" si="1270"/>
        <v>231717.22149564268</v>
      </c>
      <c r="AE108" s="65">
        <f t="shared" si="1270"/>
        <v>238148.27236328178</v>
      </c>
      <c r="AF108" s="65">
        <f t="shared" si="1270"/>
        <v>244519.47510243693</v>
      </c>
      <c r="AG108" s="65">
        <f t="shared" si="1270"/>
        <v>250831.72005245992</v>
      </c>
      <c r="AH108" s="65">
        <f t="shared" si="1270"/>
        <v>257085.88934082264</v>
      </c>
      <c r="AI108" s="65">
        <f t="shared" si="1270"/>
        <v>263282.85661627346</v>
      </c>
      <c r="AJ108" s="65">
        <f t="shared" si="1270"/>
        <v>269423.48682995798</v>
      </c>
      <c r="AK108" s="65">
        <f t="shared" si="1270"/>
        <v>275508.63605737302</v>
      </c>
      <c r="AL108" s="65">
        <f t="shared" si="1270"/>
        <v>281539.15135522943</v>
      </c>
      <c r="AM108" s="65">
        <f t="shared" si="1270"/>
        <v>287515.87064827955</v>
      </c>
      <c r="AN108" s="65">
        <f t="shared" si="1270"/>
        <v>293439.62264195189</v>
      </c>
      <c r="AO108" s="65">
        <f t="shared" si="1270"/>
        <v>299311.22675729054</v>
      </c>
      <c r="AP108" s="65">
        <f t="shared" si="1270"/>
        <v>305131.49308522377</v>
      </c>
      <c r="AQ108" s="65">
        <f t="shared" si="1270"/>
        <v>310901.22235762863</v>
      </c>
      <c r="AR108" s="65">
        <f t="shared" si="1270"/>
        <v>316621.20593302685</v>
      </c>
      <c r="AS108" s="65">
        <f t="shared" si="1270"/>
        <v>322292.22579504817</v>
      </c>
      <c r="AT108" s="65">
        <f t="shared" si="1270"/>
        <v>327915.0545620576</v>
      </c>
      <c r="AU108" s="65">
        <f t="shared" si="1270"/>
        <v>333490.45550655777</v>
      </c>
      <c r="AV108" s="65">
        <f t="shared" si="1270"/>
        <v>339019.18258316012</v>
      </c>
      <c r="AW108" s="65">
        <f t="shared" si="1270"/>
        <v>344501.98046407639</v>
      </c>
      <c r="AX108" s="65">
        <f t="shared" si="1270"/>
        <v>349939.58458121179</v>
      </c>
      <c r="AY108" s="65">
        <f t="shared" si="1270"/>
        <v>355332.72117405524</v>
      </c>
      <c r="AZ108" s="65">
        <f t="shared" si="1270"/>
        <v>360682.10734266351</v>
      </c>
      <c r="BA108" s="65">
        <f t="shared" si="1270"/>
        <v>365988.45110511524</v>
      </c>
      <c r="BB108" s="65">
        <f t="shared" si="1270"/>
        <v>371252.45145888621</v>
      </c>
      <c r="BC108" s="65">
        <f t="shared" si="1270"/>
        <v>376474.79844566027</v>
      </c>
      <c r="BD108" s="65">
        <f t="shared" si="1270"/>
        <v>381656.17321914562</v>
      </c>
      <c r="BE108" s="65">
        <f t="shared" si="1270"/>
        <v>386797.24811551359</v>
      </c>
      <c r="BF108" s="65">
        <f t="shared" si="1270"/>
        <v>391898.68672611826</v>
      </c>
      <c r="BG108" s="65">
        <f t="shared" si="1270"/>
        <v>396961.14397219429</v>
      </c>
      <c r="BH108" s="65">
        <f t="shared" si="1270"/>
        <v>401985.26618126087</v>
      </c>
      <c r="BI108" s="65">
        <f t="shared" si="1270"/>
        <v>406971.69116498868</v>
      </c>
      <c r="BJ108" s="65">
        <f t="shared" si="1270"/>
        <v>411921.04829831311</v>
      </c>
      <c r="BK108" s="65">
        <f t="shared" si="1270"/>
        <v>416833.95859959716</v>
      </c>
      <c r="BL108" s="65">
        <f t="shared" si="1270"/>
        <v>421711.03481166897</v>
      </c>
      <c r="BM108" s="65">
        <f t="shared" si="1270"/>
        <v>426552.88148357806</v>
      </c>
      <c r="BN108" s="65">
        <f t="shared" si="1270"/>
        <v>431360.095052925</v>
      </c>
      <c r="BO108" s="65">
        <f t="shared" si="1270"/>
        <v>436133.26392863778</v>
      </c>
      <c r="BP108" s="65">
        <f t="shared" si="1270"/>
        <v>440872.96857408108</v>
      </c>
      <c r="BQ108" s="65">
        <f t="shared" si="1270"/>
        <v>445579.78159039089</v>
      </c>
      <c r="BR108" s="65">
        <f t="shared" si="1270"/>
        <v>450254.26779994374</v>
      </c>
      <c r="BS108" s="65">
        <f t="shared" si="1270"/>
        <v>454896.98432987183</v>
      </c>
      <c r="BT108" s="65">
        <f t="shared" si="1270"/>
        <v>459508.48069555138</v>
      </c>
      <c r="BU108" s="65">
        <f t="shared" si="1270"/>
        <v>464089.29888398811</v>
      </c>
      <c r="BV108" s="65">
        <f t="shared" si="1270"/>
        <v>468639.97343704611</v>
      </c>
      <c r="BW108" s="65">
        <f t="shared" si="1270"/>
        <v>473161.03153445333</v>
      </c>
      <c r="BX108" s="65">
        <f t="shared" si="1270"/>
        <v>477652.99307653937</v>
      </c>
      <c r="BY108" s="65">
        <f t="shared" si="1270"/>
        <v>482116.37076665502</v>
      </c>
      <c r="BZ108" s="65">
        <f t="shared" ref="BZ108:CI108" si="1271">+(BZ98-BZ100-BZ102+BZ104-BZ106)</f>
        <v>486551.67019323306</v>
      </c>
      <c r="CA108" s="65">
        <f t="shared" si="1271"/>
        <v>490959.38991145202</v>
      </c>
      <c r="CB108" s="65">
        <f t="shared" si="1271"/>
        <v>495340.0215244678</v>
      </c>
      <c r="CC108" s="65">
        <f t="shared" si="1271"/>
        <v>499694.04976418312</v>
      </c>
      <c r="CD108" s="65">
        <f t="shared" si="1271"/>
        <v>504021.95257152466</v>
      </c>
      <c r="CE108" s="65">
        <f t="shared" si="1271"/>
        <v>508324.20117620775</v>
      </c>
      <c r="CF108" s="65">
        <f t="shared" si="1271"/>
        <v>512601.2601759581</v>
      </c>
      <c r="CG108" s="65">
        <f t="shared" si="1271"/>
        <v>516853.58761517925</v>
      </c>
      <c r="CH108" s="65">
        <f t="shared" si="1271"/>
        <v>521081.63506303891</v>
      </c>
      <c r="CI108" s="65">
        <f t="shared" si="1271"/>
        <v>525285.84769096458</v>
      </c>
    </row>
    <row r="109" spans="2:87" x14ac:dyDescent="0.25">
      <c r="B109" s="59" t="s">
        <v>736</v>
      </c>
      <c r="C109" s="60">
        <f>C108/C98</f>
        <v>0.22532198257893235</v>
      </c>
      <c r="D109" s="60">
        <f t="shared" ref="D109" si="1272">D108/D98</f>
        <v>0.26394052044609667</v>
      </c>
      <c r="E109" s="60">
        <f t="shared" ref="E109" si="1273">E108/E98</f>
        <v>0.15015404131931859</v>
      </c>
      <c r="F109" s="60">
        <f t="shared" ref="F109" si="1274">F108/F98</f>
        <v>0.31181710544090652</v>
      </c>
      <c r="G109" s="60">
        <f t="shared" ref="G109" si="1275">G108/G98</f>
        <v>0.30962486452470023</v>
      </c>
      <c r="H109" s="60">
        <f t="shared" ref="H109" si="1276">H108/H98</f>
        <v>0.35505629697450847</v>
      </c>
      <c r="I109" s="60">
        <f t="shared" ref="I109" si="1277">I108/I98</f>
        <v>0.3573277788967435</v>
      </c>
      <c r="J109" s="60">
        <f t="shared" ref="J109" si="1278">J108/J98</f>
        <v>0.34093789607097591</v>
      </c>
      <c r="K109" s="60">
        <f t="shared" ref="K109" si="1279">K108/K98</f>
        <v>0.35944241890359785</v>
      </c>
      <c r="L109" s="60">
        <f t="shared" ref="L109" si="1280">L108/L98</f>
        <v>0.36146015248967073</v>
      </c>
      <c r="M109" s="60">
        <f t="shared" ref="M109" si="1281">M108/M98</f>
        <v>0.35665430482292404</v>
      </c>
      <c r="N109" s="60">
        <f t="shared" ref="N109" si="1282">N108/N98</f>
        <v>0.34786332323216879</v>
      </c>
      <c r="O109" s="60">
        <f t="shared" ref="O109" si="1283">O108/O98</f>
        <v>0.34786332323216879</v>
      </c>
      <c r="P109" s="60">
        <f t="shared" ref="P109" si="1284">P108/P98</f>
        <v>0.3478633232321689</v>
      </c>
      <c r="Q109" s="60">
        <f t="shared" ref="Q109" si="1285">Q108/Q98</f>
        <v>0.34786332323216879</v>
      </c>
      <c r="R109" s="60">
        <f t="shared" ref="R109" si="1286">R108/R98</f>
        <v>0.3478633232321689</v>
      </c>
      <c r="S109" s="60">
        <f t="shared" ref="S109" si="1287">S108/S98</f>
        <v>0.34786332323216868</v>
      </c>
      <c r="T109" s="60">
        <f t="shared" ref="T109" si="1288">T108/T98</f>
        <v>0.34786332323216873</v>
      </c>
      <c r="U109" s="60">
        <f t="shared" ref="U109" si="1289">U108/U98</f>
        <v>0.34786332323216879</v>
      </c>
      <c r="V109" s="60">
        <f t="shared" ref="V109" si="1290">V108/V98</f>
        <v>0.34786332323216873</v>
      </c>
      <c r="W109" s="60">
        <f t="shared" ref="W109" si="1291">W108/W98</f>
        <v>0.34786332323216884</v>
      </c>
      <c r="X109" s="60">
        <f t="shared" ref="X109" si="1292">X108/X98</f>
        <v>0.34786332323216868</v>
      </c>
      <c r="Y109" s="60">
        <f t="shared" ref="Y109" si="1293">Y108/Y98</f>
        <v>0.34786332323216873</v>
      </c>
      <c r="Z109" s="60">
        <f t="shared" ref="Z109" si="1294">Z108/Z98</f>
        <v>0.34786332323216873</v>
      </c>
      <c r="AA109" s="60">
        <f t="shared" ref="AA109" si="1295">AA108/AA98</f>
        <v>0.34786332323216879</v>
      </c>
      <c r="AB109" s="60">
        <f t="shared" ref="AB109" si="1296">AB108/AB98</f>
        <v>0.34786332323216873</v>
      </c>
      <c r="AC109" s="60">
        <f t="shared" ref="AC109" si="1297">AC108/AC98</f>
        <v>0.34786332323216873</v>
      </c>
      <c r="AD109" s="60">
        <f t="shared" ref="AD109" si="1298">AD108/AD98</f>
        <v>0.34786332323216868</v>
      </c>
      <c r="AE109" s="60">
        <f t="shared" ref="AE109" si="1299">AE108/AE98</f>
        <v>0.34786332323216868</v>
      </c>
      <c r="AF109" s="60">
        <f t="shared" ref="AF109" si="1300">AF108/AF98</f>
        <v>0.34786332323216873</v>
      </c>
      <c r="AG109" s="60">
        <f t="shared" ref="AG109" si="1301">AG108/AG98</f>
        <v>0.34786332323216873</v>
      </c>
      <c r="AH109" s="60">
        <f t="shared" ref="AH109" si="1302">AH108/AH98</f>
        <v>0.34786332323216879</v>
      </c>
      <c r="AI109" s="60">
        <f t="shared" ref="AI109" si="1303">AI108/AI98</f>
        <v>0.34786332323216873</v>
      </c>
      <c r="AJ109" s="60">
        <f t="shared" ref="AJ109" si="1304">AJ108/AJ98</f>
        <v>0.34786332323216868</v>
      </c>
      <c r="AK109" s="60">
        <f t="shared" ref="AK109" si="1305">AK108/AK98</f>
        <v>0.34786332323216879</v>
      </c>
      <c r="AL109" s="60">
        <f t="shared" ref="AL109" si="1306">AL108/AL98</f>
        <v>0.34786332323216868</v>
      </c>
      <c r="AM109" s="60">
        <f t="shared" ref="AM109" si="1307">AM108/AM98</f>
        <v>0.34786332323216879</v>
      </c>
      <c r="AN109" s="60">
        <f t="shared" ref="AN109" si="1308">AN108/AN98</f>
        <v>0.34786332323216879</v>
      </c>
      <c r="AO109" s="60">
        <f t="shared" ref="AO109" si="1309">AO108/AO98</f>
        <v>0.34786332323216868</v>
      </c>
      <c r="AP109" s="60">
        <f t="shared" ref="AP109" si="1310">AP108/AP98</f>
        <v>0.34786332323216873</v>
      </c>
      <c r="AQ109" s="60">
        <f t="shared" ref="AQ109" si="1311">AQ108/AQ98</f>
        <v>0.34786332323216873</v>
      </c>
      <c r="AR109" s="60">
        <f t="shared" ref="AR109" si="1312">AR108/AR98</f>
        <v>0.34786332323216873</v>
      </c>
      <c r="AS109" s="60">
        <f t="shared" ref="AS109" si="1313">AS108/AS98</f>
        <v>0.34786332323216868</v>
      </c>
      <c r="AT109" s="60">
        <f t="shared" ref="AT109" si="1314">AT108/AT98</f>
        <v>0.34786332323216868</v>
      </c>
      <c r="AU109" s="60">
        <f t="shared" ref="AU109" si="1315">AU108/AU98</f>
        <v>0.34786332323216873</v>
      </c>
      <c r="AV109" s="60">
        <f t="shared" ref="AV109" si="1316">AV108/AV98</f>
        <v>0.34786332323216879</v>
      </c>
      <c r="AW109" s="60">
        <f t="shared" ref="AW109" si="1317">AW108/AW98</f>
        <v>0.34786332323216873</v>
      </c>
      <c r="AX109" s="60">
        <f t="shared" ref="AX109" si="1318">AX108/AX98</f>
        <v>0.34786332323216879</v>
      </c>
      <c r="AY109" s="60">
        <f t="shared" ref="AY109" si="1319">AY108/AY98</f>
        <v>0.34786332323216879</v>
      </c>
      <c r="AZ109" s="60">
        <f t="shared" ref="AZ109" si="1320">AZ108/AZ98</f>
        <v>0.34786332323216879</v>
      </c>
      <c r="BA109" s="60">
        <f t="shared" ref="BA109" si="1321">BA108/BA98</f>
        <v>0.34786332323216873</v>
      </c>
      <c r="BB109" s="60">
        <f t="shared" ref="BB109" si="1322">BB108/BB98</f>
        <v>0.34786332323216879</v>
      </c>
      <c r="BC109" s="60">
        <f t="shared" ref="BC109" si="1323">BC108/BC98</f>
        <v>0.34786332323216879</v>
      </c>
      <c r="BD109" s="60">
        <f t="shared" ref="BD109" si="1324">BD108/BD98</f>
        <v>0.34786332323216873</v>
      </c>
      <c r="BE109" s="60">
        <f t="shared" ref="BE109" si="1325">BE108/BE98</f>
        <v>0.34786332323216873</v>
      </c>
      <c r="BF109" s="60">
        <f t="shared" ref="BF109" si="1326">BF108/BF98</f>
        <v>0.34786332323216879</v>
      </c>
      <c r="BG109" s="60">
        <f t="shared" ref="BG109" si="1327">BG108/BG98</f>
        <v>0.34786332323216873</v>
      </c>
      <c r="BH109" s="60">
        <f t="shared" ref="BH109" si="1328">BH108/BH98</f>
        <v>0.34786332323216879</v>
      </c>
      <c r="BI109" s="60">
        <f t="shared" ref="BI109" si="1329">BI108/BI98</f>
        <v>0.34786332323216868</v>
      </c>
      <c r="BJ109" s="60">
        <f t="shared" ref="BJ109" si="1330">BJ108/BJ98</f>
        <v>0.34786332323216873</v>
      </c>
      <c r="BK109" s="60">
        <f t="shared" ref="BK109" si="1331">BK108/BK98</f>
        <v>0.34786332323216879</v>
      </c>
      <c r="BL109" s="60">
        <f t="shared" ref="BL109" si="1332">BL108/BL98</f>
        <v>0.34786332323216879</v>
      </c>
      <c r="BM109" s="60">
        <f t="shared" ref="BM109" si="1333">BM108/BM98</f>
        <v>0.34786332323216873</v>
      </c>
      <c r="BN109" s="60">
        <f t="shared" ref="BN109" si="1334">BN108/BN98</f>
        <v>0.34786332323216873</v>
      </c>
      <c r="BO109" s="60">
        <f t="shared" ref="BO109" si="1335">BO108/BO98</f>
        <v>0.34786332323216873</v>
      </c>
      <c r="BP109" s="60">
        <f t="shared" ref="BP109" si="1336">BP108/BP98</f>
        <v>0.34786332323216884</v>
      </c>
      <c r="BQ109" s="60">
        <f t="shared" ref="BQ109" si="1337">BQ108/BQ98</f>
        <v>0.34786332323216879</v>
      </c>
      <c r="BR109" s="60">
        <f t="shared" ref="BR109" si="1338">BR108/BR98</f>
        <v>0.34786332323216879</v>
      </c>
      <c r="BS109" s="60">
        <f t="shared" ref="BS109" si="1339">BS108/BS98</f>
        <v>0.34786332323216873</v>
      </c>
      <c r="BT109" s="60">
        <f t="shared" ref="BT109" si="1340">BT108/BT98</f>
        <v>0.34786332323216879</v>
      </c>
      <c r="BU109" s="60">
        <f t="shared" ref="BU109" si="1341">BU108/BU98</f>
        <v>0.34786332323216873</v>
      </c>
      <c r="BV109" s="60">
        <f t="shared" ref="BV109" si="1342">BV108/BV98</f>
        <v>0.34786332323216868</v>
      </c>
      <c r="BW109" s="60">
        <f t="shared" ref="BW109" si="1343">BW108/BW98</f>
        <v>0.34786332323216862</v>
      </c>
      <c r="BX109" s="60">
        <f t="shared" ref="BX109" si="1344">BX108/BX98</f>
        <v>0.34786332323216868</v>
      </c>
      <c r="BY109" s="60">
        <f t="shared" ref="BY109" si="1345">BY108/BY98</f>
        <v>0.34786332323216879</v>
      </c>
      <c r="BZ109" s="60">
        <f t="shared" ref="BZ109" si="1346">BZ108/BZ98</f>
        <v>0.34786332323216873</v>
      </c>
      <c r="CA109" s="60">
        <f t="shared" ref="CA109" si="1347">CA108/CA98</f>
        <v>0.34786332323216868</v>
      </c>
      <c r="CB109" s="60">
        <f t="shared" ref="CB109" si="1348">CB108/CB98</f>
        <v>0.34786332323216862</v>
      </c>
      <c r="CC109" s="60">
        <f t="shared" ref="CC109" si="1349">CC108/CC98</f>
        <v>0.34786332323216879</v>
      </c>
      <c r="CD109" s="60">
        <f t="shared" ref="CD109" si="1350">CD108/CD98</f>
        <v>0.34786332323216868</v>
      </c>
      <c r="CE109" s="60">
        <f t="shared" ref="CE109" si="1351">CE108/CE98</f>
        <v>0.34786332323216868</v>
      </c>
      <c r="CF109" s="60">
        <f t="shared" ref="CF109" si="1352">CF108/CF98</f>
        <v>0.34786332323216868</v>
      </c>
      <c r="CG109" s="60">
        <f t="shared" ref="CG109" si="1353">CG108/CG98</f>
        <v>0.34786332323216862</v>
      </c>
      <c r="CH109" s="60">
        <f t="shared" ref="CH109" si="1354">CH108/CH98</f>
        <v>0.34786332323216873</v>
      </c>
      <c r="CI109" s="60">
        <f t="shared" ref="CI109" si="1355">CI108/CI98</f>
        <v>0.34786332323216873</v>
      </c>
    </row>
    <row r="111" spans="2:87" ht="13.8" thickBot="1" x14ac:dyDescent="0.3"/>
    <row r="112" spans="2:87" ht="14.4" x14ac:dyDescent="0.3">
      <c r="N112" s="67" t="s">
        <v>552</v>
      </c>
      <c r="O112" s="68">
        <f>+WACC!$D$16</f>
        <v>8.1629526336362973E-2</v>
      </c>
    </row>
    <row r="113" spans="14:15" ht="14.4" x14ac:dyDescent="0.3">
      <c r="N113" s="69" t="s">
        <v>554</v>
      </c>
      <c r="O113" s="70">
        <f>NPV(O112,M108:CI108)</f>
        <v>2373508.3810726199</v>
      </c>
    </row>
    <row r="114" spans="14:15" ht="14.4" x14ac:dyDescent="0.3">
      <c r="N114" s="69" t="s">
        <v>740</v>
      </c>
      <c r="O114" s="71">
        <f>Model!$T$24</f>
        <v>51414</v>
      </c>
    </row>
    <row r="115" spans="14:15" ht="14.4" x14ac:dyDescent="0.3">
      <c r="N115" s="69" t="s">
        <v>739</v>
      </c>
      <c r="O115" s="71">
        <f>O113+O114</f>
        <v>2424922.3810726199</v>
      </c>
    </row>
    <row r="116" spans="14:15" ht="14.4" x14ac:dyDescent="0.3">
      <c r="N116" s="69" t="s">
        <v>737</v>
      </c>
      <c r="O116" s="71">
        <f>Model!$T$15</f>
        <v>7432</v>
      </c>
    </row>
    <row r="117" spans="14:15" ht="14.4" x14ac:dyDescent="0.3">
      <c r="N117" s="69" t="s">
        <v>738</v>
      </c>
      <c r="O117" s="72">
        <f>O115/O116</f>
        <v>326.28126763625136</v>
      </c>
    </row>
    <row r="118" spans="14:15" ht="14.4" x14ac:dyDescent="0.3">
      <c r="N118" s="69" t="s">
        <v>741</v>
      </c>
      <c r="O118" s="72">
        <v>418.79</v>
      </c>
    </row>
    <row r="119" spans="14:15" ht="13.8" thickBot="1" x14ac:dyDescent="0.3">
      <c r="N119" s="73" t="s">
        <v>742</v>
      </c>
      <c r="O119" s="74">
        <f>O117/O118-1</f>
        <v>-0.22089527534981412</v>
      </c>
    </row>
  </sheetData>
  <pageMargins left="0.7" right="0.7" top="0.75" bottom="0.75" header="0.3" footer="0.3"/>
  <pageSetup orientation="portrait" r:id="rId1"/>
  <ignoredErrors>
    <ignoredError sqref="M19:CI19 M21:CI21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A137"/>
  <sheetViews>
    <sheetView zoomScale="80" workbookViewId="0">
      <pane xSplit="2" ySplit="2" topLeftCell="AU84" activePane="bottomRight" state="frozen"/>
      <selection pane="topRight" activeCell="C1" sqref="C1"/>
      <selection pane="bottomLeft" activeCell="A3" sqref="A3"/>
      <selection pane="bottomRight" activeCell="BD92" sqref="BD92:BE92"/>
    </sheetView>
  </sheetViews>
  <sheetFormatPr defaultRowHeight="14.4" x14ac:dyDescent="0.3"/>
  <cols>
    <col min="1" max="1" width="4.88671875" customWidth="1"/>
    <col min="2" max="2" width="20.21875" bestFit="1" customWidth="1"/>
    <col min="56" max="56" width="9.5546875" bestFit="1" customWidth="1"/>
    <col min="57" max="57" width="11.21875" bestFit="1" customWidth="1"/>
    <col min="64" max="64" width="14" bestFit="1" customWidth="1"/>
  </cols>
  <sheetData>
    <row r="1" spans="1:521" x14ac:dyDescent="0.3">
      <c r="A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>
        <v>44742</v>
      </c>
      <c r="AE1" s="3"/>
      <c r="AF1" s="3">
        <v>44926</v>
      </c>
      <c r="AG1" s="3"/>
      <c r="AH1" s="3">
        <v>45107</v>
      </c>
      <c r="AI1" s="3"/>
      <c r="AJ1" s="3">
        <v>45291</v>
      </c>
      <c r="AK1" s="3"/>
      <c r="AL1" s="3">
        <v>45473</v>
      </c>
      <c r="AM1" s="3"/>
      <c r="AN1" s="3">
        <v>45657</v>
      </c>
      <c r="AO1" s="3"/>
      <c r="AP1" s="3"/>
      <c r="AQ1" s="3"/>
      <c r="AR1" s="3"/>
      <c r="AS1" s="3"/>
      <c r="AT1" s="3"/>
      <c r="AU1" s="3"/>
    </row>
    <row r="2" spans="1:521" x14ac:dyDescent="0.3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V2" s="4" t="s">
        <v>44</v>
      </c>
      <c r="AW2" s="4" t="s">
        <v>45</v>
      </c>
      <c r="AX2" s="4" t="s">
        <v>46</v>
      </c>
      <c r="AY2" s="4" t="s">
        <v>47</v>
      </c>
      <c r="AZ2" s="4" t="s">
        <v>48</v>
      </c>
      <c r="BA2" s="4" t="s">
        <v>49</v>
      </c>
      <c r="BB2" s="4" t="s">
        <v>50</v>
      </c>
      <c r="BC2" s="4" t="s">
        <v>51</v>
      </c>
      <c r="BD2" s="4" t="s">
        <v>52</v>
      </c>
      <c r="BE2" s="4" t="s">
        <v>53</v>
      </c>
      <c r="BF2" s="4" t="s">
        <v>54</v>
      </c>
      <c r="BG2" s="4" t="s">
        <v>55</v>
      </c>
      <c r="BH2" s="4" t="s">
        <v>56</v>
      </c>
      <c r="BI2" s="4" t="s">
        <v>57</v>
      </c>
      <c r="BJ2" s="4" t="s">
        <v>58</v>
      </c>
      <c r="BK2" s="4" t="s">
        <v>59</v>
      </c>
      <c r="BL2" s="4" t="s">
        <v>60</v>
      </c>
      <c r="BM2" s="4" t="s">
        <v>61</v>
      </c>
      <c r="BN2" s="4" t="s">
        <v>62</v>
      </c>
      <c r="BO2" s="4" t="s">
        <v>63</v>
      </c>
      <c r="BP2" s="4" t="s">
        <v>64</v>
      </c>
      <c r="BQ2" s="4" t="s">
        <v>65</v>
      </c>
      <c r="BR2" s="4" t="s">
        <v>66</v>
      </c>
      <c r="BS2" s="4" t="s">
        <v>67</v>
      </c>
      <c r="BT2" s="4" t="s">
        <v>68</v>
      </c>
      <c r="BU2" s="4" t="s">
        <v>69</v>
      </c>
      <c r="BV2" s="4" t="s">
        <v>70</v>
      </c>
      <c r="BW2" s="4" t="s">
        <v>71</v>
      </c>
      <c r="BX2" s="4" t="s">
        <v>72</v>
      </c>
      <c r="BY2" s="4" t="s">
        <v>73</v>
      </c>
      <c r="BZ2" s="4" t="s">
        <v>74</v>
      </c>
      <c r="CA2" s="4" t="s">
        <v>75</v>
      </c>
      <c r="CB2" s="4" t="s">
        <v>76</v>
      </c>
      <c r="CC2" s="4" t="s">
        <v>77</v>
      </c>
      <c r="CD2" s="4" t="s">
        <v>78</v>
      </c>
      <c r="CE2" s="4" t="s">
        <v>79</v>
      </c>
      <c r="CF2" s="4" t="s">
        <v>80</v>
      </c>
      <c r="CG2" s="4" t="s">
        <v>81</v>
      </c>
      <c r="CH2" s="4" t="s">
        <v>82</v>
      </c>
      <c r="CI2" s="4" t="s">
        <v>83</v>
      </c>
      <c r="CJ2" s="4" t="s">
        <v>84</v>
      </c>
      <c r="CK2" s="4" t="s">
        <v>85</v>
      </c>
      <c r="CL2" s="4" t="s">
        <v>86</v>
      </c>
      <c r="CM2" s="4" t="s">
        <v>87</v>
      </c>
      <c r="CN2" s="4" t="s">
        <v>88</v>
      </c>
      <c r="CO2" s="4" t="s">
        <v>89</v>
      </c>
      <c r="CP2" s="4" t="s">
        <v>90</v>
      </c>
      <c r="CQ2" s="4" t="s">
        <v>91</v>
      </c>
      <c r="CR2" s="4" t="s">
        <v>92</v>
      </c>
      <c r="CS2" s="4" t="s">
        <v>93</v>
      </c>
      <c r="CT2" s="4" t="s">
        <v>94</v>
      </c>
      <c r="CU2" s="4" t="s">
        <v>95</v>
      </c>
      <c r="CV2" s="4" t="s">
        <v>96</v>
      </c>
      <c r="CW2" s="4" t="s">
        <v>97</v>
      </c>
      <c r="CX2" s="4" t="s">
        <v>98</v>
      </c>
      <c r="CY2" s="4" t="s">
        <v>99</v>
      </c>
      <c r="CZ2" s="4" t="s">
        <v>100</v>
      </c>
      <c r="DA2" s="4" t="s">
        <v>101</v>
      </c>
      <c r="DB2" s="4" t="s">
        <v>102</v>
      </c>
      <c r="DC2" s="4" t="s">
        <v>103</v>
      </c>
      <c r="DD2" s="4" t="s">
        <v>104</v>
      </c>
      <c r="DE2" s="4" t="s">
        <v>105</v>
      </c>
      <c r="DF2" s="4" t="s">
        <v>106</v>
      </c>
      <c r="DG2" s="4" t="s">
        <v>107</v>
      </c>
      <c r="DH2" s="4" t="s">
        <v>108</v>
      </c>
      <c r="DI2" s="4" t="s">
        <v>109</v>
      </c>
      <c r="DJ2" s="4" t="s">
        <v>110</v>
      </c>
      <c r="DK2" s="4" t="s">
        <v>111</v>
      </c>
      <c r="DL2" s="4" t="s">
        <v>112</v>
      </c>
      <c r="DM2" s="4" t="s">
        <v>113</v>
      </c>
      <c r="DN2" s="4" t="s">
        <v>114</v>
      </c>
      <c r="DO2" s="4" t="s">
        <v>115</v>
      </c>
      <c r="DP2" s="4" t="s">
        <v>116</v>
      </c>
      <c r="DQ2" s="4" t="s">
        <v>117</v>
      </c>
      <c r="DR2" s="4" t="s">
        <v>118</v>
      </c>
      <c r="DS2" s="4" t="s">
        <v>119</v>
      </c>
      <c r="DT2" s="4" t="s">
        <v>120</v>
      </c>
      <c r="DU2" s="4" t="s">
        <v>121</v>
      </c>
      <c r="DV2" s="4" t="s">
        <v>122</v>
      </c>
      <c r="DW2" s="4" t="s">
        <v>123</v>
      </c>
      <c r="DX2" s="4" t="s">
        <v>124</v>
      </c>
      <c r="DY2" s="4" t="s">
        <v>125</v>
      </c>
      <c r="DZ2" s="4" t="s">
        <v>126</v>
      </c>
      <c r="EA2" s="4" t="s">
        <v>127</v>
      </c>
      <c r="EB2" s="4" t="s">
        <v>128</v>
      </c>
      <c r="EC2" s="4" t="s">
        <v>129</v>
      </c>
      <c r="ED2" s="4" t="s">
        <v>130</v>
      </c>
      <c r="EE2" s="4" t="s">
        <v>131</v>
      </c>
      <c r="EF2" s="4" t="s">
        <v>132</v>
      </c>
      <c r="EG2" s="4" t="s">
        <v>133</v>
      </c>
      <c r="EH2" s="4" t="s">
        <v>134</v>
      </c>
      <c r="EI2" s="4" t="s">
        <v>135</v>
      </c>
      <c r="EJ2" s="4" t="s">
        <v>136</v>
      </c>
      <c r="EK2" s="4" t="s">
        <v>137</v>
      </c>
      <c r="EL2" s="4" t="s">
        <v>138</v>
      </c>
      <c r="EM2" s="4" t="s">
        <v>139</v>
      </c>
      <c r="EN2" s="4" t="s">
        <v>140</v>
      </c>
      <c r="EO2" s="4" t="s">
        <v>141</v>
      </c>
      <c r="EP2" s="4" t="s">
        <v>142</v>
      </c>
      <c r="EQ2" s="4" t="s">
        <v>143</v>
      </c>
      <c r="ER2" s="4" t="s">
        <v>144</v>
      </c>
      <c r="ES2" s="4" t="s">
        <v>145</v>
      </c>
      <c r="ET2" s="4" t="s">
        <v>146</v>
      </c>
      <c r="EU2" s="4" t="s">
        <v>147</v>
      </c>
      <c r="EV2" s="4" t="s">
        <v>148</v>
      </c>
      <c r="EW2" s="4" t="s">
        <v>149</v>
      </c>
      <c r="EX2" s="4" t="s">
        <v>150</v>
      </c>
      <c r="EY2" s="4" t="s">
        <v>151</v>
      </c>
      <c r="EZ2" s="4" t="s">
        <v>152</v>
      </c>
      <c r="FA2" s="4" t="s">
        <v>153</v>
      </c>
      <c r="FB2" s="4" t="s">
        <v>154</v>
      </c>
      <c r="FC2" s="4" t="s">
        <v>155</v>
      </c>
      <c r="FD2" s="4" t="s">
        <v>156</v>
      </c>
      <c r="FE2" s="4" t="s">
        <v>157</v>
      </c>
      <c r="FF2" s="4" t="s">
        <v>158</v>
      </c>
      <c r="FG2" s="4" t="s">
        <v>159</v>
      </c>
      <c r="FH2" s="4" t="s">
        <v>160</v>
      </c>
      <c r="FI2" s="4" t="s">
        <v>161</v>
      </c>
      <c r="FJ2" s="4" t="s">
        <v>162</v>
      </c>
      <c r="FK2" s="4" t="s">
        <v>163</v>
      </c>
      <c r="FL2" s="4" t="s">
        <v>164</v>
      </c>
      <c r="FM2" s="4" t="s">
        <v>165</v>
      </c>
      <c r="FN2" s="4" t="s">
        <v>166</v>
      </c>
      <c r="FO2" s="4" t="s">
        <v>167</v>
      </c>
      <c r="FP2" s="4" t="s">
        <v>168</v>
      </c>
      <c r="FQ2" s="4" t="s">
        <v>169</v>
      </c>
      <c r="FR2" s="4" t="s">
        <v>170</v>
      </c>
      <c r="FS2" s="4" t="s">
        <v>171</v>
      </c>
      <c r="FT2" s="4" t="s">
        <v>172</v>
      </c>
      <c r="FU2" s="4" t="s">
        <v>173</v>
      </c>
      <c r="FV2" s="4" t="s">
        <v>174</v>
      </c>
      <c r="FW2" s="4" t="s">
        <v>175</v>
      </c>
      <c r="FX2" s="4" t="s">
        <v>176</v>
      </c>
      <c r="FY2" s="4" t="s">
        <v>177</v>
      </c>
      <c r="FZ2" s="4" t="s">
        <v>178</v>
      </c>
      <c r="GA2" s="4" t="s">
        <v>179</v>
      </c>
      <c r="GB2" s="4" t="s">
        <v>180</v>
      </c>
      <c r="GC2" s="4" t="s">
        <v>181</v>
      </c>
      <c r="GD2" s="4" t="s">
        <v>182</v>
      </c>
      <c r="GE2" s="4" t="s">
        <v>183</v>
      </c>
      <c r="GF2" s="4" t="s">
        <v>184</v>
      </c>
      <c r="GG2" s="4" t="s">
        <v>185</v>
      </c>
      <c r="GH2" s="4" t="s">
        <v>186</v>
      </c>
      <c r="GI2" s="4" t="s">
        <v>187</v>
      </c>
      <c r="GJ2" s="4" t="s">
        <v>188</v>
      </c>
      <c r="GK2" s="4" t="s">
        <v>189</v>
      </c>
      <c r="GL2" s="4" t="s">
        <v>190</v>
      </c>
      <c r="GM2" s="4" t="s">
        <v>191</v>
      </c>
      <c r="GN2" s="4" t="s">
        <v>192</v>
      </c>
      <c r="GO2" s="4" t="s">
        <v>193</v>
      </c>
      <c r="GP2" s="4" t="s">
        <v>194</v>
      </c>
      <c r="GQ2" s="4" t="s">
        <v>195</v>
      </c>
      <c r="GR2" s="4" t="s">
        <v>196</v>
      </c>
      <c r="GS2" s="4" t="s">
        <v>197</v>
      </c>
      <c r="GT2" s="4" t="s">
        <v>198</v>
      </c>
      <c r="GU2" s="4" t="s">
        <v>199</v>
      </c>
      <c r="GV2" s="4" t="s">
        <v>200</v>
      </c>
      <c r="GW2" s="4" t="s">
        <v>201</v>
      </c>
      <c r="GX2" s="4" t="s">
        <v>202</v>
      </c>
      <c r="GY2" s="4" t="s">
        <v>203</v>
      </c>
      <c r="GZ2" s="4" t="s">
        <v>204</v>
      </c>
      <c r="HA2" s="4" t="s">
        <v>205</v>
      </c>
      <c r="HB2" s="4" t="s">
        <v>206</v>
      </c>
      <c r="HC2" s="4" t="s">
        <v>207</v>
      </c>
      <c r="HD2" s="4" t="s">
        <v>208</v>
      </c>
      <c r="HE2" s="4" t="s">
        <v>209</v>
      </c>
      <c r="HF2" s="4" t="s">
        <v>210</v>
      </c>
      <c r="HG2" s="4" t="s">
        <v>211</v>
      </c>
      <c r="HH2" s="4" t="s">
        <v>212</v>
      </c>
      <c r="HI2" s="4" t="s">
        <v>213</v>
      </c>
      <c r="HJ2" s="4" t="s">
        <v>214</v>
      </c>
      <c r="HK2" s="4" t="s">
        <v>215</v>
      </c>
      <c r="HL2" s="4" t="s">
        <v>216</v>
      </c>
      <c r="HM2" s="4" t="s">
        <v>217</v>
      </c>
      <c r="HN2" s="4" t="s">
        <v>218</v>
      </c>
      <c r="HO2" s="4" t="s">
        <v>219</v>
      </c>
      <c r="HP2" s="4" t="s">
        <v>220</v>
      </c>
      <c r="HQ2" s="4" t="s">
        <v>221</v>
      </c>
      <c r="HR2" s="4" t="s">
        <v>222</v>
      </c>
      <c r="HS2" s="4" t="s">
        <v>223</v>
      </c>
      <c r="HT2" s="4" t="s">
        <v>224</v>
      </c>
      <c r="HU2" s="4" t="s">
        <v>225</v>
      </c>
      <c r="HV2" s="4" t="s">
        <v>226</v>
      </c>
      <c r="HW2" s="4" t="s">
        <v>227</v>
      </c>
      <c r="HX2" s="4" t="s">
        <v>228</v>
      </c>
      <c r="HY2" s="4" t="s">
        <v>229</v>
      </c>
      <c r="HZ2" s="4" t="s">
        <v>230</v>
      </c>
      <c r="IA2" s="4" t="s">
        <v>231</v>
      </c>
      <c r="IB2" s="4" t="s">
        <v>232</v>
      </c>
      <c r="IC2" s="4" t="s">
        <v>233</v>
      </c>
      <c r="ID2" s="4" t="s">
        <v>234</v>
      </c>
      <c r="IE2" s="4" t="s">
        <v>235</v>
      </c>
      <c r="IF2" s="4" t="s">
        <v>236</v>
      </c>
      <c r="IG2" s="4" t="s">
        <v>237</v>
      </c>
      <c r="IH2" s="4" t="s">
        <v>238</v>
      </c>
      <c r="II2" s="4" t="s">
        <v>239</v>
      </c>
      <c r="IJ2" s="4" t="s">
        <v>240</v>
      </c>
      <c r="IK2" s="4" t="s">
        <v>241</v>
      </c>
      <c r="IL2" s="4" t="s">
        <v>242</v>
      </c>
      <c r="IM2" s="4" t="s">
        <v>243</v>
      </c>
      <c r="IN2" s="4" t="s">
        <v>244</v>
      </c>
      <c r="IO2" s="4" t="s">
        <v>245</v>
      </c>
      <c r="IP2" s="4" t="s">
        <v>246</v>
      </c>
      <c r="IQ2" s="4" t="s">
        <v>247</v>
      </c>
      <c r="IR2" s="4" t="s">
        <v>248</v>
      </c>
      <c r="IS2" s="4" t="s">
        <v>249</v>
      </c>
      <c r="IT2" s="4" t="s">
        <v>250</v>
      </c>
      <c r="IU2" s="4" t="s">
        <v>251</v>
      </c>
      <c r="IV2" s="4" t="s">
        <v>252</v>
      </c>
      <c r="IW2" s="4" t="s">
        <v>253</v>
      </c>
      <c r="IX2" s="4" t="s">
        <v>254</v>
      </c>
      <c r="IY2" s="4" t="s">
        <v>255</v>
      </c>
      <c r="IZ2" s="4" t="s">
        <v>256</v>
      </c>
      <c r="JA2" s="4" t="s">
        <v>257</v>
      </c>
      <c r="JB2" s="4" t="s">
        <v>258</v>
      </c>
      <c r="JC2" s="4" t="s">
        <v>259</v>
      </c>
      <c r="JD2" s="4" t="s">
        <v>260</v>
      </c>
      <c r="JE2" s="4" t="s">
        <v>261</v>
      </c>
      <c r="JF2" s="4" t="s">
        <v>262</v>
      </c>
      <c r="JG2" s="4" t="s">
        <v>263</v>
      </c>
      <c r="JH2" s="4" t="s">
        <v>264</v>
      </c>
      <c r="JI2" s="4" t="s">
        <v>265</v>
      </c>
      <c r="JJ2" s="4" t="s">
        <v>266</v>
      </c>
      <c r="JK2" s="4" t="s">
        <v>267</v>
      </c>
      <c r="JL2" s="4" t="s">
        <v>268</v>
      </c>
      <c r="JM2" s="4" t="s">
        <v>269</v>
      </c>
      <c r="JN2" s="4" t="s">
        <v>270</v>
      </c>
      <c r="JO2" s="4" t="s">
        <v>271</v>
      </c>
      <c r="JP2" s="4" t="s">
        <v>272</v>
      </c>
      <c r="JQ2" s="4" t="s">
        <v>273</v>
      </c>
      <c r="JR2" s="4" t="s">
        <v>274</v>
      </c>
      <c r="JS2" s="4" t="s">
        <v>275</v>
      </c>
      <c r="JT2" s="4" t="s">
        <v>276</v>
      </c>
      <c r="JU2" s="4" t="s">
        <v>277</v>
      </c>
      <c r="JV2" s="4" t="s">
        <v>278</v>
      </c>
      <c r="JW2" s="4" t="s">
        <v>279</v>
      </c>
      <c r="JX2" s="4" t="s">
        <v>280</v>
      </c>
      <c r="JY2" s="4" t="s">
        <v>281</v>
      </c>
      <c r="JZ2" s="4" t="s">
        <v>282</v>
      </c>
      <c r="KA2" s="4" t="s">
        <v>283</v>
      </c>
      <c r="KB2" s="4" t="s">
        <v>284</v>
      </c>
      <c r="KC2" s="4" t="s">
        <v>285</v>
      </c>
      <c r="KD2" s="4" t="s">
        <v>286</v>
      </c>
      <c r="KE2" s="4" t="s">
        <v>287</v>
      </c>
      <c r="KF2" s="4" t="s">
        <v>288</v>
      </c>
      <c r="KG2" s="4" t="s">
        <v>289</v>
      </c>
      <c r="KH2" s="4" t="s">
        <v>290</v>
      </c>
      <c r="KI2" s="4" t="s">
        <v>291</v>
      </c>
      <c r="KJ2" s="4" t="s">
        <v>292</v>
      </c>
      <c r="KK2" s="4" t="s">
        <v>293</v>
      </c>
      <c r="KL2" s="4" t="s">
        <v>294</v>
      </c>
      <c r="KM2" s="4" t="s">
        <v>295</v>
      </c>
      <c r="KN2" s="4" t="s">
        <v>296</v>
      </c>
      <c r="KO2" s="4" t="s">
        <v>297</v>
      </c>
      <c r="KP2" s="4" t="s">
        <v>298</v>
      </c>
      <c r="KQ2" s="4" t="s">
        <v>299</v>
      </c>
      <c r="KR2" s="4" t="s">
        <v>300</v>
      </c>
      <c r="KS2" s="4" t="s">
        <v>301</v>
      </c>
      <c r="KT2" s="4" t="s">
        <v>302</v>
      </c>
      <c r="KU2" s="4" t="s">
        <v>303</v>
      </c>
      <c r="KV2" s="4" t="s">
        <v>304</v>
      </c>
      <c r="KW2" s="4" t="s">
        <v>305</v>
      </c>
      <c r="KX2" s="4" t="s">
        <v>306</v>
      </c>
      <c r="KY2" s="4" t="s">
        <v>307</v>
      </c>
      <c r="KZ2" s="4" t="s">
        <v>308</v>
      </c>
      <c r="LA2" s="4" t="s">
        <v>309</v>
      </c>
      <c r="LB2" s="4" t="s">
        <v>310</v>
      </c>
      <c r="LC2" s="4" t="s">
        <v>311</v>
      </c>
      <c r="LD2" s="4" t="s">
        <v>312</v>
      </c>
      <c r="LE2" s="4" t="s">
        <v>313</v>
      </c>
      <c r="LF2" s="4" t="s">
        <v>314</v>
      </c>
      <c r="LG2" s="4" t="s">
        <v>315</v>
      </c>
      <c r="LH2" s="4" t="s">
        <v>316</v>
      </c>
      <c r="LI2" s="4" t="s">
        <v>317</v>
      </c>
      <c r="LJ2" s="4" t="s">
        <v>318</v>
      </c>
      <c r="LK2" s="4" t="s">
        <v>319</v>
      </c>
      <c r="LL2" s="4" t="s">
        <v>320</v>
      </c>
      <c r="LM2" s="4" t="s">
        <v>321</v>
      </c>
      <c r="LN2" s="4" t="s">
        <v>322</v>
      </c>
      <c r="LO2" s="4" t="s">
        <v>323</v>
      </c>
      <c r="LP2" s="4" t="s">
        <v>324</v>
      </c>
      <c r="LQ2" s="4" t="s">
        <v>325</v>
      </c>
      <c r="LR2" s="4" t="s">
        <v>326</v>
      </c>
      <c r="LS2" s="4" t="s">
        <v>327</v>
      </c>
      <c r="LT2" s="4" t="s">
        <v>328</v>
      </c>
      <c r="LU2" s="4" t="s">
        <v>329</v>
      </c>
      <c r="LV2" s="4" t="s">
        <v>330</v>
      </c>
      <c r="LW2" s="4" t="s">
        <v>331</v>
      </c>
      <c r="LX2" s="4" t="s">
        <v>332</v>
      </c>
      <c r="LY2" s="4" t="s">
        <v>333</v>
      </c>
      <c r="LZ2" s="4" t="s">
        <v>334</v>
      </c>
      <c r="MA2" s="4" t="s">
        <v>335</v>
      </c>
      <c r="MB2" s="4" t="s">
        <v>336</v>
      </c>
      <c r="MC2" s="4" t="s">
        <v>337</v>
      </c>
      <c r="MD2" s="4" t="s">
        <v>338</v>
      </c>
      <c r="ME2" s="4" t="s">
        <v>339</v>
      </c>
      <c r="MF2" s="4" t="s">
        <v>340</v>
      </c>
      <c r="MG2" s="4" t="s">
        <v>341</v>
      </c>
      <c r="MH2" s="4" t="s">
        <v>342</v>
      </c>
      <c r="MI2" s="4" t="s">
        <v>343</v>
      </c>
      <c r="MJ2" s="4" t="s">
        <v>344</v>
      </c>
      <c r="MK2" s="4" t="s">
        <v>345</v>
      </c>
      <c r="ML2" s="4" t="s">
        <v>346</v>
      </c>
      <c r="MM2" s="4" t="s">
        <v>347</v>
      </c>
      <c r="MN2" s="4" t="s">
        <v>348</v>
      </c>
      <c r="MO2" s="4" t="s">
        <v>349</v>
      </c>
      <c r="MP2" s="4" t="s">
        <v>350</v>
      </c>
      <c r="MQ2" s="4" t="s">
        <v>351</v>
      </c>
      <c r="MR2" s="4" t="s">
        <v>352</v>
      </c>
      <c r="MS2" s="4" t="s">
        <v>353</v>
      </c>
      <c r="MT2" s="4" t="s">
        <v>354</v>
      </c>
      <c r="MU2" s="4" t="s">
        <v>355</v>
      </c>
      <c r="MV2" s="4" t="s">
        <v>356</v>
      </c>
      <c r="MW2" s="4" t="s">
        <v>357</v>
      </c>
      <c r="MX2" s="4" t="s">
        <v>358</v>
      </c>
      <c r="MY2" s="4" t="s">
        <v>359</v>
      </c>
      <c r="MZ2" s="4" t="s">
        <v>360</v>
      </c>
      <c r="NA2" s="4" t="s">
        <v>361</v>
      </c>
      <c r="NB2" s="4" t="s">
        <v>362</v>
      </c>
      <c r="NC2" s="4" t="s">
        <v>363</v>
      </c>
      <c r="ND2" s="4" t="s">
        <v>364</v>
      </c>
      <c r="NE2" s="4" t="s">
        <v>365</v>
      </c>
      <c r="NF2" s="4" t="s">
        <v>366</v>
      </c>
      <c r="NG2" s="4" t="s">
        <v>367</v>
      </c>
      <c r="NH2" s="4" t="s">
        <v>368</v>
      </c>
      <c r="NI2" s="4" t="s">
        <v>369</v>
      </c>
      <c r="NJ2" s="4" t="s">
        <v>370</v>
      </c>
      <c r="NK2" s="4" t="s">
        <v>371</v>
      </c>
      <c r="NL2" s="4" t="s">
        <v>372</v>
      </c>
      <c r="NM2" s="4" t="s">
        <v>373</v>
      </c>
      <c r="NN2" s="4" t="s">
        <v>374</v>
      </c>
      <c r="NO2" s="4" t="s">
        <v>375</v>
      </c>
      <c r="NP2" s="4" t="s">
        <v>376</v>
      </c>
      <c r="NQ2" s="4" t="s">
        <v>377</v>
      </c>
      <c r="NR2" s="4" t="s">
        <v>378</v>
      </c>
      <c r="NS2" s="4" t="s">
        <v>379</v>
      </c>
      <c r="NT2" s="4" t="s">
        <v>380</v>
      </c>
      <c r="NU2" s="4" t="s">
        <v>381</v>
      </c>
      <c r="NV2" s="4" t="s">
        <v>382</v>
      </c>
      <c r="NW2" s="4" t="s">
        <v>383</v>
      </c>
      <c r="NX2" s="4" t="s">
        <v>384</v>
      </c>
      <c r="NY2" s="4" t="s">
        <v>385</v>
      </c>
      <c r="NZ2" s="4" t="s">
        <v>386</v>
      </c>
      <c r="OA2" s="4" t="s">
        <v>387</v>
      </c>
      <c r="OB2" s="4" t="s">
        <v>388</v>
      </c>
      <c r="OC2" s="4" t="s">
        <v>389</v>
      </c>
      <c r="OD2" s="4" t="s">
        <v>390</v>
      </c>
      <c r="OE2" s="4" t="s">
        <v>391</v>
      </c>
      <c r="OF2" s="4" t="s">
        <v>392</v>
      </c>
      <c r="OG2" s="4" t="s">
        <v>393</v>
      </c>
      <c r="OH2" s="4" t="s">
        <v>394</v>
      </c>
      <c r="OI2" s="4" t="s">
        <v>395</v>
      </c>
      <c r="OJ2" s="4" t="s">
        <v>396</v>
      </c>
      <c r="OK2" s="4" t="s">
        <v>397</v>
      </c>
      <c r="OL2" s="4" t="s">
        <v>398</v>
      </c>
      <c r="OM2" s="4" t="s">
        <v>399</v>
      </c>
      <c r="ON2" s="4" t="s">
        <v>400</v>
      </c>
      <c r="OO2" s="4" t="s">
        <v>401</v>
      </c>
      <c r="OP2" s="4" t="s">
        <v>402</v>
      </c>
      <c r="OQ2" s="4" t="s">
        <v>403</v>
      </c>
      <c r="OR2" s="4" t="s">
        <v>404</v>
      </c>
      <c r="OS2" s="4" t="s">
        <v>405</v>
      </c>
      <c r="OT2" s="4" t="s">
        <v>406</v>
      </c>
      <c r="OU2" s="4" t="s">
        <v>407</v>
      </c>
      <c r="OV2" s="4" t="s">
        <v>408</v>
      </c>
      <c r="OW2" s="4" t="s">
        <v>409</v>
      </c>
      <c r="OX2" s="4" t="s">
        <v>410</v>
      </c>
      <c r="OY2" s="4" t="s">
        <v>411</v>
      </c>
      <c r="OZ2" s="4" t="s">
        <v>412</v>
      </c>
      <c r="PA2" s="4" t="s">
        <v>413</v>
      </c>
      <c r="PB2" s="4" t="s">
        <v>414</v>
      </c>
      <c r="PC2" s="4" t="s">
        <v>415</v>
      </c>
      <c r="PD2" s="4" t="s">
        <v>416</v>
      </c>
      <c r="PE2" s="4" t="s">
        <v>417</v>
      </c>
      <c r="PF2" s="4" t="s">
        <v>418</v>
      </c>
      <c r="PG2" s="4" t="s">
        <v>419</v>
      </c>
      <c r="PH2" s="4" t="s">
        <v>420</v>
      </c>
      <c r="PI2" s="4" t="s">
        <v>421</v>
      </c>
      <c r="PJ2" s="4" t="s">
        <v>422</v>
      </c>
      <c r="PK2" s="4" t="s">
        <v>423</v>
      </c>
      <c r="PL2" s="4" t="s">
        <v>424</v>
      </c>
      <c r="PM2" s="4" t="s">
        <v>425</v>
      </c>
      <c r="PN2" s="4" t="s">
        <v>426</v>
      </c>
      <c r="PO2" s="4" t="s">
        <v>427</v>
      </c>
      <c r="PP2" s="4" t="s">
        <v>428</v>
      </c>
      <c r="PQ2" s="4" t="s">
        <v>429</v>
      </c>
      <c r="PR2" s="4" t="s">
        <v>430</v>
      </c>
      <c r="PS2" s="4" t="s">
        <v>431</v>
      </c>
      <c r="PT2" s="4" t="s">
        <v>432</v>
      </c>
      <c r="PU2" s="4" t="s">
        <v>433</v>
      </c>
      <c r="PV2" s="4" t="s">
        <v>434</v>
      </c>
      <c r="PW2" s="4" t="s">
        <v>435</v>
      </c>
      <c r="PX2" s="4" t="s">
        <v>436</v>
      </c>
      <c r="PY2" s="4" t="s">
        <v>437</v>
      </c>
      <c r="PZ2" s="4" t="s">
        <v>438</v>
      </c>
      <c r="QA2" s="4" t="s">
        <v>439</v>
      </c>
      <c r="QB2" s="4" t="s">
        <v>440</v>
      </c>
      <c r="QC2" s="4" t="s">
        <v>441</v>
      </c>
      <c r="QD2" s="4" t="s">
        <v>442</v>
      </c>
      <c r="QE2" s="4" t="s">
        <v>443</v>
      </c>
      <c r="QF2" s="4" t="s">
        <v>444</v>
      </c>
      <c r="QG2" s="4" t="s">
        <v>445</v>
      </c>
      <c r="QH2" s="4" t="s">
        <v>446</v>
      </c>
      <c r="QI2" s="4" t="s">
        <v>447</v>
      </c>
      <c r="QJ2" s="4" t="s">
        <v>448</v>
      </c>
      <c r="QK2" s="4" t="s">
        <v>449</v>
      </c>
      <c r="QL2" s="4" t="s">
        <v>450</v>
      </c>
      <c r="QM2" s="4" t="s">
        <v>451</v>
      </c>
      <c r="QN2" s="4" t="s">
        <v>452</v>
      </c>
      <c r="QO2" s="4" t="s">
        <v>453</v>
      </c>
      <c r="QP2" s="4" t="s">
        <v>454</v>
      </c>
      <c r="QQ2" s="4" t="s">
        <v>455</v>
      </c>
      <c r="QR2" s="4" t="s">
        <v>456</v>
      </c>
      <c r="QS2" s="4" t="s">
        <v>457</v>
      </c>
      <c r="QT2" s="4" t="s">
        <v>458</v>
      </c>
      <c r="QU2" s="4" t="s">
        <v>459</v>
      </c>
      <c r="QV2" s="4" t="s">
        <v>460</v>
      </c>
      <c r="QW2" s="4" t="s">
        <v>461</v>
      </c>
      <c r="QX2" s="4" t="s">
        <v>462</v>
      </c>
      <c r="QY2" s="4" t="s">
        <v>463</v>
      </c>
      <c r="QZ2" s="4" t="s">
        <v>464</v>
      </c>
      <c r="RA2" s="4" t="s">
        <v>465</v>
      </c>
      <c r="RB2" s="4" t="s">
        <v>466</v>
      </c>
      <c r="RC2" s="4" t="s">
        <v>467</v>
      </c>
      <c r="RD2" s="4" t="s">
        <v>468</v>
      </c>
      <c r="RE2" s="4" t="s">
        <v>469</v>
      </c>
      <c r="RF2" s="4" t="s">
        <v>470</v>
      </c>
      <c r="RG2" s="4" t="s">
        <v>471</v>
      </c>
      <c r="RH2" s="4" t="s">
        <v>472</v>
      </c>
      <c r="RI2" s="4" t="s">
        <v>473</v>
      </c>
      <c r="RJ2" s="4" t="s">
        <v>474</v>
      </c>
      <c r="RK2" s="4" t="s">
        <v>475</v>
      </c>
      <c r="RL2" s="4" t="s">
        <v>476</v>
      </c>
      <c r="RM2" s="4" t="s">
        <v>477</v>
      </c>
      <c r="RN2" s="4" t="s">
        <v>478</v>
      </c>
      <c r="RO2" s="4" t="s">
        <v>479</v>
      </c>
      <c r="RP2" s="4" t="s">
        <v>480</v>
      </c>
      <c r="RQ2" s="4" t="s">
        <v>481</v>
      </c>
      <c r="RR2" s="4" t="s">
        <v>482</v>
      </c>
      <c r="RS2" s="4" t="s">
        <v>483</v>
      </c>
      <c r="RT2" s="4" t="s">
        <v>484</v>
      </c>
      <c r="RU2" s="4" t="s">
        <v>485</v>
      </c>
      <c r="RV2" s="4" t="s">
        <v>486</v>
      </c>
      <c r="RW2" s="4" t="s">
        <v>487</v>
      </c>
      <c r="RX2" s="4" t="s">
        <v>488</v>
      </c>
      <c r="RY2" s="4" t="s">
        <v>489</v>
      </c>
      <c r="RZ2" s="4" t="s">
        <v>490</v>
      </c>
      <c r="SA2" s="4" t="s">
        <v>491</v>
      </c>
      <c r="SB2" s="4" t="s">
        <v>492</v>
      </c>
      <c r="SC2" s="4" t="s">
        <v>493</v>
      </c>
      <c r="SD2" s="4" t="s">
        <v>494</v>
      </c>
      <c r="SE2" s="4" t="s">
        <v>495</v>
      </c>
      <c r="SF2" s="4" t="s">
        <v>496</v>
      </c>
      <c r="SG2" s="4" t="s">
        <v>497</v>
      </c>
      <c r="SH2" s="4" t="s">
        <v>498</v>
      </c>
      <c r="SI2" s="4" t="s">
        <v>499</v>
      </c>
      <c r="SJ2" s="4" t="s">
        <v>500</v>
      </c>
      <c r="SK2" s="4" t="s">
        <v>501</v>
      </c>
      <c r="SL2" s="4" t="s">
        <v>502</v>
      </c>
      <c r="SM2" s="4" t="s">
        <v>503</v>
      </c>
      <c r="SN2" s="4" t="s">
        <v>504</v>
      </c>
      <c r="SO2" s="4" t="s">
        <v>505</v>
      </c>
      <c r="SP2" s="4" t="s">
        <v>506</v>
      </c>
      <c r="SQ2" s="4" t="s">
        <v>507</v>
      </c>
      <c r="SR2" s="4" t="s">
        <v>508</v>
      </c>
      <c r="SS2" s="4" t="s">
        <v>509</v>
      </c>
      <c r="ST2" s="4" t="s">
        <v>510</v>
      </c>
      <c r="SU2" s="4" t="s">
        <v>511</v>
      </c>
      <c r="SV2" s="4" t="s">
        <v>512</v>
      </c>
      <c r="SW2" s="4" t="s">
        <v>513</v>
      </c>
      <c r="SX2" s="4" t="s">
        <v>514</v>
      </c>
      <c r="SY2" s="4" t="s">
        <v>515</v>
      </c>
      <c r="SZ2" s="4" t="s">
        <v>516</v>
      </c>
      <c r="TA2" s="4" t="s">
        <v>517</v>
      </c>
    </row>
    <row r="3" spans="1:521" x14ac:dyDescent="0.3">
      <c r="B3" t="s">
        <v>518</v>
      </c>
      <c r="AE3" s="5">
        <v>14948</v>
      </c>
      <c r="AF3" s="5">
        <v>16012</v>
      </c>
      <c r="AG3" s="5">
        <v>16187</v>
      </c>
      <c r="AH3" s="5">
        <v>17860</v>
      </c>
      <c r="AI3" s="5">
        <v>18062</v>
      </c>
      <c r="AJ3" s="5">
        <v>19597</v>
      </c>
      <c r="AK3" s="5">
        <v>20266</v>
      </c>
      <c r="AL3" s="5">
        <v>21903</v>
      </c>
      <c r="AM3" s="5">
        <v>22155</v>
      </c>
      <c r="AN3" s="5">
        <v>23641</v>
      </c>
      <c r="AO3" s="5">
        <v>24761</v>
      </c>
      <c r="AP3" s="5">
        <v>27878</v>
      </c>
      <c r="AQ3" s="5">
        <v>28872</v>
      </c>
      <c r="AR3" s="5">
        <v>30865</v>
      </c>
      <c r="AS3" s="6"/>
      <c r="AT3" s="6"/>
      <c r="AU3" s="6"/>
      <c r="AV3" s="4"/>
      <c r="AW3" s="4"/>
      <c r="AX3" s="4"/>
      <c r="AY3" s="4"/>
      <c r="AZ3" s="4"/>
      <c r="BA3" s="4"/>
      <c r="BB3" s="4"/>
      <c r="BC3" s="4">
        <v>65007</v>
      </c>
      <c r="BD3" s="4">
        <v>79828</v>
      </c>
      <c r="BE3" s="4">
        <f>SUM(AM3:AP3)</f>
        <v>98435</v>
      </c>
      <c r="BF3" s="4"/>
      <c r="BG3" s="4"/>
      <c r="BH3" s="4"/>
      <c r="BI3" s="4"/>
      <c r="BJ3" s="4"/>
      <c r="BK3" s="4"/>
    </row>
    <row r="4" spans="1:521" x14ac:dyDescent="0.3">
      <c r="B4" t="s">
        <v>519</v>
      </c>
      <c r="AE4" s="5">
        <v>15502</v>
      </c>
      <c r="AF4" s="5">
        <v>15774</v>
      </c>
      <c r="AG4" s="5">
        <v>17195</v>
      </c>
      <c r="AH4" s="5">
        <v>18478</v>
      </c>
      <c r="AI4" s="5">
        <v>18044</v>
      </c>
      <c r="AJ4" s="5">
        <v>18321</v>
      </c>
      <c r="AK4" s="5">
        <v>19712</v>
      </c>
      <c r="AL4" s="5">
        <v>20892</v>
      </c>
      <c r="AM4" s="5">
        <v>20449</v>
      </c>
      <c r="AN4" s="5">
        <v>21117</v>
      </c>
      <c r="AO4" s="5">
        <v>21883</v>
      </c>
      <c r="AP4" s="5">
        <v>24318</v>
      </c>
      <c r="AQ4" s="5">
        <v>23966</v>
      </c>
      <c r="AR4" s="5">
        <v>24524</v>
      </c>
      <c r="AS4" s="6"/>
      <c r="AT4" s="6"/>
      <c r="AU4" s="6"/>
      <c r="AV4" s="4"/>
      <c r="AW4" s="4"/>
      <c r="AX4" s="4"/>
      <c r="AY4" s="4"/>
      <c r="AZ4" s="4"/>
      <c r="BA4" s="4"/>
      <c r="BB4" s="4"/>
      <c r="BC4" s="4">
        <v>66949</v>
      </c>
      <c r="BD4" s="4">
        <v>76969</v>
      </c>
      <c r="BE4" s="4">
        <f t="shared" ref="BE4:BE12" si="0">SUM(AM4:AP4)</f>
        <v>87767</v>
      </c>
      <c r="BF4" s="4"/>
      <c r="BG4" s="4"/>
      <c r="BH4" s="4"/>
      <c r="BI4" s="4"/>
      <c r="BJ4" s="4"/>
      <c r="BK4" s="4"/>
    </row>
    <row r="5" spans="1:521" x14ac:dyDescent="0.3">
      <c r="B5" t="s">
        <v>520</v>
      </c>
      <c r="AE5" s="5">
        <v>3610</v>
      </c>
      <c r="AF5" s="5">
        <v>4758</v>
      </c>
      <c r="AG5" s="5">
        <v>3607</v>
      </c>
      <c r="AH5" s="5">
        <v>3491</v>
      </c>
      <c r="AI5" s="5">
        <v>3919</v>
      </c>
      <c r="AJ5" s="5">
        <v>7111</v>
      </c>
      <c r="AK5" s="5">
        <v>5451</v>
      </c>
      <c r="AL5" s="5">
        <v>5022</v>
      </c>
      <c r="AM5" s="5">
        <v>5621</v>
      </c>
      <c r="AN5" s="5">
        <v>6581</v>
      </c>
      <c r="AO5" s="5">
        <v>5721</v>
      </c>
      <c r="AP5" s="5">
        <v>5532</v>
      </c>
      <c r="AQ5" s="5">
        <v>5508</v>
      </c>
      <c r="AR5" s="5">
        <v>5958</v>
      </c>
      <c r="AS5" s="6"/>
      <c r="AT5" s="6"/>
      <c r="AU5" s="6"/>
      <c r="AV5" s="4"/>
      <c r="AW5" s="4"/>
      <c r="AX5" s="4"/>
      <c r="AY5" s="4"/>
      <c r="AZ5" s="4"/>
      <c r="BA5" s="4"/>
      <c r="BB5" s="4">
        <v>16230</v>
      </c>
      <c r="BC5" s="4">
        <v>15466</v>
      </c>
      <c r="BD5" s="4">
        <v>21503</v>
      </c>
      <c r="BE5" s="4">
        <f t="shared" si="0"/>
        <v>23455</v>
      </c>
      <c r="BF5" s="4"/>
      <c r="BG5" s="4"/>
      <c r="BH5" s="4"/>
      <c r="BI5" s="4"/>
      <c r="BJ5" s="4"/>
      <c r="BK5" s="4"/>
    </row>
    <row r="6" spans="1:521" x14ac:dyDescent="0.3">
      <c r="B6" t="s">
        <v>521</v>
      </c>
      <c r="AE6" s="5">
        <v>3628</v>
      </c>
      <c r="AF6" s="5">
        <v>3833</v>
      </c>
      <c r="AG6" s="5">
        <v>3659</v>
      </c>
      <c r="AH6" s="5">
        <v>3869</v>
      </c>
      <c r="AI6" s="5">
        <v>3913</v>
      </c>
      <c r="AJ6" s="5">
        <v>4195</v>
      </c>
      <c r="AK6" s="5">
        <v>4013</v>
      </c>
      <c r="AL6" s="5">
        <v>4251</v>
      </c>
      <c r="AM6" s="5">
        <v>4292</v>
      </c>
      <c r="AN6" s="5">
        <v>4587</v>
      </c>
      <c r="AO6" s="5">
        <v>4311</v>
      </c>
      <c r="AP6" s="5">
        <v>4622</v>
      </c>
      <c r="AQ6" s="5">
        <v>4714</v>
      </c>
      <c r="AR6" s="5">
        <v>5082</v>
      </c>
      <c r="AS6" s="6"/>
      <c r="AT6" s="6"/>
      <c r="AU6" s="6"/>
      <c r="AV6" s="4"/>
      <c r="AW6" s="4"/>
      <c r="AX6" s="4"/>
      <c r="AY6" s="4"/>
      <c r="AZ6" s="4"/>
      <c r="BA6" s="4"/>
      <c r="BB6" s="4">
        <v>13631</v>
      </c>
      <c r="BC6" s="4">
        <v>14989</v>
      </c>
      <c r="BD6" s="4">
        <v>16372</v>
      </c>
      <c r="BE6" s="4">
        <f t="shared" si="0"/>
        <v>17812</v>
      </c>
      <c r="BF6" s="4"/>
      <c r="BG6" s="4"/>
      <c r="BH6" s="4"/>
      <c r="BI6" s="4"/>
      <c r="BJ6" s="4"/>
      <c r="BK6" s="4"/>
    </row>
    <row r="7" spans="1:521" x14ac:dyDescent="0.3">
      <c r="B7" t="s">
        <v>522</v>
      </c>
      <c r="AE7" s="5">
        <v>4593</v>
      </c>
      <c r="AF7" s="5">
        <v>4219</v>
      </c>
      <c r="AG7" s="5">
        <v>4040</v>
      </c>
      <c r="AH7" s="5">
        <v>4295</v>
      </c>
      <c r="AI7" s="5">
        <v>4340</v>
      </c>
      <c r="AJ7" s="5">
        <v>4363</v>
      </c>
      <c r="AK7" s="5">
        <v>4098</v>
      </c>
      <c r="AL7" s="5">
        <v>4225</v>
      </c>
      <c r="AM7" s="5">
        <v>4329</v>
      </c>
      <c r="AN7" s="5">
        <v>4512</v>
      </c>
      <c r="AO7" s="5">
        <v>4144</v>
      </c>
      <c r="AP7" s="5">
        <v>4329</v>
      </c>
      <c r="AQ7" s="5">
        <v>4551</v>
      </c>
      <c r="AR7" s="5">
        <v>4479</v>
      </c>
      <c r="AS7" s="6"/>
      <c r="AT7" s="6"/>
      <c r="AU7" s="6"/>
      <c r="AV7" s="4"/>
      <c r="AW7" s="4"/>
      <c r="AX7" s="4"/>
      <c r="AY7" s="4"/>
      <c r="AZ7" s="4"/>
      <c r="BA7" s="4"/>
      <c r="BB7" s="4">
        <f>24732+7306</f>
        <v>32038</v>
      </c>
      <c r="BC7" s="4">
        <v>17147</v>
      </c>
      <c r="BD7" s="4">
        <v>17026</v>
      </c>
      <c r="BE7" s="4">
        <f t="shared" si="0"/>
        <v>17314</v>
      </c>
      <c r="BF7" s="4"/>
      <c r="BG7" s="4"/>
      <c r="BH7" s="4"/>
      <c r="BI7" s="4"/>
      <c r="BJ7" s="4"/>
      <c r="BK7" s="4"/>
    </row>
    <row r="8" spans="1:521" x14ac:dyDescent="0.3">
      <c r="B8" t="s">
        <v>523</v>
      </c>
      <c r="AE8" s="5">
        <v>2913</v>
      </c>
      <c r="AF8" s="5">
        <v>3209</v>
      </c>
      <c r="AG8" s="5">
        <v>3034</v>
      </c>
      <c r="AH8" s="5">
        <v>2969</v>
      </c>
      <c r="AI8" s="5">
        <v>3018</v>
      </c>
      <c r="AJ8" s="5">
        <v>3168</v>
      </c>
      <c r="AK8" s="5">
        <v>3055</v>
      </c>
      <c r="AL8" s="5">
        <v>3065</v>
      </c>
      <c r="AM8" s="5">
        <v>3225</v>
      </c>
      <c r="AN8" s="5">
        <v>3558</v>
      </c>
      <c r="AO8" s="5">
        <v>3504</v>
      </c>
      <c r="AP8" s="5">
        <v>3591</v>
      </c>
      <c r="AQ8" s="5">
        <v>3697</v>
      </c>
      <c r="AR8" s="5">
        <v>3812</v>
      </c>
      <c r="AS8" s="6"/>
      <c r="AT8" s="6"/>
      <c r="AU8" s="6"/>
      <c r="AV8" s="4"/>
      <c r="AW8" s="4"/>
      <c r="AX8" s="4"/>
      <c r="AY8" s="4"/>
      <c r="AZ8" s="4"/>
      <c r="BA8" s="4"/>
      <c r="BB8" s="4">
        <v>11526</v>
      </c>
      <c r="BC8" s="4">
        <v>12125</v>
      </c>
      <c r="BD8" s="4">
        <v>12306</v>
      </c>
      <c r="BE8" s="4">
        <f t="shared" si="0"/>
        <v>13878</v>
      </c>
      <c r="BF8" s="4"/>
      <c r="BG8" s="4"/>
      <c r="BH8" s="4"/>
      <c r="BI8" s="4"/>
      <c r="BJ8" s="4"/>
      <c r="BK8" s="4"/>
    </row>
    <row r="9" spans="1:521" x14ac:dyDescent="0.3">
      <c r="B9" t="s">
        <v>524</v>
      </c>
      <c r="AE9" s="5">
        <v>1929</v>
      </c>
      <c r="AF9" s="5">
        <v>1907</v>
      </c>
      <c r="AG9" s="5">
        <v>2047</v>
      </c>
      <c r="AH9" s="5">
        <v>2017</v>
      </c>
      <c r="AI9" s="5">
        <v>1944</v>
      </c>
      <c r="AJ9" s="5">
        <v>1917</v>
      </c>
      <c r="AK9" s="5">
        <v>1861</v>
      </c>
      <c r="AL9" s="5">
        <v>1872</v>
      </c>
      <c r="AM9" s="5">
        <v>1928</v>
      </c>
      <c r="AN9" s="5">
        <v>1892</v>
      </c>
      <c r="AO9" s="5">
        <v>1929</v>
      </c>
      <c r="AP9" s="5">
        <v>2136</v>
      </c>
      <c r="AQ9" s="5">
        <v>2204</v>
      </c>
      <c r="AR9" s="5">
        <v>2305</v>
      </c>
      <c r="AS9" s="6"/>
      <c r="AT9" s="6"/>
      <c r="AU9" s="6"/>
      <c r="AV9" s="4"/>
      <c r="AW9" s="4"/>
      <c r="AX9" s="4"/>
      <c r="AY9" s="4"/>
      <c r="AZ9" s="4"/>
      <c r="BA9" s="4"/>
      <c r="BB9" s="4">
        <v>7605</v>
      </c>
      <c r="BC9" s="4">
        <v>7900</v>
      </c>
      <c r="BD9" s="4">
        <v>7594</v>
      </c>
      <c r="BE9" s="4">
        <f t="shared" si="0"/>
        <v>7885</v>
      </c>
      <c r="BF9" s="4"/>
      <c r="BG9" s="4"/>
      <c r="BH9" s="4"/>
      <c r="BI9" s="4"/>
      <c r="BJ9" s="4"/>
      <c r="BK9" s="4"/>
    </row>
    <row r="10" spans="1:521" x14ac:dyDescent="0.3">
      <c r="B10" t="s">
        <v>525</v>
      </c>
      <c r="AE10" s="5">
        <v>1345</v>
      </c>
      <c r="AF10" s="5">
        <v>1391</v>
      </c>
      <c r="AG10" s="5">
        <v>1484</v>
      </c>
      <c r="AH10" s="5">
        <v>1576</v>
      </c>
      <c r="AI10" s="5">
        <v>1626</v>
      </c>
      <c r="AJ10" s="5">
        <v>1659</v>
      </c>
      <c r="AK10" s="5">
        <v>1740</v>
      </c>
      <c r="AL10" s="5">
        <v>1806</v>
      </c>
      <c r="AM10" s="5">
        <v>1849</v>
      </c>
      <c r="AN10" s="5">
        <v>1913</v>
      </c>
      <c r="AO10" s="5">
        <v>1946</v>
      </c>
      <c r="AP10" s="5">
        <v>1994</v>
      </c>
      <c r="AQ10" s="5">
        <v>2136</v>
      </c>
      <c r="AR10" s="5">
        <v>2204</v>
      </c>
      <c r="AS10" s="6"/>
      <c r="AT10" s="6"/>
      <c r="AU10" s="6"/>
      <c r="AV10" s="4"/>
      <c r="AW10" s="4"/>
      <c r="AX10" s="4"/>
      <c r="AY10" s="4"/>
      <c r="AZ10" s="4"/>
      <c r="BA10" s="4"/>
      <c r="BB10" s="4">
        <v>4687</v>
      </c>
      <c r="BC10" s="4">
        <v>5796</v>
      </c>
      <c r="BD10" s="4">
        <v>6831</v>
      </c>
      <c r="BE10" s="4">
        <f t="shared" si="0"/>
        <v>7702</v>
      </c>
      <c r="BF10" s="4"/>
      <c r="BG10" s="4"/>
      <c r="BH10" s="4"/>
      <c r="BI10" s="4"/>
      <c r="BJ10" s="4"/>
      <c r="BK10" s="4"/>
    </row>
    <row r="11" spans="1:521" x14ac:dyDescent="0.3">
      <c r="B11" t="s">
        <v>526</v>
      </c>
      <c r="AE11" s="5">
        <v>1599</v>
      </c>
      <c r="AF11" s="5">
        <v>1605</v>
      </c>
      <c r="AG11" s="5">
        <v>1586</v>
      </c>
      <c r="AH11" s="5">
        <v>1627</v>
      </c>
      <c r="AI11" s="5">
        <v>1643</v>
      </c>
      <c r="AJ11" s="5">
        <v>1679</v>
      </c>
      <c r="AK11" s="5">
        <v>1648</v>
      </c>
      <c r="AL11" s="5">
        <v>1678</v>
      </c>
      <c r="AM11" s="5">
        <v>1727</v>
      </c>
      <c r="AN11" s="5">
        <v>1821</v>
      </c>
      <c r="AO11" s="5">
        <v>1821</v>
      </c>
      <c r="AP11" s="5">
        <v>2035</v>
      </c>
      <c r="AQ11" s="5">
        <v>2022</v>
      </c>
      <c r="AR11" s="5">
        <v>2038</v>
      </c>
      <c r="AS11" s="6"/>
      <c r="AT11" s="6"/>
      <c r="AU11" s="6"/>
      <c r="AV11" s="4"/>
      <c r="AW11" s="4"/>
      <c r="AX11" s="4"/>
      <c r="AY11" s="4"/>
      <c r="AZ11" s="4"/>
      <c r="BA11" s="4"/>
      <c r="BB11" s="4"/>
      <c r="BC11" s="4">
        <v>6417</v>
      </c>
      <c r="BD11" s="4">
        <v>6648</v>
      </c>
      <c r="BE11" s="4">
        <f t="shared" si="0"/>
        <v>7404</v>
      </c>
      <c r="BF11" s="4"/>
      <c r="BG11" s="4"/>
      <c r="BH11" s="4"/>
      <c r="BI11" s="4"/>
      <c r="BJ11" s="4"/>
      <c r="BK11" s="4"/>
    </row>
    <row r="12" spans="1:521" x14ac:dyDescent="0.3">
      <c r="B12" t="s">
        <v>527</v>
      </c>
      <c r="AE12" s="5">
        <v>55</v>
      </c>
      <c r="AF12" s="5">
        <v>39</v>
      </c>
      <c r="AG12" s="5">
        <v>18</v>
      </c>
      <c r="AH12" s="5">
        <v>7</v>
      </c>
      <c r="AI12" s="5">
        <v>8</v>
      </c>
      <c r="AJ12" s="5">
        <v>10</v>
      </c>
      <c r="AK12" s="5">
        <v>14</v>
      </c>
      <c r="AL12" s="5">
        <v>13</v>
      </c>
      <c r="AM12" s="5">
        <v>10</v>
      </c>
      <c r="AN12" s="5">
        <v>10</v>
      </c>
      <c r="AO12" s="5">
        <v>46</v>
      </c>
      <c r="AP12" s="5">
        <v>6</v>
      </c>
      <c r="AQ12" s="5">
        <v>3</v>
      </c>
      <c r="AR12" s="5">
        <v>6</v>
      </c>
      <c r="AS12" s="6"/>
      <c r="AT12" s="6"/>
      <c r="AU12" s="6"/>
      <c r="AV12" s="4"/>
      <c r="AW12" s="4"/>
      <c r="AX12" s="4"/>
      <c r="AY12" s="4"/>
      <c r="AZ12" s="4"/>
      <c r="BA12" s="4"/>
      <c r="BB12" s="4">
        <v>45</v>
      </c>
      <c r="BC12" s="4">
        <v>119</v>
      </c>
      <c r="BD12" s="4">
        <v>45</v>
      </c>
      <c r="BE12" s="4">
        <f t="shared" si="0"/>
        <v>72</v>
      </c>
      <c r="BF12" s="4"/>
      <c r="BG12" s="4"/>
      <c r="BH12" s="4"/>
      <c r="BI12" s="4"/>
      <c r="BJ12" s="4"/>
      <c r="BK12" s="4"/>
    </row>
    <row r="13" spans="1:521" x14ac:dyDescent="0.3"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6"/>
      <c r="AT13" s="6"/>
      <c r="AU13" s="6"/>
      <c r="AV13" s="4"/>
      <c r="AW13" s="4"/>
      <c r="AX13" s="4">
        <f t="shared" ref="AX13:BD13" si="1">SUM(AX3:AX12)</f>
        <v>0</v>
      </c>
      <c r="AY13" s="4">
        <f t="shared" si="1"/>
        <v>0</v>
      </c>
      <c r="AZ13" s="4">
        <f t="shared" si="1"/>
        <v>0</v>
      </c>
      <c r="BA13" s="4">
        <f t="shared" si="1"/>
        <v>0</v>
      </c>
      <c r="BB13" s="4">
        <f t="shared" si="1"/>
        <v>85762</v>
      </c>
      <c r="BC13" s="4">
        <f t="shared" si="1"/>
        <v>211915</v>
      </c>
      <c r="BD13" s="4">
        <f t="shared" si="1"/>
        <v>245122</v>
      </c>
      <c r="BE13" s="4">
        <f>SUM(BE3:BE12)</f>
        <v>281724</v>
      </c>
      <c r="BF13" s="4"/>
      <c r="BG13" s="4"/>
      <c r="BH13" s="4"/>
      <c r="BI13" s="4"/>
      <c r="BJ13" s="4"/>
      <c r="BK13" s="4"/>
    </row>
    <row r="14" spans="1:521" x14ac:dyDescent="0.3">
      <c r="B14" t="s">
        <v>528</v>
      </c>
      <c r="AE14" s="5"/>
      <c r="AF14" s="5"/>
      <c r="AG14" s="5"/>
      <c r="AH14" s="5"/>
      <c r="AS14" s="6"/>
      <c r="AT14" s="6"/>
      <c r="AU14" s="6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</row>
    <row r="15" spans="1:521" x14ac:dyDescent="0.3">
      <c r="B15" t="s">
        <v>518</v>
      </c>
      <c r="AE15" s="5"/>
      <c r="AF15" s="5"/>
      <c r="AG15" s="5"/>
      <c r="AH15" s="5"/>
      <c r="AI15" s="7">
        <f t="shared" ref="AI15:AR23" si="2">AI3/AE3-1</f>
        <v>0.20832218356970822</v>
      </c>
      <c r="AJ15" s="7">
        <f t="shared" si="2"/>
        <v>0.22389457906570076</v>
      </c>
      <c r="AK15" s="7">
        <f t="shared" si="2"/>
        <v>0.25199233953172295</v>
      </c>
      <c r="AL15" s="7">
        <f t="shared" si="2"/>
        <v>0.22637178051511753</v>
      </c>
      <c r="AM15" s="7">
        <f t="shared" si="2"/>
        <v>0.22660834902004212</v>
      </c>
      <c r="AN15" s="7">
        <f t="shared" si="2"/>
        <v>0.20635811603816911</v>
      </c>
      <c r="AO15" s="7">
        <f t="shared" si="2"/>
        <v>0.22180005921247403</v>
      </c>
      <c r="AP15" s="7">
        <f t="shared" si="2"/>
        <v>0.27279368123088155</v>
      </c>
      <c r="AQ15" s="7">
        <f t="shared" si="2"/>
        <v>0.30318212593094107</v>
      </c>
      <c r="AR15" s="7">
        <f t="shared" si="2"/>
        <v>0.30557083033712629</v>
      </c>
      <c r="AS15" s="6"/>
      <c r="AT15" s="6"/>
      <c r="AU15" s="6"/>
      <c r="AV15" s="4"/>
      <c r="AW15" s="4"/>
      <c r="AX15" s="4"/>
      <c r="AY15" s="4"/>
      <c r="AZ15" s="4"/>
      <c r="BA15" s="4"/>
      <c r="BB15" s="4"/>
      <c r="BC15" s="4"/>
      <c r="BD15" s="8">
        <f t="shared" ref="BD15:BE23" si="3">BD3/BC3-1</f>
        <v>0.22799083175657997</v>
      </c>
      <c r="BE15" s="8">
        <f>BE3/BD3-1</f>
        <v>0.23308864057724099</v>
      </c>
      <c r="BF15" s="4"/>
      <c r="BG15" s="4"/>
      <c r="BH15" s="4"/>
      <c r="BI15" s="4"/>
      <c r="BJ15" s="4"/>
      <c r="BK15" s="4"/>
    </row>
    <row r="16" spans="1:521" x14ac:dyDescent="0.3">
      <c r="B16" t="s">
        <v>519</v>
      </c>
      <c r="AE16" s="5"/>
      <c r="AF16" s="5"/>
      <c r="AG16" s="5"/>
      <c r="AH16" s="5"/>
      <c r="AI16" s="7">
        <f t="shared" si="2"/>
        <v>0.16397884143981423</v>
      </c>
      <c r="AJ16" s="7">
        <f t="shared" si="2"/>
        <v>0.16146823887409667</v>
      </c>
      <c r="AK16" s="7">
        <f t="shared" si="2"/>
        <v>0.14637976155859267</v>
      </c>
      <c r="AL16" s="7">
        <f t="shared" si="2"/>
        <v>0.13064184435544979</v>
      </c>
      <c r="AM16" s="7">
        <f t="shared" si="2"/>
        <v>0.13328530259366</v>
      </c>
      <c r="AN16" s="7">
        <f t="shared" si="2"/>
        <v>0.15261175700016372</v>
      </c>
      <c r="AO16" s="7">
        <f t="shared" si="2"/>
        <v>0.11013595779220786</v>
      </c>
      <c r="AP16" s="7">
        <f t="shared" si="2"/>
        <v>0.16398621481906961</v>
      </c>
      <c r="AQ16" s="7">
        <f t="shared" si="2"/>
        <v>0.17198885031052868</v>
      </c>
      <c r="AR16" s="7">
        <f>AR4/AN4-1</f>
        <v>0.16133920537955193</v>
      </c>
      <c r="AS16" s="6"/>
      <c r="AT16" s="6"/>
      <c r="AU16" s="6"/>
      <c r="AV16" s="4"/>
      <c r="AW16" s="4"/>
      <c r="AX16" s="4"/>
      <c r="AY16" s="4"/>
      <c r="AZ16" s="4"/>
      <c r="BA16" s="4"/>
      <c r="BB16" s="4"/>
      <c r="BC16" s="4"/>
      <c r="BD16" s="8">
        <f t="shared" si="3"/>
        <v>0.14966616379632258</v>
      </c>
      <c r="BE16" s="8">
        <f t="shared" si="3"/>
        <v>0.14029024672270651</v>
      </c>
      <c r="BF16" s="4"/>
      <c r="BG16" s="4"/>
      <c r="BH16" s="4"/>
      <c r="BI16" s="4"/>
      <c r="BJ16" s="4"/>
      <c r="BK16" s="4"/>
    </row>
    <row r="17" spans="2:63" x14ac:dyDescent="0.3">
      <c r="B17" t="s">
        <v>520</v>
      </c>
      <c r="AE17" s="5"/>
      <c r="AF17" s="5"/>
      <c r="AG17" s="5"/>
      <c r="AH17" s="5"/>
      <c r="AI17" s="7">
        <f t="shared" si="2"/>
        <v>8.5595567867035927E-2</v>
      </c>
      <c r="AJ17" s="7">
        <f t="shared" si="2"/>
        <v>0.49453551912568305</v>
      </c>
      <c r="AK17" s="7">
        <f t="shared" si="2"/>
        <v>0.51122816745217636</v>
      </c>
      <c r="AL17" s="7">
        <f t="shared" si="2"/>
        <v>0.43855628759667709</v>
      </c>
      <c r="AM17" s="7">
        <f t="shared" si="2"/>
        <v>0.43429446287318196</v>
      </c>
      <c r="AN17" s="7">
        <f t="shared" si="2"/>
        <v>-7.4532414568977634E-2</v>
      </c>
      <c r="AO17" s="7">
        <f t="shared" si="2"/>
        <v>4.9532195927352696E-2</v>
      </c>
      <c r="AP17" s="7">
        <f t="shared" si="2"/>
        <v>0.10155316606929521</v>
      </c>
      <c r="AQ17" s="7">
        <f t="shared" si="2"/>
        <v>-2.0103184486746084E-2</v>
      </c>
      <c r="AR17" s="7">
        <f t="shared" si="2"/>
        <v>-9.466646406321233E-2</v>
      </c>
      <c r="AS17" s="6"/>
      <c r="AT17" s="6"/>
      <c r="AU17" s="6"/>
      <c r="AV17" s="4"/>
      <c r="AW17" s="4"/>
      <c r="AX17" s="4"/>
      <c r="AY17" s="4"/>
      <c r="AZ17" s="4"/>
      <c r="BA17" s="4"/>
      <c r="BB17" s="4"/>
      <c r="BC17" s="4"/>
      <c r="BD17" s="8">
        <f t="shared" si="3"/>
        <v>0.39034010086641668</v>
      </c>
      <c r="BE17" s="8">
        <f t="shared" si="3"/>
        <v>9.077803097242243E-2</v>
      </c>
      <c r="BF17" s="4"/>
      <c r="BG17" s="4"/>
      <c r="BH17" s="4"/>
      <c r="BI17" s="4"/>
      <c r="BJ17" s="4"/>
      <c r="BK17" s="4"/>
    </row>
    <row r="18" spans="2:63" x14ac:dyDescent="0.3">
      <c r="B18" t="s">
        <v>521</v>
      </c>
      <c r="AE18" s="5"/>
      <c r="AF18" s="5"/>
      <c r="AG18" s="5"/>
      <c r="AH18" s="5"/>
      <c r="AI18" s="7">
        <f t="shared" si="2"/>
        <v>7.8555678059536893E-2</v>
      </c>
      <c r="AJ18" s="7">
        <f t="shared" si="2"/>
        <v>9.4442995043047206E-2</v>
      </c>
      <c r="AK18" s="7">
        <f t="shared" si="2"/>
        <v>9.6747745285597153E-2</v>
      </c>
      <c r="AL18" s="7">
        <f t="shared" si="2"/>
        <v>9.8733522874127733E-2</v>
      </c>
      <c r="AM18" s="7">
        <f t="shared" si="2"/>
        <v>9.685663174035275E-2</v>
      </c>
      <c r="AN18" s="7">
        <f t="shared" si="2"/>
        <v>9.3444576877234731E-2</v>
      </c>
      <c r="AO18" s="7">
        <f t="shared" si="2"/>
        <v>7.4258659357089529E-2</v>
      </c>
      <c r="AP18" s="7">
        <f t="shared" si="2"/>
        <v>8.727358268642682E-2</v>
      </c>
      <c r="AQ18" s="7">
        <f t="shared" si="2"/>
        <v>9.8322460391425892E-2</v>
      </c>
      <c r="AR18" s="7">
        <f t="shared" si="2"/>
        <v>0.1079136690647482</v>
      </c>
      <c r="AS18" s="6"/>
      <c r="AT18" s="6"/>
      <c r="AU18" s="6"/>
      <c r="AV18" s="4"/>
      <c r="AW18" s="4"/>
      <c r="AX18" s="4"/>
      <c r="AY18" s="4"/>
      <c r="AZ18" s="4"/>
      <c r="BA18" s="4"/>
      <c r="BB18" s="4"/>
      <c r="BC18" s="4"/>
      <c r="BD18" s="8">
        <f t="shared" si="3"/>
        <v>9.2267662952832064E-2</v>
      </c>
      <c r="BE18" s="8">
        <f t="shared" si="3"/>
        <v>8.7955045199120452E-2</v>
      </c>
      <c r="BF18" s="4"/>
      <c r="BG18" s="4"/>
      <c r="BH18" s="4"/>
      <c r="BI18" s="4"/>
      <c r="BJ18" s="4"/>
      <c r="BK18" s="4"/>
    </row>
    <row r="19" spans="2:63" x14ac:dyDescent="0.3">
      <c r="B19" t="s">
        <v>522</v>
      </c>
      <c r="AE19" s="5"/>
      <c r="AF19" s="5"/>
      <c r="AG19" s="5"/>
      <c r="AH19" s="5"/>
      <c r="AI19" s="7">
        <f t="shared" si="2"/>
        <v>-5.5083823209231442E-2</v>
      </c>
      <c r="AJ19" s="7">
        <f t="shared" si="2"/>
        <v>3.4131310737141485E-2</v>
      </c>
      <c r="AK19" s="7">
        <f t="shared" si="2"/>
        <v>1.4356435643564369E-2</v>
      </c>
      <c r="AL19" s="7">
        <f t="shared" si="2"/>
        <v>-1.6298020954598424E-2</v>
      </c>
      <c r="AM19" s="7">
        <f t="shared" si="2"/>
        <v>-2.5345622119815614E-3</v>
      </c>
      <c r="AN19" s="7">
        <f t="shared" si="2"/>
        <v>3.4150813660325463E-2</v>
      </c>
      <c r="AO19" s="7">
        <f t="shared" si="2"/>
        <v>1.1224987798926334E-2</v>
      </c>
      <c r="AP19" s="7">
        <f t="shared" si="2"/>
        <v>2.4615384615384706E-2</v>
      </c>
      <c r="AQ19" s="7">
        <f t="shared" si="2"/>
        <v>5.1282051282051322E-2</v>
      </c>
      <c r="AR19" s="7">
        <f t="shared" si="2"/>
        <v>-7.3138297872340496E-3</v>
      </c>
      <c r="AS19" s="6"/>
      <c r="AT19" s="6"/>
      <c r="AU19" s="6"/>
      <c r="AV19" s="4"/>
      <c r="AW19" s="4"/>
      <c r="AX19" s="4"/>
      <c r="AY19" s="4"/>
      <c r="AZ19" s="4"/>
      <c r="BA19" s="4"/>
      <c r="BB19" s="4"/>
      <c r="BC19" s="4"/>
      <c r="BD19" s="8">
        <f t="shared" si="3"/>
        <v>-7.0566279815711397E-3</v>
      </c>
      <c r="BE19" s="8">
        <f t="shared" si="3"/>
        <v>1.6915306002584174E-2</v>
      </c>
      <c r="BF19" s="4"/>
      <c r="BG19" s="4"/>
      <c r="BH19" s="4"/>
      <c r="BI19" s="4"/>
      <c r="BJ19" s="4"/>
      <c r="BK19" s="4"/>
    </row>
    <row r="20" spans="2:63" x14ac:dyDescent="0.3">
      <c r="B20" t="s">
        <v>523</v>
      </c>
      <c r="AE20" s="5"/>
      <c r="AF20" s="5"/>
      <c r="AG20" s="5"/>
      <c r="AH20" s="5"/>
      <c r="AI20" s="7">
        <f t="shared" si="2"/>
        <v>3.6045314109165894E-2</v>
      </c>
      <c r="AJ20" s="7">
        <f t="shared" si="2"/>
        <v>-1.277656590838272E-2</v>
      </c>
      <c r="AK20" s="7">
        <f t="shared" si="2"/>
        <v>6.9215557020434471E-3</v>
      </c>
      <c r="AL20" s="7">
        <f t="shared" si="2"/>
        <v>3.2334119232064751E-2</v>
      </c>
      <c r="AM20" s="7">
        <f t="shared" si="2"/>
        <v>6.8588469184890588E-2</v>
      </c>
      <c r="AN20" s="7">
        <f t="shared" si="2"/>
        <v>0.12310606060606055</v>
      </c>
      <c r="AO20" s="7">
        <f t="shared" si="2"/>
        <v>0.14697217675941077</v>
      </c>
      <c r="AP20" s="7">
        <f t="shared" si="2"/>
        <v>0.1716150081566068</v>
      </c>
      <c r="AQ20" s="7">
        <f t="shared" si="2"/>
        <v>0.14635658914728689</v>
      </c>
      <c r="AR20" s="7">
        <f t="shared" si="2"/>
        <v>7.1388420460933188E-2</v>
      </c>
      <c r="AS20" s="6"/>
      <c r="AT20" s="6"/>
      <c r="AU20" s="6"/>
      <c r="AV20" s="4"/>
      <c r="AW20" s="4"/>
      <c r="AX20" s="4"/>
      <c r="AY20" s="4"/>
      <c r="AZ20" s="4"/>
      <c r="BA20" s="4"/>
      <c r="BB20" s="4"/>
      <c r="BC20" s="4"/>
      <c r="BD20" s="8">
        <f t="shared" si="3"/>
        <v>1.492783505154649E-2</v>
      </c>
      <c r="BE20" s="8">
        <f t="shared" si="3"/>
        <v>0.12774256460263289</v>
      </c>
      <c r="BF20" s="4"/>
      <c r="BG20" s="4"/>
      <c r="BH20" s="4"/>
      <c r="BI20" s="4"/>
      <c r="BJ20" s="4"/>
      <c r="BK20" s="4"/>
    </row>
    <row r="21" spans="2:63" x14ac:dyDescent="0.3">
      <c r="B21" t="s">
        <v>524</v>
      </c>
      <c r="AE21" s="5"/>
      <c r="AF21" s="5"/>
      <c r="AG21" s="5"/>
      <c r="AH21" s="5"/>
      <c r="AI21" s="7">
        <f t="shared" si="2"/>
        <v>7.7760497667185291E-3</v>
      </c>
      <c r="AJ21" s="7">
        <f t="shared" si="2"/>
        <v>5.2438384897746104E-3</v>
      </c>
      <c r="AK21" s="7">
        <f t="shared" si="2"/>
        <v>-9.0864680019540844E-2</v>
      </c>
      <c r="AL21" s="7">
        <f t="shared" si="2"/>
        <v>-7.1888943976202269E-2</v>
      </c>
      <c r="AM21" s="7">
        <f t="shared" si="2"/>
        <v>-8.2304526748970819E-3</v>
      </c>
      <c r="AN21" s="7">
        <f t="shared" si="2"/>
        <v>-1.3041210224308819E-2</v>
      </c>
      <c r="AO21" s="7">
        <f t="shared" si="2"/>
        <v>3.6539494895217572E-2</v>
      </c>
      <c r="AP21" s="7">
        <f t="shared" si="2"/>
        <v>0.14102564102564097</v>
      </c>
      <c r="AQ21" s="7">
        <f t="shared" si="2"/>
        <v>0.14315352697095429</v>
      </c>
      <c r="AR21" s="7">
        <f t="shared" si="2"/>
        <v>0.2182875264270614</v>
      </c>
      <c r="AS21" s="6"/>
      <c r="AT21" s="6"/>
      <c r="AU21" s="6"/>
      <c r="AV21" s="4"/>
      <c r="AW21" s="4"/>
      <c r="AX21" s="4"/>
      <c r="AY21" s="4"/>
      <c r="AZ21" s="4"/>
      <c r="BA21" s="4"/>
      <c r="BB21" s="4"/>
      <c r="BC21" s="4"/>
      <c r="BD21" s="8">
        <f t="shared" si="3"/>
        <v>-3.8734177215189902E-2</v>
      </c>
      <c r="BE21" s="8">
        <f t="shared" si="3"/>
        <v>3.8319726099552254E-2</v>
      </c>
      <c r="BF21" s="4"/>
      <c r="BG21" s="4"/>
      <c r="BH21" s="4"/>
      <c r="BI21" s="4"/>
      <c r="BJ21" s="4"/>
      <c r="BK21" s="4"/>
    </row>
    <row r="22" spans="2:63" x14ac:dyDescent="0.3">
      <c r="B22" t="s">
        <v>525</v>
      </c>
      <c r="AE22" s="5"/>
      <c r="AF22" s="5"/>
      <c r="AG22" s="5"/>
      <c r="AH22" s="5"/>
      <c r="AI22" s="7">
        <f t="shared" si="2"/>
        <v>0.20892193308550189</v>
      </c>
      <c r="AJ22" s="7">
        <f t="shared" si="2"/>
        <v>0.19266714593817391</v>
      </c>
      <c r="AK22" s="7">
        <f t="shared" si="2"/>
        <v>0.17250673854447429</v>
      </c>
      <c r="AL22" s="7">
        <f t="shared" si="2"/>
        <v>0.14593908629441632</v>
      </c>
      <c r="AM22" s="7">
        <f t="shared" si="2"/>
        <v>0.13714637146371467</v>
      </c>
      <c r="AN22" s="7">
        <f t="shared" si="2"/>
        <v>0.15310427968655826</v>
      </c>
      <c r="AO22" s="7">
        <f t="shared" si="2"/>
        <v>0.11839080459770113</v>
      </c>
      <c r="AP22" s="7">
        <f t="shared" si="2"/>
        <v>0.10409745293466233</v>
      </c>
      <c r="AQ22" s="7">
        <f t="shared" si="2"/>
        <v>0.15521903731746889</v>
      </c>
      <c r="AR22" s="7">
        <f t="shared" si="2"/>
        <v>0.15211709357030845</v>
      </c>
      <c r="AS22" s="6"/>
      <c r="AT22" s="6"/>
      <c r="AU22" s="6"/>
      <c r="AV22" s="4"/>
      <c r="AW22" s="4"/>
      <c r="AX22" s="4"/>
      <c r="AY22" s="4"/>
      <c r="AZ22" s="4"/>
      <c r="BA22" s="4"/>
      <c r="BB22" s="4"/>
      <c r="BC22" s="4"/>
      <c r="BD22" s="8">
        <f t="shared" si="3"/>
        <v>0.1785714285714286</v>
      </c>
      <c r="BE22" s="8">
        <f t="shared" si="3"/>
        <v>0.12750695359391018</v>
      </c>
      <c r="BF22" s="4"/>
      <c r="BG22" s="4"/>
      <c r="BH22" s="4"/>
      <c r="BI22" s="4"/>
      <c r="BJ22" s="4"/>
      <c r="BK22" s="4"/>
    </row>
    <row r="23" spans="2:63" x14ac:dyDescent="0.3">
      <c r="B23" t="s">
        <v>526</v>
      </c>
      <c r="AE23" s="5"/>
      <c r="AF23" s="5"/>
      <c r="AG23" s="5"/>
      <c r="AH23" s="5"/>
      <c r="AI23" s="7">
        <f t="shared" si="2"/>
        <v>2.7517198248905528E-2</v>
      </c>
      <c r="AJ23" s="7">
        <f t="shared" si="2"/>
        <v>4.6105919003115226E-2</v>
      </c>
      <c r="AK23" s="7">
        <f t="shared" si="2"/>
        <v>3.9092055485498101E-2</v>
      </c>
      <c r="AL23" s="7">
        <f t="shared" si="2"/>
        <v>3.1346035648432746E-2</v>
      </c>
      <c r="AM23" s="7">
        <f t="shared" si="2"/>
        <v>5.1125989044430886E-2</v>
      </c>
      <c r="AN23" s="7">
        <f t="shared" si="2"/>
        <v>8.4574151280524035E-2</v>
      </c>
      <c r="AO23" s="7">
        <f t="shared" si="2"/>
        <v>0.10497572815533984</v>
      </c>
      <c r="AP23" s="7">
        <f t="shared" si="2"/>
        <v>0.21275327771156127</v>
      </c>
      <c r="AQ23" s="7">
        <f t="shared" si="2"/>
        <v>0.17081644470179502</v>
      </c>
      <c r="AR23" s="7">
        <f t="shared" si="2"/>
        <v>0.11916529379461838</v>
      </c>
      <c r="AS23" s="6"/>
      <c r="AT23" s="6"/>
      <c r="AU23" s="6"/>
      <c r="AV23" s="4"/>
      <c r="AW23" s="4"/>
      <c r="AX23" s="4"/>
      <c r="AY23" s="4"/>
      <c r="AZ23" s="4"/>
      <c r="BA23" s="4"/>
      <c r="BB23" s="4"/>
      <c r="BC23" s="4"/>
      <c r="BD23" s="8">
        <f t="shared" si="3"/>
        <v>3.5998129967274473E-2</v>
      </c>
      <c r="BE23" s="8">
        <f t="shared" si="3"/>
        <v>0.11371841155234663</v>
      </c>
      <c r="BF23" s="4"/>
      <c r="BG23" s="4"/>
      <c r="BH23" s="4"/>
      <c r="BI23" s="4"/>
      <c r="BJ23" s="4"/>
      <c r="BK23" s="4"/>
    </row>
    <row r="24" spans="2:63" x14ac:dyDescent="0.3"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6"/>
      <c r="AT24" s="6"/>
      <c r="AU24" s="6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</row>
    <row r="25" spans="2:63" x14ac:dyDescent="0.3"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</row>
    <row r="26" spans="2:63" x14ac:dyDescent="0.3">
      <c r="B26" s="9" t="s">
        <v>529</v>
      </c>
      <c r="C26" s="10">
        <v>15750</v>
      </c>
      <c r="D26" s="10">
        <v>19431</v>
      </c>
      <c r="E26" s="10">
        <v>15307</v>
      </c>
      <c r="F26" s="10">
        <v>16848</v>
      </c>
      <c r="G26" s="10">
        <v>14968</v>
      </c>
      <c r="H26" s="10">
        <v>18273</v>
      </c>
      <c r="I26" s="10">
        <v>14513</v>
      </c>
      <c r="J26" s="10">
        <v>16057</v>
      </c>
      <c r="K26" s="10">
        <v>14298</v>
      </c>
      <c r="L26" s="10">
        <v>17926</v>
      </c>
      <c r="M26" s="10">
        <v>15114</v>
      </c>
      <c r="N26" s="10">
        <v>17159</v>
      </c>
      <c r="O26" s="10">
        <v>17299</v>
      </c>
      <c r="P26" s="10">
        <v>16219</v>
      </c>
      <c r="Q26" s="10">
        <v>15448</v>
      </c>
      <c r="R26" s="10">
        <v>17103</v>
      </c>
      <c r="S26" s="10">
        <v>15768</v>
      </c>
      <c r="T26" s="10">
        <v>18255</v>
      </c>
      <c r="U26" s="10">
        <v>15871</v>
      </c>
      <c r="V26" s="10">
        <v>18147</v>
      </c>
      <c r="W26" s="10">
        <v>15803</v>
      </c>
      <c r="X26" s="10">
        <v>19460</v>
      </c>
      <c r="Y26" s="10">
        <v>16873</v>
      </c>
      <c r="Z26" s="10">
        <v>18938</v>
      </c>
      <c r="AA26" s="10">
        <v>16631</v>
      </c>
      <c r="AB26" s="10">
        <v>20779</v>
      </c>
      <c r="AC26" s="10">
        <v>17366</v>
      </c>
      <c r="AD26" s="10">
        <v>17956</v>
      </c>
      <c r="AE26" s="10">
        <v>15741</v>
      </c>
      <c r="AF26" s="10">
        <v>16517</v>
      </c>
      <c r="AG26" s="10">
        <v>15588</v>
      </c>
      <c r="AH26" s="10">
        <v>16853</v>
      </c>
      <c r="AI26" s="10">
        <v>15535</v>
      </c>
      <c r="AJ26" s="10">
        <v>18941</v>
      </c>
      <c r="AK26" s="10">
        <v>17080</v>
      </c>
      <c r="AL26" s="10">
        <v>13217</v>
      </c>
      <c r="AM26" s="10">
        <v>15272</v>
      </c>
      <c r="AN26" s="10">
        <v>16219</v>
      </c>
      <c r="AO26" s="10">
        <v>15319</v>
      </c>
      <c r="AP26" s="10">
        <v>17136</v>
      </c>
      <c r="AQ26" s="10">
        <v>15922</v>
      </c>
      <c r="AR26" s="10">
        <v>16451</v>
      </c>
      <c r="AS26" s="10"/>
      <c r="AT26" s="10"/>
      <c r="AU26" s="10"/>
      <c r="AV26" s="4">
        <v>67336</v>
      </c>
      <c r="AW26" s="4">
        <v>63811</v>
      </c>
      <c r="AX26" s="4">
        <v>64497</v>
      </c>
      <c r="AY26" s="4">
        <v>66069</v>
      </c>
      <c r="AZ26" s="4">
        <v>68041</v>
      </c>
      <c r="BA26" s="4">
        <v>71074</v>
      </c>
      <c r="BB26" s="4">
        <v>72732</v>
      </c>
      <c r="BC26" s="4">
        <v>64699</v>
      </c>
      <c r="BD26" s="4">
        <v>64773</v>
      </c>
      <c r="BE26" s="4">
        <f>AM26+AN26+AO26+AP26</f>
        <v>63946</v>
      </c>
      <c r="BF26" s="4"/>
      <c r="BG26" s="4"/>
      <c r="BH26" s="4"/>
      <c r="BI26" s="4"/>
      <c r="BJ26" s="4"/>
      <c r="BK26" s="4"/>
    </row>
    <row r="27" spans="2:63" x14ac:dyDescent="0.3">
      <c r="B27" s="9" t="s">
        <v>530</v>
      </c>
      <c r="C27" s="10">
        <v>5160</v>
      </c>
      <c r="D27" s="10">
        <v>5822</v>
      </c>
      <c r="E27" s="10">
        <v>6210</v>
      </c>
      <c r="F27" s="10">
        <v>6626</v>
      </c>
      <c r="G27" s="10">
        <v>6960</v>
      </c>
      <c r="H27" s="10">
        <v>7553</v>
      </c>
      <c r="I27" s="10">
        <v>8699</v>
      </c>
      <c r="J27" s="10">
        <v>9548</v>
      </c>
      <c r="K27" s="10">
        <v>10240</v>
      </c>
      <c r="L27" s="10">
        <v>10992</v>
      </c>
      <c r="M27" s="10">
        <v>11705</v>
      </c>
      <c r="N27" s="10">
        <v>12926</v>
      </c>
      <c r="O27" s="10">
        <v>11785</v>
      </c>
      <c r="P27" s="10">
        <v>16252</v>
      </c>
      <c r="Q27" s="10">
        <v>15123</v>
      </c>
      <c r="R27" s="10">
        <v>16614</v>
      </c>
      <c r="S27" s="10">
        <v>17287</v>
      </c>
      <c r="T27" s="10">
        <v>18651</v>
      </c>
      <c r="U27" s="10">
        <v>19150</v>
      </c>
      <c r="V27" s="10">
        <v>19886</v>
      </c>
      <c r="W27" s="10">
        <v>21351</v>
      </c>
      <c r="X27" s="10">
        <v>23616</v>
      </c>
      <c r="Y27" s="10">
        <v>24833</v>
      </c>
      <c r="Z27" s="10">
        <v>27214</v>
      </c>
      <c r="AA27" s="10">
        <v>28686</v>
      </c>
      <c r="AB27" s="10">
        <v>30949</v>
      </c>
      <c r="AC27" s="10">
        <v>31994</v>
      </c>
      <c r="AD27" s="10">
        <v>33909</v>
      </c>
      <c r="AE27" s="10">
        <v>34381</v>
      </c>
      <c r="AF27" s="10">
        <v>36230</v>
      </c>
      <c r="AG27" s="10">
        <v>37269</v>
      </c>
      <c r="AH27" s="10">
        <v>39336</v>
      </c>
      <c r="AI27" s="10">
        <v>40982</v>
      </c>
      <c r="AJ27" s="10">
        <v>43079</v>
      </c>
      <c r="AK27" s="10">
        <v>44778</v>
      </c>
      <c r="AL27" s="10">
        <v>51510</v>
      </c>
      <c r="AM27" s="10">
        <v>50313</v>
      </c>
      <c r="AN27" s="10">
        <v>53413</v>
      </c>
      <c r="AO27" s="10">
        <v>54747</v>
      </c>
      <c r="AP27" s="10">
        <v>59305</v>
      </c>
      <c r="AQ27" s="10">
        <v>61751</v>
      </c>
      <c r="AR27" s="10">
        <v>64822</v>
      </c>
      <c r="AS27" s="10"/>
      <c r="AT27" s="10"/>
      <c r="AU27" s="10"/>
      <c r="AV27" s="4">
        <v>23818</v>
      </c>
      <c r="AW27" s="4">
        <v>32760</v>
      </c>
      <c r="AX27" s="4">
        <v>45863</v>
      </c>
      <c r="AY27" s="4">
        <v>59774</v>
      </c>
      <c r="AZ27" s="4">
        <v>74974</v>
      </c>
      <c r="BA27" s="4">
        <v>97014</v>
      </c>
      <c r="BB27" s="4">
        <v>125538</v>
      </c>
      <c r="BC27" s="4">
        <v>147216</v>
      </c>
      <c r="BD27" s="4">
        <v>180349</v>
      </c>
      <c r="BE27" s="4">
        <f t="shared" ref="BE27:BE35" si="4">AM27+AN27+AO27+AP27</f>
        <v>217778</v>
      </c>
      <c r="BF27" s="4"/>
      <c r="BG27" s="4"/>
      <c r="BH27" s="4"/>
      <c r="BI27" s="4"/>
      <c r="BJ27" s="4"/>
      <c r="BK27" s="4"/>
    </row>
    <row r="28" spans="2:63" s="14" customFormat="1" x14ac:dyDescent="0.3">
      <c r="B28" s="11" t="s">
        <v>531</v>
      </c>
      <c r="C28" s="12">
        <f t="shared" ref="C28:AR28" si="5">SUM(C26:C27)</f>
        <v>20910</v>
      </c>
      <c r="D28" s="12">
        <f t="shared" si="5"/>
        <v>25253</v>
      </c>
      <c r="E28" s="12">
        <f t="shared" si="5"/>
        <v>21517</v>
      </c>
      <c r="F28" s="12">
        <f t="shared" si="5"/>
        <v>23474</v>
      </c>
      <c r="G28" s="12">
        <f t="shared" si="5"/>
        <v>21928</v>
      </c>
      <c r="H28" s="12">
        <f t="shared" si="5"/>
        <v>25826</v>
      </c>
      <c r="I28" s="12">
        <f t="shared" si="5"/>
        <v>23212</v>
      </c>
      <c r="J28" s="12">
        <f t="shared" si="5"/>
        <v>25605</v>
      </c>
      <c r="K28" s="12">
        <f t="shared" si="5"/>
        <v>24538</v>
      </c>
      <c r="L28" s="12">
        <f t="shared" si="5"/>
        <v>28918</v>
      </c>
      <c r="M28" s="12">
        <f t="shared" si="5"/>
        <v>26819</v>
      </c>
      <c r="N28" s="12">
        <f t="shared" si="5"/>
        <v>30085</v>
      </c>
      <c r="O28" s="12">
        <f t="shared" si="5"/>
        <v>29084</v>
      </c>
      <c r="P28" s="12">
        <f t="shared" si="5"/>
        <v>32471</v>
      </c>
      <c r="Q28" s="12">
        <f t="shared" si="5"/>
        <v>30571</v>
      </c>
      <c r="R28" s="12">
        <f t="shared" si="5"/>
        <v>33717</v>
      </c>
      <c r="S28" s="12">
        <f t="shared" si="5"/>
        <v>33055</v>
      </c>
      <c r="T28" s="12">
        <f t="shared" si="5"/>
        <v>36906</v>
      </c>
      <c r="U28" s="12">
        <f t="shared" si="5"/>
        <v>35021</v>
      </c>
      <c r="V28" s="12">
        <f t="shared" si="5"/>
        <v>38033</v>
      </c>
      <c r="W28" s="12">
        <f t="shared" si="5"/>
        <v>37154</v>
      </c>
      <c r="X28" s="12">
        <f t="shared" si="5"/>
        <v>43076</v>
      </c>
      <c r="Y28" s="12">
        <f t="shared" si="5"/>
        <v>41706</v>
      </c>
      <c r="Z28" s="12">
        <f t="shared" si="5"/>
        <v>46152</v>
      </c>
      <c r="AA28" s="12">
        <f t="shared" si="5"/>
        <v>45317</v>
      </c>
      <c r="AB28" s="12">
        <f t="shared" si="5"/>
        <v>51728</v>
      </c>
      <c r="AC28" s="12">
        <f t="shared" si="5"/>
        <v>49360</v>
      </c>
      <c r="AD28" s="12">
        <f t="shared" si="5"/>
        <v>51865</v>
      </c>
      <c r="AE28" s="12">
        <f t="shared" si="5"/>
        <v>50122</v>
      </c>
      <c r="AF28" s="12">
        <f t="shared" si="5"/>
        <v>52747</v>
      </c>
      <c r="AG28" s="12">
        <f t="shared" si="5"/>
        <v>52857</v>
      </c>
      <c r="AH28" s="12">
        <f t="shared" si="5"/>
        <v>56189</v>
      </c>
      <c r="AI28" s="12">
        <f t="shared" si="5"/>
        <v>56517</v>
      </c>
      <c r="AJ28" s="12">
        <f t="shared" si="5"/>
        <v>62020</v>
      </c>
      <c r="AK28" s="12">
        <f t="shared" si="5"/>
        <v>61858</v>
      </c>
      <c r="AL28" s="12">
        <f t="shared" si="5"/>
        <v>64727</v>
      </c>
      <c r="AM28" s="12">
        <f t="shared" si="5"/>
        <v>65585</v>
      </c>
      <c r="AN28" s="12">
        <f t="shared" si="5"/>
        <v>69632</v>
      </c>
      <c r="AO28" s="12">
        <f t="shared" si="5"/>
        <v>70066</v>
      </c>
      <c r="AP28" s="12">
        <f t="shared" si="5"/>
        <v>76441</v>
      </c>
      <c r="AQ28" s="12">
        <f t="shared" si="5"/>
        <v>77673</v>
      </c>
      <c r="AR28" s="12">
        <f t="shared" si="5"/>
        <v>81273</v>
      </c>
      <c r="AS28" s="12"/>
      <c r="AT28" s="12"/>
      <c r="AU28" s="12"/>
      <c r="AV28" s="13">
        <f>SUM(AV26:AV27)</f>
        <v>91154</v>
      </c>
      <c r="AW28" s="13">
        <f t="shared" ref="AW28:BD28" si="6">SUM(AW26:AW27)</f>
        <v>96571</v>
      </c>
      <c r="AX28" s="13">
        <f t="shared" si="6"/>
        <v>110360</v>
      </c>
      <c r="AY28" s="13">
        <f t="shared" si="6"/>
        <v>125843</v>
      </c>
      <c r="AZ28" s="13">
        <f t="shared" si="6"/>
        <v>143015</v>
      </c>
      <c r="BA28" s="13">
        <f t="shared" si="6"/>
        <v>168088</v>
      </c>
      <c r="BB28" s="13">
        <f t="shared" si="6"/>
        <v>198270</v>
      </c>
      <c r="BC28" s="13">
        <f t="shared" si="6"/>
        <v>211915</v>
      </c>
      <c r="BD28" s="13">
        <f t="shared" si="6"/>
        <v>245122</v>
      </c>
      <c r="BE28" s="13">
        <f>AM28+AN28+AO28+AP28</f>
        <v>281724</v>
      </c>
      <c r="BF28" s="13">
        <f>BE28*1.13</f>
        <v>318348.12</v>
      </c>
      <c r="BG28" s="13">
        <f t="shared" ref="BG28:BH28" si="7">BF28*1.1</f>
        <v>350182.93200000003</v>
      </c>
      <c r="BH28" s="13">
        <f t="shared" si="7"/>
        <v>385201.22520000004</v>
      </c>
      <c r="BI28" s="13"/>
      <c r="BJ28" s="13"/>
      <c r="BK28" s="13"/>
    </row>
    <row r="29" spans="2:63" x14ac:dyDescent="0.3">
      <c r="B29" s="9" t="s">
        <v>532</v>
      </c>
      <c r="C29" s="10">
        <v>4035</v>
      </c>
      <c r="D29" s="10">
        <v>6268</v>
      </c>
      <c r="E29" s="10">
        <v>3801</v>
      </c>
      <c r="F29" s="10">
        <v>3776</v>
      </c>
      <c r="G29" s="10">
        <v>3581</v>
      </c>
      <c r="H29" s="10">
        <v>5378</v>
      </c>
      <c r="I29" s="10">
        <v>3075</v>
      </c>
      <c r="J29" s="10">
        <v>3141</v>
      </c>
      <c r="K29" s="10">
        <v>2980</v>
      </c>
      <c r="L29" s="10">
        <v>5498</v>
      </c>
      <c r="M29" s="10">
        <v>3425</v>
      </c>
      <c r="N29" s="10">
        <v>3517</v>
      </c>
      <c r="O29" s="10">
        <v>3649</v>
      </c>
      <c r="P29" s="10">
        <v>5885</v>
      </c>
      <c r="Q29" s="10">
        <v>3441</v>
      </c>
      <c r="R29" s="10">
        <v>3298</v>
      </c>
      <c r="S29" s="10">
        <v>3305</v>
      </c>
      <c r="T29" s="10">
        <v>4966</v>
      </c>
      <c r="U29" s="10">
        <v>3376</v>
      </c>
      <c r="V29" s="10">
        <v>4370</v>
      </c>
      <c r="W29" s="10">
        <v>3597</v>
      </c>
      <c r="X29" s="10">
        <v>6058</v>
      </c>
      <c r="Y29" s="10">
        <v>4277</v>
      </c>
      <c r="Z29" s="10">
        <v>4287</v>
      </c>
      <c r="AA29" s="10">
        <v>3792</v>
      </c>
      <c r="AB29" s="10">
        <v>6331</v>
      </c>
      <c r="AC29" s="10">
        <v>4584</v>
      </c>
      <c r="AD29" s="10">
        <v>4357</v>
      </c>
      <c r="AE29" s="10">
        <v>4302</v>
      </c>
      <c r="AF29" s="10">
        <v>5690</v>
      </c>
      <c r="AG29" s="10">
        <v>3941</v>
      </c>
      <c r="AH29" s="10">
        <v>3871</v>
      </c>
      <c r="AI29" s="10">
        <v>3531</v>
      </c>
      <c r="AJ29" s="10">
        <v>5964</v>
      </c>
      <c r="AK29" s="10">
        <v>4339</v>
      </c>
      <c r="AL29" s="10">
        <v>1438</v>
      </c>
      <c r="AM29" s="10">
        <v>3294</v>
      </c>
      <c r="AN29" s="10">
        <v>3856</v>
      </c>
      <c r="AO29" s="10">
        <v>3037</v>
      </c>
      <c r="AP29" s="10">
        <v>3314</v>
      </c>
      <c r="AQ29" s="10">
        <v>2922</v>
      </c>
      <c r="AR29" s="10">
        <v>3505</v>
      </c>
      <c r="AS29" s="10"/>
      <c r="AT29" s="10"/>
      <c r="AU29" s="10"/>
      <c r="AV29" s="4">
        <v>17880</v>
      </c>
      <c r="AW29" s="4">
        <v>15175</v>
      </c>
      <c r="AX29" s="4">
        <v>15420</v>
      </c>
      <c r="AY29" s="4">
        <v>16273</v>
      </c>
      <c r="AZ29" s="4">
        <v>16017</v>
      </c>
      <c r="BA29" s="4">
        <v>18219</v>
      </c>
      <c r="BB29" s="4">
        <v>19064</v>
      </c>
      <c r="BC29" s="4">
        <v>17804</v>
      </c>
      <c r="BD29" s="4">
        <v>15272</v>
      </c>
      <c r="BE29" s="4">
        <f t="shared" si="4"/>
        <v>13501</v>
      </c>
      <c r="BF29" s="4"/>
      <c r="BG29" s="4"/>
      <c r="BH29" s="4"/>
      <c r="BI29" s="4"/>
      <c r="BJ29" s="4"/>
      <c r="BK29" s="4"/>
    </row>
    <row r="30" spans="2:63" x14ac:dyDescent="0.3">
      <c r="B30" s="9" t="s">
        <v>533</v>
      </c>
      <c r="C30" s="10">
        <v>3172</v>
      </c>
      <c r="D30" s="10">
        <v>3604</v>
      </c>
      <c r="E30" s="10">
        <v>3921</v>
      </c>
      <c r="F30" s="10">
        <v>4203</v>
      </c>
      <c r="G30" s="10">
        <v>4263</v>
      </c>
      <c r="H30" s="10">
        <v>4523</v>
      </c>
      <c r="I30" s="10">
        <v>4985</v>
      </c>
      <c r="J30" s="10">
        <v>5315</v>
      </c>
      <c r="K30" s="10">
        <v>5298</v>
      </c>
      <c r="L30" s="10">
        <v>5566</v>
      </c>
      <c r="M30" s="10">
        <v>5844</v>
      </c>
      <c r="N30" s="10">
        <v>6225</v>
      </c>
      <c r="O30" s="10">
        <v>6256</v>
      </c>
      <c r="P30" s="10">
        <v>6538</v>
      </c>
      <c r="Q30" s="10">
        <v>6729</v>
      </c>
      <c r="R30" s="10">
        <v>7114</v>
      </c>
      <c r="S30" s="10">
        <v>7101</v>
      </c>
      <c r="T30" s="10">
        <v>7392</v>
      </c>
      <c r="U30" s="10">
        <v>7599</v>
      </c>
      <c r="V30" s="10">
        <v>7969</v>
      </c>
      <c r="W30" s="10">
        <v>7405</v>
      </c>
      <c r="X30" s="10">
        <v>8136</v>
      </c>
      <c r="Y30" s="10">
        <v>8768</v>
      </c>
      <c r="Z30" s="10">
        <v>9704</v>
      </c>
      <c r="AA30" s="10">
        <v>9854</v>
      </c>
      <c r="AB30" s="10">
        <v>10629</v>
      </c>
      <c r="AC30" s="10">
        <v>11031</v>
      </c>
      <c r="AD30" s="10">
        <v>12072</v>
      </c>
      <c r="AE30" s="10">
        <v>11150</v>
      </c>
      <c r="AF30" s="10">
        <v>11798</v>
      </c>
      <c r="AG30" s="10">
        <v>12187</v>
      </c>
      <c r="AH30" s="10">
        <v>12924</v>
      </c>
      <c r="AI30" s="10">
        <v>12771</v>
      </c>
      <c r="AJ30" s="10">
        <v>13659</v>
      </c>
      <c r="AK30" s="10">
        <v>14166</v>
      </c>
      <c r="AL30" s="10">
        <v>18246</v>
      </c>
      <c r="AM30" s="10">
        <v>16805</v>
      </c>
      <c r="AN30" s="10">
        <v>17943</v>
      </c>
      <c r="AO30" s="10">
        <v>18882</v>
      </c>
      <c r="AP30" s="10">
        <v>20700</v>
      </c>
      <c r="AQ30" s="10">
        <v>21121</v>
      </c>
      <c r="AR30" s="10">
        <v>22473</v>
      </c>
      <c r="AS30" s="10"/>
      <c r="AT30" s="10"/>
      <c r="AU30" s="10"/>
      <c r="AV30" s="4">
        <v>14900</v>
      </c>
      <c r="AW30" s="4">
        <v>19086</v>
      </c>
      <c r="AX30" s="4">
        <v>22933</v>
      </c>
      <c r="AY30" s="4">
        <v>26637</v>
      </c>
      <c r="AZ30" s="4">
        <v>30061</v>
      </c>
      <c r="BA30" s="4">
        <v>34013</v>
      </c>
      <c r="BB30" s="4">
        <v>43586</v>
      </c>
      <c r="BC30" s="4">
        <v>48059</v>
      </c>
      <c r="BD30" s="4">
        <v>58842</v>
      </c>
      <c r="BE30" s="4">
        <f t="shared" si="4"/>
        <v>74330</v>
      </c>
      <c r="BF30" s="4"/>
      <c r="BG30" s="4"/>
      <c r="BH30" s="4"/>
      <c r="BI30" s="4"/>
      <c r="BJ30" s="4"/>
      <c r="BK30" s="4"/>
    </row>
    <row r="31" spans="2:63" s="14" customFormat="1" x14ac:dyDescent="0.3">
      <c r="B31" s="11" t="s">
        <v>534</v>
      </c>
      <c r="C31" s="12">
        <f t="shared" ref="C31:AF31" si="8">SUM(C29:C30)</f>
        <v>7207</v>
      </c>
      <c r="D31" s="12">
        <f t="shared" si="8"/>
        <v>9872</v>
      </c>
      <c r="E31" s="12">
        <f t="shared" si="8"/>
        <v>7722</v>
      </c>
      <c r="F31" s="12">
        <f t="shared" si="8"/>
        <v>7979</v>
      </c>
      <c r="G31" s="12">
        <f t="shared" si="8"/>
        <v>7844</v>
      </c>
      <c r="H31" s="12">
        <f t="shared" si="8"/>
        <v>9901</v>
      </c>
      <c r="I31" s="12">
        <f t="shared" si="8"/>
        <v>8060</v>
      </c>
      <c r="J31" s="12">
        <f t="shared" si="8"/>
        <v>8456</v>
      </c>
      <c r="K31" s="12">
        <f t="shared" si="8"/>
        <v>8278</v>
      </c>
      <c r="L31" s="12">
        <f t="shared" si="8"/>
        <v>11064</v>
      </c>
      <c r="M31" s="12">
        <f t="shared" si="8"/>
        <v>9269</v>
      </c>
      <c r="N31" s="12">
        <f t="shared" si="8"/>
        <v>9742</v>
      </c>
      <c r="O31" s="12">
        <f t="shared" si="8"/>
        <v>9905</v>
      </c>
      <c r="P31" s="12">
        <f t="shared" si="8"/>
        <v>12423</v>
      </c>
      <c r="Q31" s="12">
        <f t="shared" si="8"/>
        <v>10170</v>
      </c>
      <c r="R31" s="12">
        <f t="shared" si="8"/>
        <v>10412</v>
      </c>
      <c r="S31" s="12">
        <f t="shared" si="8"/>
        <v>10406</v>
      </c>
      <c r="T31" s="12">
        <f t="shared" si="8"/>
        <v>12358</v>
      </c>
      <c r="U31" s="12">
        <f t="shared" si="8"/>
        <v>10975</v>
      </c>
      <c r="V31" s="12">
        <f t="shared" si="8"/>
        <v>12339</v>
      </c>
      <c r="W31" s="12">
        <f t="shared" si="8"/>
        <v>11002</v>
      </c>
      <c r="X31" s="12">
        <f t="shared" si="8"/>
        <v>14194</v>
      </c>
      <c r="Y31" s="12">
        <f t="shared" si="8"/>
        <v>13045</v>
      </c>
      <c r="Z31" s="12">
        <f t="shared" si="8"/>
        <v>13991</v>
      </c>
      <c r="AA31" s="12">
        <f t="shared" si="8"/>
        <v>13646</v>
      </c>
      <c r="AB31" s="12">
        <f t="shared" si="8"/>
        <v>16960</v>
      </c>
      <c r="AC31" s="12">
        <f t="shared" si="8"/>
        <v>15615</v>
      </c>
      <c r="AD31" s="12">
        <f t="shared" si="8"/>
        <v>16429</v>
      </c>
      <c r="AE31" s="12">
        <f t="shared" si="8"/>
        <v>15452</v>
      </c>
      <c r="AF31" s="12">
        <f t="shared" si="8"/>
        <v>17488</v>
      </c>
      <c r="AG31" s="12">
        <f t="shared" ref="AG31:AR31" si="9">SUM(AG29:AG30)</f>
        <v>16128</v>
      </c>
      <c r="AH31" s="12">
        <f t="shared" si="9"/>
        <v>16795</v>
      </c>
      <c r="AI31" s="12">
        <f t="shared" si="9"/>
        <v>16302</v>
      </c>
      <c r="AJ31" s="12">
        <f t="shared" si="9"/>
        <v>19623</v>
      </c>
      <c r="AK31" s="12">
        <f t="shared" si="9"/>
        <v>18505</v>
      </c>
      <c r="AL31" s="12">
        <f t="shared" si="9"/>
        <v>19684</v>
      </c>
      <c r="AM31" s="12">
        <f t="shared" si="9"/>
        <v>20099</v>
      </c>
      <c r="AN31" s="12">
        <f t="shared" si="9"/>
        <v>21799</v>
      </c>
      <c r="AO31" s="12">
        <f t="shared" si="9"/>
        <v>21919</v>
      </c>
      <c r="AP31" s="12">
        <f t="shared" si="9"/>
        <v>24014</v>
      </c>
      <c r="AQ31" s="12">
        <f t="shared" si="9"/>
        <v>24043</v>
      </c>
      <c r="AR31" s="12">
        <f t="shared" si="9"/>
        <v>25978</v>
      </c>
      <c r="AS31" s="12"/>
      <c r="AT31" s="12"/>
      <c r="AU31" s="12"/>
      <c r="AV31" s="13">
        <f>SUM(AV29:AV30)</f>
        <v>32780</v>
      </c>
      <c r="AW31" s="13">
        <f t="shared" ref="AW31:BE31" si="10">SUM(AW29:AW30)</f>
        <v>34261</v>
      </c>
      <c r="AX31" s="13">
        <f t="shared" si="10"/>
        <v>38353</v>
      </c>
      <c r="AY31" s="13">
        <f t="shared" si="10"/>
        <v>42910</v>
      </c>
      <c r="AZ31" s="13">
        <f t="shared" si="10"/>
        <v>46078</v>
      </c>
      <c r="BA31" s="13">
        <f t="shared" si="10"/>
        <v>52232</v>
      </c>
      <c r="BB31" s="13">
        <f t="shared" si="10"/>
        <v>62650</v>
      </c>
      <c r="BC31" s="13">
        <f t="shared" si="10"/>
        <v>65863</v>
      </c>
      <c r="BD31" s="13">
        <f t="shared" si="10"/>
        <v>74114</v>
      </c>
      <c r="BE31" s="13">
        <f t="shared" si="10"/>
        <v>87831</v>
      </c>
      <c r="BF31" s="13"/>
      <c r="BG31" s="13"/>
      <c r="BH31" s="13"/>
      <c r="BI31" s="13"/>
      <c r="BJ31" s="13"/>
      <c r="BK31" s="13"/>
    </row>
    <row r="32" spans="2:63" s="14" customFormat="1" x14ac:dyDescent="0.3">
      <c r="B32" s="11" t="s">
        <v>535</v>
      </c>
      <c r="C32" s="12">
        <f t="shared" ref="C32:AR32" si="11">C28-C31</f>
        <v>13703</v>
      </c>
      <c r="D32" s="12">
        <f t="shared" si="11"/>
        <v>15381</v>
      </c>
      <c r="E32" s="12">
        <f t="shared" si="11"/>
        <v>13795</v>
      </c>
      <c r="F32" s="12">
        <f t="shared" si="11"/>
        <v>15495</v>
      </c>
      <c r="G32" s="12">
        <f t="shared" si="11"/>
        <v>14084</v>
      </c>
      <c r="H32" s="12">
        <f t="shared" si="11"/>
        <v>15925</v>
      </c>
      <c r="I32" s="12">
        <f t="shared" si="11"/>
        <v>15152</v>
      </c>
      <c r="J32" s="12">
        <f t="shared" si="11"/>
        <v>17149</v>
      </c>
      <c r="K32" s="12">
        <f t="shared" si="11"/>
        <v>16260</v>
      </c>
      <c r="L32" s="12">
        <f t="shared" si="11"/>
        <v>17854</v>
      </c>
      <c r="M32" s="12">
        <f t="shared" si="11"/>
        <v>17550</v>
      </c>
      <c r="N32" s="12">
        <f t="shared" si="11"/>
        <v>20343</v>
      </c>
      <c r="O32" s="12">
        <f t="shared" si="11"/>
        <v>19179</v>
      </c>
      <c r="P32" s="12">
        <f t="shared" si="11"/>
        <v>20048</v>
      </c>
      <c r="Q32" s="12">
        <f t="shared" si="11"/>
        <v>20401</v>
      </c>
      <c r="R32" s="12">
        <f t="shared" si="11"/>
        <v>23305</v>
      </c>
      <c r="S32" s="12">
        <f t="shared" si="11"/>
        <v>22649</v>
      </c>
      <c r="T32" s="12">
        <f t="shared" si="11"/>
        <v>24548</v>
      </c>
      <c r="U32" s="12">
        <f t="shared" si="11"/>
        <v>24046</v>
      </c>
      <c r="V32" s="12">
        <f t="shared" si="11"/>
        <v>25694</v>
      </c>
      <c r="W32" s="12">
        <f t="shared" si="11"/>
        <v>26152</v>
      </c>
      <c r="X32" s="12">
        <f t="shared" si="11"/>
        <v>28882</v>
      </c>
      <c r="Y32" s="12">
        <f t="shared" si="11"/>
        <v>28661</v>
      </c>
      <c r="Z32" s="12">
        <f t="shared" si="11"/>
        <v>32161</v>
      </c>
      <c r="AA32" s="12">
        <f t="shared" si="11"/>
        <v>31671</v>
      </c>
      <c r="AB32" s="12">
        <f t="shared" si="11"/>
        <v>34768</v>
      </c>
      <c r="AC32" s="12">
        <f t="shared" si="11"/>
        <v>33745</v>
      </c>
      <c r="AD32" s="12">
        <f t="shared" si="11"/>
        <v>35436</v>
      </c>
      <c r="AE32" s="12">
        <f t="shared" si="11"/>
        <v>34670</v>
      </c>
      <c r="AF32" s="12">
        <f t="shared" si="11"/>
        <v>35259</v>
      </c>
      <c r="AG32" s="12">
        <f t="shared" si="11"/>
        <v>36729</v>
      </c>
      <c r="AH32" s="12">
        <f t="shared" si="11"/>
        <v>39394</v>
      </c>
      <c r="AI32" s="12">
        <f t="shared" si="11"/>
        <v>40215</v>
      </c>
      <c r="AJ32" s="12">
        <f t="shared" si="11"/>
        <v>42397</v>
      </c>
      <c r="AK32" s="12">
        <f t="shared" si="11"/>
        <v>43353</v>
      </c>
      <c r="AL32" s="12">
        <f t="shared" si="11"/>
        <v>45043</v>
      </c>
      <c r="AM32" s="12">
        <f t="shared" si="11"/>
        <v>45486</v>
      </c>
      <c r="AN32" s="12">
        <f t="shared" si="11"/>
        <v>47833</v>
      </c>
      <c r="AO32" s="12">
        <f t="shared" si="11"/>
        <v>48147</v>
      </c>
      <c r="AP32" s="12">
        <f t="shared" si="11"/>
        <v>52427</v>
      </c>
      <c r="AQ32" s="12">
        <f t="shared" si="11"/>
        <v>53630</v>
      </c>
      <c r="AR32" s="12">
        <f t="shared" si="11"/>
        <v>55295</v>
      </c>
      <c r="AS32" s="12"/>
      <c r="AT32" s="12"/>
      <c r="AU32" s="12"/>
      <c r="AV32" s="13">
        <f>AV28-AV31</f>
        <v>58374</v>
      </c>
      <c r="AW32" s="13">
        <f t="shared" ref="AW32:BE32" si="12">AW28-AW31</f>
        <v>62310</v>
      </c>
      <c r="AX32" s="13">
        <f t="shared" si="12"/>
        <v>72007</v>
      </c>
      <c r="AY32" s="13">
        <f t="shared" si="12"/>
        <v>82933</v>
      </c>
      <c r="AZ32" s="13">
        <f t="shared" si="12"/>
        <v>96937</v>
      </c>
      <c r="BA32" s="13">
        <f t="shared" si="12"/>
        <v>115856</v>
      </c>
      <c r="BB32" s="13">
        <f t="shared" si="12"/>
        <v>135620</v>
      </c>
      <c r="BC32" s="13">
        <f t="shared" si="12"/>
        <v>146052</v>
      </c>
      <c r="BD32" s="13">
        <f t="shared" si="12"/>
        <v>171008</v>
      </c>
      <c r="BE32" s="13">
        <f t="shared" si="12"/>
        <v>193893</v>
      </c>
      <c r="BF32" s="13">
        <f t="shared" ref="BF32:BH32" si="13">BF28*0.7</f>
        <v>222843.68399999998</v>
      </c>
      <c r="BG32" s="13">
        <f t="shared" si="13"/>
        <v>245128.05240000002</v>
      </c>
      <c r="BH32" s="13">
        <f t="shared" si="13"/>
        <v>269640.85764</v>
      </c>
      <c r="BI32" s="13"/>
      <c r="BJ32" s="13"/>
      <c r="BK32" s="13"/>
    </row>
    <row r="33" spans="2:521" ht="15" x14ac:dyDescent="0.35">
      <c r="B33" s="9" t="s">
        <v>536</v>
      </c>
      <c r="C33" s="15">
        <v>2962</v>
      </c>
      <c r="D33" s="15">
        <v>2900</v>
      </c>
      <c r="E33" s="15">
        <v>2980</v>
      </c>
      <c r="F33" s="15">
        <v>3146</v>
      </c>
      <c r="G33" s="15">
        <v>3106</v>
      </c>
      <c r="H33" s="15">
        <v>3062</v>
      </c>
      <c r="I33" s="15">
        <v>3355</v>
      </c>
      <c r="J33" s="15">
        <v>3514</v>
      </c>
      <c r="K33" s="15">
        <v>3574</v>
      </c>
      <c r="L33" s="15">
        <v>3504</v>
      </c>
      <c r="M33" s="15">
        <v>3715</v>
      </c>
      <c r="N33" s="15">
        <v>3933</v>
      </c>
      <c r="O33" s="15">
        <v>3977</v>
      </c>
      <c r="P33" s="15">
        <v>4070</v>
      </c>
      <c r="Q33" s="15">
        <v>4316</v>
      </c>
      <c r="R33" s="15">
        <v>4513</v>
      </c>
      <c r="S33" s="15">
        <v>4565</v>
      </c>
      <c r="T33" s="15">
        <v>4603</v>
      </c>
      <c r="U33" s="15">
        <v>4887</v>
      </c>
      <c r="V33" s="15">
        <v>5214</v>
      </c>
      <c r="W33" s="15">
        <v>4926</v>
      </c>
      <c r="X33" s="15">
        <v>4899</v>
      </c>
      <c r="Y33" s="15">
        <v>5204</v>
      </c>
      <c r="Z33" s="15">
        <v>5687</v>
      </c>
      <c r="AA33" s="15">
        <v>5599</v>
      </c>
      <c r="AB33" s="15">
        <v>5758</v>
      </c>
      <c r="AC33" s="15">
        <v>6306</v>
      </c>
      <c r="AD33" s="15">
        <v>6849</v>
      </c>
      <c r="AE33" s="15">
        <v>6628</v>
      </c>
      <c r="AF33" s="15">
        <v>6844</v>
      </c>
      <c r="AG33" s="10">
        <v>6984</v>
      </c>
      <c r="AH33" s="10">
        <v>6739</v>
      </c>
      <c r="AI33" s="10">
        <v>6659</v>
      </c>
      <c r="AJ33" s="10">
        <v>7142</v>
      </c>
      <c r="AK33" s="10">
        <v>7653</v>
      </c>
      <c r="AL33" s="10">
        <v>805</v>
      </c>
      <c r="AM33" s="10">
        <v>7544</v>
      </c>
      <c r="AN33" s="10">
        <v>7917</v>
      </c>
      <c r="AO33" s="10">
        <v>8198</v>
      </c>
      <c r="AP33" s="10">
        <v>8829</v>
      </c>
      <c r="AQ33" s="10">
        <v>8146</v>
      </c>
      <c r="AR33" s="10">
        <v>8504</v>
      </c>
      <c r="AS33" s="10"/>
      <c r="AT33" s="10"/>
      <c r="AU33" s="10"/>
      <c r="AV33" s="4">
        <v>11988</v>
      </c>
      <c r="AW33" s="4">
        <v>13037</v>
      </c>
      <c r="AX33" s="4">
        <v>14726</v>
      </c>
      <c r="AY33" s="4">
        <v>16876</v>
      </c>
      <c r="AZ33" s="4">
        <v>19269</v>
      </c>
      <c r="BA33" s="4">
        <v>20716</v>
      </c>
      <c r="BB33" s="4">
        <v>24512</v>
      </c>
      <c r="BC33" s="4">
        <v>27195</v>
      </c>
      <c r="BD33" s="4">
        <v>29510</v>
      </c>
      <c r="BE33" s="4">
        <f t="shared" si="4"/>
        <v>32488</v>
      </c>
      <c r="BF33" s="4"/>
      <c r="BG33" s="4"/>
      <c r="BH33" s="4"/>
      <c r="BI33" s="4"/>
      <c r="BJ33" s="4"/>
      <c r="BK33" s="4"/>
    </row>
    <row r="34" spans="2:521" ht="15" x14ac:dyDescent="0.35">
      <c r="B34" s="9" t="s">
        <v>537</v>
      </c>
      <c r="C34" s="15">
        <v>3341</v>
      </c>
      <c r="D34" s="15">
        <v>3954</v>
      </c>
      <c r="E34" s="15">
        <v>3398</v>
      </c>
      <c r="F34" s="15">
        <v>3942</v>
      </c>
      <c r="G34" s="15">
        <v>3218</v>
      </c>
      <c r="H34" s="15">
        <v>4079</v>
      </c>
      <c r="I34" s="15">
        <v>3872</v>
      </c>
      <c r="J34" s="15">
        <v>4292</v>
      </c>
      <c r="K34" s="15">
        <v>3812</v>
      </c>
      <c r="L34" s="15">
        <v>4562</v>
      </c>
      <c r="M34" s="15">
        <v>4335</v>
      </c>
      <c r="N34" s="15">
        <v>4760</v>
      </c>
      <c r="O34" s="15">
        <v>4098</v>
      </c>
      <c r="P34" s="15">
        <v>4588</v>
      </c>
      <c r="Q34" s="15">
        <v>4565</v>
      </c>
      <c r="R34" s="15">
        <v>4962</v>
      </c>
      <c r="S34" s="15">
        <v>4337</v>
      </c>
      <c r="T34" s="15">
        <v>4933</v>
      </c>
      <c r="U34" s="15">
        <v>4911</v>
      </c>
      <c r="V34" s="15">
        <v>5417</v>
      </c>
      <c r="W34" s="15">
        <v>4231</v>
      </c>
      <c r="X34" s="15">
        <v>4947</v>
      </c>
      <c r="Y34" s="15">
        <v>5082</v>
      </c>
      <c r="Z34" s="15">
        <v>5857</v>
      </c>
      <c r="AA34" s="15">
        <v>4547</v>
      </c>
      <c r="AB34" s="15">
        <v>5379</v>
      </c>
      <c r="AC34" s="15">
        <v>5595</v>
      </c>
      <c r="AD34" s="15">
        <v>6304</v>
      </c>
      <c r="AE34" s="15">
        <v>5126</v>
      </c>
      <c r="AF34" s="15">
        <v>5679</v>
      </c>
      <c r="AG34" s="10">
        <v>5750</v>
      </c>
      <c r="AH34" s="10">
        <v>6204</v>
      </c>
      <c r="AI34" s="10">
        <v>5187</v>
      </c>
      <c r="AJ34" s="10">
        <v>6246</v>
      </c>
      <c r="AK34" s="10">
        <v>6207</v>
      </c>
      <c r="AL34" s="10">
        <v>6816</v>
      </c>
      <c r="AM34" s="10">
        <v>5717</v>
      </c>
      <c r="AN34" s="10">
        <v>6440</v>
      </c>
      <c r="AO34" s="10">
        <v>6212</v>
      </c>
      <c r="AP34" s="10">
        <v>7285</v>
      </c>
      <c r="AQ34" s="10">
        <v>5717</v>
      </c>
      <c r="AR34" s="10">
        <v>6584</v>
      </c>
      <c r="AS34" s="10"/>
      <c r="AT34" s="10"/>
      <c r="AU34" s="10"/>
      <c r="AV34" s="4">
        <v>14635</v>
      </c>
      <c r="AW34" s="4">
        <v>15461</v>
      </c>
      <c r="AX34" s="4">
        <v>17469</v>
      </c>
      <c r="AY34" s="4">
        <v>18213</v>
      </c>
      <c r="AZ34" s="4">
        <v>19598</v>
      </c>
      <c r="BA34" s="4">
        <v>20117</v>
      </c>
      <c r="BB34" s="4">
        <v>21825</v>
      </c>
      <c r="BC34" s="4">
        <v>22759</v>
      </c>
      <c r="BD34" s="4">
        <v>24456</v>
      </c>
      <c r="BE34" s="4">
        <f t="shared" si="4"/>
        <v>25654</v>
      </c>
      <c r="BF34" s="4"/>
      <c r="BG34" s="4"/>
      <c r="BH34" s="4"/>
      <c r="BI34" s="4"/>
      <c r="BJ34" s="4"/>
      <c r="BK34" s="4"/>
    </row>
    <row r="35" spans="2:521" ht="15" x14ac:dyDescent="0.35">
      <c r="B35" s="9" t="s">
        <v>538</v>
      </c>
      <c r="C35" s="15">
        <v>1084</v>
      </c>
      <c r="D35" s="15">
        <v>1038</v>
      </c>
      <c r="E35" s="15">
        <v>1140</v>
      </c>
      <c r="F35" s="15">
        <f>1301+1110</f>
        <v>2411</v>
      </c>
      <c r="G35" s="15">
        <v>1045</v>
      </c>
      <c r="H35" s="16">
        <v>879</v>
      </c>
      <c r="I35" s="15">
        <v>1202</v>
      </c>
      <c r="J35" s="15">
        <f>1355+306</f>
        <v>1661</v>
      </c>
      <c r="K35" s="15">
        <v>1166</v>
      </c>
      <c r="L35" s="15">
        <v>1109</v>
      </c>
      <c r="M35" s="15">
        <v>1208</v>
      </c>
      <c r="N35" s="15">
        <v>1271</v>
      </c>
      <c r="O35" s="15">
        <v>1149</v>
      </c>
      <c r="P35" s="15">
        <v>1132</v>
      </c>
      <c r="Q35" s="15">
        <v>1179</v>
      </c>
      <c r="R35" s="15">
        <v>1425</v>
      </c>
      <c r="S35" s="15">
        <v>1061</v>
      </c>
      <c r="T35" s="15">
        <v>1121</v>
      </c>
      <c r="U35" s="15">
        <v>1273</v>
      </c>
      <c r="V35" s="15">
        <v>1656</v>
      </c>
      <c r="W35" s="15">
        <v>1119</v>
      </c>
      <c r="X35" s="15">
        <v>1139</v>
      </c>
      <c r="Y35" s="15">
        <v>1327</v>
      </c>
      <c r="Z35" s="15">
        <v>1522</v>
      </c>
      <c r="AA35" s="15">
        <v>1287</v>
      </c>
      <c r="AB35" s="15">
        <v>1384</v>
      </c>
      <c r="AC35" s="15">
        <v>1480</v>
      </c>
      <c r="AD35" s="15">
        <v>1749</v>
      </c>
      <c r="AE35" s="15">
        <v>1398</v>
      </c>
      <c r="AF35" s="15">
        <v>2337</v>
      </c>
      <c r="AG35" s="10">
        <v>1643</v>
      </c>
      <c r="AH35" s="10">
        <v>2197</v>
      </c>
      <c r="AI35" s="10">
        <v>1474</v>
      </c>
      <c r="AJ35" s="10">
        <v>1977</v>
      </c>
      <c r="AK35" s="10">
        <v>1912</v>
      </c>
      <c r="AL35" s="10">
        <v>2246</v>
      </c>
      <c r="AM35" s="10">
        <v>1673</v>
      </c>
      <c r="AN35" s="10">
        <v>1823</v>
      </c>
      <c r="AO35" s="10">
        <v>1737</v>
      </c>
      <c r="AP35" s="10">
        <v>1990</v>
      </c>
      <c r="AQ35" s="10">
        <v>1806</v>
      </c>
      <c r="AR35" s="10">
        <v>1932</v>
      </c>
      <c r="AS35" s="10"/>
      <c r="AT35" s="10"/>
      <c r="AU35" s="10"/>
      <c r="AV35" s="4">
        <f>4563+1110</f>
        <v>5673</v>
      </c>
      <c r="AW35" s="4">
        <f>4481+306</f>
        <v>4787</v>
      </c>
      <c r="AX35" s="4">
        <v>4754</v>
      </c>
      <c r="AY35" s="4">
        <v>4885</v>
      </c>
      <c r="AZ35" s="4">
        <v>5111</v>
      </c>
      <c r="BA35" s="4">
        <v>5107</v>
      </c>
      <c r="BB35" s="4">
        <v>5900</v>
      </c>
      <c r="BC35" s="4">
        <v>7575</v>
      </c>
      <c r="BD35" s="4">
        <v>7609</v>
      </c>
      <c r="BE35" s="4">
        <f t="shared" si="4"/>
        <v>7223</v>
      </c>
      <c r="BF35" s="4"/>
      <c r="BG35" s="4"/>
      <c r="BH35" s="4"/>
      <c r="BI35" s="4"/>
      <c r="BJ35" s="4"/>
      <c r="BK35" s="4"/>
    </row>
    <row r="36" spans="2:521" s="14" customFormat="1" x14ac:dyDescent="0.3">
      <c r="B36" s="11" t="s">
        <v>539</v>
      </c>
      <c r="C36" s="12">
        <f t="shared" ref="C36:AF36" si="14">SUM(C33:C35)</f>
        <v>7387</v>
      </c>
      <c r="D36" s="12">
        <f t="shared" si="14"/>
        <v>7892</v>
      </c>
      <c r="E36" s="12">
        <f t="shared" si="14"/>
        <v>7518</v>
      </c>
      <c r="F36" s="12">
        <f t="shared" si="14"/>
        <v>9499</v>
      </c>
      <c r="G36" s="12">
        <f t="shared" si="14"/>
        <v>7369</v>
      </c>
      <c r="H36" s="12">
        <f t="shared" si="14"/>
        <v>8020</v>
      </c>
      <c r="I36" s="12">
        <f t="shared" si="14"/>
        <v>8429</v>
      </c>
      <c r="J36" s="12">
        <f t="shared" si="14"/>
        <v>9467</v>
      </c>
      <c r="K36" s="12">
        <f t="shared" si="14"/>
        <v>8552</v>
      </c>
      <c r="L36" s="12">
        <f t="shared" si="14"/>
        <v>9175</v>
      </c>
      <c r="M36" s="12">
        <f t="shared" si="14"/>
        <v>9258</v>
      </c>
      <c r="N36" s="12">
        <f t="shared" si="14"/>
        <v>9964</v>
      </c>
      <c r="O36" s="12">
        <f t="shared" si="14"/>
        <v>9224</v>
      </c>
      <c r="P36" s="12">
        <f t="shared" si="14"/>
        <v>9790</v>
      </c>
      <c r="Q36" s="12">
        <f t="shared" si="14"/>
        <v>10060</v>
      </c>
      <c r="R36" s="12">
        <f t="shared" si="14"/>
        <v>10900</v>
      </c>
      <c r="S36" s="12">
        <f t="shared" si="14"/>
        <v>9963</v>
      </c>
      <c r="T36" s="12">
        <f t="shared" si="14"/>
        <v>10657</v>
      </c>
      <c r="U36" s="12">
        <f t="shared" si="14"/>
        <v>11071</v>
      </c>
      <c r="V36" s="12">
        <f t="shared" si="14"/>
        <v>12287</v>
      </c>
      <c r="W36" s="12">
        <f t="shared" si="14"/>
        <v>10276</v>
      </c>
      <c r="X36" s="12">
        <f t="shared" si="14"/>
        <v>10985</v>
      </c>
      <c r="Y36" s="12">
        <f t="shared" si="14"/>
        <v>11613</v>
      </c>
      <c r="Z36" s="12">
        <f t="shared" si="14"/>
        <v>13066</v>
      </c>
      <c r="AA36" s="12">
        <f t="shared" si="14"/>
        <v>11433</v>
      </c>
      <c r="AB36" s="12">
        <f t="shared" si="14"/>
        <v>12521</v>
      </c>
      <c r="AC36" s="12">
        <f t="shared" si="14"/>
        <v>13381</v>
      </c>
      <c r="AD36" s="12">
        <f t="shared" si="14"/>
        <v>14902</v>
      </c>
      <c r="AE36" s="12">
        <f t="shared" si="14"/>
        <v>13152</v>
      </c>
      <c r="AF36" s="12">
        <f t="shared" si="14"/>
        <v>14860</v>
      </c>
      <c r="AG36" s="12">
        <f t="shared" ref="AG36:AR36" si="15">SUM(AG33:AG35)</f>
        <v>14377</v>
      </c>
      <c r="AH36" s="12">
        <f t="shared" si="15"/>
        <v>15140</v>
      </c>
      <c r="AI36" s="12">
        <f t="shared" si="15"/>
        <v>13320</v>
      </c>
      <c r="AJ36" s="12">
        <f t="shared" si="15"/>
        <v>15365</v>
      </c>
      <c r="AK36" s="12">
        <f t="shared" si="15"/>
        <v>15772</v>
      </c>
      <c r="AL36" s="12">
        <f t="shared" si="15"/>
        <v>9867</v>
      </c>
      <c r="AM36" s="12">
        <f t="shared" si="15"/>
        <v>14934</v>
      </c>
      <c r="AN36" s="12">
        <f t="shared" si="15"/>
        <v>16180</v>
      </c>
      <c r="AO36" s="12">
        <f t="shared" si="15"/>
        <v>16147</v>
      </c>
      <c r="AP36" s="12">
        <f t="shared" si="15"/>
        <v>18104</v>
      </c>
      <c r="AQ36" s="12">
        <f t="shared" si="15"/>
        <v>15669</v>
      </c>
      <c r="AR36" s="12">
        <f t="shared" si="15"/>
        <v>17020</v>
      </c>
      <c r="AS36" s="12"/>
      <c r="AT36" s="12"/>
      <c r="AU36" s="12"/>
      <c r="AV36" s="13">
        <f>SUM(AV33:AV35)</f>
        <v>32296</v>
      </c>
      <c r="AW36" s="13">
        <f t="shared" ref="AW36:BE36" si="16">SUM(AW33:AW35)</f>
        <v>33285</v>
      </c>
      <c r="AX36" s="13">
        <f t="shared" si="16"/>
        <v>36949</v>
      </c>
      <c r="AY36" s="13">
        <f t="shared" si="16"/>
        <v>39974</v>
      </c>
      <c r="AZ36" s="13">
        <f t="shared" si="16"/>
        <v>43978</v>
      </c>
      <c r="BA36" s="13">
        <f t="shared" si="16"/>
        <v>45940</v>
      </c>
      <c r="BB36" s="13">
        <f t="shared" si="16"/>
        <v>52237</v>
      </c>
      <c r="BC36" s="13">
        <f t="shared" si="16"/>
        <v>57529</v>
      </c>
      <c r="BD36" s="13">
        <f t="shared" si="16"/>
        <v>61575</v>
      </c>
      <c r="BE36" s="13">
        <f t="shared" si="16"/>
        <v>65365</v>
      </c>
      <c r="BF36" s="13">
        <f>BE36*1.05</f>
        <v>68633.25</v>
      </c>
      <c r="BG36" s="13">
        <f t="shared" ref="BG36:BH36" si="17">BF36*1.05</f>
        <v>72064.912500000006</v>
      </c>
      <c r="BH36" s="13">
        <f t="shared" si="17"/>
        <v>75668.158125000016</v>
      </c>
      <c r="BI36" s="13"/>
      <c r="BJ36" s="13"/>
      <c r="BK36" s="13"/>
    </row>
    <row r="37" spans="2:521" s="14" customFormat="1" x14ac:dyDescent="0.3">
      <c r="B37" s="11" t="s">
        <v>540</v>
      </c>
      <c r="C37" s="12">
        <f t="shared" ref="C37:AR37" si="18">C32-C36</f>
        <v>6316</v>
      </c>
      <c r="D37" s="12">
        <f t="shared" si="18"/>
        <v>7489</v>
      </c>
      <c r="E37" s="12">
        <f t="shared" si="18"/>
        <v>6277</v>
      </c>
      <c r="F37" s="12">
        <f t="shared" si="18"/>
        <v>5996</v>
      </c>
      <c r="G37" s="12">
        <f t="shared" si="18"/>
        <v>6715</v>
      </c>
      <c r="H37" s="12">
        <f t="shared" si="18"/>
        <v>7905</v>
      </c>
      <c r="I37" s="12">
        <f t="shared" si="18"/>
        <v>6723</v>
      </c>
      <c r="J37" s="12">
        <f t="shared" si="18"/>
        <v>7682</v>
      </c>
      <c r="K37" s="12">
        <f t="shared" si="18"/>
        <v>7708</v>
      </c>
      <c r="L37" s="12">
        <f t="shared" si="18"/>
        <v>8679</v>
      </c>
      <c r="M37" s="12">
        <f t="shared" si="18"/>
        <v>8292</v>
      </c>
      <c r="N37" s="12">
        <f t="shared" si="18"/>
        <v>10379</v>
      </c>
      <c r="O37" s="12">
        <f t="shared" si="18"/>
        <v>9955</v>
      </c>
      <c r="P37" s="12">
        <f t="shared" si="18"/>
        <v>10258</v>
      </c>
      <c r="Q37" s="12">
        <f t="shared" si="18"/>
        <v>10341</v>
      </c>
      <c r="R37" s="12">
        <f t="shared" si="18"/>
        <v>12405</v>
      </c>
      <c r="S37" s="12">
        <f t="shared" si="18"/>
        <v>12686</v>
      </c>
      <c r="T37" s="12">
        <f t="shared" si="18"/>
        <v>13891</v>
      </c>
      <c r="U37" s="12">
        <f t="shared" si="18"/>
        <v>12975</v>
      </c>
      <c r="V37" s="12">
        <f t="shared" si="18"/>
        <v>13407</v>
      </c>
      <c r="W37" s="12">
        <f t="shared" si="18"/>
        <v>15876</v>
      </c>
      <c r="X37" s="12">
        <f t="shared" si="18"/>
        <v>17897</v>
      </c>
      <c r="Y37" s="12">
        <f t="shared" si="18"/>
        <v>17048</v>
      </c>
      <c r="Z37" s="12">
        <f t="shared" si="18"/>
        <v>19095</v>
      </c>
      <c r="AA37" s="12">
        <f t="shared" si="18"/>
        <v>20238</v>
      </c>
      <c r="AB37" s="12">
        <f t="shared" si="18"/>
        <v>22247</v>
      </c>
      <c r="AC37" s="12">
        <f t="shared" si="18"/>
        <v>20364</v>
      </c>
      <c r="AD37" s="12">
        <f t="shared" si="18"/>
        <v>20534</v>
      </c>
      <c r="AE37" s="12">
        <f t="shared" si="18"/>
        <v>21518</v>
      </c>
      <c r="AF37" s="12">
        <f t="shared" si="18"/>
        <v>20399</v>
      </c>
      <c r="AG37" s="12">
        <f t="shared" si="18"/>
        <v>22352</v>
      </c>
      <c r="AH37" s="12">
        <f t="shared" si="18"/>
        <v>24254</v>
      </c>
      <c r="AI37" s="12">
        <f t="shared" si="18"/>
        <v>26895</v>
      </c>
      <c r="AJ37" s="12">
        <f t="shared" si="18"/>
        <v>27032</v>
      </c>
      <c r="AK37" s="12">
        <f t="shared" si="18"/>
        <v>27581</v>
      </c>
      <c r="AL37" s="12">
        <f t="shared" si="18"/>
        <v>35176</v>
      </c>
      <c r="AM37" s="12">
        <f t="shared" si="18"/>
        <v>30552</v>
      </c>
      <c r="AN37" s="12">
        <f t="shared" si="18"/>
        <v>31653</v>
      </c>
      <c r="AO37" s="12">
        <f t="shared" si="18"/>
        <v>32000</v>
      </c>
      <c r="AP37" s="12">
        <f t="shared" si="18"/>
        <v>34323</v>
      </c>
      <c r="AQ37" s="12">
        <f t="shared" si="18"/>
        <v>37961</v>
      </c>
      <c r="AR37" s="12">
        <f t="shared" si="18"/>
        <v>38275</v>
      </c>
      <c r="AS37" s="12"/>
      <c r="AT37" s="12"/>
      <c r="AU37" s="12"/>
      <c r="AV37" s="13">
        <f>AV32-AV36</f>
        <v>26078</v>
      </c>
      <c r="AW37" s="13">
        <f t="shared" ref="AW37:BH37" si="19">AW32-AW36</f>
        <v>29025</v>
      </c>
      <c r="AX37" s="13">
        <f t="shared" si="19"/>
        <v>35058</v>
      </c>
      <c r="AY37" s="13">
        <f t="shared" si="19"/>
        <v>42959</v>
      </c>
      <c r="AZ37" s="13">
        <f t="shared" si="19"/>
        <v>52959</v>
      </c>
      <c r="BA37" s="13">
        <f t="shared" si="19"/>
        <v>69916</v>
      </c>
      <c r="BB37" s="13">
        <f t="shared" si="19"/>
        <v>83383</v>
      </c>
      <c r="BC37" s="13">
        <f t="shared" si="19"/>
        <v>88523</v>
      </c>
      <c r="BD37" s="13">
        <f t="shared" si="19"/>
        <v>109433</v>
      </c>
      <c r="BE37" s="13">
        <f t="shared" si="19"/>
        <v>128528</v>
      </c>
      <c r="BF37" s="13">
        <f t="shared" si="19"/>
        <v>154210.43399999998</v>
      </c>
      <c r="BG37" s="13">
        <f t="shared" si="19"/>
        <v>173063.13990000001</v>
      </c>
      <c r="BH37" s="13">
        <f t="shared" si="19"/>
        <v>193972.69951499999</v>
      </c>
      <c r="BI37" s="13"/>
      <c r="BJ37" s="13"/>
      <c r="BK37" s="13"/>
    </row>
    <row r="38" spans="2:521" x14ac:dyDescent="0.3">
      <c r="B38" s="9" t="s">
        <v>541</v>
      </c>
      <c r="C38" s="10">
        <v>-295</v>
      </c>
      <c r="D38" s="10">
        <v>-176</v>
      </c>
      <c r="E38" s="10">
        <v>-212</v>
      </c>
      <c r="F38" s="10">
        <v>244</v>
      </c>
      <c r="G38" s="10">
        <v>112</v>
      </c>
      <c r="H38" s="10">
        <v>117</v>
      </c>
      <c r="I38" s="10">
        <v>371</v>
      </c>
      <c r="J38" s="10">
        <v>276</v>
      </c>
      <c r="K38" s="10">
        <v>276</v>
      </c>
      <c r="L38" s="10">
        <v>490</v>
      </c>
      <c r="M38" s="10">
        <v>349</v>
      </c>
      <c r="N38" s="10">
        <v>301</v>
      </c>
      <c r="O38" s="10">
        <v>266</v>
      </c>
      <c r="P38" s="10">
        <v>127</v>
      </c>
      <c r="Q38" s="10">
        <v>145</v>
      </c>
      <c r="R38" s="10">
        <v>191</v>
      </c>
      <c r="S38" s="10">
        <v>0</v>
      </c>
      <c r="T38" s="10">
        <v>194</v>
      </c>
      <c r="U38" s="10">
        <v>-132</v>
      </c>
      <c r="V38" s="10">
        <v>15</v>
      </c>
      <c r="W38" s="10">
        <v>248</v>
      </c>
      <c r="X38" s="10">
        <v>440</v>
      </c>
      <c r="Y38" s="10">
        <v>188</v>
      </c>
      <c r="Z38" s="10">
        <v>310</v>
      </c>
      <c r="AA38" s="10">
        <v>286</v>
      </c>
      <c r="AB38" s="10">
        <v>268</v>
      </c>
      <c r="AC38" s="10">
        <v>-174</v>
      </c>
      <c r="AD38" s="10">
        <v>-47</v>
      </c>
      <c r="AE38" s="10">
        <v>54</v>
      </c>
      <c r="AF38" s="10">
        <v>-60</v>
      </c>
      <c r="AG38" s="10">
        <v>321</v>
      </c>
      <c r="AH38" s="10">
        <v>473</v>
      </c>
      <c r="AI38" s="10">
        <v>389</v>
      </c>
      <c r="AJ38" s="10">
        <v>-506</v>
      </c>
      <c r="AK38" s="10">
        <v>-854</v>
      </c>
      <c r="AL38" s="10">
        <v>-675</v>
      </c>
      <c r="AM38" s="10">
        <v>-283</v>
      </c>
      <c r="AN38" s="10">
        <v>-2288</v>
      </c>
      <c r="AO38" s="10">
        <v>-623</v>
      </c>
      <c r="AP38" s="10">
        <v>-1707</v>
      </c>
      <c r="AQ38" s="10">
        <v>-3660</v>
      </c>
      <c r="AR38" s="10">
        <v>9971</v>
      </c>
      <c r="AS38" s="10"/>
      <c r="AT38" s="10"/>
      <c r="AU38" s="10"/>
      <c r="AV38" s="4">
        <v>-439</v>
      </c>
      <c r="AW38" s="4">
        <v>876</v>
      </c>
      <c r="AX38" s="4">
        <v>1416</v>
      </c>
      <c r="AY38" s="4">
        <v>729</v>
      </c>
      <c r="AZ38" s="4">
        <v>77</v>
      </c>
      <c r="BA38" s="4">
        <v>1186</v>
      </c>
      <c r="BB38" s="4">
        <v>333</v>
      </c>
      <c r="BC38" s="4">
        <v>788</v>
      </c>
      <c r="BD38" s="4">
        <v>-1646</v>
      </c>
      <c r="BE38" s="4">
        <f t="shared" ref="BE38:BE40" si="20">AM38+AN38+AO38+AP38</f>
        <v>-4901</v>
      </c>
      <c r="BF38" s="4">
        <f>BE38*(1+$BL$45)</f>
        <v>-4950.01</v>
      </c>
      <c r="BG38" s="4">
        <f t="shared" ref="BG38:BH38" si="21">BF38*(1+$BL$45)</f>
        <v>-4999.5101000000004</v>
      </c>
      <c r="BH38" s="4">
        <f t="shared" si="21"/>
        <v>-5049.5052010000009</v>
      </c>
      <c r="BI38" s="4"/>
      <c r="BJ38" s="4"/>
      <c r="BK38" s="4"/>
      <c r="BL38" s="4"/>
    </row>
    <row r="39" spans="2:521" s="14" customFormat="1" x14ac:dyDescent="0.3">
      <c r="B39" s="11" t="s">
        <v>542</v>
      </c>
      <c r="C39" s="12">
        <f t="shared" ref="C39:AR39" si="22">C37+C38</f>
        <v>6021</v>
      </c>
      <c r="D39" s="12">
        <f t="shared" si="22"/>
        <v>7313</v>
      </c>
      <c r="E39" s="12">
        <f t="shared" si="22"/>
        <v>6065</v>
      </c>
      <c r="F39" s="12">
        <f t="shared" si="22"/>
        <v>6240</v>
      </c>
      <c r="G39" s="12">
        <f t="shared" si="22"/>
        <v>6827</v>
      </c>
      <c r="H39" s="12">
        <f t="shared" si="22"/>
        <v>8022</v>
      </c>
      <c r="I39" s="12">
        <f t="shared" si="22"/>
        <v>7094</v>
      </c>
      <c r="J39" s="12">
        <f t="shared" si="22"/>
        <v>7958</v>
      </c>
      <c r="K39" s="12">
        <f t="shared" si="22"/>
        <v>7984</v>
      </c>
      <c r="L39" s="12">
        <f t="shared" si="22"/>
        <v>9169</v>
      </c>
      <c r="M39" s="12">
        <f t="shared" si="22"/>
        <v>8641</v>
      </c>
      <c r="N39" s="12">
        <f t="shared" si="22"/>
        <v>10680</v>
      </c>
      <c r="O39" s="12">
        <f t="shared" si="22"/>
        <v>10221</v>
      </c>
      <c r="P39" s="12">
        <f t="shared" si="22"/>
        <v>10385</v>
      </c>
      <c r="Q39" s="12">
        <f t="shared" si="22"/>
        <v>10486</v>
      </c>
      <c r="R39" s="12">
        <f t="shared" si="22"/>
        <v>12596</v>
      </c>
      <c r="S39" s="12">
        <f t="shared" si="22"/>
        <v>12686</v>
      </c>
      <c r="T39" s="12">
        <f t="shared" si="22"/>
        <v>14085</v>
      </c>
      <c r="U39" s="12">
        <f t="shared" si="22"/>
        <v>12843</v>
      </c>
      <c r="V39" s="12">
        <f t="shared" si="22"/>
        <v>13422</v>
      </c>
      <c r="W39" s="12">
        <f t="shared" si="22"/>
        <v>16124</v>
      </c>
      <c r="X39" s="12">
        <f t="shared" si="22"/>
        <v>18337</v>
      </c>
      <c r="Y39" s="12">
        <f t="shared" si="22"/>
        <v>17236</v>
      </c>
      <c r="Z39" s="12">
        <f t="shared" si="22"/>
        <v>19405</v>
      </c>
      <c r="AA39" s="12">
        <f t="shared" si="22"/>
        <v>20524</v>
      </c>
      <c r="AB39" s="12">
        <f t="shared" si="22"/>
        <v>22515</v>
      </c>
      <c r="AC39" s="12">
        <f t="shared" si="22"/>
        <v>20190</v>
      </c>
      <c r="AD39" s="12">
        <f t="shared" si="22"/>
        <v>20487</v>
      </c>
      <c r="AE39" s="12">
        <f t="shared" si="22"/>
        <v>21572</v>
      </c>
      <c r="AF39" s="12">
        <f t="shared" si="22"/>
        <v>20339</v>
      </c>
      <c r="AG39" s="12">
        <f t="shared" si="22"/>
        <v>22673</v>
      </c>
      <c r="AH39" s="12">
        <f t="shared" si="22"/>
        <v>24727</v>
      </c>
      <c r="AI39" s="12">
        <f t="shared" si="22"/>
        <v>27284</v>
      </c>
      <c r="AJ39" s="12">
        <f t="shared" si="22"/>
        <v>26526</v>
      </c>
      <c r="AK39" s="12">
        <f t="shared" si="22"/>
        <v>26727</v>
      </c>
      <c r="AL39" s="12">
        <f t="shared" si="22"/>
        <v>34501</v>
      </c>
      <c r="AM39" s="12">
        <f t="shared" si="22"/>
        <v>30269</v>
      </c>
      <c r="AN39" s="12">
        <f t="shared" si="22"/>
        <v>29365</v>
      </c>
      <c r="AO39" s="12">
        <f t="shared" si="22"/>
        <v>31377</v>
      </c>
      <c r="AP39" s="12">
        <f t="shared" si="22"/>
        <v>32616</v>
      </c>
      <c r="AQ39" s="12">
        <f t="shared" si="22"/>
        <v>34301</v>
      </c>
      <c r="AR39" s="12">
        <f t="shared" si="22"/>
        <v>48246</v>
      </c>
      <c r="AS39" s="12"/>
      <c r="AT39" s="12"/>
      <c r="AU39" s="12"/>
      <c r="AV39" s="13">
        <f>AV37+AV38</f>
        <v>25639</v>
      </c>
      <c r="AW39" s="13">
        <f t="shared" ref="AW39:BH39" si="23">AW37+AW38</f>
        <v>29901</v>
      </c>
      <c r="AX39" s="13">
        <f t="shared" si="23"/>
        <v>36474</v>
      </c>
      <c r="AY39" s="13">
        <f t="shared" si="23"/>
        <v>43688</v>
      </c>
      <c r="AZ39" s="13">
        <f t="shared" si="23"/>
        <v>53036</v>
      </c>
      <c r="BA39" s="13">
        <f t="shared" si="23"/>
        <v>71102</v>
      </c>
      <c r="BB39" s="13">
        <f t="shared" si="23"/>
        <v>83716</v>
      </c>
      <c r="BC39" s="13">
        <f t="shared" si="23"/>
        <v>89311</v>
      </c>
      <c r="BD39" s="13">
        <f t="shared" si="23"/>
        <v>107787</v>
      </c>
      <c r="BE39" s="13">
        <f t="shared" si="23"/>
        <v>123627</v>
      </c>
      <c r="BF39" s="13">
        <f t="shared" si="23"/>
        <v>149260.42399999997</v>
      </c>
      <c r="BG39" s="13">
        <f t="shared" si="23"/>
        <v>168063.6298</v>
      </c>
      <c r="BH39" s="13">
        <f t="shared" si="23"/>
        <v>188923.19431399999</v>
      </c>
      <c r="BI39" s="13"/>
      <c r="BJ39" s="13"/>
      <c r="BK39" s="13"/>
    </row>
    <row r="40" spans="2:521" x14ac:dyDescent="0.3">
      <c r="B40" s="9" t="s">
        <v>543</v>
      </c>
      <c r="C40" s="10">
        <v>952</v>
      </c>
      <c r="D40" s="10">
        <v>1375</v>
      </c>
      <c r="E40" s="10">
        <v>1760</v>
      </c>
      <c r="F40" s="10">
        <v>1013</v>
      </c>
      <c r="G40" s="10">
        <v>1160</v>
      </c>
      <c r="H40" s="10">
        <v>1755</v>
      </c>
      <c r="I40" s="10">
        <v>1608</v>
      </c>
      <c r="J40" s="10">
        <v>-111</v>
      </c>
      <c r="K40" s="10">
        <v>1408</v>
      </c>
      <c r="L40" s="10">
        <v>15471</v>
      </c>
      <c r="M40" s="10">
        <v>1217</v>
      </c>
      <c r="N40" s="10">
        <v>1807</v>
      </c>
      <c r="O40" s="10">
        <v>1397</v>
      </c>
      <c r="P40" s="10">
        <v>1965</v>
      </c>
      <c r="Q40" s="10">
        <v>1677</v>
      </c>
      <c r="R40" s="10">
        <v>-591</v>
      </c>
      <c r="S40" s="10">
        <v>2008</v>
      </c>
      <c r="T40" s="10">
        <v>2436</v>
      </c>
      <c r="U40" s="10">
        <v>2091</v>
      </c>
      <c r="V40" s="10">
        <v>2220</v>
      </c>
      <c r="W40" s="10">
        <v>2231</v>
      </c>
      <c r="X40" s="10">
        <v>2874</v>
      </c>
      <c r="Y40" s="10">
        <v>1779</v>
      </c>
      <c r="Z40" s="10">
        <v>2947</v>
      </c>
      <c r="AA40" s="10">
        <v>19</v>
      </c>
      <c r="AB40" s="10">
        <v>3750</v>
      </c>
      <c r="AC40" s="10">
        <v>3462</v>
      </c>
      <c r="AD40" s="10">
        <v>3747</v>
      </c>
      <c r="AE40" s="10">
        <v>4016</v>
      </c>
      <c r="AF40" s="10">
        <v>3914</v>
      </c>
      <c r="AG40" s="10">
        <v>4374</v>
      </c>
      <c r="AH40" s="10">
        <v>4646</v>
      </c>
      <c r="AI40" s="10">
        <v>4993</v>
      </c>
      <c r="AJ40" s="10">
        <v>4656</v>
      </c>
      <c r="AK40" s="10">
        <v>4788</v>
      </c>
      <c r="AL40" s="10">
        <v>2514</v>
      </c>
      <c r="AM40" s="10">
        <v>5602</v>
      </c>
      <c r="AN40" s="10">
        <v>5257</v>
      </c>
      <c r="AO40" s="10">
        <v>5553</v>
      </c>
      <c r="AP40" s="10">
        <v>5383</v>
      </c>
      <c r="AQ40" s="10">
        <v>6554</v>
      </c>
      <c r="AR40" s="10">
        <v>9788</v>
      </c>
      <c r="AS40" s="10"/>
      <c r="AT40" s="10"/>
      <c r="AU40" s="10"/>
      <c r="AV40" s="4">
        <v>5100</v>
      </c>
      <c r="AW40" s="4">
        <v>4412</v>
      </c>
      <c r="AX40" s="4">
        <v>19903</v>
      </c>
      <c r="AY40" s="4">
        <v>4448</v>
      </c>
      <c r="AZ40" s="4">
        <v>8755</v>
      </c>
      <c r="BA40" s="4">
        <v>9831</v>
      </c>
      <c r="BB40" s="4">
        <v>10978</v>
      </c>
      <c r="BC40" s="4">
        <v>16950</v>
      </c>
      <c r="BD40" s="4">
        <v>19651</v>
      </c>
      <c r="BE40" s="4">
        <f t="shared" si="20"/>
        <v>21795</v>
      </c>
      <c r="BF40" s="4"/>
      <c r="BG40" s="4"/>
      <c r="BH40" s="4"/>
      <c r="BI40" s="4"/>
      <c r="BJ40" s="4"/>
      <c r="BK40" s="4"/>
    </row>
    <row r="41" spans="2:521" s="17" customFormat="1" x14ac:dyDescent="0.3">
      <c r="B41" s="13" t="s">
        <v>544</v>
      </c>
      <c r="C41" s="12">
        <f t="shared" ref="C41:AR41" si="24">C39-C40</f>
        <v>5069</v>
      </c>
      <c r="D41" s="12">
        <f t="shared" si="24"/>
        <v>5938</v>
      </c>
      <c r="E41" s="12">
        <f t="shared" si="24"/>
        <v>4305</v>
      </c>
      <c r="F41" s="12">
        <f t="shared" si="24"/>
        <v>5227</v>
      </c>
      <c r="G41" s="12">
        <f t="shared" si="24"/>
        <v>5667</v>
      </c>
      <c r="H41" s="12">
        <f t="shared" si="24"/>
        <v>6267</v>
      </c>
      <c r="I41" s="12">
        <f t="shared" si="24"/>
        <v>5486</v>
      </c>
      <c r="J41" s="12">
        <f t="shared" si="24"/>
        <v>8069</v>
      </c>
      <c r="K41" s="12">
        <f t="shared" si="24"/>
        <v>6576</v>
      </c>
      <c r="L41" s="12">
        <f t="shared" si="24"/>
        <v>-6302</v>
      </c>
      <c r="M41" s="12">
        <f t="shared" si="24"/>
        <v>7424</v>
      </c>
      <c r="N41" s="12">
        <f t="shared" si="24"/>
        <v>8873</v>
      </c>
      <c r="O41" s="12">
        <f t="shared" si="24"/>
        <v>8824</v>
      </c>
      <c r="P41" s="12">
        <f t="shared" si="24"/>
        <v>8420</v>
      </c>
      <c r="Q41" s="12">
        <f t="shared" si="24"/>
        <v>8809</v>
      </c>
      <c r="R41" s="12">
        <f t="shared" si="24"/>
        <v>13187</v>
      </c>
      <c r="S41" s="12">
        <f t="shared" si="24"/>
        <v>10678</v>
      </c>
      <c r="T41" s="12">
        <f t="shared" si="24"/>
        <v>11649</v>
      </c>
      <c r="U41" s="12">
        <f t="shared" si="24"/>
        <v>10752</v>
      </c>
      <c r="V41" s="12">
        <f t="shared" si="24"/>
        <v>11202</v>
      </c>
      <c r="W41" s="12">
        <f t="shared" si="24"/>
        <v>13893</v>
      </c>
      <c r="X41" s="12">
        <f t="shared" si="24"/>
        <v>15463</v>
      </c>
      <c r="Y41" s="12">
        <f t="shared" si="24"/>
        <v>15457</v>
      </c>
      <c r="Z41" s="12">
        <f t="shared" si="24"/>
        <v>16458</v>
      </c>
      <c r="AA41" s="12">
        <f t="shared" si="24"/>
        <v>20505</v>
      </c>
      <c r="AB41" s="12">
        <f t="shared" si="24"/>
        <v>18765</v>
      </c>
      <c r="AC41" s="12">
        <f t="shared" si="24"/>
        <v>16728</v>
      </c>
      <c r="AD41" s="12">
        <f t="shared" si="24"/>
        <v>16740</v>
      </c>
      <c r="AE41" s="12">
        <f t="shared" si="24"/>
        <v>17556</v>
      </c>
      <c r="AF41" s="12">
        <f t="shared" si="24"/>
        <v>16425</v>
      </c>
      <c r="AG41" s="12">
        <f t="shared" si="24"/>
        <v>18299</v>
      </c>
      <c r="AH41" s="12">
        <f t="shared" si="24"/>
        <v>20081</v>
      </c>
      <c r="AI41" s="12">
        <f t="shared" si="24"/>
        <v>22291</v>
      </c>
      <c r="AJ41" s="12">
        <f t="shared" si="24"/>
        <v>21870</v>
      </c>
      <c r="AK41" s="12">
        <f t="shared" si="24"/>
        <v>21939</v>
      </c>
      <c r="AL41" s="12">
        <f t="shared" si="24"/>
        <v>31987</v>
      </c>
      <c r="AM41" s="12">
        <f t="shared" si="24"/>
        <v>24667</v>
      </c>
      <c r="AN41" s="12">
        <f t="shared" si="24"/>
        <v>24108</v>
      </c>
      <c r="AO41" s="12">
        <f t="shared" si="24"/>
        <v>25824</v>
      </c>
      <c r="AP41" s="12">
        <f t="shared" si="24"/>
        <v>27233</v>
      </c>
      <c r="AQ41" s="12">
        <f t="shared" si="24"/>
        <v>27747</v>
      </c>
      <c r="AR41" s="12">
        <f t="shared" si="24"/>
        <v>38458</v>
      </c>
      <c r="AS41" s="12"/>
      <c r="AT41" s="12"/>
      <c r="AU41" s="12"/>
      <c r="AV41" s="13">
        <f>AV39-AV40</f>
        <v>20539</v>
      </c>
      <c r="AW41" s="13">
        <f t="shared" ref="AW41:BE41" si="25">AW39-AW40</f>
        <v>25489</v>
      </c>
      <c r="AX41" s="13">
        <f t="shared" si="25"/>
        <v>16571</v>
      </c>
      <c r="AY41" s="13">
        <f t="shared" si="25"/>
        <v>39240</v>
      </c>
      <c r="AZ41" s="13">
        <f t="shared" si="25"/>
        <v>44281</v>
      </c>
      <c r="BA41" s="13">
        <f t="shared" si="25"/>
        <v>61271</v>
      </c>
      <c r="BB41" s="13">
        <f t="shared" si="25"/>
        <v>72738</v>
      </c>
      <c r="BC41" s="13">
        <f t="shared" si="25"/>
        <v>72361</v>
      </c>
      <c r="BD41" s="13">
        <f t="shared" si="25"/>
        <v>88136</v>
      </c>
      <c r="BE41" s="13">
        <f t="shared" si="25"/>
        <v>101832</v>
      </c>
      <c r="BF41" s="13">
        <v>113670</v>
      </c>
      <c r="BG41" s="13">
        <v>132510</v>
      </c>
      <c r="BH41" s="13">
        <f t="shared" ref="BH41" si="26">BH39*(1-0.18)</f>
        <v>154917.01933748001</v>
      </c>
      <c r="BI41" s="13">
        <f>BH41*1.05</f>
        <v>162662.87030435403</v>
      </c>
      <c r="BJ41" s="13">
        <f t="shared" ref="BJ41:BL41" si="27">BI41*1.05</f>
        <v>170796.01381957173</v>
      </c>
      <c r="BK41" s="13">
        <f t="shared" si="27"/>
        <v>179335.81451055032</v>
      </c>
      <c r="BL41" s="13">
        <f t="shared" si="27"/>
        <v>188302.60523607786</v>
      </c>
      <c r="BM41" s="17">
        <f>BL41*1.025</f>
        <v>193010.17036697979</v>
      </c>
      <c r="BN41" s="17">
        <f t="shared" ref="BN41:BP41" si="28">BM41*1.025</f>
        <v>197835.42462615427</v>
      </c>
      <c r="BO41" s="17">
        <f t="shared" si="28"/>
        <v>202781.31024180813</v>
      </c>
      <c r="BP41" s="17">
        <f t="shared" si="28"/>
        <v>207850.84299785332</v>
      </c>
      <c r="BQ41" s="17">
        <f>BP41*1</f>
        <v>207850.84299785332</v>
      </c>
      <c r="BR41" s="17">
        <f t="shared" ref="BR41:BT41" si="29">BQ41*1</f>
        <v>207850.84299785332</v>
      </c>
      <c r="BS41" s="17">
        <f t="shared" si="29"/>
        <v>207850.84299785332</v>
      </c>
      <c r="BT41" s="17">
        <f t="shared" si="29"/>
        <v>207850.84299785332</v>
      </c>
      <c r="BU41" s="17">
        <f>BT41*0.97</f>
        <v>201615.31770791771</v>
      </c>
      <c r="BV41" s="17">
        <f t="shared" ref="BV41:BX41" si="30">BU41*0.97</f>
        <v>195566.85817668017</v>
      </c>
      <c r="BW41" s="17">
        <f t="shared" si="30"/>
        <v>189699.85243137975</v>
      </c>
      <c r="BX41" s="17">
        <f t="shared" si="30"/>
        <v>184008.85685843835</v>
      </c>
      <c r="BY41" s="17">
        <f>BX41*(1-$BL$46)</f>
        <v>182168.76828985396</v>
      </c>
      <c r="BZ41" s="17">
        <f t="shared" ref="BZ41:EK41" si="31">BY41*(1-$BL$46)</f>
        <v>180347.08060695542</v>
      </c>
      <c r="CA41" s="17">
        <f t="shared" si="31"/>
        <v>178543.60980088587</v>
      </c>
      <c r="CB41" s="17">
        <f t="shared" si="31"/>
        <v>176758.17370287701</v>
      </c>
      <c r="CC41" s="17">
        <f t="shared" si="31"/>
        <v>174990.59196584823</v>
      </c>
      <c r="CD41" s="17">
        <f t="shared" si="31"/>
        <v>173240.68604618974</v>
      </c>
      <c r="CE41" s="17">
        <f t="shared" si="31"/>
        <v>171508.27918572785</v>
      </c>
      <c r="CF41" s="17">
        <f t="shared" si="31"/>
        <v>169793.19639387057</v>
      </c>
      <c r="CG41" s="17">
        <f t="shared" si="31"/>
        <v>168095.26442993188</v>
      </c>
      <c r="CH41" s="17">
        <f t="shared" si="31"/>
        <v>166414.31178563257</v>
      </c>
      <c r="CI41" s="17">
        <f t="shared" si="31"/>
        <v>164750.16866777625</v>
      </c>
      <c r="CJ41" s="17">
        <f t="shared" si="31"/>
        <v>163102.66698109847</v>
      </c>
      <c r="CK41" s="17">
        <f t="shared" si="31"/>
        <v>161471.64031128748</v>
      </c>
      <c r="CL41" s="17">
        <f t="shared" si="31"/>
        <v>159856.92390817462</v>
      </c>
      <c r="CM41" s="17">
        <f t="shared" si="31"/>
        <v>158258.35466909286</v>
      </c>
      <c r="CN41" s="17">
        <f t="shared" si="31"/>
        <v>156675.77112240193</v>
      </c>
      <c r="CO41" s="17">
        <f t="shared" si="31"/>
        <v>155109.0134111779</v>
      </c>
      <c r="CP41" s="17">
        <f t="shared" si="31"/>
        <v>153557.92327706612</v>
      </c>
      <c r="CQ41" s="17">
        <f t="shared" si="31"/>
        <v>152022.34404429546</v>
      </c>
      <c r="CR41" s="17">
        <f t="shared" si="31"/>
        <v>150502.1206038525</v>
      </c>
      <c r="CS41" s="17">
        <f t="shared" si="31"/>
        <v>148997.09939781396</v>
      </c>
      <c r="CT41" s="17">
        <f t="shared" si="31"/>
        <v>147507.12840383581</v>
      </c>
      <c r="CU41" s="17">
        <f t="shared" si="31"/>
        <v>146032.05711979745</v>
      </c>
      <c r="CV41" s="17">
        <f t="shared" si="31"/>
        <v>144571.73654859947</v>
      </c>
      <c r="CW41" s="17">
        <f t="shared" si="31"/>
        <v>143126.01918311347</v>
      </c>
      <c r="CX41" s="17">
        <f t="shared" si="31"/>
        <v>141694.75899128235</v>
      </c>
      <c r="CY41" s="17">
        <f t="shared" si="31"/>
        <v>140277.81140136952</v>
      </c>
      <c r="CZ41" s="17">
        <f t="shared" si="31"/>
        <v>138875.03328735582</v>
      </c>
      <c r="DA41" s="17">
        <f t="shared" si="31"/>
        <v>137486.28295448227</v>
      </c>
      <c r="DB41" s="17">
        <f t="shared" si="31"/>
        <v>136111.42012493746</v>
      </c>
      <c r="DC41" s="17">
        <f t="shared" si="31"/>
        <v>134750.30592368808</v>
      </c>
      <c r="DD41" s="17">
        <f t="shared" si="31"/>
        <v>133402.80286445119</v>
      </c>
      <c r="DE41" s="17">
        <f t="shared" si="31"/>
        <v>132068.77483580669</v>
      </c>
      <c r="DF41" s="17">
        <f t="shared" si="31"/>
        <v>130748.08708744863</v>
      </c>
      <c r="DG41" s="17">
        <f t="shared" si="31"/>
        <v>129440.60621657415</v>
      </c>
      <c r="DH41" s="17">
        <f t="shared" si="31"/>
        <v>128146.20015440841</v>
      </c>
      <c r="DI41" s="17">
        <f t="shared" si="31"/>
        <v>126864.73815286432</v>
      </c>
      <c r="DJ41" s="17">
        <f t="shared" si="31"/>
        <v>125596.09077133567</v>
      </c>
      <c r="DK41" s="17">
        <f t="shared" si="31"/>
        <v>124340.12986362231</v>
      </c>
      <c r="DL41" s="17">
        <f t="shared" si="31"/>
        <v>123096.72856498609</v>
      </c>
      <c r="DM41" s="17">
        <f t="shared" si="31"/>
        <v>121865.76127933622</v>
      </c>
      <c r="DN41" s="17">
        <f t="shared" si="31"/>
        <v>120647.10366654285</v>
      </c>
      <c r="DO41" s="17">
        <f t="shared" si="31"/>
        <v>119440.63262987742</v>
      </c>
      <c r="DP41" s="17">
        <f t="shared" si="31"/>
        <v>118246.22630357865</v>
      </c>
      <c r="DQ41" s="17">
        <f t="shared" si="31"/>
        <v>117063.76404054285</v>
      </c>
      <c r="DR41" s="17">
        <f t="shared" si="31"/>
        <v>115893.12640013742</v>
      </c>
      <c r="DS41" s="17">
        <f t="shared" si="31"/>
        <v>114734.19513613604</v>
      </c>
      <c r="DT41" s="17">
        <f t="shared" si="31"/>
        <v>113586.85318477468</v>
      </c>
      <c r="DU41" s="17">
        <f t="shared" si="31"/>
        <v>112450.98465292693</v>
      </c>
      <c r="DV41" s="17">
        <f t="shared" si="31"/>
        <v>111326.47480639766</v>
      </c>
      <c r="DW41" s="17">
        <f t="shared" si="31"/>
        <v>110213.21005833369</v>
      </c>
      <c r="DX41" s="17">
        <f t="shared" si="31"/>
        <v>109111.07795775036</v>
      </c>
      <c r="DY41" s="17">
        <f t="shared" si="31"/>
        <v>108019.96717817285</v>
      </c>
      <c r="DZ41" s="17">
        <f t="shared" si="31"/>
        <v>106939.76750639113</v>
      </c>
      <c r="EA41" s="17">
        <f t="shared" si="31"/>
        <v>105870.36983132722</v>
      </c>
      <c r="EB41" s="17">
        <f t="shared" si="31"/>
        <v>104811.66613301395</v>
      </c>
      <c r="EC41" s="17">
        <f t="shared" si="31"/>
        <v>103763.5494716838</v>
      </c>
      <c r="ED41" s="17">
        <f t="shared" si="31"/>
        <v>102725.91397696696</v>
      </c>
      <c r="EE41" s="17">
        <f t="shared" si="31"/>
        <v>101698.65483719729</v>
      </c>
      <c r="EF41" s="17">
        <f t="shared" si="31"/>
        <v>100681.66828882531</v>
      </c>
      <c r="EG41" s="17">
        <f t="shared" si="31"/>
        <v>99674.85160593706</v>
      </c>
      <c r="EH41" s="17">
        <f t="shared" si="31"/>
        <v>98678.103089877681</v>
      </c>
      <c r="EI41" s="17">
        <f t="shared" si="31"/>
        <v>97691.322058978898</v>
      </c>
      <c r="EJ41" s="17">
        <f t="shared" si="31"/>
        <v>96714.408838389107</v>
      </c>
      <c r="EK41" s="17">
        <f t="shared" si="31"/>
        <v>95747.264750005212</v>
      </c>
      <c r="EL41" s="17">
        <f t="shared" ref="EL41:GW41" si="32">EK41*(1-$BL$46)</f>
        <v>94789.792102505162</v>
      </c>
      <c r="EM41" s="17">
        <f t="shared" si="32"/>
        <v>93841.894181480107</v>
      </c>
      <c r="EN41" s="17">
        <f t="shared" si="32"/>
        <v>92903.475239665306</v>
      </c>
      <c r="EO41" s="17">
        <f t="shared" si="32"/>
        <v>91974.440487268657</v>
      </c>
      <c r="EP41" s="17">
        <f t="shared" si="32"/>
        <v>91054.696082395967</v>
      </c>
      <c r="EQ41" s="17">
        <f t="shared" si="32"/>
        <v>90144.149121572002</v>
      </c>
      <c r="ER41" s="17">
        <f t="shared" si="32"/>
        <v>89242.707630356279</v>
      </c>
      <c r="ES41" s="17">
        <f t="shared" si="32"/>
        <v>88350.280554052719</v>
      </c>
      <c r="ET41" s="17">
        <f t="shared" si="32"/>
        <v>87466.777748512191</v>
      </c>
      <c r="EU41" s="17">
        <f t="shared" si="32"/>
        <v>86592.109971027065</v>
      </c>
      <c r="EV41" s="17">
        <f t="shared" si="32"/>
        <v>85726.188871316786</v>
      </c>
      <c r="EW41" s="17">
        <f t="shared" si="32"/>
        <v>84868.926982603618</v>
      </c>
      <c r="EX41" s="17">
        <f t="shared" si="32"/>
        <v>84020.237712777584</v>
      </c>
      <c r="EY41" s="17">
        <f t="shared" si="32"/>
        <v>83180.035335649809</v>
      </c>
      <c r="EZ41" s="17">
        <f t="shared" si="32"/>
        <v>82348.234982293303</v>
      </c>
      <c r="FA41" s="17">
        <f t="shared" si="32"/>
        <v>81524.752632470365</v>
      </c>
      <c r="FB41" s="17">
        <f t="shared" si="32"/>
        <v>80709.505106145662</v>
      </c>
      <c r="FC41" s="17">
        <f t="shared" si="32"/>
        <v>79902.410055084198</v>
      </c>
      <c r="FD41" s="17">
        <f t="shared" si="32"/>
        <v>79103.385954533354</v>
      </c>
      <c r="FE41" s="17">
        <f t="shared" si="32"/>
        <v>78312.352094988019</v>
      </c>
      <c r="FF41" s="17">
        <f t="shared" si="32"/>
        <v>77529.228574038134</v>
      </c>
      <c r="FG41" s="17">
        <f t="shared" si="32"/>
        <v>76753.936288297758</v>
      </c>
      <c r="FH41" s="17">
        <f t="shared" si="32"/>
        <v>75986.396925414781</v>
      </c>
      <c r="FI41" s="17">
        <f t="shared" si="32"/>
        <v>75226.532956160634</v>
      </c>
      <c r="FJ41" s="17">
        <f t="shared" si="32"/>
        <v>74474.26762659903</v>
      </c>
      <c r="FK41" s="17">
        <f t="shared" si="32"/>
        <v>73729.524950333041</v>
      </c>
      <c r="FL41" s="17">
        <f t="shared" si="32"/>
        <v>72992.229700829717</v>
      </c>
      <c r="FM41" s="17">
        <f t="shared" si="32"/>
        <v>72262.307403821425</v>
      </c>
      <c r="FN41" s="17">
        <f t="shared" si="32"/>
        <v>71539.684329783209</v>
      </c>
      <c r="FO41" s="17">
        <f t="shared" si="32"/>
        <v>70824.28748648538</v>
      </c>
      <c r="FP41" s="17">
        <f t="shared" si="32"/>
        <v>70116.044611620528</v>
      </c>
      <c r="FQ41" s="17">
        <f t="shared" si="32"/>
        <v>69414.884165504322</v>
      </c>
      <c r="FR41" s="17">
        <f t="shared" si="32"/>
        <v>68720.73532384928</v>
      </c>
      <c r="FS41" s="17">
        <f t="shared" si="32"/>
        <v>68033.527970610783</v>
      </c>
      <c r="FT41" s="17">
        <f t="shared" si="32"/>
        <v>67353.192690904674</v>
      </c>
      <c r="FU41" s="17">
        <f t="shared" si="32"/>
        <v>66679.66076399562</v>
      </c>
      <c r="FV41" s="17">
        <f t="shared" si="32"/>
        <v>66012.864156355659</v>
      </c>
      <c r="FW41" s="17">
        <f t="shared" si="32"/>
        <v>65352.735514792104</v>
      </c>
      <c r="FX41" s="17">
        <f t="shared" si="32"/>
        <v>64699.208159644186</v>
      </c>
      <c r="FY41" s="17">
        <f t="shared" si="32"/>
        <v>64052.216078047742</v>
      </c>
      <c r="FZ41" s="17">
        <f t="shared" si="32"/>
        <v>63411.693917267265</v>
      </c>
      <c r="GA41" s="17">
        <f t="shared" si="32"/>
        <v>62777.576978094592</v>
      </c>
      <c r="GB41" s="17">
        <f t="shared" si="32"/>
        <v>62149.801208313649</v>
      </c>
      <c r="GC41" s="17">
        <f t="shared" si="32"/>
        <v>61528.30319623051</v>
      </c>
      <c r="GD41" s="17">
        <f t="shared" si="32"/>
        <v>60913.020164268208</v>
      </c>
      <c r="GE41" s="17">
        <f t="shared" si="32"/>
        <v>60303.889962625522</v>
      </c>
      <c r="GF41" s="17">
        <f t="shared" si="32"/>
        <v>59700.851062999267</v>
      </c>
      <c r="GG41" s="17">
        <f t="shared" si="32"/>
        <v>59103.842552369271</v>
      </c>
      <c r="GH41" s="17">
        <f t="shared" si="32"/>
        <v>58512.804126845578</v>
      </c>
      <c r="GI41" s="17">
        <f t="shared" si="32"/>
        <v>57927.676085577121</v>
      </c>
      <c r="GJ41" s="17">
        <f t="shared" si="32"/>
        <v>57348.399324721351</v>
      </c>
      <c r="GK41" s="17">
        <f t="shared" si="32"/>
        <v>56774.915331474134</v>
      </c>
      <c r="GL41" s="17">
        <f t="shared" si="32"/>
        <v>56207.166178159394</v>
      </c>
      <c r="GM41" s="17">
        <f t="shared" si="32"/>
        <v>55645.094516377801</v>
      </c>
      <c r="GN41" s="17">
        <f t="shared" si="32"/>
        <v>55088.643571214023</v>
      </c>
      <c r="GO41" s="17">
        <f t="shared" si="32"/>
        <v>54537.757135501881</v>
      </c>
      <c r="GP41" s="17">
        <f t="shared" si="32"/>
        <v>53992.379564146861</v>
      </c>
      <c r="GQ41" s="17">
        <f t="shared" si="32"/>
        <v>53452.455768505388</v>
      </c>
      <c r="GR41" s="17">
        <f t="shared" si="32"/>
        <v>52917.93121082033</v>
      </c>
      <c r="GS41" s="17">
        <f t="shared" si="32"/>
        <v>52388.751898712129</v>
      </c>
      <c r="GT41" s="17">
        <f t="shared" si="32"/>
        <v>51864.864379725004</v>
      </c>
      <c r="GU41" s="17">
        <f t="shared" si="32"/>
        <v>51346.215735927755</v>
      </c>
      <c r="GV41" s="17">
        <f t="shared" si="32"/>
        <v>50832.753578568474</v>
      </c>
      <c r="GW41" s="17">
        <f t="shared" si="32"/>
        <v>50324.42604278279</v>
      </c>
      <c r="GX41" s="17">
        <f t="shared" ref="GX41:JI41" si="33">GW41*(1-$BL$46)</f>
        <v>49821.181782354965</v>
      </c>
      <c r="GY41" s="17">
        <f t="shared" si="33"/>
        <v>49322.969964531418</v>
      </c>
      <c r="GZ41" s="17">
        <f t="shared" si="33"/>
        <v>48829.740264886103</v>
      </c>
      <c r="HA41" s="17">
        <f t="shared" si="33"/>
        <v>48341.442862237243</v>
      </c>
      <c r="HB41" s="17">
        <f t="shared" si="33"/>
        <v>47858.028433614869</v>
      </c>
      <c r="HC41" s="17">
        <f t="shared" si="33"/>
        <v>47379.448149278716</v>
      </c>
      <c r="HD41" s="17">
        <f t="shared" si="33"/>
        <v>46905.653667785926</v>
      </c>
      <c r="HE41" s="17">
        <f t="shared" si="33"/>
        <v>46436.597131108065</v>
      </c>
      <c r="HF41" s="17">
        <f t="shared" si="33"/>
        <v>45972.231159796982</v>
      </c>
      <c r="HG41" s="17">
        <f t="shared" si="33"/>
        <v>45512.50884819901</v>
      </c>
      <c r="HH41" s="17">
        <f t="shared" si="33"/>
        <v>45057.38375971702</v>
      </c>
      <c r="HI41" s="17">
        <f t="shared" si="33"/>
        <v>44606.80992211985</v>
      </c>
      <c r="HJ41" s="17">
        <f t="shared" si="33"/>
        <v>44160.74182289865</v>
      </c>
      <c r="HK41" s="17">
        <f t="shared" si="33"/>
        <v>43719.134404669661</v>
      </c>
      <c r="HL41" s="17">
        <f t="shared" si="33"/>
        <v>43281.943060622965</v>
      </c>
      <c r="HM41" s="17">
        <f t="shared" si="33"/>
        <v>42849.123630016737</v>
      </c>
      <c r="HN41" s="17">
        <f t="shared" si="33"/>
        <v>42420.632393716565</v>
      </c>
      <c r="HO41" s="17">
        <f t="shared" si="33"/>
        <v>41996.426069779402</v>
      </c>
      <c r="HP41" s="17">
        <f t="shared" si="33"/>
        <v>41576.461809081607</v>
      </c>
      <c r="HQ41" s="17">
        <f t="shared" si="33"/>
        <v>41160.697190990788</v>
      </c>
      <c r="HR41" s="17">
        <f t="shared" si="33"/>
        <v>40749.090219080877</v>
      </c>
      <c r="HS41" s="17">
        <f t="shared" si="33"/>
        <v>40341.599316890068</v>
      </c>
      <c r="HT41" s="17">
        <f t="shared" si="33"/>
        <v>39938.183323721169</v>
      </c>
      <c r="HU41" s="17">
        <f t="shared" si="33"/>
        <v>39538.801490483958</v>
      </c>
      <c r="HV41" s="17">
        <f t="shared" si="33"/>
        <v>39143.413475579116</v>
      </c>
      <c r="HW41" s="17">
        <f t="shared" si="33"/>
        <v>38751.979340823324</v>
      </c>
      <c r="HX41" s="17">
        <f t="shared" si="33"/>
        <v>38364.459547415092</v>
      </c>
      <c r="HY41" s="17">
        <f t="shared" si="33"/>
        <v>37980.814951940942</v>
      </c>
      <c r="HZ41" s="17">
        <f t="shared" si="33"/>
        <v>37601.006802421529</v>
      </c>
      <c r="IA41" s="17">
        <f t="shared" si="33"/>
        <v>37224.996734397311</v>
      </c>
      <c r="IB41" s="17">
        <f t="shared" si="33"/>
        <v>36852.746767053337</v>
      </c>
      <c r="IC41" s="17">
        <f t="shared" si="33"/>
        <v>36484.219299382807</v>
      </c>
      <c r="ID41" s="17">
        <f t="shared" si="33"/>
        <v>36119.37710638898</v>
      </c>
      <c r="IE41" s="17">
        <f t="shared" si="33"/>
        <v>35758.183335325091</v>
      </c>
      <c r="IF41" s="17">
        <f t="shared" si="33"/>
        <v>35400.60150197184</v>
      </c>
      <c r="IG41" s="17">
        <f t="shared" si="33"/>
        <v>35046.595486952123</v>
      </c>
      <c r="IH41" s="17">
        <f t="shared" si="33"/>
        <v>34696.129532082603</v>
      </c>
      <c r="II41" s="17">
        <f t="shared" si="33"/>
        <v>34349.168236761776</v>
      </c>
      <c r="IJ41" s="17">
        <f t="shared" si="33"/>
        <v>34005.676554394158</v>
      </c>
      <c r="IK41" s="17">
        <f t="shared" si="33"/>
        <v>33665.619788850214</v>
      </c>
      <c r="IL41" s="17">
        <f t="shared" si="33"/>
        <v>33328.963590961714</v>
      </c>
      <c r="IM41" s="17">
        <f t="shared" si="33"/>
        <v>32995.673955052094</v>
      </c>
      <c r="IN41" s="17">
        <f t="shared" si="33"/>
        <v>32665.717215501572</v>
      </c>
      <c r="IO41" s="17">
        <f t="shared" si="33"/>
        <v>32339.060043346555</v>
      </c>
      <c r="IP41" s="17">
        <f t="shared" si="33"/>
        <v>32015.669442913088</v>
      </c>
      <c r="IQ41" s="17">
        <f t="shared" si="33"/>
        <v>31695.512748483958</v>
      </c>
      <c r="IR41" s="17">
        <f t="shared" si="33"/>
        <v>31378.55762099912</v>
      </c>
      <c r="IS41" s="17">
        <f t="shared" si="33"/>
        <v>31064.77204478913</v>
      </c>
      <c r="IT41" s="17">
        <f t="shared" si="33"/>
        <v>30754.124324341239</v>
      </c>
      <c r="IU41" s="17">
        <f t="shared" si="33"/>
        <v>30446.583081097826</v>
      </c>
      <c r="IV41" s="17">
        <f t="shared" si="33"/>
        <v>30142.117250286847</v>
      </c>
      <c r="IW41" s="17">
        <f t="shared" si="33"/>
        <v>29840.696077783978</v>
      </c>
      <c r="IX41" s="17">
        <f t="shared" si="33"/>
        <v>29542.289117006138</v>
      </c>
      <c r="IY41" s="17">
        <f t="shared" si="33"/>
        <v>29246.866225836075</v>
      </c>
      <c r="IZ41" s="17">
        <f t="shared" si="33"/>
        <v>28954.397563577713</v>
      </c>
      <c r="JA41" s="17">
        <f t="shared" si="33"/>
        <v>28664.853587941936</v>
      </c>
      <c r="JB41" s="17">
        <f t="shared" si="33"/>
        <v>28378.205052062516</v>
      </c>
      <c r="JC41" s="17">
        <f t="shared" si="33"/>
        <v>28094.423001541891</v>
      </c>
      <c r="JD41" s="17">
        <f t="shared" si="33"/>
        <v>27813.478771526472</v>
      </c>
      <c r="JE41" s="17">
        <f t="shared" si="33"/>
        <v>27535.343983811206</v>
      </c>
      <c r="JF41" s="17">
        <f t="shared" si="33"/>
        <v>27259.990543973094</v>
      </c>
      <c r="JG41" s="17">
        <f t="shared" si="33"/>
        <v>26987.390638533361</v>
      </c>
      <c r="JH41" s="17">
        <f t="shared" si="33"/>
        <v>26717.516732148026</v>
      </c>
      <c r="JI41" s="17">
        <f t="shared" si="33"/>
        <v>26450.341564826544</v>
      </c>
      <c r="JJ41" s="17">
        <f t="shared" ref="JJ41:LU41" si="34">JI41*(1-$BL$46)</f>
        <v>26185.838149178278</v>
      </c>
      <c r="JK41" s="17">
        <f t="shared" si="34"/>
        <v>25923.979767686495</v>
      </c>
      <c r="JL41" s="17">
        <f t="shared" si="34"/>
        <v>25664.739970009628</v>
      </c>
      <c r="JM41" s="17">
        <f t="shared" si="34"/>
        <v>25408.092570309531</v>
      </c>
      <c r="JN41" s="17">
        <f t="shared" si="34"/>
        <v>25154.011644606435</v>
      </c>
      <c r="JO41" s="17">
        <f t="shared" si="34"/>
        <v>24902.471528160371</v>
      </c>
      <c r="JP41" s="17">
        <f t="shared" si="34"/>
        <v>24653.446812878767</v>
      </c>
      <c r="JQ41" s="17">
        <f t="shared" si="34"/>
        <v>24406.912344749981</v>
      </c>
      <c r="JR41" s="17">
        <f t="shared" si="34"/>
        <v>24162.843221302479</v>
      </c>
      <c r="JS41" s="17">
        <f t="shared" si="34"/>
        <v>23921.214789089456</v>
      </c>
      <c r="JT41" s="17">
        <f t="shared" si="34"/>
        <v>23682.00264119856</v>
      </c>
      <c r="JU41" s="17">
        <f t="shared" si="34"/>
        <v>23445.182614786576</v>
      </c>
      <c r="JV41" s="17">
        <f t="shared" si="34"/>
        <v>23210.73078863871</v>
      </c>
      <c r="JW41" s="17">
        <f t="shared" si="34"/>
        <v>22978.623480752321</v>
      </c>
      <c r="JX41" s="17">
        <f t="shared" si="34"/>
        <v>22748.837245944796</v>
      </c>
      <c r="JY41" s="17">
        <f t="shared" si="34"/>
        <v>22521.348873485349</v>
      </c>
      <c r="JZ41" s="17">
        <f t="shared" si="34"/>
        <v>22296.135384750494</v>
      </c>
      <c r="KA41" s="17">
        <f t="shared" si="34"/>
        <v>22073.174030902988</v>
      </c>
      <c r="KB41" s="17">
        <f t="shared" si="34"/>
        <v>21852.442290593957</v>
      </c>
      <c r="KC41" s="17">
        <f t="shared" si="34"/>
        <v>21633.917867688018</v>
      </c>
      <c r="KD41" s="17">
        <f t="shared" si="34"/>
        <v>21417.578689011138</v>
      </c>
      <c r="KE41" s="17">
        <f t="shared" si="34"/>
        <v>21203.402902121026</v>
      </c>
      <c r="KF41" s="17">
        <f t="shared" si="34"/>
        <v>20991.368873099815</v>
      </c>
      <c r="KG41" s="17">
        <f t="shared" si="34"/>
        <v>20781.455184368817</v>
      </c>
      <c r="KH41" s="17">
        <f t="shared" si="34"/>
        <v>20573.64063252513</v>
      </c>
      <c r="KI41" s="17">
        <f t="shared" si="34"/>
        <v>20367.90422619988</v>
      </c>
      <c r="KJ41" s="17">
        <f t="shared" si="34"/>
        <v>20164.225183937881</v>
      </c>
      <c r="KK41" s="17">
        <f t="shared" si="34"/>
        <v>19962.582932098503</v>
      </c>
      <c r="KL41" s="17">
        <f t="shared" si="34"/>
        <v>19762.957102777516</v>
      </c>
      <c r="KM41" s="17">
        <f t="shared" si="34"/>
        <v>19565.327531749743</v>
      </c>
      <c r="KN41" s="17">
        <f t="shared" si="34"/>
        <v>19369.674256432245</v>
      </c>
      <c r="KO41" s="17">
        <f t="shared" si="34"/>
        <v>19175.977513867922</v>
      </c>
      <c r="KP41" s="17">
        <f t="shared" si="34"/>
        <v>18984.217738729243</v>
      </c>
      <c r="KQ41" s="17">
        <f t="shared" si="34"/>
        <v>18794.375561341949</v>
      </c>
      <c r="KR41" s="17">
        <f t="shared" si="34"/>
        <v>18606.431805728531</v>
      </c>
      <c r="KS41" s="17">
        <f t="shared" si="34"/>
        <v>18420.367487671247</v>
      </c>
      <c r="KT41" s="17">
        <f t="shared" si="34"/>
        <v>18236.163812794533</v>
      </c>
      <c r="KU41" s="17">
        <f t="shared" si="34"/>
        <v>18053.802174666587</v>
      </c>
      <c r="KV41" s="17">
        <f t="shared" si="34"/>
        <v>17873.264152919921</v>
      </c>
      <c r="KW41" s="17">
        <f t="shared" si="34"/>
        <v>17694.53151139072</v>
      </c>
      <c r="KX41" s="17">
        <f t="shared" si="34"/>
        <v>17517.586196276814</v>
      </c>
      <c r="KY41" s="17">
        <f t="shared" si="34"/>
        <v>17342.410334314045</v>
      </c>
      <c r="KZ41" s="17">
        <f t="shared" si="34"/>
        <v>17168.986230970906</v>
      </c>
      <c r="LA41" s="17">
        <f t="shared" si="34"/>
        <v>16997.296368661198</v>
      </c>
      <c r="LB41" s="17">
        <f t="shared" si="34"/>
        <v>16827.323404974588</v>
      </c>
      <c r="LC41" s="17">
        <f t="shared" si="34"/>
        <v>16659.050170924842</v>
      </c>
      <c r="LD41" s="17">
        <f t="shared" si="34"/>
        <v>16492.459669215594</v>
      </c>
      <c r="LE41" s="17">
        <f t="shared" si="34"/>
        <v>16327.535072523438</v>
      </c>
      <c r="LF41" s="17">
        <f t="shared" si="34"/>
        <v>16164.259721798204</v>
      </c>
      <c r="LG41" s="17">
        <f t="shared" si="34"/>
        <v>16002.617124580222</v>
      </c>
      <c r="LH41" s="17">
        <f t="shared" si="34"/>
        <v>15842.590953334418</v>
      </c>
      <c r="LI41" s="17">
        <f t="shared" si="34"/>
        <v>15684.165043801075</v>
      </c>
      <c r="LJ41" s="17">
        <f t="shared" si="34"/>
        <v>15527.323393363064</v>
      </c>
      <c r="LK41" s="17">
        <f t="shared" si="34"/>
        <v>15372.050159429433</v>
      </c>
      <c r="LL41" s="17">
        <f t="shared" si="34"/>
        <v>15218.329657835138</v>
      </c>
      <c r="LM41" s="17">
        <f t="shared" si="34"/>
        <v>15066.146361256786</v>
      </c>
      <c r="LN41" s="17">
        <f t="shared" si="34"/>
        <v>14915.484897644217</v>
      </c>
      <c r="LO41" s="17">
        <f t="shared" si="34"/>
        <v>14766.330048667774</v>
      </c>
      <c r="LP41" s="17">
        <f t="shared" si="34"/>
        <v>14618.666748181096</v>
      </c>
      <c r="LQ41" s="17">
        <f t="shared" si="34"/>
        <v>14472.480080699286</v>
      </c>
      <c r="LR41" s="17">
        <f t="shared" si="34"/>
        <v>14327.755279892293</v>
      </c>
      <c r="LS41" s="17">
        <f t="shared" si="34"/>
        <v>14184.47772709337</v>
      </c>
      <c r="LT41" s="17">
        <f t="shared" si="34"/>
        <v>14042.632949822437</v>
      </c>
      <c r="LU41" s="17">
        <f t="shared" si="34"/>
        <v>13902.206620324212</v>
      </c>
      <c r="LV41" s="17">
        <f t="shared" ref="LV41:OG41" si="35">LU41*(1-$BL$46)</f>
        <v>13763.18455412097</v>
      </c>
      <c r="LW41" s="17">
        <f t="shared" si="35"/>
        <v>13625.55270857976</v>
      </c>
      <c r="LX41" s="17">
        <f t="shared" si="35"/>
        <v>13489.297181493963</v>
      </c>
      <c r="LY41" s="17">
        <f t="shared" si="35"/>
        <v>13354.404209679024</v>
      </c>
      <c r="LZ41" s="17">
        <f t="shared" si="35"/>
        <v>13220.860167582234</v>
      </c>
      <c r="MA41" s="17">
        <f t="shared" si="35"/>
        <v>13088.651565906412</v>
      </c>
      <c r="MB41" s="17">
        <f t="shared" si="35"/>
        <v>12957.765050247348</v>
      </c>
      <c r="MC41" s="17">
        <f t="shared" si="35"/>
        <v>12828.187399744875</v>
      </c>
      <c r="MD41" s="17">
        <f t="shared" si="35"/>
        <v>12699.905525747427</v>
      </c>
      <c r="ME41" s="17">
        <f t="shared" si="35"/>
        <v>12572.906470489952</v>
      </c>
      <c r="MF41" s="17">
        <f t="shared" si="35"/>
        <v>12447.177405785053</v>
      </c>
      <c r="MG41" s="17">
        <f t="shared" si="35"/>
        <v>12322.705631727202</v>
      </c>
      <c r="MH41" s="17">
        <f t="shared" si="35"/>
        <v>12199.47857540993</v>
      </c>
      <c r="MI41" s="17">
        <f t="shared" si="35"/>
        <v>12077.483789655831</v>
      </c>
      <c r="MJ41" s="17">
        <f t="shared" si="35"/>
        <v>11956.708951759272</v>
      </c>
      <c r="MK41" s="17">
        <f t="shared" si="35"/>
        <v>11837.141862241679</v>
      </c>
      <c r="ML41" s="17">
        <f t="shared" si="35"/>
        <v>11718.770443619262</v>
      </c>
      <c r="MM41" s="17">
        <f t="shared" si="35"/>
        <v>11601.582739183068</v>
      </c>
      <c r="MN41" s="17">
        <f t="shared" si="35"/>
        <v>11485.566911791237</v>
      </c>
      <c r="MO41" s="17">
        <f t="shared" si="35"/>
        <v>11370.711242673324</v>
      </c>
      <c r="MP41" s="17">
        <f t="shared" si="35"/>
        <v>11257.004130246591</v>
      </c>
      <c r="MQ41" s="17">
        <f t="shared" si="35"/>
        <v>11144.434088944125</v>
      </c>
      <c r="MR41" s="17">
        <f t="shared" si="35"/>
        <v>11032.989748054682</v>
      </c>
      <c r="MS41" s="17">
        <f t="shared" si="35"/>
        <v>10922.659850574135</v>
      </c>
      <c r="MT41" s="17">
        <f t="shared" si="35"/>
        <v>10813.433252068393</v>
      </c>
      <c r="MU41" s="17">
        <f t="shared" si="35"/>
        <v>10705.298919547709</v>
      </c>
      <c r="MV41" s="17">
        <f t="shared" si="35"/>
        <v>10598.245930352232</v>
      </c>
      <c r="MW41" s="17">
        <f t="shared" si="35"/>
        <v>10492.263471048709</v>
      </c>
      <c r="MX41" s="17">
        <f t="shared" si="35"/>
        <v>10387.340836338222</v>
      </c>
      <c r="MY41" s="17">
        <f t="shared" si="35"/>
        <v>10283.46742797484</v>
      </c>
      <c r="MZ41" s="17">
        <f t="shared" si="35"/>
        <v>10180.63275369509</v>
      </c>
      <c r="NA41" s="17">
        <f t="shared" si="35"/>
        <v>10078.826426158139</v>
      </c>
      <c r="NB41" s="17">
        <f t="shared" si="35"/>
        <v>9978.0381618965566</v>
      </c>
      <c r="NC41" s="17">
        <f t="shared" si="35"/>
        <v>9878.2577802775904</v>
      </c>
      <c r="ND41" s="17">
        <f t="shared" si="35"/>
        <v>9779.4752024748141</v>
      </c>
      <c r="NE41" s="17">
        <f t="shared" si="35"/>
        <v>9681.6804504500651</v>
      </c>
      <c r="NF41" s="17">
        <f t="shared" si="35"/>
        <v>9584.8636459455647</v>
      </c>
      <c r="NG41" s="17">
        <f t="shared" si="35"/>
        <v>9489.0150094861092</v>
      </c>
      <c r="NH41" s="17">
        <f t="shared" si="35"/>
        <v>9394.1248593912478</v>
      </c>
      <c r="NI41" s="17">
        <f t="shared" si="35"/>
        <v>9300.1836107973359</v>
      </c>
      <c r="NJ41" s="17">
        <f t="shared" si="35"/>
        <v>9207.181774689363</v>
      </c>
      <c r="NK41" s="17">
        <f t="shared" si="35"/>
        <v>9115.1099569424696</v>
      </c>
      <c r="NL41" s="17">
        <f t="shared" si="35"/>
        <v>9023.9588573730452</v>
      </c>
      <c r="NM41" s="17">
        <f t="shared" si="35"/>
        <v>8933.7192687993156</v>
      </c>
      <c r="NN41" s="17">
        <f t="shared" si="35"/>
        <v>8844.382076111322</v>
      </c>
      <c r="NO41" s="17">
        <f t="shared" si="35"/>
        <v>8755.9382553502091</v>
      </c>
      <c r="NP41" s="17">
        <f t="shared" si="35"/>
        <v>8668.3788727967076</v>
      </c>
      <c r="NQ41" s="17">
        <f t="shared" si="35"/>
        <v>8581.6950840687405</v>
      </c>
      <c r="NR41" s="17">
        <f t="shared" si="35"/>
        <v>8495.8781332280523</v>
      </c>
      <c r="NS41" s="17">
        <f t="shared" si="35"/>
        <v>8410.9193518957709</v>
      </c>
      <c r="NT41" s="17">
        <f t="shared" si="35"/>
        <v>8326.810158376813</v>
      </c>
      <c r="NU41" s="17">
        <f t="shared" si="35"/>
        <v>8243.542056793045</v>
      </c>
      <c r="NV41" s="17">
        <f t="shared" si="35"/>
        <v>8161.1066362251149</v>
      </c>
      <c r="NW41" s="17">
        <f t="shared" si="35"/>
        <v>8079.4955698628637</v>
      </c>
      <c r="NX41" s="17">
        <f t="shared" si="35"/>
        <v>7998.700614164235</v>
      </c>
      <c r="NY41" s="17">
        <f t="shared" si="35"/>
        <v>7918.7136080225928</v>
      </c>
      <c r="NZ41" s="17">
        <f t="shared" si="35"/>
        <v>7839.5264719423667</v>
      </c>
      <c r="OA41" s="17">
        <f t="shared" si="35"/>
        <v>7761.131207222943</v>
      </c>
      <c r="OB41" s="17">
        <f t="shared" si="35"/>
        <v>7683.5198951507136</v>
      </c>
      <c r="OC41" s="17">
        <f t="shared" si="35"/>
        <v>7606.6846961992069</v>
      </c>
      <c r="OD41" s="17">
        <f t="shared" si="35"/>
        <v>7530.6178492372146</v>
      </c>
      <c r="OE41" s="17">
        <f t="shared" si="35"/>
        <v>7455.3116707448426</v>
      </c>
      <c r="OF41" s="17">
        <f t="shared" si="35"/>
        <v>7380.7585540373939</v>
      </c>
      <c r="OG41" s="17">
        <f t="shared" si="35"/>
        <v>7306.9509684970199</v>
      </c>
      <c r="OH41" s="17">
        <f t="shared" ref="OH41:QS41" si="36">OG41*(1-$BL$46)</f>
        <v>7233.8814588120495</v>
      </c>
      <c r="OI41" s="17">
        <f t="shared" si="36"/>
        <v>7161.5426442239286</v>
      </c>
      <c r="OJ41" s="17">
        <f t="shared" si="36"/>
        <v>7089.9272177816893</v>
      </c>
      <c r="OK41" s="17">
        <f t="shared" si="36"/>
        <v>7019.0279456038725</v>
      </c>
      <c r="OL41" s="17">
        <f t="shared" si="36"/>
        <v>6948.8376661478333</v>
      </c>
      <c r="OM41" s="17">
        <f t="shared" si="36"/>
        <v>6879.3492894863548</v>
      </c>
      <c r="ON41" s="17">
        <f t="shared" si="36"/>
        <v>6810.5557965914913</v>
      </c>
      <c r="OO41" s="17">
        <f t="shared" si="36"/>
        <v>6742.4502386255763</v>
      </c>
      <c r="OP41" s="17">
        <f t="shared" si="36"/>
        <v>6675.0257362393204</v>
      </c>
      <c r="OQ41" s="17">
        <f t="shared" si="36"/>
        <v>6608.2754788769271</v>
      </c>
      <c r="OR41" s="17">
        <f t="shared" si="36"/>
        <v>6542.1927240881578</v>
      </c>
      <c r="OS41" s="17">
        <f t="shared" si="36"/>
        <v>6476.770796847276</v>
      </c>
      <c r="OT41" s="17">
        <f t="shared" si="36"/>
        <v>6412.0030888788033</v>
      </c>
      <c r="OU41" s="17">
        <f t="shared" si="36"/>
        <v>6347.883057990015</v>
      </c>
      <c r="OV41" s="17">
        <f t="shared" si="36"/>
        <v>6284.4042274101148</v>
      </c>
      <c r="OW41" s="17">
        <f t="shared" si="36"/>
        <v>6221.5601851360134</v>
      </c>
      <c r="OX41" s="17">
        <f t="shared" si="36"/>
        <v>6159.3445832846528</v>
      </c>
      <c r="OY41" s="17">
        <f t="shared" si="36"/>
        <v>6097.7511374518062</v>
      </c>
      <c r="OZ41" s="17">
        <f t="shared" si="36"/>
        <v>6036.7736260772881</v>
      </c>
      <c r="PA41" s="17">
        <f t="shared" si="36"/>
        <v>5976.4058898165149</v>
      </c>
      <c r="PB41" s="17">
        <f t="shared" si="36"/>
        <v>5916.64183091835</v>
      </c>
      <c r="PC41" s="17">
        <f t="shared" si="36"/>
        <v>5857.4754126091666</v>
      </c>
      <c r="PD41" s="17">
        <f t="shared" si="36"/>
        <v>5798.9006584830749</v>
      </c>
      <c r="PE41" s="17">
        <f t="shared" si="36"/>
        <v>5740.9116518982446</v>
      </c>
      <c r="PF41" s="17">
        <f t="shared" si="36"/>
        <v>5683.5025353792626</v>
      </c>
      <c r="PG41" s="17">
        <f t="shared" si="36"/>
        <v>5626.6675100254697</v>
      </c>
      <c r="PH41" s="17">
        <f t="shared" si="36"/>
        <v>5570.4008349252153</v>
      </c>
      <c r="PI41" s="17">
        <f t="shared" si="36"/>
        <v>5514.6968265759633</v>
      </c>
      <c r="PJ41" s="17">
        <f t="shared" si="36"/>
        <v>5459.5498583102035</v>
      </c>
      <c r="PK41" s="17">
        <f t="shared" si="36"/>
        <v>5404.9543597271013</v>
      </c>
      <c r="PL41" s="17">
        <f t="shared" si="36"/>
        <v>5350.9048161298306</v>
      </c>
      <c r="PM41" s="17">
        <f t="shared" si="36"/>
        <v>5297.3957679685318</v>
      </c>
      <c r="PN41" s="17">
        <f t="shared" si="36"/>
        <v>5244.4218102888462</v>
      </c>
      <c r="PO41" s="17">
        <f t="shared" si="36"/>
        <v>5191.9775921859573</v>
      </c>
      <c r="PP41" s="17">
        <f t="shared" si="36"/>
        <v>5140.0578162640977</v>
      </c>
      <c r="PQ41" s="17">
        <f t="shared" si="36"/>
        <v>5088.6572381014566</v>
      </c>
      <c r="PR41" s="17">
        <f t="shared" si="36"/>
        <v>5037.7706657204417</v>
      </c>
      <c r="PS41" s="17">
        <f t="shared" si="36"/>
        <v>4987.392959063237</v>
      </c>
      <c r="PT41" s="17">
        <f t="shared" si="36"/>
        <v>4937.5190294726044</v>
      </c>
      <c r="PU41" s="17">
        <f t="shared" si="36"/>
        <v>4888.1438391778784</v>
      </c>
      <c r="PV41" s="17">
        <f t="shared" si="36"/>
        <v>4839.2624007860995</v>
      </c>
      <c r="PW41" s="17">
        <f t="shared" si="36"/>
        <v>4790.8697767782387</v>
      </c>
      <c r="PX41" s="17">
        <f t="shared" si="36"/>
        <v>4742.9610790104562</v>
      </c>
      <c r="PY41" s="17">
        <f t="shared" si="36"/>
        <v>4695.5314682203516</v>
      </c>
      <c r="PZ41" s="17">
        <f t="shared" si="36"/>
        <v>4648.576153538148</v>
      </c>
      <c r="QA41" s="17">
        <f t="shared" si="36"/>
        <v>4602.0903920027667</v>
      </c>
      <c r="QB41" s="17">
        <f t="shared" si="36"/>
        <v>4556.0694880827386</v>
      </c>
      <c r="QC41" s="17">
        <f t="shared" si="36"/>
        <v>4510.5087932019114</v>
      </c>
      <c r="QD41" s="17">
        <f t="shared" si="36"/>
        <v>4465.4037052698923</v>
      </c>
      <c r="QE41" s="17">
        <f t="shared" si="36"/>
        <v>4420.7496682171932</v>
      </c>
      <c r="QF41" s="17">
        <f t="shared" si="36"/>
        <v>4376.5421715350212</v>
      </c>
      <c r="QG41" s="17">
        <f t="shared" si="36"/>
        <v>4332.7767498196708</v>
      </c>
      <c r="QH41" s="17">
        <f t="shared" si="36"/>
        <v>4289.4489823214744</v>
      </c>
      <c r="QI41" s="17">
        <f t="shared" si="36"/>
        <v>4246.5544924982596</v>
      </c>
      <c r="QJ41" s="17">
        <f t="shared" si="36"/>
        <v>4204.0889475732765</v>
      </c>
      <c r="QK41" s="17">
        <f t="shared" si="36"/>
        <v>4162.0480580975436</v>
      </c>
      <c r="QL41" s="17">
        <f t="shared" si="36"/>
        <v>4120.4275775165679</v>
      </c>
      <c r="QM41" s="17">
        <f t="shared" si="36"/>
        <v>4079.2233017414023</v>
      </c>
      <c r="QN41" s="17">
        <f t="shared" si="36"/>
        <v>4038.4310687239881</v>
      </c>
      <c r="QO41" s="17">
        <f t="shared" si="36"/>
        <v>3998.0467580367481</v>
      </c>
      <c r="QP41" s="17">
        <f t="shared" si="36"/>
        <v>3958.0662904563806</v>
      </c>
      <c r="QQ41" s="17">
        <f t="shared" si="36"/>
        <v>3918.4856275518168</v>
      </c>
      <c r="QR41" s="17">
        <f t="shared" si="36"/>
        <v>3879.3007712762987</v>
      </c>
      <c r="QS41" s="17">
        <f t="shared" si="36"/>
        <v>3840.5077635635357</v>
      </c>
      <c r="QT41" s="17">
        <f t="shared" ref="QT41:TA41" si="37">QS41*(1-$BL$46)</f>
        <v>3802.1026859279004</v>
      </c>
      <c r="QU41" s="17">
        <f t="shared" si="37"/>
        <v>3764.0816590686213</v>
      </c>
      <c r="QV41" s="17">
        <f t="shared" si="37"/>
        <v>3726.4408424779349</v>
      </c>
      <c r="QW41" s="17">
        <f t="shared" si="37"/>
        <v>3689.1764340531554</v>
      </c>
      <c r="QX41" s="17">
        <f t="shared" si="37"/>
        <v>3652.2846697126238</v>
      </c>
      <c r="QY41" s="17">
        <f t="shared" si="37"/>
        <v>3615.7618230154976</v>
      </c>
      <c r="QZ41" s="17">
        <f t="shared" si="37"/>
        <v>3579.6042047853425</v>
      </c>
      <c r="RA41" s="17">
        <f t="shared" si="37"/>
        <v>3543.8081627374891</v>
      </c>
      <c r="RB41" s="17">
        <f t="shared" si="37"/>
        <v>3508.3700811101139</v>
      </c>
      <c r="RC41" s="17">
        <f t="shared" si="37"/>
        <v>3473.2863802990128</v>
      </c>
      <c r="RD41" s="17">
        <f t="shared" si="37"/>
        <v>3438.5535164960224</v>
      </c>
      <c r="RE41" s="17">
        <f t="shared" si="37"/>
        <v>3404.167981331062</v>
      </c>
      <c r="RF41" s="17">
        <f t="shared" si="37"/>
        <v>3370.1263015177515</v>
      </c>
      <c r="RG41" s="17">
        <f t="shared" si="37"/>
        <v>3336.4250385025739</v>
      </c>
      <c r="RH41" s="17">
        <f t="shared" si="37"/>
        <v>3303.0607881175483</v>
      </c>
      <c r="RI41" s="17">
        <f t="shared" si="37"/>
        <v>3270.0301802363729</v>
      </c>
      <c r="RJ41" s="17">
        <f t="shared" si="37"/>
        <v>3237.3298784340091</v>
      </c>
      <c r="RK41" s="17">
        <f t="shared" si="37"/>
        <v>3204.956579649669</v>
      </c>
      <c r="RL41" s="17">
        <f t="shared" si="37"/>
        <v>3172.9070138531724</v>
      </c>
      <c r="RM41" s="17">
        <f t="shared" si="37"/>
        <v>3141.1779437146406</v>
      </c>
      <c r="RN41" s="17">
        <f t="shared" si="37"/>
        <v>3109.7661642774942</v>
      </c>
      <c r="RO41" s="17">
        <f t="shared" si="37"/>
        <v>3078.6685026347191</v>
      </c>
      <c r="RP41" s="17">
        <f t="shared" si="37"/>
        <v>3047.8818176083719</v>
      </c>
      <c r="RQ41" s="17">
        <f t="shared" si="37"/>
        <v>3017.4029994322882</v>
      </c>
      <c r="RR41" s="17">
        <f t="shared" si="37"/>
        <v>2987.2289694379651</v>
      </c>
      <c r="RS41" s="17">
        <f t="shared" si="37"/>
        <v>2957.3566797435856</v>
      </c>
      <c r="RT41" s="17">
        <f t="shared" si="37"/>
        <v>2927.7831129461497</v>
      </c>
      <c r="RU41" s="17">
        <f t="shared" si="37"/>
        <v>2898.5052818166882</v>
      </c>
      <c r="RV41" s="17">
        <f t="shared" si="37"/>
        <v>2869.5202289985214</v>
      </c>
      <c r="RW41" s="17">
        <f t="shared" si="37"/>
        <v>2840.8250267085359</v>
      </c>
      <c r="RX41" s="17">
        <f t="shared" si="37"/>
        <v>2812.4167764414506</v>
      </c>
      <c r="RY41" s="17">
        <f t="shared" si="37"/>
        <v>2784.2926086770362</v>
      </c>
      <c r="RZ41" s="17">
        <f t="shared" si="37"/>
        <v>2756.4496825902656</v>
      </c>
      <c r="SA41" s="17">
        <f t="shared" si="37"/>
        <v>2728.8851857643631</v>
      </c>
      <c r="SB41" s="17">
        <f t="shared" si="37"/>
        <v>2701.5963339067193</v>
      </c>
      <c r="SC41" s="17">
        <f t="shared" si="37"/>
        <v>2674.5803705676522</v>
      </c>
      <c r="SD41" s="17">
        <f t="shared" si="37"/>
        <v>2647.8345668619754</v>
      </c>
      <c r="SE41" s="17">
        <f t="shared" si="37"/>
        <v>2621.3562211933559</v>
      </c>
      <c r="SF41" s="17">
        <f t="shared" si="37"/>
        <v>2595.1426589814223</v>
      </c>
      <c r="SG41" s="17">
        <f t="shared" si="37"/>
        <v>2569.1912323916081</v>
      </c>
      <c r="SH41" s="17">
        <f t="shared" si="37"/>
        <v>2543.4993200676918</v>
      </c>
      <c r="SI41" s="17">
        <f t="shared" si="37"/>
        <v>2518.0643268670146</v>
      </c>
      <c r="SJ41" s="17">
        <f t="shared" si="37"/>
        <v>2492.8836835983443</v>
      </c>
      <c r="SK41" s="17">
        <f t="shared" si="37"/>
        <v>2467.9548467623608</v>
      </c>
      <c r="SL41" s="17">
        <f t="shared" si="37"/>
        <v>2443.2752982947372</v>
      </c>
      <c r="SM41" s="17">
        <f t="shared" si="37"/>
        <v>2418.8425453117898</v>
      </c>
      <c r="SN41" s="17">
        <f t="shared" si="37"/>
        <v>2394.6541198586719</v>
      </c>
      <c r="SO41" s="17">
        <f t="shared" si="37"/>
        <v>2370.7075786600853</v>
      </c>
      <c r="SP41" s="17">
        <f t="shared" si="37"/>
        <v>2347.0005028734845</v>
      </c>
      <c r="SQ41" s="17">
        <f t="shared" si="37"/>
        <v>2323.5304978447498</v>
      </c>
      <c r="SR41" s="17">
        <f t="shared" si="37"/>
        <v>2300.2951928663024</v>
      </c>
      <c r="SS41" s="17">
        <f t="shared" si="37"/>
        <v>2277.2922409376392</v>
      </c>
      <c r="ST41" s="17">
        <f t="shared" si="37"/>
        <v>2254.5193185282628</v>
      </c>
      <c r="SU41" s="17">
        <f t="shared" si="37"/>
        <v>2231.9741253429802</v>
      </c>
      <c r="SV41" s="17">
        <f t="shared" si="37"/>
        <v>2209.6543840895501</v>
      </c>
      <c r="SW41" s="17">
        <f t="shared" si="37"/>
        <v>2187.5578402486544</v>
      </c>
      <c r="SX41" s="17">
        <f t="shared" si="37"/>
        <v>2165.6822618461679</v>
      </c>
      <c r="SY41" s="17">
        <f t="shared" si="37"/>
        <v>2144.0254392277061</v>
      </c>
      <c r="SZ41" s="17">
        <f t="shared" si="37"/>
        <v>2122.5851848354291</v>
      </c>
      <c r="TA41" s="17">
        <f t="shared" si="37"/>
        <v>2101.3593329870746</v>
      </c>
    </row>
    <row r="42" spans="2:521" x14ac:dyDescent="0.3">
      <c r="B42" s="9" t="s">
        <v>545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>
        <v>7441</v>
      </c>
      <c r="AH42" s="10">
        <v>7434</v>
      </c>
      <c r="AI42" s="10">
        <v>7429</v>
      </c>
      <c r="AJ42" s="10">
        <v>7432</v>
      </c>
      <c r="AK42" s="10">
        <v>7431</v>
      </c>
      <c r="AL42" s="10">
        <v>7433</v>
      </c>
      <c r="AM42" s="10">
        <v>7433</v>
      </c>
      <c r="AN42" s="10">
        <v>7435</v>
      </c>
      <c r="AO42" s="10">
        <v>7433</v>
      </c>
      <c r="AP42" s="10">
        <v>7432</v>
      </c>
      <c r="AQ42" s="10">
        <v>7434</v>
      </c>
      <c r="AR42" s="10">
        <v>7431</v>
      </c>
      <c r="AS42" s="10"/>
      <c r="AT42" s="10"/>
      <c r="AU42" s="10"/>
      <c r="AV42" s="4"/>
      <c r="AW42" s="4"/>
      <c r="AX42" s="4"/>
      <c r="AY42" s="4"/>
      <c r="AZ42" s="4"/>
      <c r="BA42" s="4"/>
      <c r="BB42" s="4"/>
      <c r="BC42" s="10">
        <v>7432</v>
      </c>
      <c r="BD42" s="4">
        <v>7435</v>
      </c>
      <c r="BE42" s="4">
        <f>+AP42</f>
        <v>7432</v>
      </c>
      <c r="BF42" s="4">
        <f t="shared" ref="BF42:BH42" si="38">BE42*1.001</f>
        <v>7439.4319999999989</v>
      </c>
      <c r="BG42" s="4">
        <f t="shared" si="38"/>
        <v>7446.8714319999981</v>
      </c>
      <c r="BH42" s="4">
        <f t="shared" si="38"/>
        <v>7454.3183034319973</v>
      </c>
      <c r="BI42" s="4"/>
      <c r="BJ42" s="4"/>
      <c r="BK42" s="4"/>
    </row>
    <row r="43" spans="2:521" s="20" customFormat="1" x14ac:dyDescent="0.3">
      <c r="B43" s="18" t="s">
        <v>546</v>
      </c>
      <c r="C43" s="19">
        <v>0.63</v>
      </c>
      <c r="D43" s="19">
        <v>0.75</v>
      </c>
      <c r="E43" s="19">
        <v>0.55000000000000004</v>
      </c>
      <c r="F43" s="19">
        <v>0.67</v>
      </c>
      <c r="G43" s="19">
        <v>0.73</v>
      </c>
      <c r="H43" s="19">
        <v>0.81</v>
      </c>
      <c r="I43" s="19">
        <v>0.71</v>
      </c>
      <c r="J43" s="19">
        <v>1.05</v>
      </c>
      <c r="K43" s="19">
        <v>0.85</v>
      </c>
      <c r="L43" s="19">
        <v>-0.82</v>
      </c>
      <c r="M43" s="19">
        <v>0.96</v>
      </c>
      <c r="N43" s="19">
        <v>1.1499999999999999</v>
      </c>
      <c r="O43" s="19">
        <v>1.1499999999999999</v>
      </c>
      <c r="P43" s="19">
        <v>1.0900000000000001</v>
      </c>
      <c r="Q43" s="19">
        <v>1.1499999999999999</v>
      </c>
      <c r="R43" s="19">
        <v>1.72</v>
      </c>
      <c r="S43" s="19">
        <v>1.4</v>
      </c>
      <c r="T43" s="19">
        <v>1.53</v>
      </c>
      <c r="U43" s="19">
        <v>1.41</v>
      </c>
      <c r="V43" s="19">
        <v>1.48</v>
      </c>
      <c r="W43" s="19">
        <v>1.84</v>
      </c>
      <c r="X43" s="19">
        <v>2.0499999999999998</v>
      </c>
      <c r="Y43" s="19">
        <v>2.0499999999999998</v>
      </c>
      <c r="Z43" s="19">
        <v>2.19</v>
      </c>
      <c r="AA43" s="19">
        <v>2.73</v>
      </c>
      <c r="AB43" s="19">
        <v>2.5</v>
      </c>
      <c r="AC43" s="19">
        <v>2.23</v>
      </c>
      <c r="AD43" s="19">
        <v>2.2400000000000002</v>
      </c>
      <c r="AE43" s="19">
        <v>2.35</v>
      </c>
      <c r="AF43" s="19">
        <v>2.2000000000000002</v>
      </c>
      <c r="AG43" s="19">
        <f t="shared" ref="AG43:AR43" si="39">AG41/AG42</f>
        <v>2.4592124714420103</v>
      </c>
      <c r="AH43" s="19">
        <f t="shared" si="39"/>
        <v>2.7012375571697604</v>
      </c>
      <c r="AI43" s="19">
        <f t="shared" si="39"/>
        <v>3.000538430475165</v>
      </c>
      <c r="AJ43" s="19">
        <f t="shared" si="39"/>
        <v>2.9426803013993541</v>
      </c>
      <c r="AK43" s="19">
        <f t="shared" si="39"/>
        <v>2.952361727896649</v>
      </c>
      <c r="AL43" s="19">
        <f t="shared" si="39"/>
        <v>4.30337683304184</v>
      </c>
      <c r="AM43" s="19">
        <f t="shared" si="39"/>
        <v>3.3185793084891699</v>
      </c>
      <c r="AN43" s="19">
        <f t="shared" si="39"/>
        <v>3.2425016812373908</v>
      </c>
      <c r="AO43" s="19">
        <f t="shared" si="39"/>
        <v>3.4742365128481096</v>
      </c>
      <c r="AP43" s="19">
        <f t="shared" si="39"/>
        <v>3.6642895586652315</v>
      </c>
      <c r="AQ43" s="19">
        <f t="shared" si="39"/>
        <v>3.732445520581114</v>
      </c>
      <c r="AR43" s="19">
        <f t="shared" si="39"/>
        <v>5.1753465213295655</v>
      </c>
      <c r="AS43" s="19"/>
      <c r="AT43" s="19"/>
      <c r="AU43" s="19"/>
      <c r="AV43" s="18">
        <v>2.59</v>
      </c>
      <c r="AW43" s="18">
        <v>3.29</v>
      </c>
      <c r="AX43" s="18">
        <v>2.15</v>
      </c>
      <c r="AY43" s="18">
        <v>5.1100000000000003</v>
      </c>
      <c r="AZ43" s="18">
        <v>5.82</v>
      </c>
      <c r="BA43" s="18">
        <v>8.1199999999999992</v>
      </c>
      <c r="BB43" s="18">
        <v>9.6999999999999993</v>
      </c>
      <c r="BC43" s="18">
        <v>9.7200000000000006</v>
      </c>
      <c r="BD43" s="19">
        <v>11.86</v>
      </c>
      <c r="BE43" s="18">
        <f>BE41/BE42</f>
        <v>13.701829924650161</v>
      </c>
      <c r="BF43" s="18">
        <f>BF41/BF42</f>
        <v>15.279392297691546</v>
      </c>
      <c r="BG43" s="18">
        <f t="shared" ref="BG43:BH43" si="40">BG41/BG42</f>
        <v>17.794049650245128</v>
      </c>
      <c r="BH43" s="18">
        <f t="shared" si="40"/>
        <v>20.782184638688641</v>
      </c>
      <c r="BI43" s="18"/>
      <c r="BJ43" s="18"/>
      <c r="BK43" s="18"/>
    </row>
    <row r="44" spans="2:521" x14ac:dyDescent="0.3"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BE44" s="22"/>
      <c r="BF44" s="22"/>
      <c r="BG44" s="6"/>
      <c r="BH44" s="6"/>
      <c r="BI44" s="6"/>
    </row>
    <row r="45" spans="2:521" x14ac:dyDescent="0.3">
      <c r="B45" s="14" t="s">
        <v>547</v>
      </c>
      <c r="C45" s="21"/>
      <c r="D45" s="21"/>
      <c r="E45" s="21"/>
      <c r="F45" s="21"/>
      <c r="G45" s="23">
        <f t="shared" ref="G45:AR47" si="41">G26/C26-1</f>
        <v>-4.9650793650793612E-2</v>
      </c>
      <c r="H45" s="23">
        <f t="shared" si="41"/>
        <v>-5.9595491740003115E-2</v>
      </c>
      <c r="I45" s="23">
        <f t="shared" si="41"/>
        <v>-5.1871692689619109E-2</v>
      </c>
      <c r="J45" s="23">
        <f t="shared" si="41"/>
        <v>-4.6949192782526072E-2</v>
      </c>
      <c r="K45" s="23">
        <f t="shared" si="41"/>
        <v>-4.4762159273115998E-2</v>
      </c>
      <c r="L45" s="23">
        <f t="shared" si="41"/>
        <v>-1.898976632189564E-2</v>
      </c>
      <c r="M45" s="23">
        <f t="shared" si="41"/>
        <v>4.141114862537032E-2</v>
      </c>
      <c r="N45" s="23">
        <f t="shared" si="41"/>
        <v>6.8630503830105161E-2</v>
      </c>
      <c r="O45" s="23">
        <f t="shared" si="41"/>
        <v>0.20988949503427046</v>
      </c>
      <c r="P45" s="23">
        <f t="shared" si="41"/>
        <v>-9.5224813120606933E-2</v>
      </c>
      <c r="Q45" s="23">
        <f t="shared" si="41"/>
        <v>2.2098716421860454E-2</v>
      </c>
      <c r="R45" s="23">
        <f t="shared" si="41"/>
        <v>-3.2635934495016672E-3</v>
      </c>
      <c r="S45" s="23">
        <f t="shared" si="41"/>
        <v>-8.8502225562171244E-2</v>
      </c>
      <c r="T45" s="23">
        <f t="shared" si="41"/>
        <v>0.12553178371046303</v>
      </c>
      <c r="U45" s="23">
        <f t="shared" si="41"/>
        <v>2.7382185396167769E-2</v>
      </c>
      <c r="V45" s="23">
        <f t="shared" si="41"/>
        <v>6.1041922469742049E-2</v>
      </c>
      <c r="W45" s="23">
        <f t="shared" si="41"/>
        <v>2.2196854388634168E-3</v>
      </c>
      <c r="X45" s="23">
        <f t="shared" si="41"/>
        <v>6.6009312517118612E-2</v>
      </c>
      <c r="Y45" s="23">
        <f t="shared" si="41"/>
        <v>6.3134018020288618E-2</v>
      </c>
      <c r="Z45" s="23">
        <f t="shared" si="41"/>
        <v>4.3588471923734051E-2</v>
      </c>
      <c r="AA45" s="23">
        <f t="shared" si="41"/>
        <v>5.2395114851610414E-2</v>
      </c>
      <c r="AB45" s="23">
        <f t="shared" si="41"/>
        <v>6.7780061664953761E-2</v>
      </c>
      <c r="AC45" s="23">
        <f t="shared" si="41"/>
        <v>2.9218277721803965E-2</v>
      </c>
      <c r="AD45" s="23">
        <f t="shared" si="41"/>
        <v>-5.1853416411447917E-2</v>
      </c>
      <c r="AE45" s="23">
        <f t="shared" si="41"/>
        <v>-5.3514521075100685E-2</v>
      </c>
      <c r="AF45" s="23">
        <f t="shared" si="41"/>
        <v>-0.20511092930362385</v>
      </c>
      <c r="AG45" s="23">
        <f t="shared" si="41"/>
        <v>-0.10238396867442123</v>
      </c>
      <c r="AH45" s="23">
        <f t="shared" si="41"/>
        <v>-6.142793495210519E-2</v>
      </c>
      <c r="AI45" s="23">
        <f t="shared" si="41"/>
        <v>-1.3086843275522564E-2</v>
      </c>
      <c r="AJ45" s="23">
        <f t="shared" si="41"/>
        <v>0.14675788581461524</v>
      </c>
      <c r="AK45" s="23">
        <f t="shared" si="41"/>
        <v>9.5714652296638336E-2</v>
      </c>
      <c r="AL45" s="23">
        <f t="shared" si="41"/>
        <v>-0.2157479380525722</v>
      </c>
      <c r="AM45" s="23">
        <f t="shared" si="41"/>
        <v>-1.6929514000643686E-2</v>
      </c>
      <c r="AN45" s="23">
        <f t="shared" si="41"/>
        <v>-0.14370941344174015</v>
      </c>
      <c r="AO45" s="23">
        <f t="shared" si="41"/>
        <v>-0.10310304449648711</v>
      </c>
      <c r="AP45" s="23">
        <f t="shared" si="41"/>
        <v>0.29651206779148076</v>
      </c>
      <c r="AQ45" s="23">
        <f t="shared" si="41"/>
        <v>4.2561550550026084E-2</v>
      </c>
      <c r="AR45" s="23">
        <f t="shared" si="41"/>
        <v>1.4304211110426124E-2</v>
      </c>
      <c r="AS45" s="23"/>
      <c r="AT45" s="23"/>
      <c r="AU45" s="23"/>
      <c r="AW45" s="7">
        <f t="shared" ref="AW45:BC47" si="42">AW26/AV26-1</f>
        <v>-5.234941190447906E-2</v>
      </c>
      <c r="AX45" s="7">
        <f t="shared" si="42"/>
        <v>1.0750497563116079E-2</v>
      </c>
      <c r="AY45" s="7">
        <f t="shared" si="42"/>
        <v>2.4373226661705161E-2</v>
      </c>
      <c r="AZ45" s="7">
        <f t="shared" si="42"/>
        <v>2.984758358685613E-2</v>
      </c>
      <c r="BA45" s="7">
        <f t="shared" si="42"/>
        <v>4.457606443173967E-2</v>
      </c>
      <c r="BB45" s="7">
        <f t="shared" si="42"/>
        <v>2.3327799195205001E-2</v>
      </c>
      <c r="BC45" s="7">
        <f t="shared" si="42"/>
        <v>-0.11044657097288679</v>
      </c>
      <c r="BD45" s="7">
        <f>BD26/BC26-1</f>
        <v>1.1437580178983442E-3</v>
      </c>
      <c r="BE45" s="7">
        <f t="shared" ref="BE45:BH47" si="43">BE26/BD26-1</f>
        <v>-1.2767665539653916E-2</v>
      </c>
      <c r="BK45" s="14" t="s">
        <v>548</v>
      </c>
      <c r="BL45" s="24">
        <v>0.01</v>
      </c>
    </row>
    <row r="46" spans="2:521" s="6" customFormat="1" x14ac:dyDescent="0.3">
      <c r="B46" s="24" t="s">
        <v>549</v>
      </c>
      <c r="C46" s="23"/>
      <c r="D46" s="23"/>
      <c r="E46" s="23"/>
      <c r="F46" s="23"/>
      <c r="G46" s="23">
        <f t="shared" si="41"/>
        <v>0.34883720930232553</v>
      </c>
      <c r="H46" s="23">
        <f t="shared" si="41"/>
        <v>0.29732050841635171</v>
      </c>
      <c r="I46" s="23">
        <f t="shared" si="41"/>
        <v>0.40080515297906594</v>
      </c>
      <c r="J46" s="23">
        <f t="shared" si="41"/>
        <v>0.4409900392393602</v>
      </c>
      <c r="K46" s="23">
        <f t="shared" si="41"/>
        <v>0.47126436781609193</v>
      </c>
      <c r="L46" s="23">
        <f t="shared" si="41"/>
        <v>0.45531576856878053</v>
      </c>
      <c r="M46" s="23">
        <f t="shared" si="41"/>
        <v>0.34555696057018048</v>
      </c>
      <c r="N46" s="23">
        <f t="shared" si="41"/>
        <v>0.35379136992040228</v>
      </c>
      <c r="O46" s="23">
        <f t="shared" si="41"/>
        <v>0.15087890625</v>
      </c>
      <c r="P46" s="23">
        <f t="shared" si="41"/>
        <v>0.47852983988355158</v>
      </c>
      <c r="Q46" s="23">
        <f t="shared" si="41"/>
        <v>0.29201196070055535</v>
      </c>
      <c r="R46" s="23">
        <f t="shared" si="41"/>
        <v>0.28531641652483364</v>
      </c>
      <c r="S46" s="23">
        <f t="shared" si="41"/>
        <v>0.46686465846414937</v>
      </c>
      <c r="T46" s="23">
        <f t="shared" si="41"/>
        <v>0.147612601525966</v>
      </c>
      <c r="U46" s="23">
        <f t="shared" si="41"/>
        <v>0.26628314487866156</v>
      </c>
      <c r="V46" s="23">
        <f t="shared" si="41"/>
        <v>0.19694233778740822</v>
      </c>
      <c r="W46" s="23">
        <f t="shared" si="41"/>
        <v>0.23508995198704219</v>
      </c>
      <c r="X46" s="23">
        <f t="shared" si="41"/>
        <v>0.26620556538523399</v>
      </c>
      <c r="Y46" s="23">
        <f t="shared" si="41"/>
        <v>0.29676240208877291</v>
      </c>
      <c r="Z46" s="23">
        <f t="shared" si="41"/>
        <v>0.36850045257970421</v>
      </c>
      <c r="AA46" s="23">
        <f t="shared" si="41"/>
        <v>0.34354362793311788</v>
      </c>
      <c r="AB46" s="23">
        <f t="shared" si="41"/>
        <v>0.31050982384823844</v>
      </c>
      <c r="AC46" s="23">
        <f t="shared" si="41"/>
        <v>0.2883662867957959</v>
      </c>
      <c r="AD46" s="23">
        <f t="shared" si="41"/>
        <v>0.24601308150216794</v>
      </c>
      <c r="AE46" s="23">
        <f t="shared" si="41"/>
        <v>0.19852889911455063</v>
      </c>
      <c r="AF46" s="23">
        <f t="shared" si="41"/>
        <v>0.17063556173058902</v>
      </c>
      <c r="AG46" s="23">
        <f t="shared" si="41"/>
        <v>0.16487466399950002</v>
      </c>
      <c r="AH46" s="23">
        <f t="shared" si="41"/>
        <v>0.16004600548526948</v>
      </c>
      <c r="AI46" s="23">
        <f t="shared" si="41"/>
        <v>0.19199557895349173</v>
      </c>
      <c r="AJ46" s="23">
        <f t="shared" si="41"/>
        <v>0.18904223019597022</v>
      </c>
      <c r="AK46" s="23">
        <f t="shared" si="41"/>
        <v>0.20148112372212834</v>
      </c>
      <c r="AL46" s="23">
        <f t="shared" si="41"/>
        <v>0.30948749237339834</v>
      </c>
      <c r="AM46" s="23">
        <f t="shared" si="41"/>
        <v>0.22768532526475038</v>
      </c>
      <c r="AN46" s="23">
        <f>AN27/AJ27-1</f>
        <v>0.23988486269412013</v>
      </c>
      <c r="AO46" s="23">
        <f t="shared" si="41"/>
        <v>0.22263164947072234</v>
      </c>
      <c r="AP46" s="23">
        <f t="shared" si="41"/>
        <v>0.15132983886623963</v>
      </c>
      <c r="AQ46" s="23">
        <f t="shared" si="41"/>
        <v>0.22733687118637325</v>
      </c>
      <c r="AR46" s="23">
        <f t="shared" si="41"/>
        <v>0.21359968546982944</v>
      </c>
      <c r="AS46" s="23"/>
      <c r="AT46" s="23"/>
      <c r="AU46" s="23"/>
      <c r="AW46" s="7">
        <f t="shared" si="42"/>
        <v>0.37543034679654053</v>
      </c>
      <c r="AX46" s="7">
        <f t="shared" si="42"/>
        <v>0.39996947496947488</v>
      </c>
      <c r="AY46" s="7">
        <f t="shared" si="42"/>
        <v>0.30331639884002359</v>
      </c>
      <c r="AZ46" s="7">
        <f t="shared" si="42"/>
        <v>0.25429116338207258</v>
      </c>
      <c r="BA46" s="7">
        <f t="shared" si="42"/>
        <v>0.29396857577293467</v>
      </c>
      <c r="BB46" s="7">
        <f t="shared" si="42"/>
        <v>0.29401941987754343</v>
      </c>
      <c r="BC46" s="7">
        <f t="shared" si="42"/>
        <v>0.17268078191463943</v>
      </c>
      <c r="BD46" s="7">
        <f>BD27/BC27-1</f>
        <v>0.2250638517552439</v>
      </c>
      <c r="BE46" s="7">
        <f t="shared" si="43"/>
        <v>0.20753649867756407</v>
      </c>
      <c r="BK46" s="14" t="s">
        <v>550</v>
      </c>
      <c r="BL46" s="24">
        <v>0.01</v>
      </c>
    </row>
    <row r="47" spans="2:521" s="6" customFormat="1" x14ac:dyDescent="0.3">
      <c r="B47" s="24" t="s">
        <v>551</v>
      </c>
      <c r="C47" s="23"/>
      <c r="D47" s="23"/>
      <c r="E47" s="23"/>
      <c r="F47" s="23"/>
      <c r="G47" s="23">
        <f t="shared" si="41"/>
        <v>4.8684839789574275E-2</v>
      </c>
      <c r="H47" s="23">
        <f t="shared" si="41"/>
        <v>2.2690373420979792E-2</v>
      </c>
      <c r="I47" s="23">
        <f t="shared" si="41"/>
        <v>7.8774922154575489E-2</v>
      </c>
      <c r="J47" s="23">
        <f t="shared" si="41"/>
        <v>9.0781289937803544E-2</v>
      </c>
      <c r="K47" s="23">
        <f t="shared" si="41"/>
        <v>0.11902590295512594</v>
      </c>
      <c r="L47" s="23">
        <f t="shared" si="41"/>
        <v>0.11972430883605667</v>
      </c>
      <c r="M47" s="23">
        <f t="shared" si="41"/>
        <v>0.15539376184732046</v>
      </c>
      <c r="N47" s="23">
        <f t="shared" si="41"/>
        <v>0.17496582698691654</v>
      </c>
      <c r="O47" s="23">
        <f t="shared" si="41"/>
        <v>0.18526367267095933</v>
      </c>
      <c r="P47" s="23">
        <f t="shared" si="41"/>
        <v>0.12286465177398154</v>
      </c>
      <c r="Q47" s="23">
        <f t="shared" si="41"/>
        <v>0.13990081658525666</v>
      </c>
      <c r="R47" s="23">
        <f t="shared" si="41"/>
        <v>0.12072461359481479</v>
      </c>
      <c r="S47" s="23">
        <f t="shared" si="41"/>
        <v>0.13653555219364599</v>
      </c>
      <c r="T47" s="23">
        <f t="shared" si="41"/>
        <v>0.13658341289150311</v>
      </c>
      <c r="U47" s="23">
        <f t="shared" si="41"/>
        <v>0.14556278826338698</v>
      </c>
      <c r="V47" s="23">
        <f t="shared" si="41"/>
        <v>0.12800664353293589</v>
      </c>
      <c r="W47" s="23">
        <f t="shared" si="41"/>
        <v>0.12400544546967174</v>
      </c>
      <c r="X47" s="23">
        <f t="shared" si="41"/>
        <v>0.16718148810491518</v>
      </c>
      <c r="Y47" s="23">
        <f t="shared" si="41"/>
        <v>0.19088546871876866</v>
      </c>
      <c r="Z47" s="23">
        <f t="shared" si="41"/>
        <v>0.21347251071437956</v>
      </c>
      <c r="AA47" s="23">
        <f t="shared" si="41"/>
        <v>0.21970716477364483</v>
      </c>
      <c r="AB47" s="23">
        <f t="shared" si="41"/>
        <v>0.2008543040208004</v>
      </c>
      <c r="AC47" s="23">
        <f t="shared" si="41"/>
        <v>0.18352275451973332</v>
      </c>
      <c r="AD47" s="23">
        <f t="shared" si="41"/>
        <v>0.12378661813139202</v>
      </c>
      <c r="AE47" s="23">
        <f t="shared" si="41"/>
        <v>0.1060308493501334</v>
      </c>
      <c r="AF47" s="23">
        <f t="shared" si="41"/>
        <v>1.9699195793380753E-2</v>
      </c>
      <c r="AG47" s="23">
        <f t="shared" si="41"/>
        <v>7.0846839546191198E-2</v>
      </c>
      <c r="AH47" s="23">
        <f t="shared" si="41"/>
        <v>8.3370288248336921E-2</v>
      </c>
      <c r="AI47" s="23">
        <f t="shared" si="41"/>
        <v>0.12758868361198683</v>
      </c>
      <c r="AJ47" s="23">
        <f t="shared" si="41"/>
        <v>0.17580146738203117</v>
      </c>
      <c r="AK47" s="23">
        <f>AK28/AG28-1</f>
        <v>0.17028964943148495</v>
      </c>
      <c r="AL47" s="23">
        <f>AL28/AH28-1</f>
        <v>0.15195144957198026</v>
      </c>
      <c r="AM47" s="23">
        <f>AM28/AI28-1</f>
        <v>0.16044729904276589</v>
      </c>
      <c r="AN47" s="23">
        <f>AN28/AJ28-1</f>
        <v>0.12273460174137374</v>
      </c>
      <c r="AO47" s="23">
        <f t="shared" si="41"/>
        <v>0.13269100197225914</v>
      </c>
      <c r="AP47" s="23">
        <f t="shared" si="41"/>
        <v>0.18097548163826538</v>
      </c>
      <c r="AQ47" s="23">
        <f t="shared" si="41"/>
        <v>0.18431043683769155</v>
      </c>
      <c r="AR47" s="23">
        <f t="shared" si="41"/>
        <v>0.16717888327205888</v>
      </c>
      <c r="AS47" s="23"/>
      <c r="AT47" s="23"/>
      <c r="AU47" s="23"/>
      <c r="AW47" s="25">
        <f t="shared" si="42"/>
        <v>5.9426903920837271E-2</v>
      </c>
      <c r="AX47" s="25">
        <f t="shared" si="42"/>
        <v>0.14278613662486661</v>
      </c>
      <c r="AY47" s="25">
        <f t="shared" si="42"/>
        <v>0.14029539688292858</v>
      </c>
      <c r="AZ47" s="25">
        <f t="shared" si="42"/>
        <v>0.13645574247276371</v>
      </c>
      <c r="BA47" s="25">
        <f t="shared" si="42"/>
        <v>0.17531727441177503</v>
      </c>
      <c r="BB47" s="25">
        <f t="shared" si="42"/>
        <v>0.17956070629670173</v>
      </c>
      <c r="BC47" s="25">
        <f t="shared" si="42"/>
        <v>6.8820295556564215E-2</v>
      </c>
      <c r="BD47" s="25">
        <f>BD28/BC28-1</f>
        <v>0.1566996201307127</v>
      </c>
      <c r="BE47" s="25">
        <f t="shared" si="43"/>
        <v>0.14932156232406713</v>
      </c>
      <c r="BF47" s="25">
        <f t="shared" si="43"/>
        <v>0.12999999999999989</v>
      </c>
      <c r="BG47" s="25">
        <f t="shared" si="43"/>
        <v>0.10000000000000009</v>
      </c>
      <c r="BH47" s="25">
        <f t="shared" si="43"/>
        <v>0.10000000000000009</v>
      </c>
      <c r="BK47" s="6" t="s">
        <v>552</v>
      </c>
      <c r="BL47" s="6">
        <v>0.06</v>
      </c>
    </row>
    <row r="48" spans="2:521" s="6" customFormat="1" x14ac:dyDescent="0.3">
      <c r="B48" s="9" t="s">
        <v>553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W48" s="25">
        <f t="shared" ref="AW48:BE50" si="44">AW33/AV33-1</f>
        <v>8.7504170837504169E-2</v>
      </c>
      <c r="AX48" s="25">
        <f t="shared" si="44"/>
        <v>0.12955434532484467</v>
      </c>
      <c r="AY48" s="25">
        <f t="shared" si="44"/>
        <v>0.14600027162841234</v>
      </c>
      <c r="AZ48" s="25">
        <f t="shared" si="44"/>
        <v>0.14179900450343674</v>
      </c>
      <c r="BA48" s="25">
        <f t="shared" si="44"/>
        <v>7.5094711713114437E-2</v>
      </c>
      <c r="BB48" s="25">
        <f t="shared" si="44"/>
        <v>0.1832400077234988</v>
      </c>
      <c r="BC48" s="25">
        <f t="shared" si="44"/>
        <v>0.10945659268929497</v>
      </c>
      <c r="BD48" s="25">
        <f t="shared" si="44"/>
        <v>8.5125942268799326E-2</v>
      </c>
      <c r="BE48" s="25">
        <f t="shared" si="44"/>
        <v>0.10091494408675028</v>
      </c>
      <c r="BK48" s="6" t="s">
        <v>554</v>
      </c>
      <c r="BL48" s="26">
        <f>NPV(BL47,BE41:TA41)</f>
        <v>2778234.3247448737</v>
      </c>
    </row>
    <row r="49" spans="2:64" s="6" customFormat="1" x14ac:dyDescent="0.3">
      <c r="B49" s="9" t="s">
        <v>555</v>
      </c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W49" s="25">
        <f t="shared" si="44"/>
        <v>5.6440040997608465E-2</v>
      </c>
      <c r="AX49" s="25">
        <f t="shared" si="44"/>
        <v>0.12987516978203217</v>
      </c>
      <c r="AY49" s="25">
        <f t="shared" si="44"/>
        <v>4.2589730379529511E-2</v>
      </c>
      <c r="AZ49" s="25">
        <f t="shared" si="44"/>
        <v>7.604458353923027E-2</v>
      </c>
      <c r="BA49" s="25">
        <f t="shared" si="44"/>
        <v>2.6482294111644045E-2</v>
      </c>
      <c r="BB49" s="25">
        <f t="shared" si="44"/>
        <v>8.4903315603718221E-2</v>
      </c>
      <c r="BC49" s="25">
        <f t="shared" si="44"/>
        <v>4.2794959908361907E-2</v>
      </c>
      <c r="BD49" s="25">
        <f t="shared" si="44"/>
        <v>7.4563908783338517E-2</v>
      </c>
      <c r="BE49" s="25">
        <f t="shared" si="44"/>
        <v>4.8985933922145897E-2</v>
      </c>
      <c r="BK49" s="6" t="s">
        <v>556</v>
      </c>
      <c r="BL49" s="5">
        <f>AN63</f>
        <v>42166</v>
      </c>
    </row>
    <row r="50" spans="2:64" s="6" customFormat="1" x14ac:dyDescent="0.3">
      <c r="B50" s="9" t="s">
        <v>557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W50" s="25">
        <f t="shared" si="44"/>
        <v>-0.15617838885950996</v>
      </c>
      <c r="AX50" s="25">
        <f t="shared" si="44"/>
        <v>-6.8936703572174407E-3</v>
      </c>
      <c r="AY50" s="25">
        <f t="shared" si="44"/>
        <v>2.7555742532604066E-2</v>
      </c>
      <c r="AZ50" s="25">
        <f t="shared" si="44"/>
        <v>4.6264073694984642E-2</v>
      </c>
      <c r="BA50" s="25">
        <f t="shared" si="44"/>
        <v>-7.8262570925458075E-4</v>
      </c>
      <c r="BB50" s="25">
        <f t="shared" si="44"/>
        <v>0.15527707068729191</v>
      </c>
      <c r="BC50" s="25">
        <f t="shared" si="44"/>
        <v>0.28389830508474567</v>
      </c>
      <c r="BD50" s="25">
        <f t="shared" si="44"/>
        <v>4.4884488448844184E-3</v>
      </c>
      <c r="BE50" s="25">
        <f t="shared" si="44"/>
        <v>-5.0729399395452734E-2</v>
      </c>
      <c r="BK50" s="6" t="s">
        <v>558</v>
      </c>
      <c r="BL50" s="5">
        <f>BL48+BL49</f>
        <v>2820400.3247448737</v>
      </c>
    </row>
    <row r="51" spans="2:64" x14ac:dyDescent="0.3"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BC51" s="21"/>
      <c r="BD51" s="21"/>
      <c r="BK51" s="6" t="s">
        <v>554</v>
      </c>
      <c r="BL51" s="27">
        <f>BL50/BD42</f>
        <v>379.34099862069587</v>
      </c>
    </row>
    <row r="52" spans="2:64" x14ac:dyDescent="0.3">
      <c r="B52" t="s">
        <v>559</v>
      </c>
      <c r="C52" s="23">
        <f t="shared" ref="C52:AR52" si="45">C32/C28</f>
        <v>0.65533237685318024</v>
      </c>
      <c r="D52" s="23">
        <f t="shared" si="45"/>
        <v>0.60907614936839183</v>
      </c>
      <c r="E52" s="23">
        <f t="shared" si="45"/>
        <v>0.64112097411349167</v>
      </c>
      <c r="F52" s="23">
        <f t="shared" si="45"/>
        <v>0.66009201669932693</v>
      </c>
      <c r="G52" s="23">
        <f t="shared" si="45"/>
        <v>0.64228383801532285</v>
      </c>
      <c r="H52" s="23">
        <f t="shared" si="45"/>
        <v>0.61662665530860372</v>
      </c>
      <c r="I52" s="23">
        <f t="shared" si="45"/>
        <v>0.65276581078752371</v>
      </c>
      <c r="J52" s="23">
        <f t="shared" si="45"/>
        <v>0.66975200156219483</v>
      </c>
      <c r="K52" s="23">
        <f t="shared" si="45"/>
        <v>0.66264569239546822</v>
      </c>
      <c r="L52" s="23">
        <f t="shared" si="45"/>
        <v>0.6174009267584204</v>
      </c>
      <c r="M52" s="23">
        <f t="shared" si="45"/>
        <v>0.65438681531749876</v>
      </c>
      <c r="N52" s="23">
        <f t="shared" si="45"/>
        <v>0.67618414492271894</v>
      </c>
      <c r="O52" s="23">
        <f t="shared" si="45"/>
        <v>0.65943474075092834</v>
      </c>
      <c r="P52" s="23">
        <f t="shared" si="45"/>
        <v>0.61741246034923469</v>
      </c>
      <c r="Q52" s="23">
        <f t="shared" si="45"/>
        <v>0.66733178502502366</v>
      </c>
      <c r="R52" s="23">
        <f t="shared" si="45"/>
        <v>0.69119435299700449</v>
      </c>
      <c r="S52" s="23">
        <f t="shared" si="45"/>
        <v>0.6851913477537438</v>
      </c>
      <c r="T52" s="23">
        <f t="shared" si="45"/>
        <v>0.66514929821709212</v>
      </c>
      <c r="U52" s="23">
        <f t="shared" si="45"/>
        <v>0.68661660146769077</v>
      </c>
      <c r="V52" s="23">
        <f t="shared" si="45"/>
        <v>0.67557121447164303</v>
      </c>
      <c r="W52" s="23">
        <f t="shared" si="45"/>
        <v>0.70388114334930285</v>
      </c>
      <c r="X52" s="23">
        <f t="shared" si="45"/>
        <v>0.67048936762930633</v>
      </c>
      <c r="Y52" s="23">
        <f t="shared" si="45"/>
        <v>0.68721526878626582</v>
      </c>
      <c r="Z52" s="23">
        <f t="shared" si="45"/>
        <v>0.69684954064829263</v>
      </c>
      <c r="AA52" s="23">
        <f t="shared" si="45"/>
        <v>0.6988768012004325</v>
      </c>
      <c r="AB52" s="23">
        <f t="shared" si="45"/>
        <v>0.67213114754098358</v>
      </c>
      <c r="AC52" s="23">
        <f t="shared" si="45"/>
        <v>0.68365072933549431</v>
      </c>
      <c r="AD52" s="23">
        <f t="shared" si="45"/>
        <v>0.68323532247180174</v>
      </c>
      <c r="AE52" s="23">
        <f t="shared" si="45"/>
        <v>0.69171222217788597</v>
      </c>
      <c r="AF52" s="23">
        <f t="shared" si="45"/>
        <v>0.66845507801391546</v>
      </c>
      <c r="AG52" s="23">
        <f t="shared" si="45"/>
        <v>0.69487485101311086</v>
      </c>
      <c r="AH52" s="23">
        <f t="shared" si="45"/>
        <v>0.70109807969531401</v>
      </c>
      <c r="AI52" s="23">
        <f t="shared" si="45"/>
        <v>0.71155581506449384</v>
      </c>
      <c r="AJ52" s="23">
        <f t="shared" si="45"/>
        <v>0.68360206385037081</v>
      </c>
      <c r="AK52" s="23">
        <f t="shared" si="45"/>
        <v>0.70084710142584628</v>
      </c>
      <c r="AL52" s="23">
        <f t="shared" si="45"/>
        <v>0.69589197707293715</v>
      </c>
      <c r="AM52" s="23">
        <f t="shared" si="45"/>
        <v>0.69354273080734929</v>
      </c>
      <c r="AN52" s="23">
        <f t="shared" si="45"/>
        <v>0.68693991268382348</v>
      </c>
      <c r="AO52" s="23">
        <f t="shared" si="45"/>
        <v>0.6871663859789342</v>
      </c>
      <c r="AP52" s="23">
        <f t="shared" si="45"/>
        <v>0.68584921704320978</v>
      </c>
      <c r="AQ52" s="23">
        <f t="shared" si="45"/>
        <v>0.69045871795862135</v>
      </c>
      <c r="AR52" s="23">
        <f t="shared" si="45"/>
        <v>0.68036125158416694</v>
      </c>
      <c r="AS52" s="23"/>
      <c r="AT52" s="23"/>
      <c r="AU52" s="23"/>
      <c r="AV52" s="23">
        <f t="shared" ref="AV52:BB52" si="46">AV32/AV28</f>
        <v>0.64038879259275516</v>
      </c>
      <c r="AW52" s="23">
        <f t="shared" si="46"/>
        <v>0.64522475691460168</v>
      </c>
      <c r="AX52" s="23">
        <f t="shared" si="46"/>
        <v>0.65247372236317502</v>
      </c>
      <c r="AY52" s="23">
        <f t="shared" si="46"/>
        <v>0.65901957200638894</v>
      </c>
      <c r="AZ52" s="23">
        <f t="shared" si="46"/>
        <v>0.67781001992797962</v>
      </c>
      <c r="BA52" s="23">
        <f t="shared" si="46"/>
        <v>0.68925800771024703</v>
      </c>
      <c r="BB52" s="23">
        <f t="shared" si="46"/>
        <v>0.68401674484289099</v>
      </c>
      <c r="BC52" s="23">
        <f>BC32/BC28</f>
        <v>0.68920085883491022</v>
      </c>
      <c r="BD52" s="23">
        <f>BD32/BD28</f>
        <v>0.69764443827971379</v>
      </c>
      <c r="BE52" s="23">
        <f t="shared" ref="BE52:BH52" si="47">BE32/BE28</f>
        <v>0.68823742386165188</v>
      </c>
      <c r="BF52" s="23">
        <f t="shared" si="47"/>
        <v>0.7</v>
      </c>
      <c r="BG52" s="23">
        <f t="shared" si="47"/>
        <v>0.7</v>
      </c>
      <c r="BH52" s="23">
        <f t="shared" si="47"/>
        <v>0.7</v>
      </c>
      <c r="BK52" s="6" t="s">
        <v>560</v>
      </c>
      <c r="BL52" s="6">
        <f>BL51/[1]Main!C15-1</f>
        <v>-0.27880568333866451</v>
      </c>
    </row>
    <row r="53" spans="2:64" x14ac:dyDescent="0.3">
      <c r="B53" s="28" t="s">
        <v>561</v>
      </c>
      <c r="C53" s="23">
        <f t="shared" ref="C53:AR54" si="48">(C26-C29)/C26</f>
        <v>0.74380952380952381</v>
      </c>
      <c r="D53" s="23">
        <f t="shared" si="48"/>
        <v>0.67742267510678811</v>
      </c>
      <c r="E53" s="23">
        <f t="shared" si="48"/>
        <v>0.75168223688508529</v>
      </c>
      <c r="F53" s="23">
        <f t="shared" si="48"/>
        <v>0.77587844254510918</v>
      </c>
      <c r="G53" s="23">
        <f t="shared" si="48"/>
        <v>0.76075628006413687</v>
      </c>
      <c r="H53" s="23">
        <f t="shared" si="48"/>
        <v>0.70568598478629674</v>
      </c>
      <c r="I53" s="23">
        <f t="shared" si="48"/>
        <v>0.78812099497002686</v>
      </c>
      <c r="J53" s="23">
        <f t="shared" si="48"/>
        <v>0.8043843806439559</v>
      </c>
      <c r="K53" s="23">
        <f t="shared" si="48"/>
        <v>0.79157924185200723</v>
      </c>
      <c r="L53" s="23">
        <f t="shared" si="48"/>
        <v>0.69329465580720739</v>
      </c>
      <c r="M53" s="23">
        <f t="shared" si="48"/>
        <v>0.77338891094349604</v>
      </c>
      <c r="N53" s="23">
        <f t="shared" si="48"/>
        <v>0.79503467568040098</v>
      </c>
      <c r="O53" s="23">
        <f t="shared" si="48"/>
        <v>0.78906295161570028</v>
      </c>
      <c r="P53" s="23">
        <f t="shared" si="48"/>
        <v>0.63715395523768414</v>
      </c>
      <c r="Q53" s="23">
        <f t="shared" si="48"/>
        <v>0.77725271879854996</v>
      </c>
      <c r="R53" s="23">
        <f t="shared" si="48"/>
        <v>0.80716833304098701</v>
      </c>
      <c r="S53" s="23">
        <f t="shared" si="48"/>
        <v>0.79039827498731607</v>
      </c>
      <c r="T53" s="23">
        <f t="shared" si="48"/>
        <v>0.72796494111202414</v>
      </c>
      <c r="U53" s="23">
        <f t="shared" si="48"/>
        <v>0.78728498519311951</v>
      </c>
      <c r="V53" s="23">
        <f t="shared" si="48"/>
        <v>0.75918884664131814</v>
      </c>
      <c r="W53" s="23">
        <f t="shared" si="48"/>
        <v>0.77238499019173579</v>
      </c>
      <c r="X53" s="23">
        <f t="shared" si="48"/>
        <v>0.68869475847893113</v>
      </c>
      <c r="Y53" s="23">
        <f t="shared" si="48"/>
        <v>0.74651810584958223</v>
      </c>
      <c r="Z53" s="23">
        <f t="shared" si="48"/>
        <v>0.7736297391488014</v>
      </c>
      <c r="AA53" s="23">
        <f t="shared" si="48"/>
        <v>0.77199206301485179</v>
      </c>
      <c r="AB53" s="23">
        <f t="shared" si="48"/>
        <v>0.69531738774724483</v>
      </c>
      <c r="AC53" s="23">
        <f t="shared" si="48"/>
        <v>0.73603593228146957</v>
      </c>
      <c r="AD53" s="23">
        <f t="shared" si="48"/>
        <v>0.75735130318556476</v>
      </c>
      <c r="AE53" s="23">
        <f t="shared" si="48"/>
        <v>0.72670097198399086</v>
      </c>
      <c r="AF53" s="23">
        <f t="shared" si="48"/>
        <v>0.65550644790216139</v>
      </c>
      <c r="AG53" s="23">
        <f t="shared" si="48"/>
        <v>0.74717731588401337</v>
      </c>
      <c r="AH53" s="23">
        <f t="shared" si="48"/>
        <v>0.77030795704028954</v>
      </c>
      <c r="AI53" s="23">
        <f t="shared" si="48"/>
        <v>0.77270679111683294</v>
      </c>
      <c r="AJ53" s="23">
        <f t="shared" si="48"/>
        <v>0.68512750118789922</v>
      </c>
      <c r="AK53" s="23">
        <f t="shared" si="48"/>
        <v>0.74596018735363001</v>
      </c>
      <c r="AL53" s="23">
        <f t="shared" si="48"/>
        <v>0.89120072633729286</v>
      </c>
      <c r="AM53" s="23">
        <f t="shared" si="48"/>
        <v>0.78431115767417492</v>
      </c>
      <c r="AN53" s="23">
        <f t="shared" si="48"/>
        <v>0.76225414637153954</v>
      </c>
      <c r="AO53" s="23">
        <f t="shared" si="48"/>
        <v>0.80174946145309745</v>
      </c>
      <c r="AP53" s="23">
        <f t="shared" si="48"/>
        <v>0.8066059757236228</v>
      </c>
      <c r="AQ53" s="23">
        <f t="shared" si="48"/>
        <v>0.81648034166561989</v>
      </c>
      <c r="AR53" s="23">
        <f t="shared" si="48"/>
        <v>0.78694304297611084</v>
      </c>
      <c r="AS53" s="23"/>
      <c r="AT53" s="23"/>
      <c r="AU53" s="23"/>
      <c r="AV53" s="23">
        <f t="shared" ref="AV53:BB54" si="49">(AV26-AV29)/AV26</f>
        <v>0.73446596174408929</v>
      </c>
      <c r="AW53" s="23">
        <f t="shared" si="49"/>
        <v>0.76218833743398473</v>
      </c>
      <c r="AX53" s="23">
        <f t="shared" si="49"/>
        <v>0.76091911251686128</v>
      </c>
      <c r="AY53" s="23">
        <f t="shared" si="49"/>
        <v>0.75369689264254036</v>
      </c>
      <c r="AZ53" s="23">
        <f t="shared" si="49"/>
        <v>0.76459781602269217</v>
      </c>
      <c r="BA53" s="23">
        <f t="shared" si="49"/>
        <v>0.74366153586402906</v>
      </c>
      <c r="BB53" s="23">
        <f t="shared" si="49"/>
        <v>0.73788703734257277</v>
      </c>
      <c r="BC53" s="23">
        <f>(BC26-BC29)/BC26</f>
        <v>0.72481800336944935</v>
      </c>
      <c r="BD53" s="23">
        <f>(BD26-BD29)/BD26</f>
        <v>0.76422274713229277</v>
      </c>
      <c r="BE53" s="23">
        <f t="shared" ref="BE53:BE54" si="50">(BE26-BE29)/BE26</f>
        <v>0.78886873299346327</v>
      </c>
    </row>
    <row r="54" spans="2:64" x14ac:dyDescent="0.3">
      <c r="B54" s="28" t="s">
        <v>562</v>
      </c>
      <c r="C54" s="23">
        <f t="shared" si="48"/>
        <v>0.38527131782945734</v>
      </c>
      <c r="D54" s="23">
        <f t="shared" si="48"/>
        <v>0.38096873926485741</v>
      </c>
      <c r="E54" s="23">
        <f t="shared" si="48"/>
        <v>0.36859903381642511</v>
      </c>
      <c r="F54" s="23">
        <f t="shared" si="48"/>
        <v>0.36568065197706007</v>
      </c>
      <c r="G54" s="23">
        <f t="shared" si="48"/>
        <v>0.38750000000000001</v>
      </c>
      <c r="H54" s="23">
        <f t="shared" si="48"/>
        <v>0.40116509996028066</v>
      </c>
      <c r="I54" s="23">
        <f t="shared" si="48"/>
        <v>0.42694562593401542</v>
      </c>
      <c r="J54" s="23">
        <f t="shared" si="48"/>
        <v>0.44333891914537077</v>
      </c>
      <c r="K54" s="23">
        <f t="shared" si="48"/>
        <v>0.48261718749999999</v>
      </c>
      <c r="L54" s="23">
        <f t="shared" si="48"/>
        <v>0.49363173216885009</v>
      </c>
      <c r="M54" s="23">
        <f t="shared" si="48"/>
        <v>0.50072618539085856</v>
      </c>
      <c r="N54" s="23">
        <f t="shared" si="48"/>
        <v>0.51841250193408639</v>
      </c>
      <c r="O54" s="23">
        <f t="shared" si="48"/>
        <v>0.46915570640644888</v>
      </c>
      <c r="P54" s="23">
        <f t="shared" si="48"/>
        <v>0.59771105094757571</v>
      </c>
      <c r="Q54" s="23">
        <f t="shared" si="48"/>
        <v>0.55504860146796275</v>
      </c>
      <c r="R54" s="23">
        <f t="shared" si="48"/>
        <v>0.57180690983507887</v>
      </c>
      <c r="S54" s="23">
        <f t="shared" si="48"/>
        <v>0.58922890032972752</v>
      </c>
      <c r="T54" s="23">
        <f t="shared" si="48"/>
        <v>0.60366736368023166</v>
      </c>
      <c r="U54" s="23">
        <f t="shared" si="48"/>
        <v>0.60318537859007837</v>
      </c>
      <c r="V54" s="23">
        <f t="shared" si="48"/>
        <v>0.59926581514633415</v>
      </c>
      <c r="W54" s="23">
        <f t="shared" si="48"/>
        <v>0.65317783710364852</v>
      </c>
      <c r="X54" s="23">
        <f t="shared" si="48"/>
        <v>0.65548780487804881</v>
      </c>
      <c r="Y54" s="23">
        <f t="shared" si="48"/>
        <v>0.64692143518704948</v>
      </c>
      <c r="Z54" s="23">
        <f t="shared" si="48"/>
        <v>0.64341882854413168</v>
      </c>
      <c r="AA54" s="23">
        <f t="shared" si="48"/>
        <v>0.65648748518441047</v>
      </c>
      <c r="AB54" s="23">
        <f t="shared" si="48"/>
        <v>0.65656402468577335</v>
      </c>
      <c r="AC54" s="23">
        <f t="shared" si="48"/>
        <v>0.65521660311308372</v>
      </c>
      <c r="AD54" s="23">
        <f t="shared" si="48"/>
        <v>0.64398832168450859</v>
      </c>
      <c r="AE54" s="23">
        <f t="shared" si="48"/>
        <v>0.67569296995433525</v>
      </c>
      <c r="AF54" s="23">
        <f t="shared" si="48"/>
        <v>0.67435826662986476</v>
      </c>
      <c r="AG54" s="23">
        <f t="shared" si="48"/>
        <v>0.67299900721779493</v>
      </c>
      <c r="AH54" s="23">
        <f t="shared" si="48"/>
        <v>0.67144600366076879</v>
      </c>
      <c r="AI54" s="23">
        <f t="shared" si="48"/>
        <v>0.68837538431506518</v>
      </c>
      <c r="AJ54" s="23">
        <f t="shared" si="48"/>
        <v>0.68293135866663568</v>
      </c>
      <c r="AK54" s="23">
        <f t="shared" si="48"/>
        <v>0.68363928714993971</v>
      </c>
      <c r="AL54" s="23">
        <f t="shared" si="48"/>
        <v>0.64577751892836344</v>
      </c>
      <c r="AM54" s="23">
        <f t="shared" si="48"/>
        <v>0.66599089698487468</v>
      </c>
      <c r="AN54" s="23">
        <f t="shared" si="48"/>
        <v>0.66407054462396797</v>
      </c>
      <c r="AO54" s="23">
        <f t="shared" si="48"/>
        <v>0.65510438928160453</v>
      </c>
      <c r="AP54" s="23">
        <f t="shared" si="48"/>
        <v>0.65095691762920493</v>
      </c>
      <c r="AQ54" s="23">
        <f t="shared" si="48"/>
        <v>0.65796505319751908</v>
      </c>
      <c r="AR54" s="23">
        <f t="shared" si="48"/>
        <v>0.65331214711054886</v>
      </c>
      <c r="AS54" s="23"/>
      <c r="AT54" s="23"/>
      <c r="AU54" s="23"/>
      <c r="AV54" s="23">
        <f t="shared" si="49"/>
        <v>0.37442270551683599</v>
      </c>
      <c r="AW54" s="23">
        <f t="shared" si="49"/>
        <v>0.41739926739926742</v>
      </c>
      <c r="AX54" s="23">
        <f t="shared" si="49"/>
        <v>0.4999672938970412</v>
      </c>
      <c r="AY54" s="23">
        <f t="shared" si="49"/>
        <v>0.55437146585471941</v>
      </c>
      <c r="AZ54" s="23">
        <f t="shared" si="49"/>
        <v>0.59904766985888447</v>
      </c>
      <c r="BA54" s="23">
        <f t="shared" si="49"/>
        <v>0.64940111736450412</v>
      </c>
      <c r="BB54" s="23">
        <f t="shared" si="49"/>
        <v>0.65280632159186858</v>
      </c>
      <c r="BC54" s="23">
        <f>(BC27-BC30)/BC27</f>
        <v>0.67354771220519505</v>
      </c>
      <c r="BD54" s="23">
        <f>(BD27-BD30)/BD27</f>
        <v>0.67373259624394921</v>
      </c>
      <c r="BE54" s="23">
        <f t="shared" si="50"/>
        <v>0.65868912378660838</v>
      </c>
    </row>
    <row r="55" spans="2:64" x14ac:dyDescent="0.3">
      <c r="B55" t="s">
        <v>563</v>
      </c>
      <c r="C55" s="23">
        <f t="shared" ref="C55:AR55" si="51">C37/C28</f>
        <v>0.30205643232902918</v>
      </c>
      <c r="D55" s="23">
        <f t="shared" si="51"/>
        <v>0.29655882469409572</v>
      </c>
      <c r="E55" s="23">
        <f t="shared" si="51"/>
        <v>0.29172282381372866</v>
      </c>
      <c r="F55" s="23">
        <f t="shared" si="51"/>
        <v>0.25543154127971374</v>
      </c>
      <c r="G55" s="23">
        <f t="shared" si="51"/>
        <v>0.30622947829259395</v>
      </c>
      <c r="H55" s="23">
        <f t="shared" si="51"/>
        <v>0.30608688918144505</v>
      </c>
      <c r="I55" s="23">
        <f t="shared" si="51"/>
        <v>0.28963467172152335</v>
      </c>
      <c r="J55" s="23">
        <f t="shared" si="51"/>
        <v>0.30001952743604765</v>
      </c>
      <c r="K55" s="23">
        <f t="shared" si="51"/>
        <v>0.3141250305648382</v>
      </c>
      <c r="L55" s="23">
        <f t="shared" si="51"/>
        <v>0.30012448993706342</v>
      </c>
      <c r="M55" s="23">
        <f t="shared" si="51"/>
        <v>0.30918378761325926</v>
      </c>
      <c r="N55" s="23">
        <f t="shared" si="51"/>
        <v>0.3449891972743892</v>
      </c>
      <c r="O55" s="23">
        <f t="shared" si="51"/>
        <v>0.34228441754916794</v>
      </c>
      <c r="P55" s="23">
        <f t="shared" si="51"/>
        <v>0.3159126605278556</v>
      </c>
      <c r="Q55" s="23">
        <f t="shared" si="51"/>
        <v>0.3382617513329626</v>
      </c>
      <c r="R55" s="23">
        <f t="shared" si="51"/>
        <v>0.3679152949550672</v>
      </c>
      <c r="S55" s="23">
        <f t="shared" si="51"/>
        <v>0.38378460142187265</v>
      </c>
      <c r="T55" s="23">
        <f t="shared" si="51"/>
        <v>0.37638866309001245</v>
      </c>
      <c r="U55" s="23">
        <f t="shared" si="51"/>
        <v>0.37049199051997372</v>
      </c>
      <c r="V55" s="23">
        <f t="shared" si="51"/>
        <v>0.35250966266137301</v>
      </c>
      <c r="W55" s="23">
        <f t="shared" si="51"/>
        <v>0.42730257845723207</v>
      </c>
      <c r="X55" s="23">
        <f t="shared" si="51"/>
        <v>0.41547497446373849</v>
      </c>
      <c r="Y55" s="23">
        <f t="shared" si="51"/>
        <v>0.40876612477820939</v>
      </c>
      <c r="Z55" s="23">
        <f t="shared" si="51"/>
        <v>0.41374154966198645</v>
      </c>
      <c r="AA55" s="23">
        <f t="shared" si="51"/>
        <v>0.44658737339188381</v>
      </c>
      <c r="AB55" s="23">
        <f t="shared" si="51"/>
        <v>0.43007655428394681</v>
      </c>
      <c r="AC55" s="23">
        <f t="shared" si="51"/>
        <v>0.41256077795786061</v>
      </c>
      <c r="AD55" s="23">
        <f t="shared" si="51"/>
        <v>0.3959124650535043</v>
      </c>
      <c r="AE55" s="23">
        <f t="shared" si="51"/>
        <v>0.42931247755476637</v>
      </c>
      <c r="AF55" s="23">
        <f t="shared" si="51"/>
        <v>0.3867328947617874</v>
      </c>
      <c r="AG55" s="23">
        <f t="shared" si="51"/>
        <v>0.42287681858599618</v>
      </c>
      <c r="AH55" s="23">
        <f t="shared" si="51"/>
        <v>0.4316503230169606</v>
      </c>
      <c r="AI55" s="23">
        <f t="shared" si="51"/>
        <v>0.47587451563246458</v>
      </c>
      <c r="AJ55" s="23">
        <f t="shared" si="51"/>
        <v>0.43585940019348596</v>
      </c>
      <c r="AK55" s="23">
        <f t="shared" si="51"/>
        <v>0.44587603866921011</v>
      </c>
      <c r="AL55" s="23">
        <f t="shared" si="51"/>
        <v>0.54345172802694397</v>
      </c>
      <c r="AM55" s="23">
        <f t="shared" si="51"/>
        <v>0.46583822520393381</v>
      </c>
      <c r="AN55" s="23">
        <f t="shared" si="51"/>
        <v>0.45457548253676472</v>
      </c>
      <c r="AO55" s="23">
        <f t="shared" si="51"/>
        <v>0.45671224274255701</v>
      </c>
      <c r="AP55" s="23">
        <f t="shared" si="51"/>
        <v>0.44901296424693554</v>
      </c>
      <c r="AQ55" s="23">
        <f t="shared" si="51"/>
        <v>0.48872838695557014</v>
      </c>
      <c r="AR55" s="23">
        <f t="shared" si="51"/>
        <v>0.47094360980891564</v>
      </c>
      <c r="AS55" s="23"/>
      <c r="AT55" s="23"/>
      <c r="AU55" s="23"/>
      <c r="AV55" s="23">
        <f t="shared" ref="AV55:BB55" si="52">AV37/AV28</f>
        <v>0.28608728086534874</v>
      </c>
      <c r="AW55" s="23">
        <f t="shared" si="52"/>
        <v>0.30055606755651282</v>
      </c>
      <c r="AX55" s="23">
        <f t="shared" si="52"/>
        <v>0.31766944545125048</v>
      </c>
      <c r="AY55" s="23">
        <f t="shared" si="52"/>
        <v>0.3413698020549415</v>
      </c>
      <c r="AZ55" s="23">
        <f t="shared" si="52"/>
        <v>0.37030381428521486</v>
      </c>
      <c r="BA55" s="23">
        <f t="shared" si="52"/>
        <v>0.41594878872971303</v>
      </c>
      <c r="BB55" s="23">
        <f t="shared" si="52"/>
        <v>0.4205527815604983</v>
      </c>
      <c r="BC55" s="23">
        <f>BC37/BC28</f>
        <v>0.41772880636104098</v>
      </c>
      <c r="BD55" s="23">
        <f>BD37/BD28</f>
        <v>0.44644299573273716</v>
      </c>
      <c r="BE55" s="23">
        <f t="shared" ref="BE55:BH55" si="53">BE37/BE28</f>
        <v>0.45621956240859851</v>
      </c>
      <c r="BF55" s="23">
        <f t="shared" si="53"/>
        <v>0.48440818183565831</v>
      </c>
      <c r="BG55" s="23">
        <f t="shared" si="53"/>
        <v>0.49420780993403757</v>
      </c>
      <c r="BH55" s="23">
        <f t="shared" si="53"/>
        <v>0.50356200039158117</v>
      </c>
    </row>
    <row r="56" spans="2:64" x14ac:dyDescent="0.3">
      <c r="B56" t="s">
        <v>564</v>
      </c>
      <c r="C56" s="23">
        <f t="shared" ref="C56:AR56" si="54">C41/C28</f>
        <v>0.24241989478718318</v>
      </c>
      <c r="D56" s="23">
        <f t="shared" si="54"/>
        <v>0.23514037936086801</v>
      </c>
      <c r="E56" s="23">
        <f t="shared" si="54"/>
        <v>0.20007435980852351</v>
      </c>
      <c r="F56" s="23">
        <f t="shared" si="54"/>
        <v>0.22267189230638154</v>
      </c>
      <c r="G56" s="23">
        <f t="shared" si="54"/>
        <v>0.25843670193360085</v>
      </c>
      <c r="H56" s="23">
        <f t="shared" si="54"/>
        <v>0.2426624332068458</v>
      </c>
      <c r="I56" s="23">
        <f t="shared" si="54"/>
        <v>0.23634327072204031</v>
      </c>
      <c r="J56" s="23">
        <f t="shared" si="54"/>
        <v>0.31513376293692641</v>
      </c>
      <c r="K56" s="23">
        <f t="shared" si="54"/>
        <v>0.26799250142635911</v>
      </c>
      <c r="L56" s="23">
        <f t="shared" si="54"/>
        <v>-0.21792655093713259</v>
      </c>
      <c r="M56" s="23">
        <f t="shared" si="54"/>
        <v>0.27681867332861032</v>
      </c>
      <c r="N56" s="23">
        <f t="shared" si="54"/>
        <v>0.29493102875186972</v>
      </c>
      <c r="O56" s="23">
        <f t="shared" si="54"/>
        <v>0.30339705680099022</v>
      </c>
      <c r="P56" s="23">
        <f t="shared" si="54"/>
        <v>0.2593083058729328</v>
      </c>
      <c r="Q56" s="23">
        <f t="shared" si="54"/>
        <v>0.2881488992836348</v>
      </c>
      <c r="R56" s="23">
        <f t="shared" si="54"/>
        <v>0.39110834297238783</v>
      </c>
      <c r="S56" s="23">
        <f t="shared" si="54"/>
        <v>0.32303736197247013</v>
      </c>
      <c r="T56" s="23">
        <f t="shared" si="54"/>
        <v>0.31563973337668672</v>
      </c>
      <c r="U56" s="23">
        <f t="shared" si="54"/>
        <v>0.30701579052568456</v>
      </c>
      <c r="V56" s="23">
        <f t="shared" si="54"/>
        <v>0.29453369442326399</v>
      </c>
      <c r="W56" s="23">
        <f t="shared" si="54"/>
        <v>0.37393012865371156</v>
      </c>
      <c r="X56" s="23">
        <f t="shared" si="54"/>
        <v>0.3589701922184047</v>
      </c>
      <c r="Y56" s="23">
        <f t="shared" si="54"/>
        <v>0.3706181364791637</v>
      </c>
      <c r="Z56" s="23">
        <f t="shared" si="54"/>
        <v>0.35660426417056684</v>
      </c>
      <c r="AA56" s="23">
        <f t="shared" si="54"/>
        <v>0.45247920206545006</v>
      </c>
      <c r="AB56" s="23">
        <f t="shared" si="54"/>
        <v>0.36276291370244357</v>
      </c>
      <c r="AC56" s="23">
        <f t="shared" si="54"/>
        <v>0.33889789303079415</v>
      </c>
      <c r="AD56" s="23">
        <f t="shared" si="54"/>
        <v>0.32276101417140651</v>
      </c>
      <c r="AE56" s="23">
        <f t="shared" si="54"/>
        <v>0.3502653525398029</v>
      </c>
      <c r="AF56" s="23">
        <f t="shared" si="54"/>
        <v>0.31139211708722769</v>
      </c>
      <c r="AG56" s="23">
        <f t="shared" si="54"/>
        <v>0.34619823296819718</v>
      </c>
      <c r="AH56" s="23">
        <f t="shared" si="54"/>
        <v>0.35738311769207498</v>
      </c>
      <c r="AI56" s="23">
        <f t="shared" si="54"/>
        <v>0.39441230072367606</v>
      </c>
      <c r="AJ56" s="23">
        <f t="shared" si="54"/>
        <v>0.35262818445662691</v>
      </c>
      <c r="AK56" s="23">
        <f t="shared" si="54"/>
        <v>0.35466714087102719</v>
      </c>
      <c r="AL56" s="23">
        <f t="shared" si="54"/>
        <v>0.49418326200812646</v>
      </c>
      <c r="AM56" s="23">
        <f t="shared" si="54"/>
        <v>0.37610734161774795</v>
      </c>
      <c r="AN56" s="23">
        <f t="shared" si="54"/>
        <v>0.34622012867647056</v>
      </c>
      <c r="AO56" s="23">
        <f t="shared" si="54"/>
        <v>0.36856677989324349</v>
      </c>
      <c r="AP56" s="23">
        <f t="shared" si="54"/>
        <v>0.35626169202391389</v>
      </c>
      <c r="AQ56" s="23">
        <f t="shared" si="54"/>
        <v>0.35722838051832684</v>
      </c>
      <c r="AR56" s="23">
        <f t="shared" si="54"/>
        <v>0.47319528010532402</v>
      </c>
      <c r="AS56" s="23"/>
      <c r="AT56" s="23"/>
      <c r="AU56" s="23"/>
      <c r="AV56" s="23">
        <f t="shared" ref="AV56:BB56" si="55">AV41/AV28</f>
        <v>0.22532198257893235</v>
      </c>
      <c r="AW56" s="23">
        <f t="shared" si="55"/>
        <v>0.26394052044609667</v>
      </c>
      <c r="AX56" s="23">
        <f t="shared" si="55"/>
        <v>0.15015404131931859</v>
      </c>
      <c r="AY56" s="23">
        <f t="shared" si="55"/>
        <v>0.31181710544090652</v>
      </c>
      <c r="AZ56" s="23">
        <f t="shared" si="55"/>
        <v>0.30962486452470023</v>
      </c>
      <c r="BA56" s="23">
        <f t="shared" si="55"/>
        <v>0.36451739564989766</v>
      </c>
      <c r="BB56" s="23">
        <f t="shared" si="55"/>
        <v>0.36686336813436221</v>
      </c>
      <c r="BC56" s="23">
        <f>BC41/BC28</f>
        <v>0.34146237878394642</v>
      </c>
      <c r="BD56" s="23">
        <f>BD41/BD28</f>
        <v>0.35955972944084985</v>
      </c>
      <c r="BE56" s="23">
        <f t="shared" ref="BE56:BH56" si="56">BE41/BE28</f>
        <v>0.36146015248967073</v>
      </c>
      <c r="BF56" s="23">
        <f t="shared" si="56"/>
        <v>0.35706194841043826</v>
      </c>
      <c r="BG56" s="23">
        <f t="shared" si="56"/>
        <v>0.37840222321286632</v>
      </c>
      <c r="BH56" s="23">
        <f t="shared" si="56"/>
        <v>0.40217166821586736</v>
      </c>
    </row>
    <row r="57" spans="2:64" s="6" customFormat="1" x14ac:dyDescent="0.3">
      <c r="B57" s="6" t="s">
        <v>565</v>
      </c>
      <c r="C57" s="23">
        <f t="shared" ref="C57:AR57" si="57">C40/C39</f>
        <v>0.15811327022089353</v>
      </c>
      <c r="D57" s="23">
        <f t="shared" si="57"/>
        <v>0.1880213318747436</v>
      </c>
      <c r="E57" s="23">
        <f t="shared" si="57"/>
        <v>0.29018961253091508</v>
      </c>
      <c r="F57" s="23">
        <f t="shared" si="57"/>
        <v>0.1623397435897436</v>
      </c>
      <c r="G57" s="23">
        <f t="shared" si="57"/>
        <v>0.16991357843855281</v>
      </c>
      <c r="H57" s="23">
        <f t="shared" si="57"/>
        <v>0.21877337322363499</v>
      </c>
      <c r="I57" s="23">
        <f t="shared" si="57"/>
        <v>0.22667042571186918</v>
      </c>
      <c r="J57" s="23">
        <f t="shared" si="57"/>
        <v>-1.3948228198039708E-2</v>
      </c>
      <c r="K57" s="23">
        <f t="shared" si="57"/>
        <v>0.17635270541082165</v>
      </c>
      <c r="L57" s="23">
        <f t="shared" si="57"/>
        <v>1.6873159559384885</v>
      </c>
      <c r="M57" s="23">
        <f t="shared" si="57"/>
        <v>0.14084018053466035</v>
      </c>
      <c r="N57" s="23">
        <f t="shared" si="57"/>
        <v>0.16919475655430713</v>
      </c>
      <c r="O57" s="23">
        <f t="shared" si="57"/>
        <v>0.13667938557871051</v>
      </c>
      <c r="P57" s="23">
        <f t="shared" si="57"/>
        <v>0.18921521425132404</v>
      </c>
      <c r="Q57" s="23">
        <f t="shared" si="57"/>
        <v>0.15992752241083349</v>
      </c>
      <c r="R57" s="23">
        <f t="shared" si="57"/>
        <v>-4.6919657033979038E-2</v>
      </c>
      <c r="S57" s="23">
        <f t="shared" si="57"/>
        <v>0.15828472331704241</v>
      </c>
      <c r="T57" s="23">
        <f t="shared" si="57"/>
        <v>0.17294994675186368</v>
      </c>
      <c r="U57" s="23">
        <f t="shared" si="57"/>
        <v>0.16281242700303666</v>
      </c>
      <c r="V57" s="23">
        <f t="shared" si="57"/>
        <v>0.16540008940545373</v>
      </c>
      <c r="W57" s="23">
        <f t="shared" si="57"/>
        <v>0.13836516993301909</v>
      </c>
      <c r="X57" s="23">
        <f t="shared" si="57"/>
        <v>0.15673228990565524</v>
      </c>
      <c r="Y57" s="23">
        <f t="shared" si="57"/>
        <v>0.10321420283128337</v>
      </c>
      <c r="Z57" s="23">
        <f t="shared" si="57"/>
        <v>0.15186807523834064</v>
      </c>
      <c r="AA57" s="23">
        <f t="shared" si="57"/>
        <v>9.2574546871954783E-4</v>
      </c>
      <c r="AB57" s="23">
        <f t="shared" si="57"/>
        <v>0.16655562958027981</v>
      </c>
      <c r="AC57" s="23">
        <f t="shared" si="57"/>
        <v>0.17147102526002972</v>
      </c>
      <c r="AD57" s="23">
        <f t="shared" si="57"/>
        <v>0.18289647093278666</v>
      </c>
      <c r="AE57" s="23">
        <f t="shared" si="57"/>
        <v>0.18616725384758021</v>
      </c>
      <c r="AF57" s="23">
        <f t="shared" si="57"/>
        <v>0.19243817296818919</v>
      </c>
      <c r="AG57" s="23">
        <f t="shared" si="57"/>
        <v>0.19291668504388479</v>
      </c>
      <c r="AH57" s="23">
        <f t="shared" si="57"/>
        <v>0.18789177821814212</v>
      </c>
      <c r="AI57" s="23">
        <f t="shared" si="57"/>
        <v>0.18300102624248643</v>
      </c>
      <c r="AJ57" s="23">
        <f t="shared" si="57"/>
        <v>0.17552589911784663</v>
      </c>
      <c r="AK57" s="23">
        <f t="shared" si="57"/>
        <v>0.17914468514984846</v>
      </c>
      <c r="AL57" s="23">
        <f t="shared" si="57"/>
        <v>7.2867453117300945E-2</v>
      </c>
      <c r="AM57" s="23">
        <f t="shared" si="57"/>
        <v>0.18507383791998414</v>
      </c>
      <c r="AN57" s="23">
        <f t="shared" si="57"/>
        <v>0.17902264600715137</v>
      </c>
      <c r="AO57" s="23">
        <f t="shared" si="57"/>
        <v>0.17697676642126398</v>
      </c>
      <c r="AP57" s="23">
        <f t="shared" si="57"/>
        <v>0.16504169732646554</v>
      </c>
      <c r="AQ57" s="23">
        <f t="shared" si="57"/>
        <v>0.19107314655549401</v>
      </c>
      <c r="AR57" s="23">
        <f t="shared" si="57"/>
        <v>0.20287692243916594</v>
      </c>
      <c r="AS57" s="23"/>
      <c r="AT57" s="23"/>
      <c r="AU57" s="23"/>
      <c r="AV57" s="23">
        <f t="shared" ref="AV57:BB57" si="58">AV40/AV39</f>
        <v>0.19891571434143299</v>
      </c>
      <c r="AW57" s="23">
        <f t="shared" si="58"/>
        <v>0.14755359352530015</v>
      </c>
      <c r="AX57" s="23">
        <f t="shared" si="58"/>
        <v>0.5456763722103416</v>
      </c>
      <c r="AY57" s="23">
        <f t="shared" si="58"/>
        <v>0.10181285478850027</v>
      </c>
      <c r="AZ57" s="23">
        <f t="shared" si="58"/>
        <v>0.16507655177615205</v>
      </c>
      <c r="BA57" s="23">
        <f t="shared" si="58"/>
        <v>0.13826615285083402</v>
      </c>
      <c r="BB57" s="23">
        <f t="shared" si="58"/>
        <v>0.13113383343685794</v>
      </c>
      <c r="BC57" s="23">
        <f>BC40/BC39</f>
        <v>0.18978625253328257</v>
      </c>
      <c r="BD57" s="23">
        <f>BD40/BD39</f>
        <v>0.18231326597827197</v>
      </c>
      <c r="BE57" s="23">
        <f t="shared" ref="BE57" si="59">BE40/BE39</f>
        <v>0.17629644009803683</v>
      </c>
      <c r="BF57" s="23"/>
      <c r="BG57" s="23"/>
      <c r="BH57" s="23"/>
      <c r="BK57"/>
      <c r="BL57"/>
    </row>
    <row r="58" spans="2:64" s="6" customFormat="1" x14ac:dyDescent="0.3">
      <c r="B58" s="6" t="s">
        <v>566</v>
      </c>
      <c r="C58" s="23">
        <f t="shared" ref="C58:AP58" si="60">(C34+C35)/C32</f>
        <v>0.3229219878858644</v>
      </c>
      <c r="D58" s="23">
        <f t="shared" si="60"/>
        <v>0.32455627072362003</v>
      </c>
      <c r="E58" s="23">
        <f t="shared" si="60"/>
        <v>0.32895976803189564</v>
      </c>
      <c r="F58" s="23">
        <f t="shared" si="60"/>
        <v>0.41000322684737012</v>
      </c>
      <c r="G58" s="23">
        <f t="shared" si="60"/>
        <v>0.30268389662027834</v>
      </c>
      <c r="H58" s="23">
        <f t="shared" si="60"/>
        <v>0.31133437990580848</v>
      </c>
      <c r="I58" s="23">
        <f t="shared" si="60"/>
        <v>0.33487328405491024</v>
      </c>
      <c r="J58" s="23">
        <f t="shared" si="60"/>
        <v>0.34713394367018485</v>
      </c>
      <c r="K58" s="23">
        <f t="shared" si="60"/>
        <v>0.30615006150061502</v>
      </c>
      <c r="L58" s="23">
        <f t="shared" si="60"/>
        <v>0.31763190321496582</v>
      </c>
      <c r="M58" s="23">
        <f t="shared" si="60"/>
        <v>0.31584045584045584</v>
      </c>
      <c r="N58" s="23">
        <f t="shared" si="60"/>
        <v>0.29646561470776189</v>
      </c>
      <c r="O58" s="23">
        <f t="shared" si="60"/>
        <v>0.27358047864852181</v>
      </c>
      <c r="P58" s="23">
        <f t="shared" si="60"/>
        <v>0.28531524341580206</v>
      </c>
      <c r="Q58" s="23">
        <f t="shared" si="60"/>
        <v>0.28155482574383611</v>
      </c>
      <c r="R58" s="23">
        <f t="shared" si="60"/>
        <v>0.2740613602231281</v>
      </c>
      <c r="S58" s="23">
        <f t="shared" si="60"/>
        <v>0.23833281822597024</v>
      </c>
      <c r="T58" s="23">
        <f t="shared" si="60"/>
        <v>0.24661886915430992</v>
      </c>
      <c r="U58" s="23">
        <f t="shared" si="60"/>
        <v>0.25717375031190221</v>
      </c>
      <c r="V58" s="23">
        <f t="shared" si="60"/>
        <v>0.27527827508367714</v>
      </c>
      <c r="W58" s="23">
        <f t="shared" si="60"/>
        <v>0.20457326399510553</v>
      </c>
      <c r="X58" s="23">
        <f t="shared" si="60"/>
        <v>0.21071947926043902</v>
      </c>
      <c r="Y58" s="23">
        <f t="shared" si="60"/>
        <v>0.22361397020341231</v>
      </c>
      <c r="Z58" s="23">
        <f t="shared" si="60"/>
        <v>0.22943938310375922</v>
      </c>
      <c r="AA58" s="23">
        <f t="shared" si="60"/>
        <v>0.18420637175965393</v>
      </c>
      <c r="AB58" s="23">
        <f t="shared" si="60"/>
        <v>0.19451794753796595</v>
      </c>
      <c r="AC58" s="23">
        <f t="shared" si="60"/>
        <v>0.20966069047266261</v>
      </c>
      <c r="AD58" s="23">
        <f t="shared" si="60"/>
        <v>0.22725476916130488</v>
      </c>
      <c r="AE58" s="23">
        <f t="shared" si="60"/>
        <v>0.1881742140178829</v>
      </c>
      <c r="AF58" s="23">
        <f t="shared" si="60"/>
        <v>0.22734620947843104</v>
      </c>
      <c r="AG58" s="23">
        <f t="shared" si="60"/>
        <v>0.20128508807754092</v>
      </c>
      <c r="AH58" s="23">
        <f t="shared" si="60"/>
        <v>0.21325582576026805</v>
      </c>
      <c r="AI58" s="23">
        <f t="shared" si="60"/>
        <v>0.16563471341539227</v>
      </c>
      <c r="AJ58" s="23">
        <f t="shared" si="60"/>
        <v>0.19395240229261504</v>
      </c>
      <c r="AK58" s="23">
        <f t="shared" si="60"/>
        <v>0.18727654372246441</v>
      </c>
      <c r="AL58" s="23">
        <f t="shared" si="60"/>
        <v>0.20118553382323556</v>
      </c>
      <c r="AM58" s="23">
        <f t="shared" si="60"/>
        <v>0.16246757243987162</v>
      </c>
      <c r="AN58" s="23">
        <f t="shared" si="60"/>
        <v>0.17274684841009344</v>
      </c>
      <c r="AO58" s="23">
        <f t="shared" si="60"/>
        <v>0.16509855235009449</v>
      </c>
      <c r="AP58" s="23">
        <f t="shared" si="60"/>
        <v>0.17691265950750568</v>
      </c>
      <c r="AQ58" s="23">
        <f>(AQ34+AQ35)/AQ32</f>
        <v>0.14027596494499348</v>
      </c>
      <c r="AR58" s="23">
        <f>(AR34+AR35)/AR32</f>
        <v>0.1540103083461434</v>
      </c>
      <c r="AS58" s="23"/>
      <c r="AT58" s="23"/>
      <c r="AU58" s="23"/>
      <c r="AV58" s="23">
        <f t="shared" ref="AV58:BC58" si="61">(AV34+AV35)/AV32</f>
        <v>0.34789461061431459</v>
      </c>
      <c r="AW58" s="23">
        <f t="shared" si="61"/>
        <v>0.32495586583212965</v>
      </c>
      <c r="AX58" s="23">
        <f t="shared" si="61"/>
        <v>0.30862277278597916</v>
      </c>
      <c r="AY58" s="23">
        <f t="shared" si="61"/>
        <v>0.27851398116551918</v>
      </c>
      <c r="AZ58" s="23">
        <f t="shared" si="61"/>
        <v>0.25489751075440747</v>
      </c>
      <c r="BA58" s="23">
        <f t="shared" si="61"/>
        <v>0.21771854716199421</v>
      </c>
      <c r="BB58" s="23">
        <f t="shared" si="61"/>
        <v>0.20443149977879368</v>
      </c>
      <c r="BC58" s="23">
        <f t="shared" si="61"/>
        <v>0.20769315038479447</v>
      </c>
      <c r="BD58" s="23">
        <f>(BD34+BD35)/BD32</f>
        <v>0.18750584767964071</v>
      </c>
      <c r="BE58" s="23">
        <f t="shared" ref="BE58" si="62">(BE34+BE35)/BE32</f>
        <v>0.16956259380173602</v>
      </c>
      <c r="BF58" s="23"/>
      <c r="BG58" s="23"/>
      <c r="BH58" s="23"/>
      <c r="BK58"/>
      <c r="BL58"/>
    </row>
    <row r="59" spans="2:64" s="6" customFormat="1" x14ac:dyDescent="0.3">
      <c r="B59" s="6" t="s">
        <v>567</v>
      </c>
      <c r="C59" s="23">
        <f t="shared" ref="C59:AP59" si="63">C33/C32</f>
        <v>0.21615704590235715</v>
      </c>
      <c r="D59" s="23">
        <f t="shared" si="63"/>
        <v>0.1885443079123594</v>
      </c>
      <c r="E59" s="23">
        <f t="shared" si="63"/>
        <v>0.21602029720913374</v>
      </c>
      <c r="F59" s="23">
        <f t="shared" si="63"/>
        <v>0.20303323652791222</v>
      </c>
      <c r="G59" s="23">
        <f t="shared" si="63"/>
        <v>0.220533939221812</v>
      </c>
      <c r="H59" s="23">
        <f t="shared" si="63"/>
        <v>0.192276295133438</v>
      </c>
      <c r="I59" s="23">
        <f t="shared" si="63"/>
        <v>0.22142291446673706</v>
      </c>
      <c r="J59" s="23">
        <f t="shared" si="63"/>
        <v>0.2049099072832235</v>
      </c>
      <c r="K59" s="23">
        <f t="shared" si="63"/>
        <v>0.21980319803198031</v>
      </c>
      <c r="L59" s="23">
        <f t="shared" si="63"/>
        <v>0.19625854150330457</v>
      </c>
      <c r="M59" s="23">
        <f t="shared" si="63"/>
        <v>0.21168091168091169</v>
      </c>
      <c r="N59" s="23">
        <f t="shared" si="63"/>
        <v>0.19333431647249669</v>
      </c>
      <c r="O59" s="23">
        <f t="shared" si="63"/>
        <v>0.20736221909380051</v>
      </c>
      <c r="P59" s="23">
        <f t="shared" si="63"/>
        <v>0.20301276935355148</v>
      </c>
      <c r="Q59" s="23">
        <f t="shared" si="63"/>
        <v>0.21155825694818881</v>
      </c>
      <c r="R59" s="23">
        <f t="shared" si="63"/>
        <v>0.19364943145247801</v>
      </c>
      <c r="S59" s="23">
        <f t="shared" si="63"/>
        <v>0.2015541525012142</v>
      </c>
      <c r="T59" s="23">
        <f t="shared" si="63"/>
        <v>0.18751018412905329</v>
      </c>
      <c r="U59" s="23">
        <f t="shared" si="63"/>
        <v>0.20323546535806372</v>
      </c>
      <c r="V59" s="23">
        <f t="shared" si="63"/>
        <v>0.20292675332762514</v>
      </c>
      <c r="W59" s="23">
        <f t="shared" si="63"/>
        <v>0.18836035484857755</v>
      </c>
      <c r="X59" s="23">
        <f t="shared" si="63"/>
        <v>0.16962121736721833</v>
      </c>
      <c r="Y59" s="23">
        <f t="shared" si="63"/>
        <v>0.18157077561843621</v>
      </c>
      <c r="Z59" s="23">
        <f t="shared" si="63"/>
        <v>0.17682907869780168</v>
      </c>
      <c r="AA59" s="23">
        <f t="shared" si="63"/>
        <v>0.17678633450159451</v>
      </c>
      <c r="AB59" s="23">
        <f t="shared" si="63"/>
        <v>0.16561205706396687</v>
      </c>
      <c r="AC59" s="23">
        <f t="shared" si="63"/>
        <v>0.18687212920432655</v>
      </c>
      <c r="AD59" s="23">
        <f t="shared" si="63"/>
        <v>0.1932780223501524</v>
      </c>
      <c r="AE59" s="23">
        <f t="shared" si="63"/>
        <v>0.19117392558407845</v>
      </c>
      <c r="AF59" s="23">
        <f t="shared" si="63"/>
        <v>0.19410646927025724</v>
      </c>
      <c r="AG59" s="23">
        <f t="shared" si="63"/>
        <v>0.1901494731683411</v>
      </c>
      <c r="AH59" s="23">
        <f t="shared" si="63"/>
        <v>0.17106665989744632</v>
      </c>
      <c r="AI59" s="23">
        <f t="shared" si="63"/>
        <v>0.16558498072858385</v>
      </c>
      <c r="AJ59" s="23">
        <f t="shared" si="63"/>
        <v>0.16845531523456847</v>
      </c>
      <c r="AK59" s="23">
        <f t="shared" si="63"/>
        <v>0.17652757594630131</v>
      </c>
      <c r="AL59" s="23">
        <f t="shared" si="63"/>
        <v>1.7871811380236663E-2</v>
      </c>
      <c r="AM59" s="23">
        <f t="shared" si="63"/>
        <v>0.16585322956514092</v>
      </c>
      <c r="AN59" s="23">
        <f t="shared" si="63"/>
        <v>0.16551334852507682</v>
      </c>
      <c r="AO59" s="23">
        <f t="shared" si="63"/>
        <v>0.17027021413587554</v>
      </c>
      <c r="AP59" s="23">
        <f t="shared" si="63"/>
        <v>0.16840559253819598</v>
      </c>
      <c r="AQ59" s="23">
        <f>AQ33/AQ32</f>
        <v>0.15189259742681335</v>
      </c>
      <c r="AR59" s="23">
        <f>AR33/AR32</f>
        <v>0.15379329053259788</v>
      </c>
      <c r="AS59" s="23"/>
      <c r="AT59" s="23"/>
      <c r="AU59" s="23"/>
      <c r="AV59" s="23">
        <f t="shared" ref="AV59:BC59" si="64">AV33/AV32</f>
        <v>0.20536540240518039</v>
      </c>
      <c r="AW59" s="23">
        <f t="shared" si="64"/>
        <v>0.20922805328197722</v>
      </c>
      <c r="AX59" s="23">
        <f t="shared" si="64"/>
        <v>0.20450789506575751</v>
      </c>
      <c r="AY59" s="23">
        <f t="shared" si="64"/>
        <v>0.20348956386480654</v>
      </c>
      <c r="AZ59" s="23">
        <f t="shared" si="64"/>
        <v>0.19877858815519359</v>
      </c>
      <c r="BA59" s="23">
        <f t="shared" si="64"/>
        <v>0.17880817566634444</v>
      </c>
      <c r="BB59" s="23">
        <f t="shared" si="64"/>
        <v>0.18074030379000147</v>
      </c>
      <c r="BC59" s="23">
        <f t="shared" si="64"/>
        <v>0.1862008051926711</v>
      </c>
      <c r="BD59" s="23">
        <f>BD33/BD32</f>
        <v>0.1725650261976048</v>
      </c>
      <c r="BE59" s="23">
        <f t="shared" ref="BE59" si="65">BE33/BE32</f>
        <v>0.16755633261644309</v>
      </c>
      <c r="BF59" s="23"/>
      <c r="BG59" s="23"/>
      <c r="BH59" s="23"/>
      <c r="BK59"/>
      <c r="BL59"/>
    </row>
    <row r="60" spans="2:64" s="6" customFormat="1" x14ac:dyDescent="0.3">
      <c r="B60" s="6" t="s">
        <v>568</v>
      </c>
      <c r="C60" s="6">
        <f t="shared" ref="C60:AR60" si="66">C38/C37</f>
        <v>-4.6706776440785309E-2</v>
      </c>
      <c r="D60" s="6">
        <f t="shared" si="66"/>
        <v>-2.3501134997997063E-2</v>
      </c>
      <c r="E60" s="6">
        <f t="shared" si="66"/>
        <v>-3.3774095905687432E-2</v>
      </c>
      <c r="F60" s="6">
        <f t="shared" si="66"/>
        <v>4.0693795863909275E-2</v>
      </c>
      <c r="G60" s="6">
        <f t="shared" si="66"/>
        <v>1.6679076693968727E-2</v>
      </c>
      <c r="H60" s="6">
        <f t="shared" si="66"/>
        <v>1.4800759013282733E-2</v>
      </c>
      <c r="I60" s="6">
        <f t="shared" si="66"/>
        <v>5.5183697753978876E-2</v>
      </c>
      <c r="J60" s="6">
        <f t="shared" si="66"/>
        <v>3.5928143712574849E-2</v>
      </c>
      <c r="K60" s="6">
        <f t="shared" si="66"/>
        <v>3.5806953814218993E-2</v>
      </c>
      <c r="L60" s="6">
        <f t="shared" si="66"/>
        <v>5.6458117294619199E-2</v>
      </c>
      <c r="M60" s="6">
        <f t="shared" si="66"/>
        <v>4.2088760250844189E-2</v>
      </c>
      <c r="N60" s="6">
        <f t="shared" si="66"/>
        <v>2.9000867135562193E-2</v>
      </c>
      <c r="O60" s="6">
        <f t="shared" si="66"/>
        <v>2.6720241084881968E-2</v>
      </c>
      <c r="P60" s="6">
        <f t="shared" si="66"/>
        <v>1.2380581009943459E-2</v>
      </c>
      <c r="Q60" s="6">
        <f t="shared" si="66"/>
        <v>1.4021854752925248E-2</v>
      </c>
      <c r="R60" s="6">
        <f t="shared" si="66"/>
        <v>1.539701733172108E-2</v>
      </c>
      <c r="S60" s="6">
        <f t="shared" si="66"/>
        <v>0</v>
      </c>
      <c r="T60" s="6">
        <f t="shared" si="66"/>
        <v>1.3965877186667627E-2</v>
      </c>
      <c r="U60" s="6">
        <f t="shared" si="66"/>
        <v>-1.0173410404624278E-2</v>
      </c>
      <c r="V60" s="6">
        <f t="shared" si="66"/>
        <v>1.1188185276348177E-3</v>
      </c>
      <c r="W60" s="6">
        <f t="shared" si="66"/>
        <v>1.5621063240110859E-2</v>
      </c>
      <c r="X60" s="6">
        <f t="shared" si="66"/>
        <v>2.4585125998770743E-2</v>
      </c>
      <c r="Y60" s="6">
        <f t="shared" si="66"/>
        <v>1.1027686532144533E-2</v>
      </c>
      <c r="Z60" s="6">
        <f t="shared" si="66"/>
        <v>1.6234616391725583E-2</v>
      </c>
      <c r="AA60" s="6">
        <f t="shared" si="66"/>
        <v>1.4131831208617452E-2</v>
      </c>
      <c r="AB60" s="6">
        <f t="shared" si="66"/>
        <v>1.2046568076594598E-2</v>
      </c>
      <c r="AC60" s="6">
        <f t="shared" si="66"/>
        <v>-8.5444902769593392E-3</v>
      </c>
      <c r="AD60" s="6">
        <f t="shared" si="66"/>
        <v>-2.2888867244569983E-3</v>
      </c>
      <c r="AE60" s="6">
        <f t="shared" si="66"/>
        <v>2.5095269077051769E-3</v>
      </c>
      <c r="AF60" s="6">
        <f t="shared" si="66"/>
        <v>-2.9413206529731849E-3</v>
      </c>
      <c r="AG60" s="6">
        <f t="shared" si="66"/>
        <v>1.4361130994989263E-2</v>
      </c>
      <c r="AH60" s="6">
        <f t="shared" si="66"/>
        <v>1.950193782468871E-2</v>
      </c>
      <c r="AI60" s="6">
        <f t="shared" si="66"/>
        <v>1.4463654954452501E-2</v>
      </c>
      <c r="AJ60" s="6">
        <f t="shared" si="66"/>
        <v>-1.8718555785735426E-2</v>
      </c>
      <c r="AK60" s="6">
        <f t="shared" si="66"/>
        <v>-3.0963344331242523E-2</v>
      </c>
      <c r="AL60" s="6">
        <f t="shared" si="66"/>
        <v>-1.9189219922674552E-2</v>
      </c>
      <c r="AM60" s="6">
        <f t="shared" si="66"/>
        <v>-9.2628960460853626E-3</v>
      </c>
      <c r="AN60" s="6">
        <f t="shared" si="66"/>
        <v>-7.2283827757242597E-2</v>
      </c>
      <c r="AO60" s="6">
        <f t="shared" si="66"/>
        <v>-1.946875E-2</v>
      </c>
      <c r="AP60" s="6">
        <f t="shared" si="66"/>
        <v>-4.9733414911283975E-2</v>
      </c>
      <c r="AQ60" s="6">
        <f t="shared" si="66"/>
        <v>-9.6414741445167415E-2</v>
      </c>
      <c r="AR60" s="6">
        <f t="shared" si="66"/>
        <v>0.26050947093403004</v>
      </c>
      <c r="AS60" s="23"/>
      <c r="AT60" s="23"/>
      <c r="AU60" s="23"/>
      <c r="AV60" s="6">
        <f t="shared" ref="AV60:BC60" si="67">AV38/AV37</f>
        <v>-1.6834113045478948E-2</v>
      </c>
      <c r="AW60" s="6">
        <f t="shared" si="67"/>
        <v>3.0180878552971576E-2</v>
      </c>
      <c r="AX60" s="6">
        <f t="shared" si="67"/>
        <v>4.0390210508300529E-2</v>
      </c>
      <c r="AY60" s="6">
        <f t="shared" si="67"/>
        <v>1.6969668753928163E-2</v>
      </c>
      <c r="AZ60" s="6">
        <f t="shared" si="67"/>
        <v>1.4539549462791971E-3</v>
      </c>
      <c r="BA60" s="6">
        <f t="shared" si="67"/>
        <v>1.6963212998455289E-2</v>
      </c>
      <c r="BB60" s="6">
        <f t="shared" si="67"/>
        <v>3.9936198025976519E-3</v>
      </c>
      <c r="BC60" s="6">
        <f t="shared" si="67"/>
        <v>8.9016413813359247E-3</v>
      </c>
      <c r="BD60" s="6">
        <f>BD38/BD37</f>
        <v>-1.5041166741293759E-2</v>
      </c>
      <c r="BE60" s="6">
        <f t="shared" ref="BE60" si="68">BE38/BE37</f>
        <v>-3.8131768953068593E-2</v>
      </c>
      <c r="BF60" s="23"/>
      <c r="BG60" s="23"/>
      <c r="BH60" s="23"/>
      <c r="BK60"/>
      <c r="BL60"/>
    </row>
    <row r="61" spans="2:64" x14ac:dyDescent="0.3">
      <c r="B61" s="6" t="s">
        <v>569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6"/>
      <c r="AW61" s="6">
        <f t="shared" ref="AW61:BC61" si="69">AW43/AV43-1</f>
        <v>0.2702702702702704</v>
      </c>
      <c r="AX61" s="6">
        <f t="shared" si="69"/>
        <v>-0.34650455927051671</v>
      </c>
      <c r="AY61" s="6">
        <f t="shared" si="69"/>
        <v>1.3767441860465119</v>
      </c>
      <c r="AZ61" s="6">
        <f t="shared" si="69"/>
        <v>0.13894324853228968</v>
      </c>
      <c r="BA61" s="6">
        <f t="shared" si="69"/>
        <v>0.39518900343642582</v>
      </c>
      <c r="BB61" s="6">
        <f t="shared" si="69"/>
        <v>0.19458128078817727</v>
      </c>
      <c r="BC61" s="6">
        <f t="shared" si="69"/>
        <v>2.0618556701033075E-3</v>
      </c>
      <c r="BD61" s="6">
        <f>BD43/BC43-1</f>
        <v>0.22016460905349788</v>
      </c>
      <c r="BE61" s="6">
        <f t="shared" ref="BE61" si="70">BE43/BD43-1</f>
        <v>0.15529763276982811</v>
      </c>
      <c r="BK61" s="6"/>
      <c r="BL61" s="6"/>
    </row>
    <row r="62" spans="2:64" x14ac:dyDescent="0.3"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</row>
    <row r="63" spans="2:64" ht="14.4" customHeight="1" x14ac:dyDescent="0.3">
      <c r="B63" t="s">
        <v>556</v>
      </c>
      <c r="AH63" s="5">
        <f>AH64-AH75</f>
        <v>73904</v>
      </c>
      <c r="AK63" s="5">
        <f t="shared" ref="AK63:AM63" si="71">AK64-AK75</f>
        <v>29386</v>
      </c>
      <c r="AL63" s="5">
        <f t="shared" si="71"/>
        <v>38513</v>
      </c>
      <c r="AM63" s="5">
        <f t="shared" si="71"/>
        <v>49089</v>
      </c>
      <c r="AN63" s="5">
        <f>AN64-AN75</f>
        <v>42166</v>
      </c>
      <c r="AO63" s="5">
        <f t="shared" ref="AO63:AS63" si="72">AO64-AO75</f>
        <v>0</v>
      </c>
      <c r="AP63" s="5">
        <f t="shared" si="72"/>
        <v>66819</v>
      </c>
      <c r="AQ63" s="5">
        <f t="shared" si="72"/>
        <v>70269</v>
      </c>
      <c r="AR63" s="5">
        <f t="shared" si="72"/>
        <v>70402</v>
      </c>
      <c r="AS63" s="5">
        <f t="shared" si="72"/>
        <v>0</v>
      </c>
      <c r="BC63" s="5">
        <f>BC64-BC75</f>
        <v>73904</v>
      </c>
      <c r="BD63" s="5">
        <f t="shared" ref="BD63:BE63" si="73">BD64-BD75</f>
        <v>38513</v>
      </c>
      <c r="BE63" s="5">
        <f t="shared" si="73"/>
        <v>66819</v>
      </c>
      <c r="BF63" s="29"/>
      <c r="BG63" s="29"/>
      <c r="BH63" s="30"/>
      <c r="BI63" s="30"/>
      <c r="BJ63" s="31"/>
    </row>
    <row r="64" spans="2:64" x14ac:dyDescent="0.3">
      <c r="B64" t="s">
        <v>570</v>
      </c>
      <c r="AH64" s="5">
        <f>111262+9879</f>
        <v>121141</v>
      </c>
      <c r="AK64">
        <f>80021+14807</f>
        <v>94828</v>
      </c>
      <c r="AL64" s="5">
        <f>18315+57228+14600</f>
        <v>90143</v>
      </c>
      <c r="AM64" s="5">
        <f>78428+15778</f>
        <v>94206</v>
      </c>
      <c r="AN64" s="5">
        <f>17482+54073+15581</f>
        <v>87136</v>
      </c>
      <c r="AO64" s="5"/>
      <c r="AP64" s="5">
        <f>30242+64323+15405</f>
        <v>109970</v>
      </c>
      <c r="AQ64" s="5">
        <f>28849+73163+11465</f>
        <v>113477</v>
      </c>
      <c r="AR64" s="5">
        <f>24296+65166+21202</f>
        <v>110664</v>
      </c>
      <c r="AS64" s="5"/>
      <c r="AT64" s="5"/>
      <c r="AU64" s="5"/>
      <c r="BC64" s="5">
        <f>111262+9879</f>
        <v>121141</v>
      </c>
      <c r="BD64" s="5">
        <f>18315+57228+14600</f>
        <v>90143</v>
      </c>
      <c r="BE64" s="5">
        <f>30242+64323+15405</f>
        <v>109970</v>
      </c>
      <c r="BF64" s="29"/>
      <c r="BG64" s="29"/>
      <c r="BH64" s="30"/>
      <c r="BI64" s="30"/>
      <c r="BJ64" s="31"/>
    </row>
    <row r="65" spans="2:62" ht="14.4" customHeight="1" x14ac:dyDescent="0.3">
      <c r="B65" t="s">
        <v>571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48688</v>
      </c>
      <c r="AI65" s="5"/>
      <c r="AJ65" s="5"/>
      <c r="AK65" s="5">
        <v>44029</v>
      </c>
      <c r="AL65" s="5">
        <v>56924</v>
      </c>
      <c r="AM65" s="5">
        <v>44148</v>
      </c>
      <c r="AN65" s="5">
        <v>48188</v>
      </c>
      <c r="AO65" s="5"/>
      <c r="AP65" s="5">
        <v>69905</v>
      </c>
      <c r="AQ65" s="5">
        <v>52894</v>
      </c>
      <c r="AR65" s="5">
        <v>56535</v>
      </c>
      <c r="AS65" s="5"/>
      <c r="AT65" s="5"/>
      <c r="AU65" s="5"/>
      <c r="BC65" s="5">
        <v>48688</v>
      </c>
      <c r="BD65" s="5">
        <v>56924</v>
      </c>
      <c r="BE65" s="5">
        <v>69905</v>
      </c>
      <c r="BF65" s="29"/>
      <c r="BG65" s="29"/>
      <c r="BH65" s="30"/>
      <c r="BI65" s="30"/>
      <c r="BJ65" s="31"/>
    </row>
    <row r="66" spans="2:62" x14ac:dyDescent="0.3">
      <c r="B66" t="s">
        <v>572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2500</v>
      </c>
      <c r="AI66" s="5"/>
      <c r="AJ66" s="5"/>
      <c r="AK66" s="5">
        <v>1304</v>
      </c>
      <c r="AL66" s="5">
        <v>1246</v>
      </c>
      <c r="AM66" s="5">
        <v>1626</v>
      </c>
      <c r="AN66" s="5">
        <v>909</v>
      </c>
      <c r="AO66" s="5"/>
      <c r="AP66" s="5">
        <v>938</v>
      </c>
      <c r="AQ66" s="5">
        <v>1130</v>
      </c>
      <c r="AR66" s="5">
        <v>1059</v>
      </c>
      <c r="AS66" s="5"/>
      <c r="AT66" s="5"/>
      <c r="AU66" s="5"/>
      <c r="BC66" s="5">
        <v>2500</v>
      </c>
      <c r="BD66" s="5">
        <v>1246</v>
      </c>
      <c r="BE66" s="5">
        <v>938</v>
      </c>
      <c r="BF66" s="29"/>
      <c r="BG66" s="29"/>
      <c r="BH66" s="30"/>
      <c r="BI66" s="30"/>
      <c r="BJ66" s="31"/>
    </row>
    <row r="67" spans="2:62" ht="14.4" customHeight="1" x14ac:dyDescent="0.3">
      <c r="B67" t="s">
        <v>573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21807</v>
      </c>
      <c r="AI67" s="5"/>
      <c r="AJ67" s="5"/>
      <c r="AK67" s="5">
        <v>21826</v>
      </c>
      <c r="AL67" s="5">
        <v>26021</v>
      </c>
      <c r="AM67" s="5">
        <v>25724</v>
      </c>
      <c r="AN67" s="5">
        <v>26428</v>
      </c>
      <c r="AO67" s="5"/>
      <c r="AP67" s="5">
        <v>25723</v>
      </c>
      <c r="AQ67" s="5">
        <v>33030</v>
      </c>
      <c r="AR67" s="5">
        <v>33134</v>
      </c>
      <c r="AS67" s="5"/>
      <c r="AT67" s="5"/>
      <c r="AU67" s="5"/>
      <c r="BC67" s="5">
        <v>21807</v>
      </c>
      <c r="BD67" s="5">
        <v>26021</v>
      </c>
      <c r="BE67" s="5">
        <v>25723</v>
      </c>
      <c r="BF67" s="29"/>
      <c r="BG67" s="29"/>
      <c r="BH67" s="30"/>
      <c r="BI67" s="30"/>
      <c r="BJ67" s="31"/>
    </row>
    <row r="68" spans="2:62" x14ac:dyDescent="0.3">
      <c r="B68" t="s">
        <v>574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95641</v>
      </c>
      <c r="AI68" s="5"/>
      <c r="AJ68" s="5"/>
      <c r="AK68" s="5">
        <v>121375</v>
      </c>
      <c r="AL68" s="5">
        <v>135591</v>
      </c>
      <c r="AM68" s="5">
        <v>152863</v>
      </c>
      <c r="AN68" s="5">
        <v>166902</v>
      </c>
      <c r="AO68" s="5"/>
      <c r="AP68" s="5">
        <v>204966</v>
      </c>
      <c r="AQ68" s="5">
        <v>230861</v>
      </c>
      <c r="AR68" s="5">
        <v>261126</v>
      </c>
      <c r="AS68" s="5"/>
      <c r="AT68" s="5"/>
      <c r="AU68" s="5"/>
      <c r="BC68" s="5">
        <v>95641</v>
      </c>
      <c r="BD68" s="5">
        <v>135591</v>
      </c>
      <c r="BE68" s="5">
        <v>204966</v>
      </c>
      <c r="BF68" s="29"/>
      <c r="BG68" s="29"/>
      <c r="BH68" s="30"/>
      <c r="BI68" s="30"/>
      <c r="BJ68" s="31"/>
    </row>
    <row r="69" spans="2:62" ht="14.4" customHeight="1" x14ac:dyDescent="0.3">
      <c r="B69" t="s">
        <v>575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14346</v>
      </c>
      <c r="AI69" s="5"/>
      <c r="AJ69" s="5"/>
      <c r="AK69" s="5">
        <v>17371</v>
      </c>
      <c r="AL69" s="5">
        <v>18961</v>
      </c>
      <c r="AM69" s="5">
        <v>20528</v>
      </c>
      <c r="AN69" s="5">
        <v>22816</v>
      </c>
      <c r="AO69" s="5"/>
      <c r="AP69" s="5">
        <v>24823</v>
      </c>
      <c r="AQ69" s="5">
        <v>24791</v>
      </c>
      <c r="AR69" s="5">
        <v>25103</v>
      </c>
      <c r="AS69" s="5"/>
      <c r="AT69" s="5"/>
      <c r="AU69" s="5"/>
      <c r="BC69" s="5">
        <v>14346</v>
      </c>
      <c r="BD69" s="5">
        <v>18961</v>
      </c>
      <c r="BE69" s="5">
        <v>24823</v>
      </c>
      <c r="BF69" s="29"/>
      <c r="BG69" s="29"/>
      <c r="BH69" s="30"/>
      <c r="BI69" s="30"/>
      <c r="BJ69" s="31"/>
    </row>
    <row r="70" spans="2:62" x14ac:dyDescent="0.3">
      <c r="B70" t="s">
        <v>576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67886</v>
      </c>
      <c r="AI70" s="5"/>
      <c r="AJ70" s="5"/>
      <c r="AK70" s="5">
        <v>119163</v>
      </c>
      <c r="AL70" s="5">
        <v>119220</v>
      </c>
      <c r="AM70" s="5">
        <v>119374</v>
      </c>
      <c r="AN70" s="5">
        <v>119191</v>
      </c>
      <c r="AO70" s="5"/>
      <c r="AP70" s="5">
        <v>119509</v>
      </c>
      <c r="AQ70" s="5">
        <v>119497</v>
      </c>
      <c r="AR70" s="5">
        <v>119622</v>
      </c>
      <c r="AS70" s="5"/>
      <c r="AT70" s="5"/>
      <c r="AU70" s="5"/>
      <c r="BC70" s="5">
        <v>67886</v>
      </c>
      <c r="BD70" s="5">
        <v>119220</v>
      </c>
      <c r="BE70" s="5">
        <v>119509</v>
      </c>
      <c r="BF70" s="29"/>
      <c r="BG70" s="29"/>
      <c r="BH70" s="30"/>
      <c r="BI70" s="30"/>
      <c r="BJ70" s="31"/>
    </row>
    <row r="71" spans="2:62" ht="14.4" customHeight="1" x14ac:dyDescent="0.3">
      <c r="B71" t="s">
        <v>577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9366</v>
      </c>
      <c r="AI71" s="5"/>
      <c r="AJ71" s="5"/>
      <c r="AK71" s="5">
        <v>28828</v>
      </c>
      <c r="AL71" s="5">
        <v>27597</v>
      </c>
      <c r="AM71" s="5">
        <v>26751</v>
      </c>
      <c r="AN71" s="5">
        <v>25385</v>
      </c>
      <c r="AO71" s="5"/>
      <c r="AP71" s="5">
        <v>22604</v>
      </c>
      <c r="AQ71" s="5">
        <v>21236</v>
      </c>
      <c r="AR71" s="5">
        <v>20289</v>
      </c>
      <c r="AS71" s="5"/>
      <c r="AT71" s="5"/>
      <c r="AU71" s="5"/>
      <c r="BC71" s="5">
        <v>9366</v>
      </c>
      <c r="BD71" s="5">
        <v>27597</v>
      </c>
      <c r="BE71" s="5">
        <v>22604</v>
      </c>
      <c r="BF71" s="29"/>
      <c r="BG71" s="29"/>
      <c r="BH71" s="30"/>
      <c r="BI71" s="30"/>
      <c r="BJ71" s="31"/>
    </row>
    <row r="72" spans="2:62" x14ac:dyDescent="0.3">
      <c r="B72" t="s">
        <v>578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30601</v>
      </c>
      <c r="AI72" s="5"/>
      <c r="AJ72" s="5"/>
      <c r="AK72" s="5">
        <v>35551</v>
      </c>
      <c r="AL72" s="5">
        <v>36460</v>
      </c>
      <c r="AM72" s="5">
        <v>37793</v>
      </c>
      <c r="AN72" s="5">
        <v>36943</v>
      </c>
      <c r="AO72" s="5"/>
      <c r="AP72" s="5">
        <v>40565</v>
      </c>
      <c r="AQ72" s="5">
        <v>39435</v>
      </c>
      <c r="AR72" s="5">
        <v>37770</v>
      </c>
      <c r="AS72" s="5"/>
      <c r="AT72" s="5"/>
      <c r="AU72" s="5"/>
      <c r="BC72" s="5">
        <v>30601</v>
      </c>
      <c r="BD72" s="5">
        <v>36460</v>
      </c>
      <c r="BE72" s="5">
        <v>40565</v>
      </c>
      <c r="BF72" s="29"/>
      <c r="BG72" s="29"/>
      <c r="BH72" s="30"/>
      <c r="BI72" s="30"/>
      <c r="BJ72" s="31"/>
    </row>
    <row r="73" spans="2:62" ht="14.4" customHeight="1" x14ac:dyDescent="0.3">
      <c r="B73" s="14" t="s">
        <v>579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>
        <f>SUM(AH64:AH72)</f>
        <v>411976</v>
      </c>
      <c r="AI73" s="17"/>
      <c r="AJ73" s="17"/>
      <c r="AK73" s="17">
        <f>SUM(AK64:AK72)</f>
        <v>484275</v>
      </c>
      <c r="AL73" s="17">
        <f>SUM(AL64:AL72)</f>
        <v>512163</v>
      </c>
      <c r="AM73" s="17">
        <f>SUM(AM64:AM72)</f>
        <v>523013</v>
      </c>
      <c r="AN73" s="17">
        <f>SUM(AN64:AN72)</f>
        <v>533898</v>
      </c>
      <c r="AO73" s="17"/>
      <c r="AP73" s="17">
        <f>SUM(AP64:AP72)</f>
        <v>619003</v>
      </c>
      <c r="AQ73" s="17">
        <f>SUM(AQ64:AQ72)</f>
        <v>636351</v>
      </c>
      <c r="AR73" s="17">
        <f>SUM(AR64:AR72)</f>
        <v>665302</v>
      </c>
      <c r="AS73" s="17">
        <f>SUM(AS64:AS72)</f>
        <v>0</v>
      </c>
      <c r="AT73" s="17"/>
      <c r="AU73" s="17"/>
      <c r="BC73" s="17">
        <f>SUM(BC64:BC72)</f>
        <v>411976</v>
      </c>
      <c r="BD73" s="17">
        <f>SUM(BD64:BD72)</f>
        <v>512163</v>
      </c>
      <c r="BE73" s="17">
        <f>SUM(BE64:BE72)</f>
        <v>619003</v>
      </c>
      <c r="BF73" s="29"/>
      <c r="BG73" s="29"/>
      <c r="BH73" s="30"/>
      <c r="BI73" s="30"/>
      <c r="BJ73" s="29"/>
    </row>
    <row r="74" spans="2:62" x14ac:dyDescent="0.3">
      <c r="B74" t="s">
        <v>580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18095</v>
      </c>
      <c r="AI74" s="5"/>
      <c r="AJ74" s="5"/>
      <c r="AK74" s="5">
        <v>18087</v>
      </c>
      <c r="AL74" s="5">
        <v>21996</v>
      </c>
      <c r="AM74" s="5">
        <v>22768</v>
      </c>
      <c r="AN74" s="5">
        <v>22608</v>
      </c>
      <c r="AO74" s="5"/>
      <c r="AP74" s="5">
        <v>27724</v>
      </c>
      <c r="AQ74" s="5">
        <v>32580</v>
      </c>
      <c r="AR74" s="5">
        <v>37328</v>
      </c>
      <c r="AS74" s="5"/>
      <c r="AT74" s="5"/>
      <c r="AU74" s="5"/>
      <c r="BC74" s="5">
        <v>18095</v>
      </c>
      <c r="BD74" s="5">
        <v>21996</v>
      </c>
      <c r="BE74" s="5">
        <v>27724</v>
      </c>
      <c r="BF74" s="29"/>
      <c r="BG74" s="29"/>
      <c r="BH74" s="30"/>
      <c r="BI74" s="30"/>
      <c r="BJ74" s="29"/>
    </row>
    <row r="75" spans="2:62" ht="14.4" customHeight="1" x14ac:dyDescent="0.3">
      <c r="B75" t="s">
        <v>581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f>5247+41990</f>
        <v>47237</v>
      </c>
      <c r="AI75" s="5"/>
      <c r="AJ75" s="5"/>
      <c r="AK75" s="5">
        <f>20535+2249+42658</f>
        <v>65442</v>
      </c>
      <c r="AL75" s="5">
        <f>6693+2249+42688</f>
        <v>51630</v>
      </c>
      <c r="AM75" s="5">
        <f>2249+42868</f>
        <v>45117</v>
      </c>
      <c r="AN75" s="5">
        <f>5248+39722</f>
        <v>44970</v>
      </c>
      <c r="AO75" s="5"/>
      <c r="AP75" s="5">
        <f>40152+2999</f>
        <v>43151</v>
      </c>
      <c r="AQ75" s="5">
        <f>7832+35376</f>
        <v>43208</v>
      </c>
      <c r="AR75" s="5">
        <f>4837+35425</f>
        <v>40262</v>
      </c>
      <c r="AS75" s="5"/>
      <c r="AT75" s="5"/>
      <c r="AU75" s="5"/>
      <c r="BC75" s="5">
        <f>5247+41990</f>
        <v>47237</v>
      </c>
      <c r="BD75" s="5">
        <f>6693+2249+42688</f>
        <v>51630</v>
      </c>
      <c r="BE75" s="5">
        <f>40152+2999</f>
        <v>43151</v>
      </c>
      <c r="BF75" s="29"/>
      <c r="BG75" s="29"/>
      <c r="BH75" s="30"/>
      <c r="BI75" s="30"/>
      <c r="BJ75" s="31"/>
    </row>
    <row r="76" spans="2:62" x14ac:dyDescent="0.3">
      <c r="B76" t="s">
        <v>582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11009</v>
      </c>
      <c r="AI76" s="5"/>
      <c r="AJ76" s="5"/>
      <c r="AK76" s="5">
        <v>10432</v>
      </c>
      <c r="AL76" s="5">
        <v>12564</v>
      </c>
      <c r="AM76" s="5">
        <v>8326</v>
      </c>
      <c r="AN76" s="5">
        <v>9176</v>
      </c>
      <c r="AO76" s="5"/>
      <c r="AP76" s="5">
        <v>13709</v>
      </c>
      <c r="AQ76" s="5">
        <v>9201</v>
      </c>
      <c r="AR76" s="5">
        <v>10103</v>
      </c>
      <c r="AS76" s="5"/>
      <c r="AT76" s="5"/>
      <c r="AU76" s="5"/>
      <c r="BC76" s="5">
        <v>11009</v>
      </c>
      <c r="BD76" s="5">
        <v>12564</v>
      </c>
      <c r="BE76" s="5">
        <v>13709</v>
      </c>
      <c r="BF76" s="29"/>
      <c r="BG76" s="29"/>
      <c r="BH76" s="30"/>
      <c r="BI76" s="30"/>
      <c r="BJ76" s="31"/>
    </row>
    <row r="77" spans="2:62" ht="14.4" customHeight="1" x14ac:dyDescent="0.3">
      <c r="B77" t="s">
        <v>543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f>4152+25560+433</f>
        <v>30145</v>
      </c>
      <c r="AI77" s="5"/>
      <c r="AJ77" s="5"/>
      <c r="AK77" s="5">
        <f>7311+26786+2469</f>
        <v>36566</v>
      </c>
      <c r="AL77" s="5">
        <f>5017+2618+27931</f>
        <v>35566</v>
      </c>
      <c r="AM77" s="5">
        <f>9717+24452+2581</f>
        <v>36750</v>
      </c>
      <c r="AN77" s="5">
        <f>6056+24389+2513</f>
        <v>32958</v>
      </c>
      <c r="AO77" s="5"/>
      <c r="AP77" s="5">
        <f>7211+25986+2835</f>
        <v>36032</v>
      </c>
      <c r="AQ77" s="5">
        <f>3655+26569+2852</f>
        <v>33076</v>
      </c>
      <c r="AR77" s="5">
        <f>2050+27256</f>
        <v>29306</v>
      </c>
      <c r="AS77" s="5"/>
      <c r="AT77" s="5"/>
      <c r="AU77" s="5"/>
      <c r="BC77" s="5">
        <f>4152+25560+433</f>
        <v>30145</v>
      </c>
      <c r="BD77" s="5">
        <f>5017+2618+27931</f>
        <v>35566</v>
      </c>
      <c r="BE77" s="5">
        <f>7211+25986+2835</f>
        <v>36032</v>
      </c>
      <c r="BF77" s="29"/>
      <c r="BG77" s="29"/>
      <c r="BH77" s="30"/>
      <c r="BI77" s="30"/>
      <c r="BJ77" s="29"/>
    </row>
    <row r="78" spans="2:62" x14ac:dyDescent="0.3">
      <c r="B78" t="s">
        <v>583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f>50901+2912</f>
        <v>53813</v>
      </c>
      <c r="AI78" s="5"/>
      <c r="AJ78" s="5"/>
      <c r="AK78" s="5">
        <f>41888+2945</f>
        <v>44833</v>
      </c>
      <c r="AL78" s="5">
        <f>57582+2602</f>
        <v>60184</v>
      </c>
      <c r="AM78" s="5">
        <f>53026+2663</f>
        <v>55689</v>
      </c>
      <c r="AN78" s="5">
        <f>45508+2537</f>
        <v>48045</v>
      </c>
      <c r="AO78" s="5"/>
      <c r="AP78" s="5">
        <f>64555+2710</f>
        <v>67265</v>
      </c>
      <c r="AQ78" s="5">
        <f>58987+2546</f>
        <v>61533</v>
      </c>
      <c r="AR78" s="5">
        <f>51376+2668</f>
        <v>54044</v>
      </c>
      <c r="AS78" s="5"/>
      <c r="AT78" s="5"/>
      <c r="AU78" s="5"/>
      <c r="BC78" s="5">
        <f>50901+2912</f>
        <v>53813</v>
      </c>
      <c r="BD78" s="5">
        <f>57582+2602</f>
        <v>60184</v>
      </c>
      <c r="BE78" s="5">
        <f>64555+2710</f>
        <v>67265</v>
      </c>
      <c r="BF78" s="29"/>
      <c r="BG78" s="29"/>
      <c r="BH78" s="30"/>
      <c r="BI78" s="30"/>
      <c r="BJ78" s="29"/>
    </row>
    <row r="79" spans="2:62" x14ac:dyDescent="0.3">
      <c r="B79" t="s">
        <v>584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14745</v>
      </c>
      <c r="AI79" s="5"/>
      <c r="AJ79" s="5"/>
      <c r="AK79" s="5">
        <v>18023</v>
      </c>
      <c r="AL79" s="5">
        <v>19185</v>
      </c>
      <c r="AM79" s="5">
        <v>19114</v>
      </c>
      <c r="AN79" s="5">
        <v>20286</v>
      </c>
      <c r="AO79" s="5"/>
      <c r="AP79" s="5">
        <v>25020</v>
      </c>
      <c r="AQ79" s="5">
        <v>22741</v>
      </c>
      <c r="AR79" s="5">
        <v>24311</v>
      </c>
      <c r="AS79" s="5"/>
      <c r="AT79" s="5"/>
      <c r="AU79" s="5"/>
      <c r="BC79" s="5">
        <v>14745</v>
      </c>
      <c r="BD79" s="5">
        <v>19185</v>
      </c>
      <c r="BE79" s="5">
        <v>25020</v>
      </c>
    </row>
    <row r="80" spans="2:62" ht="14.4" customHeight="1" x14ac:dyDescent="0.3">
      <c r="B80" t="s">
        <v>585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12728</v>
      </c>
      <c r="AI80" s="5"/>
      <c r="AJ80" s="5"/>
      <c r="AK80" s="5">
        <v>14469</v>
      </c>
      <c r="AL80" s="5">
        <v>15497</v>
      </c>
      <c r="AM80" s="5">
        <v>16361</v>
      </c>
      <c r="AN80" s="5">
        <v>17254</v>
      </c>
      <c r="AO80" s="5"/>
      <c r="AP80" s="5">
        <v>17437</v>
      </c>
      <c r="AQ80" s="5">
        <v>17348</v>
      </c>
      <c r="AR80" s="5">
        <v>17345</v>
      </c>
      <c r="AS80" s="5"/>
      <c r="AT80" s="5"/>
      <c r="AU80" s="5"/>
      <c r="BC80" s="5">
        <v>12728</v>
      </c>
      <c r="BD80" s="5">
        <v>15497</v>
      </c>
      <c r="BE80" s="5">
        <v>17437</v>
      </c>
    </row>
    <row r="81" spans="2:64" x14ac:dyDescent="0.3">
      <c r="B81" t="s">
        <v>586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17981</v>
      </c>
      <c r="AI81" s="5"/>
      <c r="AJ81" s="5"/>
      <c r="AK81" s="5">
        <v>23271</v>
      </c>
      <c r="AL81" s="5">
        <v>27064</v>
      </c>
      <c r="AM81" s="5">
        <v>31165</v>
      </c>
      <c r="AN81" s="5">
        <v>35906</v>
      </c>
      <c r="AO81" s="5"/>
      <c r="AP81" s="5">
        <v>45186</v>
      </c>
      <c r="AQ81" s="5">
        <v>53588</v>
      </c>
      <c r="AR81" s="5">
        <f>58852+2876</f>
        <v>61728</v>
      </c>
      <c r="AS81" s="5"/>
      <c r="AT81" s="5"/>
      <c r="AU81" s="5"/>
      <c r="BC81" s="5">
        <v>17981</v>
      </c>
      <c r="BD81" s="5">
        <v>27064</v>
      </c>
      <c r="BE81" s="5">
        <v>45186</v>
      </c>
    </row>
    <row r="82" spans="2:64" s="14" customFormat="1" x14ac:dyDescent="0.3">
      <c r="B82" s="14" t="s">
        <v>587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>
        <f>SUM(AH74:AH81)</f>
        <v>205753</v>
      </c>
      <c r="AI82" s="17"/>
      <c r="AJ82" s="17"/>
      <c r="AK82" s="17">
        <f>SUM(AK74:AK81)</f>
        <v>231123</v>
      </c>
      <c r="AL82" s="17">
        <f>SUM(AL74:AL81)</f>
        <v>243686</v>
      </c>
      <c r="AM82" s="17">
        <f>SUM(AM74:AM81)</f>
        <v>235290</v>
      </c>
      <c r="AN82" s="17">
        <f>SUM(AN74:AN81)</f>
        <v>231203</v>
      </c>
      <c r="AO82" s="17"/>
      <c r="AP82" s="17">
        <f>SUM(AP74:AP81)</f>
        <v>275524</v>
      </c>
      <c r="AQ82" s="17">
        <f>SUM(AQ74:AQ81)</f>
        <v>273275</v>
      </c>
      <c r="AR82" s="17">
        <f>SUM(AR74:AR81)</f>
        <v>274427</v>
      </c>
      <c r="AS82" s="17">
        <f>SUM(AS74:AS81)</f>
        <v>0</v>
      </c>
      <c r="AT82" s="17"/>
      <c r="AU82" s="17"/>
      <c r="BC82" s="17">
        <f>SUM(BC74:BC81)</f>
        <v>205753</v>
      </c>
      <c r="BD82" s="17">
        <f>SUM(BD74:BD81)</f>
        <v>243686</v>
      </c>
      <c r="BE82" s="17">
        <f>SUM(BE74:BE81)</f>
        <v>275524</v>
      </c>
      <c r="BK82"/>
      <c r="BL82"/>
    </row>
    <row r="83" spans="2:64" ht="14.4" customHeight="1" x14ac:dyDescent="0.3">
      <c r="B83" t="s">
        <v>588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206223</v>
      </c>
      <c r="AI83" s="5"/>
      <c r="AJ83" s="5"/>
      <c r="AK83" s="5">
        <v>253152</v>
      </c>
      <c r="AL83" s="5">
        <v>268477</v>
      </c>
      <c r="AM83" s="5">
        <v>287723</v>
      </c>
      <c r="AN83" s="5">
        <v>302695</v>
      </c>
      <c r="AO83" s="5"/>
      <c r="AP83" s="5">
        <v>343479</v>
      </c>
      <c r="AQ83" s="5">
        <v>363076</v>
      </c>
      <c r="AR83" s="5">
        <v>390875</v>
      </c>
      <c r="AS83" s="5"/>
      <c r="AT83" s="5"/>
      <c r="AU83" s="5"/>
      <c r="BC83" s="5">
        <v>206223</v>
      </c>
      <c r="BD83" s="5">
        <v>268477</v>
      </c>
      <c r="BE83" s="5">
        <v>343479</v>
      </c>
      <c r="BK83" s="14"/>
      <c r="BL83" s="14"/>
    </row>
    <row r="84" spans="2:64" s="14" customFormat="1" ht="14.4" customHeight="1" x14ac:dyDescent="0.3">
      <c r="B84" s="14" t="s">
        <v>589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>
        <f>SUM(AH82:AH83)</f>
        <v>411976</v>
      </c>
      <c r="AI84" s="17"/>
      <c r="AJ84" s="17"/>
      <c r="AK84" s="17">
        <f>SUM(AK82:AK83)</f>
        <v>484275</v>
      </c>
      <c r="AL84" s="17">
        <f>SUM(AL82:AL83)</f>
        <v>512163</v>
      </c>
      <c r="AM84" s="17">
        <f>SUM(AM82:AM83)</f>
        <v>523013</v>
      </c>
      <c r="AN84" s="17">
        <f>SUM(AN82:AN83)</f>
        <v>533898</v>
      </c>
      <c r="AO84" s="17"/>
      <c r="AP84" s="17">
        <f>SUM(AP82:AP83)</f>
        <v>619003</v>
      </c>
      <c r="AQ84" s="17">
        <f>SUM(AQ82:AQ83)</f>
        <v>636351</v>
      </c>
      <c r="AR84" s="17">
        <f>SUM(AR82:AR83)</f>
        <v>665302</v>
      </c>
      <c r="AS84" s="17">
        <f>SUM(AS82:AS83)</f>
        <v>0</v>
      </c>
      <c r="AT84" s="17"/>
      <c r="AU84" s="17"/>
      <c r="BC84" s="17">
        <f>SUM(BC82:BC83)</f>
        <v>411976</v>
      </c>
      <c r="BD84" s="17">
        <f>SUM(BD82:BD83)</f>
        <v>512163</v>
      </c>
      <c r="BE84" s="17">
        <f>SUM(BE82:BE83)</f>
        <v>619003</v>
      </c>
      <c r="BK84"/>
      <c r="BL84"/>
    </row>
    <row r="85" spans="2:64" x14ac:dyDescent="0.3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BK85" s="14"/>
      <c r="BL85" s="14"/>
    </row>
    <row r="86" spans="2:64" x14ac:dyDescent="0.3">
      <c r="B86" s="14" t="s">
        <v>590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BD86" s="7">
        <f t="shared" ref="BD86" si="74">BD73/BC73-1</f>
        <v>0.24318649630075528</v>
      </c>
      <c r="BE86" s="7">
        <f>BE73/BD73-1</f>
        <v>0.20860546349502007</v>
      </c>
      <c r="BK86" s="14"/>
      <c r="BL86" s="14"/>
    </row>
    <row r="87" spans="2:64" x14ac:dyDescent="0.3">
      <c r="B87" t="s">
        <v>591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BD87" s="7">
        <f t="shared" ref="BD87" si="75">BD75/BD83</f>
        <v>0.19230697601656752</v>
      </c>
      <c r="BE87" s="7">
        <f>BE75/BE83</f>
        <v>0.12562922332951942</v>
      </c>
      <c r="BK87" s="14"/>
      <c r="BL87" s="14"/>
    </row>
    <row r="88" spans="2:64" x14ac:dyDescent="0.3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</row>
    <row r="89" spans="2:64" ht="14.4" customHeight="1" x14ac:dyDescent="0.3">
      <c r="B89" t="s">
        <v>592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f t="shared" ref="AG89:AM89" si="76">AG41</f>
        <v>18299</v>
      </c>
      <c r="AH89" s="5">
        <f t="shared" si="76"/>
        <v>20081</v>
      </c>
      <c r="AI89" s="5">
        <f t="shared" si="76"/>
        <v>22291</v>
      </c>
      <c r="AJ89" s="5">
        <f t="shared" si="76"/>
        <v>21870</v>
      </c>
      <c r="AK89" s="5">
        <f t="shared" si="76"/>
        <v>21939</v>
      </c>
      <c r="AL89" s="5">
        <f t="shared" si="76"/>
        <v>31987</v>
      </c>
      <c r="AM89" s="5">
        <f t="shared" si="76"/>
        <v>24667</v>
      </c>
      <c r="AN89" s="5">
        <f>AN41</f>
        <v>24108</v>
      </c>
      <c r="AO89" s="5">
        <f>AO41</f>
        <v>25824</v>
      </c>
      <c r="AP89" s="5">
        <f>AP41</f>
        <v>27233</v>
      </c>
      <c r="AQ89" s="5">
        <f>AQ41</f>
        <v>27747</v>
      </c>
      <c r="AR89" s="5"/>
      <c r="AS89" s="5"/>
      <c r="AT89" s="5"/>
      <c r="AU89" s="5"/>
      <c r="BD89" s="5">
        <f>AI89+AJ89+AK89+AL89</f>
        <v>98087</v>
      </c>
      <c r="BE89" s="5">
        <f>BE41</f>
        <v>101832</v>
      </c>
    </row>
    <row r="90" spans="2:64" x14ac:dyDescent="0.3">
      <c r="B90" t="s">
        <v>593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18299</v>
      </c>
      <c r="AH90" s="5">
        <v>20081</v>
      </c>
      <c r="AI90" s="5">
        <v>22291</v>
      </c>
      <c r="AJ90" s="5">
        <v>21870</v>
      </c>
      <c r="AK90" s="5">
        <v>21939</v>
      </c>
      <c r="AL90" s="5">
        <v>22036</v>
      </c>
      <c r="AM90" s="5">
        <v>24667</v>
      </c>
      <c r="AN90" s="5">
        <v>24108</v>
      </c>
      <c r="AO90" s="5">
        <f>BE90-AP90-AM90-AN90</f>
        <v>25824</v>
      </c>
      <c r="AP90" s="5">
        <v>27233</v>
      </c>
      <c r="AQ90" s="5">
        <v>27747</v>
      </c>
      <c r="AR90" s="5"/>
      <c r="AS90" s="5"/>
      <c r="AT90" s="5"/>
      <c r="AU90" s="5"/>
      <c r="BD90" s="5">
        <f t="shared" ref="BD90:BD112" si="77">AI90+AJ90+AK90+AL90</f>
        <v>88136</v>
      </c>
      <c r="BE90" s="5">
        <v>101832</v>
      </c>
    </row>
    <row r="91" spans="2:64" x14ac:dyDescent="0.3">
      <c r="B91" t="s">
        <v>594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3549</v>
      </c>
      <c r="AH91" s="5">
        <v>3874</v>
      </c>
      <c r="AI91" s="5">
        <v>3921</v>
      </c>
      <c r="AJ91" s="5">
        <v>5959</v>
      </c>
      <c r="AK91" s="5">
        <v>6027</v>
      </c>
      <c r="AL91" s="5">
        <v>6380</v>
      </c>
      <c r="AM91" s="5">
        <v>7383</v>
      </c>
      <c r="AN91" s="5">
        <v>6827</v>
      </c>
      <c r="AO91" s="5">
        <f t="shared" ref="AO91:AO112" si="78">BE91-AP91-AM91-AN91</f>
        <v>8740</v>
      </c>
      <c r="AP91" s="5">
        <v>11203</v>
      </c>
      <c r="AQ91" s="5">
        <v>13061</v>
      </c>
      <c r="AR91" s="5"/>
      <c r="AS91" s="5"/>
      <c r="AT91" s="5"/>
      <c r="AU91" s="5"/>
      <c r="BD91" s="5">
        <f t="shared" si="77"/>
        <v>22287</v>
      </c>
      <c r="BE91" s="5">
        <v>34153</v>
      </c>
    </row>
    <row r="92" spans="2:64" x14ac:dyDescent="0.3">
      <c r="B92" t="s">
        <v>595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2465</v>
      </c>
      <c r="AH92" s="5">
        <v>2416</v>
      </c>
      <c r="AI92" s="5">
        <v>2507</v>
      </c>
      <c r="AJ92" s="5">
        <v>2828</v>
      </c>
      <c r="AK92">
        <v>2703</v>
      </c>
      <c r="AL92">
        <v>2696</v>
      </c>
      <c r="AM92" s="5">
        <v>2832</v>
      </c>
      <c r="AN92" s="5">
        <v>3089</v>
      </c>
      <c r="AO92" s="5">
        <f t="shared" si="78"/>
        <v>2980</v>
      </c>
      <c r="AP92" s="5">
        <v>3073</v>
      </c>
      <c r="AQ92" s="5">
        <v>2983</v>
      </c>
      <c r="AR92" s="5"/>
      <c r="AS92" s="5"/>
      <c r="AT92" s="5"/>
      <c r="AU92" s="5"/>
      <c r="BD92" s="5">
        <f t="shared" si="77"/>
        <v>10734</v>
      </c>
      <c r="BE92" s="5">
        <v>11974</v>
      </c>
    </row>
    <row r="93" spans="2:64" x14ac:dyDescent="0.3">
      <c r="B93" t="s">
        <v>596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>
        <v>-40</v>
      </c>
      <c r="AH93" s="5">
        <v>44</v>
      </c>
      <c r="AI93" s="5">
        <v>14</v>
      </c>
      <c r="AJ93" s="5">
        <v>198</v>
      </c>
      <c r="AK93" s="5">
        <v>49</v>
      </c>
      <c r="AL93" s="5">
        <v>44</v>
      </c>
      <c r="AM93" s="5">
        <v>-125</v>
      </c>
      <c r="AN93" s="5">
        <v>976</v>
      </c>
      <c r="AO93" s="5">
        <f t="shared" si="78"/>
        <v>-298</v>
      </c>
      <c r="AP93" s="5">
        <v>56</v>
      </c>
      <c r="AQ93" s="5">
        <v>-1007</v>
      </c>
      <c r="AR93" s="5"/>
      <c r="AS93" s="5"/>
      <c r="AT93" s="5"/>
      <c r="AU93" s="5"/>
      <c r="BD93" s="5">
        <f t="shared" si="77"/>
        <v>305</v>
      </c>
      <c r="BE93" s="5">
        <v>609</v>
      </c>
    </row>
    <row r="94" spans="2:64" x14ac:dyDescent="0.3">
      <c r="B94" t="s">
        <v>597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-1675</v>
      </c>
      <c r="AH94" s="5">
        <v>-1888</v>
      </c>
      <c r="AI94" s="5">
        <v>-568</v>
      </c>
      <c r="AJ94" s="5">
        <v>-1702</v>
      </c>
      <c r="AK94" s="5">
        <v>-1323</v>
      </c>
      <c r="AL94" s="5">
        <v>-1145</v>
      </c>
      <c r="AM94" s="5">
        <v>-1433</v>
      </c>
      <c r="AN94" s="5">
        <v>-1158</v>
      </c>
      <c r="AO94" s="5">
        <f t="shared" si="78"/>
        <v>-2244</v>
      </c>
      <c r="AP94" s="5">
        <v>-2221</v>
      </c>
      <c r="AQ94" s="5">
        <v>2491</v>
      </c>
      <c r="AR94" s="5"/>
      <c r="AS94" s="5"/>
      <c r="AT94" s="5"/>
      <c r="AU94" s="5"/>
      <c r="BD94" s="5">
        <f t="shared" si="77"/>
        <v>-4738</v>
      </c>
      <c r="BE94" s="5">
        <v>-7056</v>
      </c>
    </row>
    <row r="95" spans="2:64" x14ac:dyDescent="0.3">
      <c r="B95" t="s">
        <v>571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-1408</v>
      </c>
      <c r="AH95" s="5">
        <v>-11244</v>
      </c>
      <c r="AI95" s="5">
        <v>11034</v>
      </c>
      <c r="AJ95" s="5">
        <v>-2951</v>
      </c>
      <c r="AK95" s="5">
        <v>-2028</v>
      </c>
      <c r="AL95" s="5">
        <v>-13246</v>
      </c>
      <c r="AM95" s="5">
        <v>14037</v>
      </c>
      <c r="AN95" s="5">
        <v>-5978</v>
      </c>
      <c r="AO95" s="5">
        <f t="shared" si="78"/>
        <v>-2461</v>
      </c>
      <c r="AP95" s="5">
        <v>-16179</v>
      </c>
      <c r="AQ95" s="5">
        <v>16490</v>
      </c>
      <c r="AR95" s="5"/>
      <c r="AS95" s="5"/>
      <c r="AT95" s="5"/>
      <c r="AU95" s="5"/>
      <c r="BD95" s="5">
        <f t="shared" si="77"/>
        <v>-7191</v>
      </c>
      <c r="BE95" s="5">
        <v>-10581</v>
      </c>
    </row>
    <row r="96" spans="2:64" x14ac:dyDescent="0.3">
      <c r="B96" t="s">
        <v>572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106</v>
      </c>
      <c r="AH96" s="5">
        <v>374</v>
      </c>
      <c r="AI96" s="5">
        <v>-505</v>
      </c>
      <c r="AJ96" s="5">
        <v>1474</v>
      </c>
      <c r="AK96" s="5">
        <v>260</v>
      </c>
      <c r="AL96" s="5">
        <v>55</v>
      </c>
      <c r="AM96" s="5">
        <v>-373</v>
      </c>
      <c r="AN96" s="5">
        <v>711</v>
      </c>
      <c r="AO96" s="5">
        <f t="shared" si="78"/>
        <v>52</v>
      </c>
      <c r="AP96" s="5">
        <v>-81</v>
      </c>
      <c r="AQ96" s="5">
        <v>-192</v>
      </c>
      <c r="AR96" s="5"/>
      <c r="AS96" s="5"/>
      <c r="AT96" s="5"/>
      <c r="AU96" s="5"/>
      <c r="BD96" s="5">
        <f t="shared" si="77"/>
        <v>1284</v>
      </c>
      <c r="BE96" s="5">
        <v>309</v>
      </c>
    </row>
    <row r="97" spans="2:64" x14ac:dyDescent="0.3">
      <c r="B97" t="s">
        <v>573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1152</v>
      </c>
      <c r="AH97" s="5">
        <v>-2419</v>
      </c>
      <c r="AI97" s="5">
        <v>-796</v>
      </c>
      <c r="AJ97" s="5">
        <v>725</v>
      </c>
      <c r="AK97" s="5">
        <v>951</v>
      </c>
      <c r="AL97" s="5">
        <v>-2528</v>
      </c>
      <c r="AM97" s="5">
        <v>-82</v>
      </c>
      <c r="AN97" s="5">
        <v>-353</v>
      </c>
      <c r="AO97" s="5">
        <f t="shared" si="78"/>
        <v>1077</v>
      </c>
      <c r="AP97" s="5">
        <v>-3686</v>
      </c>
      <c r="AQ97" s="5">
        <v>-1162</v>
      </c>
      <c r="AR97" s="5"/>
      <c r="AS97" s="5"/>
      <c r="AT97" s="5"/>
      <c r="AU97" s="5"/>
      <c r="BD97" s="5">
        <f t="shared" si="77"/>
        <v>-1648</v>
      </c>
      <c r="BE97" s="5">
        <v>-3044</v>
      </c>
    </row>
    <row r="98" spans="2:64" x14ac:dyDescent="0.3">
      <c r="B98" t="s">
        <v>578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-554</v>
      </c>
      <c r="AH98" s="5">
        <v>-1548</v>
      </c>
      <c r="AI98" s="5">
        <v>-2013</v>
      </c>
      <c r="AJ98" s="5">
        <v>-1427</v>
      </c>
      <c r="AK98" s="5">
        <v>-2137</v>
      </c>
      <c r="AL98" s="5">
        <v>-1240</v>
      </c>
      <c r="AM98" s="5">
        <v>-1761</v>
      </c>
      <c r="AN98" s="5">
        <v>-1089</v>
      </c>
      <c r="AO98" s="5">
        <f t="shared" si="78"/>
        <v>-518</v>
      </c>
      <c r="AP98" s="5">
        <v>418</v>
      </c>
      <c r="AQ98" s="5">
        <v>-394</v>
      </c>
      <c r="AR98" s="5"/>
      <c r="AS98" s="5"/>
      <c r="AT98" s="5"/>
      <c r="AU98" s="5"/>
      <c r="BD98" s="5">
        <f t="shared" si="77"/>
        <v>-6817</v>
      </c>
      <c r="BE98" s="5">
        <v>-2950</v>
      </c>
    </row>
    <row r="99" spans="2:64" x14ac:dyDescent="0.3">
      <c r="B99" t="s">
        <v>580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>
        <v>-407</v>
      </c>
      <c r="AH99" s="5">
        <v>1311</v>
      </c>
      <c r="AI99" s="5">
        <v>1214</v>
      </c>
      <c r="AJ99" s="5">
        <v>-2521</v>
      </c>
      <c r="AK99" s="5">
        <v>648</v>
      </c>
      <c r="AL99" s="5">
        <v>4204</v>
      </c>
      <c r="AM99" s="5">
        <v>-916</v>
      </c>
      <c r="AN99" s="5">
        <v>958</v>
      </c>
      <c r="AO99" s="5">
        <f t="shared" si="78"/>
        <v>1179</v>
      </c>
      <c r="AP99" s="5">
        <v>-652</v>
      </c>
      <c r="AQ99" s="5">
        <v>-614</v>
      </c>
      <c r="AR99" s="5"/>
      <c r="AS99" s="5"/>
      <c r="AT99" s="5"/>
      <c r="AU99" s="5"/>
      <c r="BD99" s="5">
        <f t="shared" si="77"/>
        <v>3545</v>
      </c>
      <c r="BE99" s="5">
        <v>569</v>
      </c>
    </row>
    <row r="100" spans="2:64" x14ac:dyDescent="0.3">
      <c r="B100" t="s">
        <v>583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>
        <v>-181</v>
      </c>
      <c r="AH100" s="5">
        <v>14224</v>
      </c>
      <c r="AI100" s="5">
        <v>-4126</v>
      </c>
      <c r="AJ100" s="5">
        <v>-5538</v>
      </c>
      <c r="AK100" s="5">
        <v>-645</v>
      </c>
      <c r="AL100" s="5">
        <v>15657</v>
      </c>
      <c r="AM100" s="5">
        <v>-5553</v>
      </c>
      <c r="AN100" s="5">
        <v>-6338</v>
      </c>
      <c r="AO100" s="5">
        <f t="shared" si="78"/>
        <v>-1032</v>
      </c>
      <c r="AP100" s="5">
        <v>18361</v>
      </c>
      <c r="AQ100" s="5">
        <v>-5418</v>
      </c>
      <c r="AR100" s="5"/>
      <c r="AS100" s="5"/>
      <c r="AT100" s="5"/>
      <c r="AU100" s="5"/>
      <c r="BD100" s="5">
        <f t="shared" si="77"/>
        <v>5348</v>
      </c>
      <c r="BE100" s="5">
        <v>5438</v>
      </c>
    </row>
    <row r="101" spans="2:64" x14ac:dyDescent="0.3">
      <c r="B101" t="s">
        <v>543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>
        <v>1414</v>
      </c>
      <c r="AH101" s="5">
        <v>681</v>
      </c>
      <c r="AI101" s="5">
        <v>1425</v>
      </c>
      <c r="AJ101" s="5">
        <v>-1554</v>
      </c>
      <c r="AK101" s="5">
        <v>2622</v>
      </c>
      <c r="AL101" s="5">
        <v>-806</v>
      </c>
      <c r="AM101" s="5">
        <v>1016</v>
      </c>
      <c r="AN101" s="5">
        <v>-3395</v>
      </c>
      <c r="AO101" s="5">
        <f t="shared" si="78"/>
        <v>1298</v>
      </c>
      <c r="AP101" s="5">
        <v>1043</v>
      </c>
      <c r="AQ101" s="5">
        <v>-2944</v>
      </c>
      <c r="AR101" s="5"/>
      <c r="AS101" s="5"/>
      <c r="AT101" s="5"/>
      <c r="AU101" s="5"/>
      <c r="BD101" s="5">
        <f t="shared" si="77"/>
        <v>1687</v>
      </c>
      <c r="BE101" s="5">
        <v>-38</v>
      </c>
    </row>
    <row r="102" spans="2:64" x14ac:dyDescent="0.3">
      <c r="B102" t="s">
        <v>584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>
        <v>1715</v>
      </c>
      <c r="AH102" s="5">
        <v>2762</v>
      </c>
      <c r="AI102" s="5">
        <v>-4106</v>
      </c>
      <c r="AJ102" s="5">
        <v>1518</v>
      </c>
      <c r="AK102" s="5">
        <v>2803</v>
      </c>
      <c r="AL102" s="5">
        <v>4652</v>
      </c>
      <c r="AM102" s="5">
        <v>-5479</v>
      </c>
      <c r="AN102" s="5">
        <v>3217</v>
      </c>
      <c r="AO102" s="5">
        <f t="shared" si="78"/>
        <v>2838</v>
      </c>
      <c r="AP102" s="5">
        <v>5346</v>
      </c>
      <c r="AQ102" s="5">
        <v>-5507</v>
      </c>
      <c r="AR102" s="5"/>
      <c r="AS102" s="5"/>
      <c r="AT102" s="5"/>
      <c r="AU102" s="5"/>
      <c r="BD102" s="5">
        <f t="shared" si="77"/>
        <v>4867</v>
      </c>
      <c r="BE102" s="5">
        <v>5922</v>
      </c>
    </row>
    <row r="103" spans="2:64" x14ac:dyDescent="0.3">
      <c r="B103" t="s">
        <v>586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>
        <v>6</v>
      </c>
      <c r="AH103" s="5">
        <v>102</v>
      </c>
      <c r="AI103" s="5">
        <v>291</v>
      </c>
      <c r="AJ103" s="5">
        <v>-26</v>
      </c>
      <c r="AK103" s="5">
        <v>48</v>
      </c>
      <c r="AL103" s="5">
        <v>436</v>
      </c>
      <c r="AM103" s="5">
        <v>-33</v>
      </c>
      <c r="AN103" s="5">
        <v>716</v>
      </c>
      <c r="AO103" s="5">
        <f t="shared" si="78"/>
        <v>-391</v>
      </c>
      <c r="AP103" s="5">
        <v>-1267</v>
      </c>
      <c r="AQ103" s="5">
        <v>-477</v>
      </c>
      <c r="AR103" s="5"/>
      <c r="AS103" s="5"/>
      <c r="AT103" s="5"/>
      <c r="AU103" s="5"/>
      <c r="BD103" s="5">
        <f t="shared" si="77"/>
        <v>749</v>
      </c>
      <c r="BE103" s="5">
        <v>-975</v>
      </c>
    </row>
    <row r="104" spans="2:64" s="14" customFormat="1" x14ac:dyDescent="0.3">
      <c r="B104" s="14" t="s">
        <v>598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>
        <f t="shared" ref="AG104:AQ104" si="79">SUM(AG90:AG103)</f>
        <v>24441</v>
      </c>
      <c r="AH104" s="17">
        <f t="shared" si="79"/>
        <v>28770</v>
      </c>
      <c r="AI104" s="17">
        <f t="shared" si="79"/>
        <v>30583</v>
      </c>
      <c r="AJ104" s="17">
        <f t="shared" si="79"/>
        <v>18853</v>
      </c>
      <c r="AK104" s="17">
        <f t="shared" si="79"/>
        <v>31917</v>
      </c>
      <c r="AL104" s="17">
        <f t="shared" si="79"/>
        <v>37195</v>
      </c>
      <c r="AM104" s="17">
        <f t="shared" si="79"/>
        <v>34180</v>
      </c>
      <c r="AN104" s="17">
        <f t="shared" si="79"/>
        <v>22291</v>
      </c>
      <c r="AO104" s="17">
        <f t="shared" si="79"/>
        <v>37044</v>
      </c>
      <c r="AP104" s="17">
        <f t="shared" si="79"/>
        <v>42647</v>
      </c>
      <c r="AQ104" s="17">
        <f t="shared" si="79"/>
        <v>45057</v>
      </c>
      <c r="AR104" s="17"/>
      <c r="AS104" s="17"/>
      <c r="AT104" s="17"/>
      <c r="AU104" s="17"/>
      <c r="BD104" s="17">
        <f t="shared" ref="BD104" si="80">SUM(BD90:BD103)</f>
        <v>118548</v>
      </c>
      <c r="BE104" s="17">
        <f>SUM(BE90:BE103)</f>
        <v>136162</v>
      </c>
      <c r="BK104"/>
      <c r="BL104"/>
    </row>
    <row r="105" spans="2:64" x14ac:dyDescent="0.3">
      <c r="B105" t="s">
        <v>581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>
        <v>-1000</v>
      </c>
      <c r="AI105" s="5">
        <f>18692+7073-1500</f>
        <v>24265</v>
      </c>
      <c r="AJ105" s="5">
        <f>-8490+10773-2916</f>
        <v>-633</v>
      </c>
      <c r="AK105" s="5">
        <f>-3810+6352-11589</f>
        <v>-9047</v>
      </c>
      <c r="AL105" s="5">
        <f>-1142+197-13065</f>
        <v>-14010</v>
      </c>
      <c r="AM105" s="5">
        <f>-5746-966</f>
        <v>-6712</v>
      </c>
      <c r="AN105" s="5"/>
      <c r="AO105" s="5">
        <f t="shared" si="78"/>
        <v>-2250</v>
      </c>
      <c r="AP105" s="5"/>
      <c r="AQ105" s="5"/>
      <c r="AR105" s="5"/>
      <c r="AS105" s="5"/>
      <c r="AT105" s="5"/>
      <c r="AU105" s="5"/>
      <c r="BD105" s="5">
        <f t="shared" si="77"/>
        <v>575</v>
      </c>
      <c r="BE105" s="5">
        <f>-5746-3216</f>
        <v>-8962</v>
      </c>
      <c r="BK105" s="14"/>
      <c r="BL105" s="14"/>
    </row>
    <row r="106" spans="2:64" x14ac:dyDescent="0.3">
      <c r="B106" t="s">
        <v>599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>
        <f>536-5509-5059</f>
        <v>-10032</v>
      </c>
      <c r="AH106" s="5">
        <f>512-5704-5054</f>
        <v>-10246</v>
      </c>
      <c r="AI106" s="5">
        <f>685-4831-5051</f>
        <v>-9197</v>
      </c>
      <c r="AJ106" s="5">
        <f>261-4000-5574</f>
        <v>-9313</v>
      </c>
      <c r="AK106" s="5">
        <f>522-4213-5572</f>
        <v>-9263</v>
      </c>
      <c r="AL106" s="5">
        <f>534-4210-5574</f>
        <v>-9250</v>
      </c>
      <c r="AM106" s="5">
        <f>706-4107-5574</f>
        <v>-8975</v>
      </c>
      <c r="AN106" s="5">
        <f>256-4986-6170</f>
        <v>-10900</v>
      </c>
      <c r="AO106" s="5">
        <f t="shared" si="78"/>
        <v>-10404</v>
      </c>
      <c r="AP106" s="5">
        <f>548-4546-6169</f>
        <v>-10167</v>
      </c>
      <c r="AQ106" s="5">
        <f>689-5650-6169</f>
        <v>-11130</v>
      </c>
      <c r="AR106" s="5"/>
      <c r="AS106" s="5"/>
      <c r="AT106" s="5"/>
      <c r="AU106" s="5"/>
      <c r="BD106" s="5">
        <f t="shared" si="77"/>
        <v>-37023</v>
      </c>
      <c r="BE106" s="5">
        <f>2056-18420-24082</f>
        <v>-40446</v>
      </c>
    </row>
    <row r="107" spans="2:64" x14ac:dyDescent="0.3">
      <c r="B107" t="s">
        <v>600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>
        <v>-258</v>
      </c>
      <c r="AH107" s="5">
        <v>-167</v>
      </c>
      <c r="AI107" s="5">
        <v>-307</v>
      </c>
      <c r="AJ107" s="5">
        <v>-201</v>
      </c>
      <c r="AK107" s="5">
        <v>-498</v>
      </c>
      <c r="AL107" s="5">
        <v>-303</v>
      </c>
      <c r="AM107" s="5">
        <v>-889</v>
      </c>
      <c r="AN107" s="5">
        <v>-343</v>
      </c>
      <c r="AO107" s="5">
        <f t="shared" si="78"/>
        <v>-382</v>
      </c>
      <c r="AP107" s="5">
        <f>-677</f>
        <v>-677</v>
      </c>
      <c r="AQ107" s="5">
        <v>-669</v>
      </c>
      <c r="AR107" s="5"/>
      <c r="AS107" s="5"/>
      <c r="AT107" s="5"/>
      <c r="AU107" s="5"/>
      <c r="BD107" s="5">
        <f t="shared" si="77"/>
        <v>-1309</v>
      </c>
      <c r="BE107" s="5">
        <f>-2291</f>
        <v>-2291</v>
      </c>
    </row>
    <row r="108" spans="2:64" s="14" customFormat="1" x14ac:dyDescent="0.3">
      <c r="B108" s="14" t="s">
        <v>601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>
        <f t="shared" ref="AG108:AN108" si="81">SUM(AG105:AG107)</f>
        <v>-10290</v>
      </c>
      <c r="AH108" s="17">
        <f t="shared" si="81"/>
        <v>-11413</v>
      </c>
      <c r="AI108" s="17">
        <f t="shared" si="81"/>
        <v>14761</v>
      </c>
      <c r="AJ108" s="17">
        <f t="shared" si="81"/>
        <v>-10147</v>
      </c>
      <c r="AK108" s="17">
        <f t="shared" si="81"/>
        <v>-18808</v>
      </c>
      <c r="AL108" s="17">
        <f t="shared" si="81"/>
        <v>-23563</v>
      </c>
      <c r="AM108" s="17">
        <f t="shared" si="81"/>
        <v>-16576</v>
      </c>
      <c r="AN108" s="17">
        <f t="shared" si="81"/>
        <v>-11243</v>
      </c>
      <c r="AO108" s="17">
        <f t="shared" ref="AO108:AQ108" si="82">SUM(AO105:AO107)</f>
        <v>-13036</v>
      </c>
      <c r="AP108" s="17">
        <f t="shared" si="82"/>
        <v>-10844</v>
      </c>
      <c r="AQ108" s="17">
        <f t="shared" si="82"/>
        <v>-11799</v>
      </c>
      <c r="AR108" s="17"/>
      <c r="AS108" s="17"/>
      <c r="AT108" s="17"/>
      <c r="AU108" s="17"/>
      <c r="BD108" s="17">
        <f t="shared" ref="BD108:BE108" si="83">SUM(BD105:BD107)</f>
        <v>-37757</v>
      </c>
      <c r="BE108" s="17">
        <f t="shared" si="83"/>
        <v>-51699</v>
      </c>
      <c r="BK108"/>
      <c r="BL108"/>
    </row>
    <row r="109" spans="2:64" x14ac:dyDescent="0.3">
      <c r="B109" t="s">
        <v>602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>
        <v>-6607</v>
      </c>
      <c r="AH109" s="5">
        <v>-8943</v>
      </c>
      <c r="AI109" s="5">
        <v>-9917</v>
      </c>
      <c r="AJ109" s="5">
        <v>-9735</v>
      </c>
      <c r="AK109" s="5">
        <v>-10952</v>
      </c>
      <c r="AL109" s="5">
        <v>-13873</v>
      </c>
      <c r="AM109" s="5">
        <v>-14923</v>
      </c>
      <c r="AN109" s="5">
        <v>-15804</v>
      </c>
      <c r="AO109" s="5">
        <f t="shared" si="78"/>
        <v>-16745</v>
      </c>
      <c r="AP109" s="5">
        <v>-17079</v>
      </c>
      <c r="AQ109" s="5">
        <v>-19394</v>
      </c>
      <c r="AR109" s="5"/>
      <c r="AS109" s="5"/>
      <c r="AT109" s="5"/>
      <c r="AU109" s="5"/>
      <c r="BD109" s="5">
        <f t="shared" si="77"/>
        <v>-44477</v>
      </c>
      <c r="BE109" s="5">
        <v>-64551</v>
      </c>
      <c r="BK109" s="14"/>
      <c r="BL109" s="14"/>
    </row>
    <row r="110" spans="2:64" x14ac:dyDescent="0.3">
      <c r="B110" t="s">
        <v>603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>
        <v>-301</v>
      </c>
      <c r="AH110" s="5">
        <v>-341</v>
      </c>
      <c r="AI110" s="5">
        <v>-1186</v>
      </c>
      <c r="AJ110" s="5">
        <v>-65029</v>
      </c>
      <c r="AK110" s="5">
        <v>-1575</v>
      </c>
      <c r="AL110" s="5">
        <v>-1342</v>
      </c>
      <c r="AM110" s="5">
        <v>-1849</v>
      </c>
      <c r="AN110" s="5">
        <v>-1405</v>
      </c>
      <c r="AO110" s="5">
        <f t="shared" si="78"/>
        <v>-981</v>
      </c>
      <c r="AP110" s="5">
        <v>-1743</v>
      </c>
      <c r="AQ110" s="5">
        <v>-578</v>
      </c>
      <c r="AR110" s="5"/>
      <c r="AS110" s="5"/>
      <c r="AT110" s="5"/>
      <c r="AU110" s="5"/>
      <c r="BD110" s="5">
        <f t="shared" si="77"/>
        <v>-69132</v>
      </c>
      <c r="BE110" s="5">
        <v>-5978</v>
      </c>
    </row>
    <row r="111" spans="2:64" x14ac:dyDescent="0.3">
      <c r="B111" t="s">
        <v>596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>
        <f>-9063+13154+1239</f>
        <v>5330</v>
      </c>
      <c r="AH111" s="5">
        <f>-11976+6766+5629</f>
        <v>419</v>
      </c>
      <c r="AI111" s="5">
        <f>-8460+15718+5330</f>
        <v>12588</v>
      </c>
      <c r="AJ111" s="5">
        <f>-4258+4150+1600</f>
        <v>1492</v>
      </c>
      <c r="AK111" s="5">
        <f>-2183+3350+1941</f>
        <v>3108</v>
      </c>
      <c r="AL111" s="5">
        <f>-2831+1557+2023</f>
        <v>749</v>
      </c>
      <c r="AM111" s="5">
        <f>-1620+2136+1968</f>
        <v>2484</v>
      </c>
      <c r="AN111" s="5">
        <f>-2050+2604+2559</f>
        <v>3113</v>
      </c>
      <c r="AO111" s="5">
        <f t="shared" si="78"/>
        <v>4408</v>
      </c>
      <c r="AP111" s="5">
        <f>-21631+4618+2621</f>
        <v>-14392</v>
      </c>
      <c r="AQ111" s="5">
        <f>-17671+6031+3262</f>
        <v>-8378</v>
      </c>
      <c r="AR111" s="5"/>
      <c r="AS111" s="5"/>
      <c r="AT111" s="5"/>
      <c r="AU111" s="5"/>
      <c r="BD111" s="5">
        <f t="shared" si="77"/>
        <v>17937</v>
      </c>
      <c r="BE111" s="5">
        <f>-29775+16079+9309</f>
        <v>-4387</v>
      </c>
    </row>
    <row r="112" spans="2:64" x14ac:dyDescent="0.3">
      <c r="B112" t="s">
        <v>600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>
        <f>-1686+29</f>
        <v>-1657</v>
      </c>
      <c r="AH112" s="5">
        <f>-269-81</f>
        <v>-350</v>
      </c>
      <c r="AI112" s="5">
        <f>-982-99</f>
        <v>-1081</v>
      </c>
      <c r="AJ112" s="5">
        <v>1347</v>
      </c>
      <c r="AK112" s="5">
        <f>-1281-80</f>
        <v>-1361</v>
      </c>
      <c r="AL112" s="5">
        <f>-382-103</f>
        <v>-485</v>
      </c>
      <c r="AM112" s="5">
        <f>-913+122</f>
        <v>-791</v>
      </c>
      <c r="AN112" s="5">
        <v>-16</v>
      </c>
      <c r="AO112" s="5">
        <f t="shared" si="78"/>
        <v>482</v>
      </c>
      <c r="AP112" s="5">
        <v>2642</v>
      </c>
      <c r="AQ112" s="5">
        <v>-6209</v>
      </c>
      <c r="AR112" s="5"/>
      <c r="AS112" s="5"/>
      <c r="AT112" s="5"/>
      <c r="AU112" s="5"/>
      <c r="BD112" s="5">
        <f t="shared" si="77"/>
        <v>-1580</v>
      </c>
      <c r="BE112" s="5">
        <v>2317</v>
      </c>
    </row>
    <row r="113" spans="2:64" s="14" customFormat="1" x14ac:dyDescent="0.3">
      <c r="B113" s="14" t="s">
        <v>604</v>
      </c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>
        <f t="shared" ref="AG113:AN113" si="84">SUM(AG109:AG112)</f>
        <v>-3235</v>
      </c>
      <c r="AH113" s="17">
        <f t="shared" si="84"/>
        <v>-9215</v>
      </c>
      <c r="AI113" s="17">
        <f t="shared" si="84"/>
        <v>404</v>
      </c>
      <c r="AJ113" s="17">
        <f t="shared" si="84"/>
        <v>-71925</v>
      </c>
      <c r="AK113" s="17">
        <f t="shared" si="84"/>
        <v>-10780</v>
      </c>
      <c r="AL113" s="17">
        <f t="shared" si="84"/>
        <v>-14951</v>
      </c>
      <c r="AM113" s="17">
        <f t="shared" si="84"/>
        <v>-15079</v>
      </c>
      <c r="AN113" s="17">
        <f t="shared" si="84"/>
        <v>-14112</v>
      </c>
      <c r="AO113" s="17">
        <f t="shared" ref="AO113:AQ113" si="85">SUM(AO109:AO112)</f>
        <v>-12836</v>
      </c>
      <c r="AP113" s="17">
        <f t="shared" si="85"/>
        <v>-30572</v>
      </c>
      <c r="AQ113" s="17">
        <f t="shared" si="85"/>
        <v>-34559</v>
      </c>
      <c r="AR113" s="17"/>
      <c r="AS113" s="17"/>
      <c r="AT113" s="17"/>
      <c r="AU113" s="17"/>
      <c r="BD113" s="17">
        <f t="shared" ref="BD113:BE113" si="86">SUM(BD109:BD112)</f>
        <v>-97252</v>
      </c>
      <c r="BE113" s="17">
        <f t="shared" si="86"/>
        <v>-72599</v>
      </c>
      <c r="BK113"/>
      <c r="BL113"/>
    </row>
    <row r="114" spans="2:64" s="14" customFormat="1" x14ac:dyDescent="0.3">
      <c r="B114" s="14" t="s">
        <v>605</v>
      </c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>
        <f t="shared" ref="AG114:AQ114" si="87">AG104+AG108+AG113</f>
        <v>10916</v>
      </c>
      <c r="AH114" s="17">
        <f t="shared" si="87"/>
        <v>8142</v>
      </c>
      <c r="AI114" s="17">
        <f t="shared" si="87"/>
        <v>45748</v>
      </c>
      <c r="AJ114" s="17">
        <f t="shared" si="87"/>
        <v>-63219</v>
      </c>
      <c r="AK114" s="17">
        <f t="shared" si="87"/>
        <v>2329</v>
      </c>
      <c r="AL114" s="17">
        <f t="shared" si="87"/>
        <v>-1319</v>
      </c>
      <c r="AM114" s="17">
        <f t="shared" si="87"/>
        <v>2525</v>
      </c>
      <c r="AN114" s="17">
        <f t="shared" si="87"/>
        <v>-3064</v>
      </c>
      <c r="AO114" s="17">
        <f t="shared" si="87"/>
        <v>11172</v>
      </c>
      <c r="AP114" s="17">
        <f t="shared" si="87"/>
        <v>1231</v>
      </c>
      <c r="AQ114" s="17">
        <f t="shared" si="87"/>
        <v>-1301</v>
      </c>
      <c r="AR114" s="17"/>
      <c r="AS114" s="17"/>
      <c r="AT114" s="17"/>
      <c r="AU114" s="17"/>
      <c r="BD114" s="17">
        <f t="shared" ref="BD114:BE114" si="88">BD104+BD108+BD113</f>
        <v>-16461</v>
      </c>
      <c r="BE114" s="17">
        <f t="shared" si="88"/>
        <v>11864</v>
      </c>
    </row>
    <row r="115" spans="2:64" x14ac:dyDescent="0.3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BD115" s="5"/>
      <c r="BK115" s="14"/>
      <c r="BL115" s="14"/>
    </row>
    <row r="116" spans="2:64" s="14" customFormat="1" x14ac:dyDescent="0.3">
      <c r="B116" s="14" t="s">
        <v>606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>
        <f t="shared" ref="AG116:AQ116" si="89">AG109+AG104</f>
        <v>17834</v>
      </c>
      <c r="AH116" s="17">
        <f t="shared" si="89"/>
        <v>19827</v>
      </c>
      <c r="AI116" s="17">
        <f t="shared" si="89"/>
        <v>20666</v>
      </c>
      <c r="AJ116" s="17">
        <f t="shared" si="89"/>
        <v>9118</v>
      </c>
      <c r="AK116" s="17">
        <f t="shared" si="89"/>
        <v>20965</v>
      </c>
      <c r="AL116" s="17">
        <f t="shared" si="89"/>
        <v>23322</v>
      </c>
      <c r="AM116" s="17">
        <f t="shared" si="89"/>
        <v>19257</v>
      </c>
      <c r="AN116" s="17">
        <f t="shared" si="89"/>
        <v>6487</v>
      </c>
      <c r="AO116" s="17">
        <f t="shared" si="89"/>
        <v>20299</v>
      </c>
      <c r="AP116" s="17">
        <f t="shared" si="89"/>
        <v>25568</v>
      </c>
      <c r="AQ116" s="17">
        <f t="shared" si="89"/>
        <v>25663</v>
      </c>
      <c r="AR116" s="17"/>
      <c r="AS116" s="17"/>
      <c r="AT116" s="17"/>
      <c r="AU116" s="17"/>
      <c r="BD116" s="17">
        <f t="shared" ref="BD116:BE116" si="90">BD109+BD104</f>
        <v>74071</v>
      </c>
      <c r="BE116" s="17">
        <f t="shared" si="90"/>
        <v>71611</v>
      </c>
      <c r="BK116"/>
      <c r="BL116"/>
    </row>
    <row r="117" spans="2:64" s="14" customFormat="1" x14ac:dyDescent="0.3">
      <c r="B117" s="14" t="s">
        <v>607</v>
      </c>
      <c r="AJ117" s="17">
        <f>SUM(AG116:AJ116)</f>
        <v>67445</v>
      </c>
      <c r="AN117" s="17">
        <f>SUM(AK116:AN116)</f>
        <v>70031</v>
      </c>
      <c r="AO117" s="17">
        <f>SUM(AL116:AO116)</f>
        <v>69365</v>
      </c>
      <c r="AP117" s="17">
        <f>SUM(AM116:AP116)</f>
        <v>71611</v>
      </c>
      <c r="AQ117" s="17">
        <f>SUM(AN116:AQ116)</f>
        <v>78017</v>
      </c>
      <c r="AR117" s="17"/>
      <c r="AS117" s="17"/>
      <c r="AT117" s="17"/>
      <c r="AU117" s="17"/>
    </row>
    <row r="118" spans="2:64" s="14" customFormat="1" x14ac:dyDescent="0.3">
      <c r="B118" s="14" t="s">
        <v>608</v>
      </c>
      <c r="AJ118" s="17">
        <f>SUM(AG89:AJ89)</f>
        <v>82541</v>
      </c>
      <c r="AN118" s="17">
        <f>SUM(AK89:AN89)</f>
        <v>102701</v>
      </c>
      <c r="AO118" s="17">
        <f>SUM(AL89:AO89)</f>
        <v>106586</v>
      </c>
      <c r="AP118" s="17">
        <f>SUM(AM89:AP89)</f>
        <v>101832</v>
      </c>
      <c r="AQ118" s="17">
        <f>SUM(AN89:AQ89)</f>
        <v>104912</v>
      </c>
      <c r="AR118" s="17"/>
      <c r="AS118" s="17"/>
      <c r="AT118" s="17"/>
      <c r="AU118" s="17"/>
    </row>
    <row r="119" spans="2:64" x14ac:dyDescent="0.3">
      <c r="BK119" s="14"/>
      <c r="BL119" s="14"/>
    </row>
    <row r="120" spans="2:64" s="6" customFormat="1" x14ac:dyDescent="0.3">
      <c r="B120" s="24" t="s">
        <v>609</v>
      </c>
      <c r="AG120" s="6">
        <f t="shared" ref="AG120:AP120" si="91">-AG109/AG90</f>
        <v>0.36105798131045413</v>
      </c>
      <c r="AH120" s="6">
        <f t="shared" si="91"/>
        <v>0.44534634729346151</v>
      </c>
      <c r="AI120" s="6">
        <f t="shared" si="91"/>
        <v>0.44488807141895831</v>
      </c>
      <c r="AJ120" s="6">
        <f t="shared" si="91"/>
        <v>0.44513031550068588</v>
      </c>
      <c r="AK120" s="6">
        <f t="shared" si="91"/>
        <v>0.49920233374356171</v>
      </c>
      <c r="AL120" s="6">
        <f t="shared" si="91"/>
        <v>0.62956071882374298</v>
      </c>
      <c r="AM120" s="6">
        <f t="shared" si="91"/>
        <v>0.60497831110390399</v>
      </c>
      <c r="AN120" s="6">
        <f t="shared" si="91"/>
        <v>0.65555002488800396</v>
      </c>
      <c r="AO120" s="6">
        <f t="shared" si="91"/>
        <v>0.64842781908302349</v>
      </c>
      <c r="AP120" s="6">
        <f t="shared" si="91"/>
        <v>0.62714353908860576</v>
      </c>
      <c r="AQ120" s="6">
        <f>-AQ109/AQ90</f>
        <v>0.69895844595812162</v>
      </c>
    </row>
    <row r="125" spans="2:64" x14ac:dyDescent="0.3">
      <c r="B125" t="s">
        <v>610</v>
      </c>
      <c r="AQ125" t="s">
        <v>611</v>
      </c>
    </row>
    <row r="126" spans="2:64" x14ac:dyDescent="0.3">
      <c r="AQ126" t="s">
        <v>612</v>
      </c>
    </row>
    <row r="127" spans="2:64" x14ac:dyDescent="0.3">
      <c r="AQ127" t="s">
        <v>613</v>
      </c>
    </row>
    <row r="128" spans="2:64" x14ac:dyDescent="0.3">
      <c r="AQ128" t="s">
        <v>614</v>
      </c>
    </row>
    <row r="129" spans="43:43" x14ac:dyDescent="0.3">
      <c r="AQ129" t="s">
        <v>615</v>
      </c>
    </row>
    <row r="130" spans="43:43" x14ac:dyDescent="0.3">
      <c r="AQ130" t="s">
        <v>616</v>
      </c>
    </row>
    <row r="131" spans="43:43" x14ac:dyDescent="0.3">
      <c r="AQ131" t="s">
        <v>617</v>
      </c>
    </row>
    <row r="132" spans="43:43" x14ac:dyDescent="0.3">
      <c r="AQ132" t="s">
        <v>618</v>
      </c>
    </row>
    <row r="133" spans="43:43" x14ac:dyDescent="0.3">
      <c r="AQ133" t="s">
        <v>619</v>
      </c>
    </row>
    <row r="134" spans="43:43" x14ac:dyDescent="0.3">
      <c r="AQ134" t="s">
        <v>620</v>
      </c>
    </row>
    <row r="135" spans="43:43" x14ac:dyDescent="0.3">
      <c r="AQ135" t="s">
        <v>621</v>
      </c>
    </row>
    <row r="136" spans="43:43" x14ac:dyDescent="0.3">
      <c r="AQ136" t="s">
        <v>622</v>
      </c>
    </row>
    <row r="137" spans="43:43" x14ac:dyDescent="0.3">
      <c r="AQ137" t="s">
        <v>623</v>
      </c>
    </row>
  </sheetData>
  <hyperlinks>
    <hyperlink ref="A1" location="Main!B13" display="Main" xr:uid="{CD80CD36-5D15-4DFE-9CDD-8833F98825D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81D8-CA77-4918-A96D-F70154E4477F}">
  <dimension ref="C2:E16"/>
  <sheetViews>
    <sheetView workbookViewId="0">
      <selection activeCell="C19" sqref="C19"/>
    </sheetView>
  </sheetViews>
  <sheetFormatPr defaultRowHeight="14.4" x14ac:dyDescent="0.3"/>
  <cols>
    <col min="3" max="3" width="39.109375" customWidth="1"/>
  </cols>
  <sheetData>
    <row r="2" spans="3:5" ht="15" thickBot="1" x14ac:dyDescent="0.35">
      <c r="C2" s="38" t="s">
        <v>663</v>
      </c>
      <c r="D2" s="38" t="s">
        <v>664</v>
      </c>
      <c r="E2" s="38" t="s">
        <v>665</v>
      </c>
    </row>
    <row r="4" spans="3:5" x14ac:dyDescent="0.3">
      <c r="C4" t="s">
        <v>666</v>
      </c>
      <c r="D4" s="37">
        <v>3.9E-2</v>
      </c>
      <c r="E4" s="37">
        <v>4.3999999999999997E-2</v>
      </c>
    </row>
    <row r="5" spans="3:5" x14ac:dyDescent="0.3">
      <c r="C5" t="s">
        <v>667</v>
      </c>
      <c r="D5" s="37">
        <v>4.5999999999999999E-2</v>
      </c>
      <c r="E5" s="37">
        <v>5.6000000000000001E-2</v>
      </c>
    </row>
    <row r="6" spans="3:5" x14ac:dyDescent="0.3">
      <c r="C6" s="43" t="s">
        <v>673</v>
      </c>
      <c r="D6" s="43">
        <v>0.77</v>
      </c>
      <c r="E6" s="43">
        <v>1.06</v>
      </c>
    </row>
    <row r="7" spans="3:5" x14ac:dyDescent="0.3">
      <c r="C7" t="s">
        <v>674</v>
      </c>
      <c r="D7" s="37">
        <f>D4+D6*D5</f>
        <v>7.442E-2</v>
      </c>
      <c r="E7" s="37">
        <f>E4+E6*E5</f>
        <v>0.10336000000000001</v>
      </c>
    </row>
    <row r="9" spans="3:5" x14ac:dyDescent="0.3">
      <c r="C9" t="s">
        <v>565</v>
      </c>
      <c r="D9" s="37">
        <v>0.17599999999999999</v>
      </c>
      <c r="E9" s="37">
        <v>0.18870000000000001</v>
      </c>
    </row>
    <row r="10" spans="3:5" x14ac:dyDescent="0.3">
      <c r="C10" t="s">
        <v>675</v>
      </c>
      <c r="D10">
        <v>0.13</v>
      </c>
      <c r="E10">
        <v>0.13</v>
      </c>
    </row>
    <row r="11" spans="3:5" x14ac:dyDescent="0.3">
      <c r="C11" t="s">
        <v>668</v>
      </c>
      <c r="D11" s="37">
        <v>0.04</v>
      </c>
      <c r="E11" s="37">
        <v>4.4999999999999998E-2</v>
      </c>
    </row>
    <row r="12" spans="3:5" ht="15" thickBot="1" x14ac:dyDescent="0.35">
      <c r="C12" s="38"/>
      <c r="D12" s="38"/>
      <c r="E12" s="38"/>
    </row>
    <row r="13" spans="3:5" x14ac:dyDescent="0.3">
      <c r="C13" t="s">
        <v>669</v>
      </c>
      <c r="D13" s="37">
        <f>(D10/(1+D10))*D11*(1-D9)+(1/(1+D10))*D7</f>
        <v>6.9650265486725663E-2</v>
      </c>
      <c r="E13" s="37">
        <f>(E10/(1+E10))*E11*(1-E9)+(1/(1+E10))*E7</f>
        <v>9.5669119469026564E-2</v>
      </c>
    </row>
    <row r="16" spans="3:5" x14ac:dyDescent="0.3">
      <c r="C16" s="14" t="s">
        <v>670</v>
      </c>
      <c r="D16" s="44">
        <f>GEOMEAN(D13:E13)</f>
        <v>8.1629526336362973E-2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3BE03-C027-4F88-9468-9D9CCBAFE9A1}">
  <dimension ref="B2:R48"/>
  <sheetViews>
    <sheetView zoomScale="91" workbookViewId="0">
      <pane xSplit="2" ySplit="2" topLeftCell="C30" activePane="bottomRight" state="frozen"/>
      <selection pane="topRight" activeCell="C1" sqref="C1"/>
      <selection pane="bottomLeft" activeCell="A3" sqref="A3"/>
      <selection pane="bottomRight" activeCell="D46" sqref="D46"/>
    </sheetView>
  </sheetViews>
  <sheetFormatPr defaultRowHeight="13.2" x14ac:dyDescent="0.25"/>
  <cols>
    <col min="1" max="1" width="8.88671875" style="1"/>
    <col min="2" max="2" width="41.21875" style="1" bestFit="1" customWidth="1"/>
    <col min="3" max="3" width="10.109375" style="1" customWidth="1"/>
    <col min="4" max="4" width="10.109375" style="1" bestFit="1" customWidth="1"/>
    <col min="5" max="16384" width="8.88671875" style="1"/>
  </cols>
  <sheetData>
    <row r="2" spans="2:18" x14ac:dyDescent="0.25">
      <c r="B2" s="32" t="s">
        <v>681</v>
      </c>
      <c r="C2" s="50">
        <v>40543</v>
      </c>
      <c r="D2" s="50">
        <v>40908</v>
      </c>
      <c r="E2" s="50">
        <v>41274</v>
      </c>
      <c r="F2" s="50">
        <v>41639</v>
      </c>
      <c r="G2" s="50">
        <v>42004</v>
      </c>
      <c r="H2" s="50">
        <v>42369</v>
      </c>
      <c r="I2" s="50">
        <v>42735</v>
      </c>
      <c r="J2" s="50">
        <v>43100</v>
      </c>
      <c r="K2" s="50">
        <v>43465</v>
      </c>
      <c r="L2" s="50">
        <v>43830</v>
      </c>
      <c r="M2" s="50">
        <v>44196</v>
      </c>
      <c r="N2" s="50">
        <v>44561</v>
      </c>
      <c r="O2" s="50">
        <v>44926</v>
      </c>
      <c r="P2" s="50">
        <v>45291</v>
      </c>
      <c r="Q2" s="50">
        <v>45657</v>
      </c>
      <c r="R2" s="50">
        <v>46022</v>
      </c>
    </row>
    <row r="3" spans="2:18" x14ac:dyDescent="0.25">
      <c r="B3" s="51" t="s">
        <v>531</v>
      </c>
      <c r="C3" s="33">
        <v>1974</v>
      </c>
      <c r="D3" s="33">
        <v>3711</v>
      </c>
      <c r="E3" s="33">
        <v>5089</v>
      </c>
      <c r="F3" s="33">
        <v>7872</v>
      </c>
      <c r="G3" s="33">
        <v>12466</v>
      </c>
      <c r="H3" s="33">
        <v>17928</v>
      </c>
      <c r="I3" s="33">
        <v>27638</v>
      </c>
      <c r="J3" s="33">
        <v>40653</v>
      </c>
      <c r="K3" s="33">
        <v>55838</v>
      </c>
      <c r="L3" s="33">
        <v>70697</v>
      </c>
      <c r="M3" s="33">
        <v>85965</v>
      </c>
      <c r="N3" s="33">
        <v>117929</v>
      </c>
      <c r="O3" s="33">
        <v>116609</v>
      </c>
      <c r="P3" s="33">
        <v>134902</v>
      </c>
      <c r="Q3" s="33">
        <v>164501</v>
      </c>
      <c r="R3" s="33">
        <v>200966</v>
      </c>
    </row>
    <row r="4" spans="2:18" x14ac:dyDescent="0.25">
      <c r="B4" s="51" t="s">
        <v>534</v>
      </c>
      <c r="C4" s="33">
        <v>493</v>
      </c>
      <c r="D4" s="33">
        <v>860</v>
      </c>
      <c r="E4" s="33">
        <v>1364</v>
      </c>
      <c r="F4" s="33">
        <v>1875</v>
      </c>
      <c r="G4" s="33">
        <v>2153</v>
      </c>
      <c r="H4" s="33">
        <v>2867</v>
      </c>
      <c r="I4" s="33">
        <v>3789</v>
      </c>
      <c r="J4" s="33">
        <v>5454</v>
      </c>
      <c r="K4" s="33">
        <v>9355</v>
      </c>
      <c r="L4" s="33">
        <v>12770</v>
      </c>
      <c r="M4" s="33">
        <v>16692</v>
      </c>
      <c r="N4" s="33">
        <v>22649</v>
      </c>
      <c r="O4" s="33">
        <v>25249</v>
      </c>
      <c r="P4" s="33">
        <v>25959</v>
      </c>
      <c r="Q4" s="33">
        <v>30161</v>
      </c>
      <c r="R4" s="33">
        <v>36175</v>
      </c>
    </row>
    <row r="5" spans="2:18" s="34" customFormat="1" x14ac:dyDescent="0.25">
      <c r="B5" s="52" t="s">
        <v>535</v>
      </c>
      <c r="C5" s="35">
        <v>1481</v>
      </c>
      <c r="D5" s="35">
        <v>2851</v>
      </c>
      <c r="E5" s="35">
        <v>3725</v>
      </c>
      <c r="F5" s="35">
        <v>5997</v>
      </c>
      <c r="G5" s="35">
        <v>10313</v>
      </c>
      <c r="H5" s="35">
        <v>15061</v>
      </c>
      <c r="I5" s="35">
        <v>23849</v>
      </c>
      <c r="J5" s="35">
        <v>35199</v>
      </c>
      <c r="K5" s="35">
        <v>46483</v>
      </c>
      <c r="L5" s="35">
        <v>57927</v>
      </c>
      <c r="M5" s="35">
        <v>69273</v>
      </c>
      <c r="N5" s="35">
        <v>95280</v>
      </c>
      <c r="O5" s="35">
        <v>91360</v>
      </c>
      <c r="P5" s="35">
        <v>108943</v>
      </c>
      <c r="Q5" s="35">
        <v>134340</v>
      </c>
      <c r="R5" s="35">
        <v>164791</v>
      </c>
    </row>
    <row r="6" spans="2:18" x14ac:dyDescent="0.25">
      <c r="B6" s="51" t="s">
        <v>624</v>
      </c>
      <c r="C6" s="33">
        <v>138</v>
      </c>
      <c r="D6" s="33">
        <v>314</v>
      </c>
      <c r="E6" s="33">
        <v>892</v>
      </c>
      <c r="F6" s="33">
        <v>781</v>
      </c>
      <c r="G6" s="33">
        <v>973</v>
      </c>
      <c r="H6" s="33">
        <v>1295</v>
      </c>
      <c r="I6" s="33">
        <v>1731</v>
      </c>
      <c r="J6" s="33">
        <v>2517</v>
      </c>
      <c r="K6" s="33">
        <v>3451</v>
      </c>
      <c r="L6" s="33">
        <v>10465</v>
      </c>
      <c r="M6" s="33">
        <v>6564</v>
      </c>
      <c r="N6" s="33">
        <v>9829</v>
      </c>
      <c r="O6" s="33">
        <v>11816</v>
      </c>
      <c r="P6" s="33">
        <v>11408</v>
      </c>
      <c r="Q6" s="33">
        <v>9740</v>
      </c>
      <c r="R6" s="33">
        <v>12152</v>
      </c>
    </row>
    <row r="7" spans="2:18" x14ac:dyDescent="0.25">
      <c r="B7" s="51" t="s">
        <v>625</v>
      </c>
      <c r="C7" s="33">
        <v>144</v>
      </c>
      <c r="D7" s="33">
        <v>388</v>
      </c>
      <c r="E7" s="33">
        <v>1399</v>
      </c>
      <c r="F7" s="33">
        <v>1415</v>
      </c>
      <c r="G7" s="33">
        <v>2666</v>
      </c>
      <c r="H7" s="33">
        <v>4816</v>
      </c>
      <c r="I7" s="33">
        <v>5919</v>
      </c>
      <c r="J7" s="33">
        <v>7754</v>
      </c>
      <c r="K7" s="33">
        <v>10273</v>
      </c>
      <c r="L7" s="33">
        <v>13600</v>
      </c>
      <c r="M7" s="33">
        <v>18447</v>
      </c>
      <c r="N7" s="33">
        <v>24655</v>
      </c>
      <c r="O7" s="33">
        <v>35338</v>
      </c>
      <c r="P7" s="33">
        <v>38483</v>
      </c>
      <c r="Q7" s="33">
        <v>43873</v>
      </c>
      <c r="R7" s="33">
        <v>57372</v>
      </c>
    </row>
    <row r="8" spans="2:18" s="34" customFormat="1" x14ac:dyDescent="0.25">
      <c r="B8" s="52" t="s">
        <v>539</v>
      </c>
      <c r="C8" s="35">
        <v>449</v>
      </c>
      <c r="D8" s="35">
        <v>1095</v>
      </c>
      <c r="E8" s="35">
        <v>3187</v>
      </c>
      <c r="F8" s="35">
        <v>3193</v>
      </c>
      <c r="G8" s="35">
        <v>5319</v>
      </c>
      <c r="H8" s="35">
        <v>8836</v>
      </c>
      <c r="I8" s="35">
        <v>11422</v>
      </c>
      <c r="J8" s="35">
        <v>14996</v>
      </c>
      <c r="K8" s="35">
        <v>21570</v>
      </c>
      <c r="L8" s="35">
        <v>33941</v>
      </c>
      <c r="M8" s="35">
        <v>36602</v>
      </c>
      <c r="N8" s="35">
        <v>48527</v>
      </c>
      <c r="O8" s="35">
        <v>62416</v>
      </c>
      <c r="P8" s="35">
        <v>62192</v>
      </c>
      <c r="Q8" s="35">
        <v>64960</v>
      </c>
      <c r="R8" s="35">
        <v>81515</v>
      </c>
    </row>
    <row r="9" spans="2:18" s="34" customFormat="1" x14ac:dyDescent="0.25">
      <c r="B9" s="52" t="s">
        <v>540</v>
      </c>
      <c r="C9" s="35">
        <v>1032</v>
      </c>
      <c r="D9" s="35">
        <v>1756</v>
      </c>
      <c r="E9" s="35">
        <v>538</v>
      </c>
      <c r="F9" s="35">
        <v>2804</v>
      </c>
      <c r="G9" s="35">
        <v>4994</v>
      </c>
      <c r="H9" s="35">
        <v>6225</v>
      </c>
      <c r="I9" s="35">
        <v>12427</v>
      </c>
      <c r="J9" s="35">
        <v>20203</v>
      </c>
      <c r="K9" s="35">
        <v>24913</v>
      </c>
      <c r="L9" s="35">
        <v>23986</v>
      </c>
      <c r="M9" s="35">
        <v>32671</v>
      </c>
      <c r="N9" s="35">
        <v>46753</v>
      </c>
      <c r="O9" s="35">
        <v>28944</v>
      </c>
      <c r="P9" s="35">
        <v>46751</v>
      </c>
      <c r="Q9" s="35">
        <v>69380</v>
      </c>
      <c r="R9" s="35">
        <v>83276</v>
      </c>
    </row>
    <row r="10" spans="2:18" x14ac:dyDescent="0.25">
      <c r="B10" s="51" t="s">
        <v>626</v>
      </c>
      <c r="C10" s="33">
        <v>-24</v>
      </c>
      <c r="D10" s="33">
        <v>-61</v>
      </c>
      <c r="E10" s="33">
        <v>-44</v>
      </c>
      <c r="F10" s="33">
        <v>-50</v>
      </c>
      <c r="G10" s="33">
        <v>-84</v>
      </c>
      <c r="H10" s="33">
        <v>-31</v>
      </c>
      <c r="I10" s="33">
        <v>91</v>
      </c>
      <c r="J10" s="33">
        <v>391</v>
      </c>
      <c r="K10" s="33">
        <v>448</v>
      </c>
      <c r="L10" s="33">
        <v>826</v>
      </c>
      <c r="M10" s="33">
        <v>509</v>
      </c>
      <c r="N10" s="33">
        <v>531</v>
      </c>
      <c r="O10" s="33">
        <v>-125</v>
      </c>
      <c r="P10" s="33">
        <v>677</v>
      </c>
      <c r="Q10" s="33">
        <v>1283</v>
      </c>
      <c r="R10" s="33">
        <v>2656</v>
      </c>
    </row>
    <row r="11" spans="2:18" s="34" customFormat="1" x14ac:dyDescent="0.25">
      <c r="B11" s="52" t="s">
        <v>627</v>
      </c>
      <c r="C11" s="35">
        <v>1008</v>
      </c>
      <c r="D11" s="35">
        <v>1695</v>
      </c>
      <c r="E11" s="35">
        <v>494</v>
      </c>
      <c r="F11" s="35">
        <v>2754</v>
      </c>
      <c r="G11" s="35">
        <v>4910</v>
      </c>
      <c r="H11" s="35">
        <v>6194</v>
      </c>
      <c r="I11" s="35">
        <v>12518</v>
      </c>
      <c r="J11" s="35">
        <v>20594</v>
      </c>
      <c r="K11" s="35">
        <v>25361</v>
      </c>
      <c r="L11" s="35">
        <v>24812</v>
      </c>
      <c r="M11" s="35">
        <v>33180</v>
      </c>
      <c r="N11" s="35">
        <v>47284</v>
      </c>
      <c r="O11" s="35">
        <v>28819</v>
      </c>
      <c r="P11" s="35">
        <v>47428</v>
      </c>
      <c r="Q11" s="35">
        <v>70663</v>
      </c>
      <c r="R11" s="35">
        <v>85932</v>
      </c>
    </row>
    <row r="12" spans="2:18" x14ac:dyDescent="0.25">
      <c r="B12" s="51" t="s">
        <v>628</v>
      </c>
      <c r="C12" s="33">
        <v>402</v>
      </c>
      <c r="D12" s="33">
        <v>695</v>
      </c>
      <c r="E12" s="33">
        <v>441</v>
      </c>
      <c r="F12" s="33">
        <v>1254</v>
      </c>
      <c r="G12" s="33">
        <v>1970</v>
      </c>
      <c r="H12" s="33">
        <v>2506</v>
      </c>
      <c r="I12" s="33">
        <v>2301</v>
      </c>
      <c r="J12" s="33">
        <v>4660</v>
      </c>
      <c r="K12" s="33">
        <v>3249</v>
      </c>
      <c r="L12" s="33">
        <v>6327</v>
      </c>
      <c r="M12" s="33">
        <v>4034</v>
      </c>
      <c r="N12" s="33">
        <v>7914</v>
      </c>
      <c r="O12" s="33">
        <v>5619</v>
      </c>
      <c r="P12" s="33">
        <v>8330</v>
      </c>
      <c r="Q12" s="33">
        <v>8303</v>
      </c>
      <c r="R12" s="33">
        <v>25474</v>
      </c>
    </row>
    <row r="13" spans="2:18" s="34" customFormat="1" x14ac:dyDescent="0.25">
      <c r="B13" s="52" t="s">
        <v>544</v>
      </c>
      <c r="C13" s="35">
        <v>606</v>
      </c>
      <c r="D13" s="35">
        <v>1000</v>
      </c>
      <c r="E13" s="35">
        <v>53</v>
      </c>
      <c r="F13" s="35">
        <v>1500</v>
      </c>
      <c r="G13" s="35">
        <v>2940</v>
      </c>
      <c r="H13" s="35">
        <v>3688</v>
      </c>
      <c r="I13" s="35">
        <v>10217</v>
      </c>
      <c r="J13" s="35">
        <v>15934</v>
      </c>
      <c r="K13" s="35">
        <v>22112</v>
      </c>
      <c r="L13" s="35">
        <v>18485</v>
      </c>
      <c r="M13" s="35">
        <v>29146</v>
      </c>
      <c r="N13" s="35">
        <v>39370</v>
      </c>
      <c r="O13" s="35">
        <v>23200</v>
      </c>
      <c r="P13" s="35">
        <v>39098</v>
      </c>
      <c r="Q13" s="35">
        <v>62360</v>
      </c>
      <c r="R13" s="35">
        <v>60458</v>
      </c>
    </row>
    <row r="14" spans="2:18" x14ac:dyDescent="0.25"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</row>
    <row r="15" spans="2:18" x14ac:dyDescent="0.25"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2:18" x14ac:dyDescent="0.25">
      <c r="B16" s="53" t="s">
        <v>698</v>
      </c>
      <c r="C16" s="47">
        <f>C12/C11</f>
        <v>0.39880952380952384</v>
      </c>
      <c r="D16" s="47">
        <f t="shared" ref="D16:R16" si="0">D12/D11</f>
        <v>0.41002949852507375</v>
      </c>
      <c r="E16" s="47">
        <f t="shared" si="0"/>
        <v>0.89271255060728749</v>
      </c>
      <c r="F16" s="47">
        <f t="shared" si="0"/>
        <v>0.45533769063180829</v>
      </c>
      <c r="G16" s="47">
        <f t="shared" si="0"/>
        <v>0.40122199592668023</v>
      </c>
      <c r="H16" s="47">
        <f t="shared" si="0"/>
        <v>0.4045850823377462</v>
      </c>
      <c r="I16" s="47">
        <f t="shared" si="0"/>
        <v>0.18381530595941845</v>
      </c>
      <c r="J16" s="47">
        <f t="shared" si="0"/>
        <v>0.22627949888316987</v>
      </c>
      <c r="K16" s="47">
        <f t="shared" si="0"/>
        <v>0.12811009029612397</v>
      </c>
      <c r="L16" s="47">
        <f t="shared" si="0"/>
        <v>0.25499758181525067</v>
      </c>
      <c r="M16" s="47">
        <f t="shared" si="0"/>
        <v>0.12157926461723931</v>
      </c>
      <c r="N16" s="47">
        <f t="shared" si="0"/>
        <v>0.16737162676592504</v>
      </c>
      <c r="O16" s="47">
        <f t="shared" si="0"/>
        <v>0.19497553697213643</v>
      </c>
      <c r="P16" s="47">
        <f t="shared" si="0"/>
        <v>0.17563464620055663</v>
      </c>
      <c r="Q16" s="47">
        <f t="shared" si="0"/>
        <v>0.11750137978857393</v>
      </c>
      <c r="R16" s="47">
        <f t="shared" si="0"/>
        <v>0.29644369966950612</v>
      </c>
    </row>
    <row r="17" spans="2:18" x14ac:dyDescent="0.25">
      <c r="B17" s="32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</row>
    <row r="18" spans="2:18" x14ac:dyDescent="0.25">
      <c r="B18" s="32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</row>
    <row r="19" spans="2:18" x14ac:dyDescent="0.25">
      <c r="B19" s="1" t="s">
        <v>631</v>
      </c>
      <c r="C19" s="33"/>
      <c r="D19" s="33">
        <v>1512</v>
      </c>
      <c r="E19" s="33">
        <v>2384</v>
      </c>
      <c r="F19" s="33">
        <v>3323</v>
      </c>
      <c r="G19" s="33">
        <v>4315</v>
      </c>
      <c r="H19" s="33">
        <v>4907</v>
      </c>
      <c r="I19" s="33">
        <v>8903</v>
      </c>
      <c r="J19" s="33">
        <v>8079</v>
      </c>
      <c r="K19" s="33">
        <v>10019</v>
      </c>
      <c r="L19" s="33">
        <v>19079</v>
      </c>
      <c r="M19" s="33">
        <v>17576</v>
      </c>
      <c r="N19" s="33">
        <v>16601</v>
      </c>
      <c r="O19" s="33">
        <v>14681</v>
      </c>
      <c r="P19" s="33">
        <v>41862</v>
      </c>
      <c r="Q19" s="33">
        <v>43889</v>
      </c>
      <c r="R19" s="33">
        <v>35873</v>
      </c>
    </row>
    <row r="20" spans="2:18" x14ac:dyDescent="0.25">
      <c r="B20" s="1" t="s">
        <v>632</v>
      </c>
      <c r="C20" s="33"/>
      <c r="D20" s="33">
        <v>2396</v>
      </c>
      <c r="E20" s="33">
        <v>7242</v>
      </c>
      <c r="F20" s="33">
        <v>8126</v>
      </c>
      <c r="G20" s="33">
        <v>6884</v>
      </c>
      <c r="H20" s="33">
        <v>13527</v>
      </c>
      <c r="I20" s="33">
        <v>20546</v>
      </c>
      <c r="J20" s="33">
        <v>33632</v>
      </c>
      <c r="K20" s="33">
        <v>31095</v>
      </c>
      <c r="L20" s="33">
        <v>35776</v>
      </c>
      <c r="M20" s="33">
        <v>44378</v>
      </c>
      <c r="N20" s="33">
        <v>31397</v>
      </c>
      <c r="O20" s="33">
        <v>26057</v>
      </c>
      <c r="P20" s="33">
        <v>23541</v>
      </c>
      <c r="Q20" s="33">
        <v>33926</v>
      </c>
      <c r="R20" s="33">
        <v>45719</v>
      </c>
    </row>
    <row r="21" spans="2:18" x14ac:dyDescent="0.25">
      <c r="B21" s="1" t="s">
        <v>633</v>
      </c>
      <c r="D21" s="1">
        <v>547</v>
      </c>
      <c r="E21" s="1">
        <v>719</v>
      </c>
      <c r="F21" s="33">
        <v>1109</v>
      </c>
      <c r="G21" s="33">
        <v>1678</v>
      </c>
      <c r="H21" s="33">
        <v>2559</v>
      </c>
      <c r="I21" s="33">
        <v>3993</v>
      </c>
      <c r="J21" s="33">
        <v>5832</v>
      </c>
      <c r="K21" s="33">
        <v>7587</v>
      </c>
      <c r="L21" s="33">
        <v>9518</v>
      </c>
      <c r="M21" s="33">
        <v>11335</v>
      </c>
      <c r="N21" s="33">
        <v>14039</v>
      </c>
      <c r="O21" s="33">
        <v>13466</v>
      </c>
      <c r="P21" s="33">
        <v>16169</v>
      </c>
      <c r="Q21" s="33">
        <v>16994</v>
      </c>
      <c r="R21" s="33">
        <v>19769</v>
      </c>
    </row>
    <row r="22" spans="2:18" x14ac:dyDescent="0.25">
      <c r="B22" s="1" t="s">
        <v>634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</row>
    <row r="23" spans="2:18" x14ac:dyDescent="0.25">
      <c r="B23" s="1" t="s">
        <v>635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</row>
    <row r="24" spans="2:18" s="34" customFormat="1" x14ac:dyDescent="0.25">
      <c r="B24" s="34" t="s">
        <v>630</v>
      </c>
      <c r="C24" s="35"/>
      <c r="D24" s="35">
        <v>4604</v>
      </c>
      <c r="E24" s="35">
        <v>11267</v>
      </c>
      <c r="F24" s="35">
        <v>13070</v>
      </c>
      <c r="G24" s="35">
        <v>13390</v>
      </c>
      <c r="H24" s="35">
        <v>21652</v>
      </c>
      <c r="I24" s="35">
        <v>34401</v>
      </c>
      <c r="J24" s="35">
        <v>48563</v>
      </c>
      <c r="K24" s="35">
        <v>50480</v>
      </c>
      <c r="L24" s="35">
        <v>66225</v>
      </c>
      <c r="M24" s="35">
        <v>75670</v>
      </c>
      <c r="N24" s="35">
        <v>66666</v>
      </c>
      <c r="O24" s="35">
        <v>59549</v>
      </c>
      <c r="P24" s="35">
        <v>85365</v>
      </c>
      <c r="Q24" s="35">
        <v>100045</v>
      </c>
      <c r="R24" s="35">
        <v>108722</v>
      </c>
    </row>
    <row r="25" spans="2:18" x14ac:dyDescent="0.25">
      <c r="B25" s="1" t="s">
        <v>637</v>
      </c>
      <c r="C25" s="33"/>
      <c r="D25" s="33">
        <v>1475</v>
      </c>
      <c r="E25" s="33">
        <v>2391</v>
      </c>
      <c r="F25" s="33">
        <v>2882</v>
      </c>
      <c r="G25" s="33">
        <v>3967</v>
      </c>
      <c r="H25" s="33">
        <v>5687</v>
      </c>
      <c r="I25" s="33">
        <v>8591</v>
      </c>
      <c r="J25" s="33">
        <v>13721</v>
      </c>
      <c r="K25" s="33">
        <v>24683</v>
      </c>
      <c r="L25" s="33">
        <v>35323</v>
      </c>
      <c r="M25" s="33">
        <v>45633</v>
      </c>
      <c r="N25" s="33">
        <v>57809</v>
      </c>
      <c r="O25" s="33">
        <v>79518</v>
      </c>
      <c r="P25" s="33">
        <v>96587</v>
      </c>
      <c r="Q25" s="33">
        <v>121346</v>
      </c>
      <c r="R25" s="33">
        <v>176400</v>
      </c>
    </row>
    <row r="26" spans="2:18" x14ac:dyDescent="0.25">
      <c r="B26" s="1" t="s">
        <v>638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86</v>
      </c>
      <c r="M26" s="33">
        <v>6234</v>
      </c>
      <c r="N26" s="33">
        <v>6775</v>
      </c>
      <c r="O26" s="33">
        <v>6201</v>
      </c>
      <c r="P26" s="33">
        <v>6141</v>
      </c>
      <c r="Q26" s="33">
        <v>6070</v>
      </c>
      <c r="R26" s="33">
        <v>27524</v>
      </c>
    </row>
    <row r="27" spans="2:18" x14ac:dyDescent="0.25">
      <c r="B27" s="1" t="s">
        <v>639</v>
      </c>
      <c r="D27" s="1">
        <v>90</v>
      </c>
      <c r="E27" s="1">
        <v>57</v>
      </c>
      <c r="F27" s="1">
        <v>221</v>
      </c>
      <c r="G27" s="1">
        <v>699</v>
      </c>
      <c r="H27" s="1">
        <v>796</v>
      </c>
      <c r="I27" s="33">
        <v>1312</v>
      </c>
      <c r="J27" s="33">
        <v>2135</v>
      </c>
      <c r="K27" s="33">
        <v>2576</v>
      </c>
      <c r="L27" s="33">
        <v>12133</v>
      </c>
      <c r="M27" s="33">
        <v>12106</v>
      </c>
      <c r="N27" s="33">
        <v>14906</v>
      </c>
      <c r="O27" s="33">
        <v>19256</v>
      </c>
      <c r="P27" s="33">
        <v>20088</v>
      </c>
      <c r="Q27" s="33">
        <v>27939</v>
      </c>
      <c r="R27" s="33">
        <v>28841</v>
      </c>
    </row>
    <row r="28" spans="2:18" s="34" customFormat="1" x14ac:dyDescent="0.25">
      <c r="B28" s="34" t="s">
        <v>636</v>
      </c>
      <c r="D28" s="34">
        <v>252</v>
      </c>
      <c r="E28" s="35">
        <v>1445</v>
      </c>
      <c r="F28" s="35">
        <v>1943</v>
      </c>
      <c r="G28" s="35">
        <v>22609</v>
      </c>
      <c r="H28" s="35">
        <v>22068</v>
      </c>
      <c r="I28" s="35">
        <v>21969</v>
      </c>
      <c r="J28" s="35">
        <v>22240</v>
      </c>
      <c r="K28" s="35">
        <v>22171</v>
      </c>
      <c r="L28" s="35">
        <v>31828</v>
      </c>
      <c r="M28" s="35">
        <v>38013</v>
      </c>
      <c r="N28" s="35">
        <v>41512</v>
      </c>
      <c r="O28" s="35">
        <v>46660</v>
      </c>
      <c r="P28" s="35">
        <v>47671</v>
      </c>
      <c r="Q28" s="35">
        <v>54663</v>
      </c>
      <c r="R28" s="35">
        <v>80899</v>
      </c>
    </row>
    <row r="29" spans="2:18" s="34" customFormat="1" x14ac:dyDescent="0.25">
      <c r="B29" s="34" t="s">
        <v>629</v>
      </c>
      <c r="C29" s="35"/>
      <c r="D29" s="35">
        <v>6331</v>
      </c>
      <c r="E29" s="35">
        <v>15103</v>
      </c>
      <c r="F29" s="35">
        <v>17895</v>
      </c>
      <c r="G29" s="35">
        <v>39966</v>
      </c>
      <c r="H29" s="35">
        <v>49407</v>
      </c>
      <c r="I29" s="35">
        <v>64961</v>
      </c>
      <c r="J29" s="35">
        <v>84524</v>
      </c>
      <c r="K29" s="35">
        <v>97334</v>
      </c>
      <c r="L29" s="35">
        <v>133376</v>
      </c>
      <c r="M29" s="35">
        <v>159316</v>
      </c>
      <c r="N29" s="35">
        <v>165987</v>
      </c>
      <c r="O29" s="35">
        <v>185727</v>
      </c>
      <c r="P29" s="35">
        <v>229623</v>
      </c>
      <c r="Q29" s="35">
        <v>276054</v>
      </c>
      <c r="R29" s="35">
        <v>366021</v>
      </c>
    </row>
    <row r="30" spans="2:18" x14ac:dyDescent="0.25">
      <c r="B30" s="1" t="s">
        <v>642</v>
      </c>
      <c r="D30" s="1">
        <v>279</v>
      </c>
      <c r="E30" s="1">
        <v>365</v>
      </c>
      <c r="F30" s="1">
        <v>239</v>
      </c>
      <c r="G30" s="1">
        <v>114</v>
      </c>
      <c r="H30" s="1">
        <v>7</v>
      </c>
      <c r="I30" s="1">
        <v>0</v>
      </c>
      <c r="J30" s="1">
        <v>0</v>
      </c>
      <c r="K30" s="1">
        <v>0</v>
      </c>
      <c r="L30" s="1">
        <v>800</v>
      </c>
      <c r="M30" s="33">
        <v>1023</v>
      </c>
      <c r="N30" s="33">
        <v>1127</v>
      </c>
      <c r="O30" s="33">
        <v>1367</v>
      </c>
      <c r="P30" s="1">
        <v>0</v>
      </c>
      <c r="Q30" s="33">
        <v>1942</v>
      </c>
      <c r="R30" s="33">
        <v>2213</v>
      </c>
    </row>
    <row r="31" spans="2:18" x14ac:dyDescent="0.25">
      <c r="B31" s="1" t="s">
        <v>643</v>
      </c>
      <c r="D31" s="1">
        <v>63</v>
      </c>
      <c r="E31" s="1">
        <v>234</v>
      </c>
      <c r="F31" s="1">
        <v>268</v>
      </c>
      <c r="G31" s="1">
        <v>378</v>
      </c>
      <c r="H31" s="1">
        <v>413</v>
      </c>
      <c r="I31" s="1">
        <v>582</v>
      </c>
      <c r="J31" s="1">
        <v>770</v>
      </c>
      <c r="K31" s="33">
        <v>1361</v>
      </c>
      <c r="L31" s="33">
        <v>2249</v>
      </c>
      <c r="M31" s="33">
        <v>2424</v>
      </c>
      <c r="N31" s="33">
        <v>5135</v>
      </c>
      <c r="O31" s="33">
        <v>6107</v>
      </c>
      <c r="P31" s="33">
        <v>5712</v>
      </c>
      <c r="Q31" s="33">
        <v>7687</v>
      </c>
      <c r="R31" s="33">
        <v>8894</v>
      </c>
    </row>
    <row r="32" spans="2:18" x14ac:dyDescent="0.25">
      <c r="B32" s="1" t="s">
        <v>644</v>
      </c>
      <c r="D32" s="1">
        <v>90</v>
      </c>
      <c r="E32" s="1">
        <v>30</v>
      </c>
      <c r="F32" s="1">
        <v>38</v>
      </c>
      <c r="G32" s="1">
        <v>66</v>
      </c>
      <c r="H32" s="1">
        <v>56</v>
      </c>
      <c r="I32" s="1">
        <v>90</v>
      </c>
      <c r="J32" s="1">
        <v>98</v>
      </c>
      <c r="K32" s="1">
        <v>147</v>
      </c>
      <c r="L32" s="1">
        <v>269</v>
      </c>
      <c r="M32" s="1">
        <v>382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</row>
    <row r="33" spans="2:18" x14ac:dyDescent="0.25">
      <c r="B33" s="1" t="s">
        <v>645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</row>
    <row r="34" spans="2:18" x14ac:dyDescent="0.25">
      <c r="B34" s="34" t="s">
        <v>641</v>
      </c>
      <c r="C34" s="34"/>
      <c r="D34" s="34">
        <v>899</v>
      </c>
      <c r="E34" s="35">
        <v>1052</v>
      </c>
      <c r="F34" s="35">
        <v>1100</v>
      </c>
      <c r="G34" s="35">
        <v>1424</v>
      </c>
      <c r="H34" s="35">
        <v>1925</v>
      </c>
      <c r="I34" s="35">
        <v>2875</v>
      </c>
      <c r="J34" s="35">
        <v>3760</v>
      </c>
      <c r="K34" s="35">
        <v>7017</v>
      </c>
      <c r="L34" s="35">
        <v>15053</v>
      </c>
      <c r="M34" s="35">
        <v>14981</v>
      </c>
      <c r="N34" s="35">
        <v>21135</v>
      </c>
      <c r="O34" s="35">
        <v>27026</v>
      </c>
      <c r="P34" s="35">
        <v>31960</v>
      </c>
      <c r="Q34" s="35">
        <v>33596</v>
      </c>
      <c r="R34" s="35">
        <v>41836</v>
      </c>
    </row>
    <row r="35" spans="2:18" x14ac:dyDescent="0.25">
      <c r="B35" s="1" t="s">
        <v>646</v>
      </c>
      <c r="D35" s="1">
        <v>0</v>
      </c>
      <c r="E35" s="33">
        <v>1500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33">
        <v>9923</v>
      </c>
      <c r="P35" s="33">
        <v>18385</v>
      </c>
      <c r="Q35" s="33">
        <v>28826</v>
      </c>
      <c r="R35" s="33">
        <v>58744</v>
      </c>
    </row>
    <row r="36" spans="2:18" x14ac:dyDescent="0.25">
      <c r="B36" s="1" t="s">
        <v>647</v>
      </c>
      <c r="D36" s="1">
        <v>0</v>
      </c>
      <c r="E36" s="1">
        <v>0</v>
      </c>
      <c r="F36" s="1">
        <v>0</v>
      </c>
      <c r="G36" s="33">
        <v>2327</v>
      </c>
      <c r="H36" s="33">
        <v>3157</v>
      </c>
      <c r="I36" s="33">
        <v>2892</v>
      </c>
      <c r="J36" s="33">
        <v>6417</v>
      </c>
      <c r="K36" s="33">
        <v>6190</v>
      </c>
      <c r="L36" s="33">
        <v>7745</v>
      </c>
      <c r="M36" s="33">
        <v>6414</v>
      </c>
      <c r="N36" s="33">
        <v>7227</v>
      </c>
      <c r="O36" s="33">
        <v>7764</v>
      </c>
      <c r="P36" s="1">
        <v>0</v>
      </c>
      <c r="Q36" s="33">
        <v>2716</v>
      </c>
      <c r="R36" s="33">
        <v>4253</v>
      </c>
    </row>
    <row r="37" spans="2:18" x14ac:dyDescent="0.25">
      <c r="B37" s="34" t="s">
        <v>640</v>
      </c>
      <c r="C37" s="35"/>
      <c r="D37" s="35">
        <v>1432</v>
      </c>
      <c r="E37" s="35">
        <v>3348</v>
      </c>
      <c r="F37" s="35">
        <v>2425</v>
      </c>
      <c r="G37" s="35">
        <v>3870</v>
      </c>
      <c r="H37" s="35">
        <v>5189</v>
      </c>
      <c r="I37" s="35">
        <v>5767</v>
      </c>
      <c r="J37" s="35">
        <v>10177</v>
      </c>
      <c r="K37" s="35">
        <v>13207</v>
      </c>
      <c r="L37" s="35">
        <v>32322</v>
      </c>
      <c r="M37" s="35">
        <v>31026</v>
      </c>
      <c r="N37" s="35">
        <v>41108</v>
      </c>
      <c r="O37" s="35">
        <v>60014</v>
      </c>
      <c r="P37" s="35">
        <v>76455</v>
      </c>
      <c r="Q37" s="35">
        <v>93417</v>
      </c>
      <c r="R37" s="35">
        <v>148778</v>
      </c>
    </row>
    <row r="38" spans="2:18" x14ac:dyDescent="0.25">
      <c r="B38" s="1" t="s">
        <v>660</v>
      </c>
      <c r="C38" s="33"/>
      <c r="D38" s="33">
        <v>4899</v>
      </c>
      <c r="E38" s="33">
        <v>11755</v>
      </c>
      <c r="F38" s="33">
        <v>15470</v>
      </c>
      <c r="G38" s="33">
        <v>36096</v>
      </c>
      <c r="H38" s="33">
        <v>44218</v>
      </c>
      <c r="I38" s="33">
        <v>59194</v>
      </c>
      <c r="J38" s="33">
        <v>74347</v>
      </c>
      <c r="K38" s="33">
        <v>84127</v>
      </c>
      <c r="L38" s="33">
        <v>101054</v>
      </c>
      <c r="M38" s="33">
        <v>128290</v>
      </c>
      <c r="N38" s="33">
        <v>124879</v>
      </c>
      <c r="O38" s="33">
        <v>125713</v>
      </c>
      <c r="P38" s="33">
        <v>153168</v>
      </c>
      <c r="Q38" s="33">
        <v>182637</v>
      </c>
      <c r="R38" s="33">
        <v>217243</v>
      </c>
    </row>
    <row r="39" spans="2:18" x14ac:dyDescent="0.25">
      <c r="B39" s="34" t="s">
        <v>661</v>
      </c>
      <c r="C39" s="35"/>
      <c r="D39" s="35">
        <f t="shared" ref="D39:R39" si="1">SUM(D38+D37)</f>
        <v>6331</v>
      </c>
      <c r="E39" s="35">
        <f t="shared" si="1"/>
        <v>15103</v>
      </c>
      <c r="F39" s="35">
        <f t="shared" si="1"/>
        <v>17895</v>
      </c>
      <c r="G39" s="35">
        <f t="shared" si="1"/>
        <v>39966</v>
      </c>
      <c r="H39" s="35">
        <f t="shared" si="1"/>
        <v>49407</v>
      </c>
      <c r="I39" s="35">
        <f t="shared" si="1"/>
        <v>64961</v>
      </c>
      <c r="J39" s="35">
        <f t="shared" si="1"/>
        <v>84524</v>
      </c>
      <c r="K39" s="35">
        <f t="shared" si="1"/>
        <v>97334</v>
      </c>
      <c r="L39" s="35">
        <f t="shared" si="1"/>
        <v>133376</v>
      </c>
      <c r="M39" s="35">
        <f t="shared" si="1"/>
        <v>159316</v>
      </c>
      <c r="N39" s="35">
        <f t="shared" si="1"/>
        <v>165987</v>
      </c>
      <c r="O39" s="35">
        <f t="shared" si="1"/>
        <v>185727</v>
      </c>
      <c r="P39" s="35">
        <f t="shared" si="1"/>
        <v>229623</v>
      </c>
      <c r="Q39" s="35">
        <f t="shared" si="1"/>
        <v>276054</v>
      </c>
      <c r="R39" s="35">
        <f t="shared" si="1"/>
        <v>366021</v>
      </c>
    </row>
    <row r="42" spans="2:18" x14ac:dyDescent="0.25">
      <c r="B42" s="1" t="s">
        <v>671</v>
      </c>
      <c r="R42" s="40">
        <v>8.6999999999999994E-2</v>
      </c>
    </row>
    <row r="43" spans="2:18" x14ac:dyDescent="0.25">
      <c r="B43" s="1" t="s">
        <v>699</v>
      </c>
      <c r="R43" s="40">
        <f>HARMEAN(C16:R16)</f>
        <v>0.22309032489793987</v>
      </c>
    </row>
    <row r="44" spans="2:18" x14ac:dyDescent="0.25">
      <c r="B44" s="1" t="s">
        <v>677</v>
      </c>
      <c r="D44" s="33">
        <f>D9*(1-$R$43)</f>
        <v>1364.2533894792175</v>
      </c>
      <c r="E44" s="33">
        <f t="shared" ref="E44:R44" si="2">E9*(1-$R$43)</f>
        <v>417.97740520490834</v>
      </c>
      <c r="F44" s="33">
        <f t="shared" si="2"/>
        <v>2178.4547289861766</v>
      </c>
      <c r="G44" s="33">
        <f t="shared" si="2"/>
        <v>3879.886917459688</v>
      </c>
      <c r="H44" s="33">
        <f t="shared" si="2"/>
        <v>4836.2627275103241</v>
      </c>
      <c r="I44" s="33">
        <f t="shared" si="2"/>
        <v>9654.6565324933017</v>
      </c>
      <c r="J44" s="33">
        <f t="shared" si="2"/>
        <v>15695.906166086921</v>
      </c>
      <c r="K44" s="33">
        <f t="shared" si="2"/>
        <v>19355.150735817624</v>
      </c>
      <c r="L44" s="33">
        <f t="shared" si="2"/>
        <v>18634.955466998013</v>
      </c>
      <c r="M44" s="33">
        <f t="shared" si="2"/>
        <v>25382.415995259405</v>
      </c>
      <c r="N44" s="33">
        <f t="shared" si="2"/>
        <v>36322.858040046616</v>
      </c>
      <c r="O44" s="33">
        <f t="shared" si="2"/>
        <v>22486.873636154029</v>
      </c>
      <c r="P44" s="33">
        <f t="shared" si="2"/>
        <v>36321.304220696409</v>
      </c>
      <c r="Q44" s="33">
        <f t="shared" si="2"/>
        <v>53901.993258580929</v>
      </c>
      <c r="R44" s="33">
        <f t="shared" si="2"/>
        <v>64697.930103799161</v>
      </c>
    </row>
    <row r="45" spans="2:18" x14ac:dyDescent="0.25">
      <c r="B45" s="1" t="s">
        <v>697</v>
      </c>
      <c r="D45" s="33">
        <f>D30+D35+D38</f>
        <v>5178</v>
      </c>
      <c r="E45" s="33">
        <f t="shared" ref="E45:R45" si="3">E30+E35+E38</f>
        <v>13620</v>
      </c>
      <c r="F45" s="33">
        <f t="shared" si="3"/>
        <v>15709</v>
      </c>
      <c r="G45" s="33">
        <f t="shared" si="3"/>
        <v>36210</v>
      </c>
      <c r="H45" s="33">
        <f t="shared" si="3"/>
        <v>44225</v>
      </c>
      <c r="I45" s="33">
        <f t="shared" si="3"/>
        <v>59194</v>
      </c>
      <c r="J45" s="33">
        <f t="shared" si="3"/>
        <v>74347</v>
      </c>
      <c r="K45" s="33">
        <f t="shared" si="3"/>
        <v>84127</v>
      </c>
      <c r="L45" s="33">
        <f t="shared" si="3"/>
        <v>101854</v>
      </c>
      <c r="M45" s="33">
        <f t="shared" si="3"/>
        <v>129313</v>
      </c>
      <c r="N45" s="33">
        <f t="shared" si="3"/>
        <v>126006</v>
      </c>
      <c r="O45" s="33">
        <f t="shared" si="3"/>
        <v>137003</v>
      </c>
      <c r="P45" s="33">
        <f t="shared" si="3"/>
        <v>171553</v>
      </c>
      <c r="Q45" s="33">
        <f t="shared" si="3"/>
        <v>213405</v>
      </c>
      <c r="R45" s="33">
        <f t="shared" si="3"/>
        <v>278200</v>
      </c>
    </row>
    <row r="46" spans="2:18" x14ac:dyDescent="0.25">
      <c r="B46" s="34" t="s">
        <v>678</v>
      </c>
      <c r="D46" s="33">
        <f>D44-D45*$R$42</f>
        <v>913.76738947921751</v>
      </c>
      <c r="E46" s="33">
        <f t="shared" ref="E46:R46" si="4">E44-E45*$R$42</f>
        <v>-766.96259479509149</v>
      </c>
      <c r="F46" s="33">
        <f t="shared" si="4"/>
        <v>811.77172898617664</v>
      </c>
      <c r="G46" s="33">
        <f t="shared" si="4"/>
        <v>729.61691745968801</v>
      </c>
      <c r="H46" s="33">
        <f t="shared" si="4"/>
        <v>988.68772751032429</v>
      </c>
      <c r="I46" s="33">
        <f t="shared" si="4"/>
        <v>4504.778532493302</v>
      </c>
      <c r="J46" s="33">
        <f t="shared" si="4"/>
        <v>9227.7171660869208</v>
      </c>
      <c r="K46" s="33">
        <f t="shared" si="4"/>
        <v>12036.101735817625</v>
      </c>
      <c r="L46" s="33">
        <f t="shared" si="4"/>
        <v>9773.6574669980146</v>
      </c>
      <c r="M46" s="33">
        <f t="shared" si="4"/>
        <v>14132.184995259406</v>
      </c>
      <c r="N46" s="33">
        <f t="shared" si="4"/>
        <v>25360.336040046619</v>
      </c>
      <c r="O46" s="33">
        <f t="shared" si="4"/>
        <v>10567.61263615403</v>
      </c>
      <c r="P46" s="33">
        <f t="shared" si="4"/>
        <v>21396.193220696412</v>
      </c>
      <c r="Q46" s="33">
        <f t="shared" si="4"/>
        <v>35335.758258580929</v>
      </c>
      <c r="R46" s="33">
        <f t="shared" si="4"/>
        <v>40494.530103799159</v>
      </c>
    </row>
    <row r="48" spans="2:18" x14ac:dyDescent="0.25">
      <c r="B48" s="1" t="s">
        <v>548</v>
      </c>
      <c r="D48" s="47">
        <f>D44/D45</f>
        <v>0.26347110650429073</v>
      </c>
      <c r="E48" s="47">
        <f t="shared" ref="E48:R48" si="5">E44/E45</f>
        <v>3.0688502584795031E-2</v>
      </c>
      <c r="F48" s="47">
        <f t="shared" si="5"/>
        <v>0.13867558272239969</v>
      </c>
      <c r="G48" s="47">
        <f t="shared" si="5"/>
        <v>0.10714959727864369</v>
      </c>
      <c r="H48" s="47">
        <f t="shared" si="5"/>
        <v>0.1093558559075257</v>
      </c>
      <c r="I48" s="47">
        <f t="shared" si="5"/>
        <v>0.16310194500275876</v>
      </c>
      <c r="J48" s="47">
        <f t="shared" si="5"/>
        <v>0.21111687312315119</v>
      </c>
      <c r="K48" s="47">
        <f t="shared" si="5"/>
        <v>0.23007061628035735</v>
      </c>
      <c r="L48" s="47">
        <f t="shared" si="5"/>
        <v>0.18295752220823938</v>
      </c>
      <c r="M48" s="47">
        <f t="shared" si="5"/>
        <v>0.19628665327739211</v>
      </c>
      <c r="N48" s="47">
        <f t="shared" si="5"/>
        <v>0.28826292430556177</v>
      </c>
      <c r="O48" s="47">
        <f t="shared" si="5"/>
        <v>0.16413416958865154</v>
      </c>
      <c r="P48" s="47">
        <f t="shared" si="5"/>
        <v>0.21172060075135035</v>
      </c>
      <c r="Q48" s="47">
        <f t="shared" si="5"/>
        <v>0.2525807420565635</v>
      </c>
      <c r="R48" s="47">
        <f t="shared" si="5"/>
        <v>0.232559058604598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6812-8512-476C-879D-EDEA8AB18E52}">
  <dimension ref="B1:T47"/>
  <sheetViews>
    <sheetView zoomScale="81" workbookViewId="0">
      <pane xSplit="2" ySplit="2" topLeftCell="D28" activePane="bottomRight" state="frozen"/>
      <selection pane="topRight" activeCell="C1" sqref="C1"/>
      <selection pane="bottomLeft" activeCell="A3" sqref="A3"/>
      <selection pane="bottomRight" activeCell="D54" sqref="D54"/>
    </sheetView>
  </sheetViews>
  <sheetFormatPr defaultRowHeight="13.2" x14ac:dyDescent="0.25"/>
  <cols>
    <col min="1" max="1" width="8.88671875" style="1"/>
    <col min="2" max="2" width="44.109375" style="1" bestFit="1" customWidth="1"/>
    <col min="3" max="3" width="10.5546875" style="33" bestFit="1" customWidth="1"/>
    <col min="4" max="20" width="8.88671875" style="33"/>
    <col min="21" max="16384" width="8.88671875" style="1"/>
  </cols>
  <sheetData>
    <row r="1" spans="2:20" x14ac:dyDescent="0.25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0" x14ac:dyDescent="0.25">
      <c r="B2" s="32" t="s">
        <v>681</v>
      </c>
      <c r="C2" s="50">
        <v>39813</v>
      </c>
      <c r="D2" s="50">
        <v>40178</v>
      </c>
      <c r="E2" s="50">
        <v>40543</v>
      </c>
      <c r="F2" s="50">
        <v>40908</v>
      </c>
      <c r="G2" s="50">
        <v>41274</v>
      </c>
      <c r="H2" s="50">
        <v>41639</v>
      </c>
      <c r="I2" s="50">
        <v>42004</v>
      </c>
      <c r="J2" s="50">
        <v>42369</v>
      </c>
      <c r="K2" s="50">
        <v>42735</v>
      </c>
      <c r="L2" s="50">
        <v>43100</v>
      </c>
      <c r="M2" s="50">
        <v>43465</v>
      </c>
      <c r="N2" s="50">
        <v>43830</v>
      </c>
      <c r="O2" s="50">
        <v>44196</v>
      </c>
      <c r="P2" s="50">
        <v>44561</v>
      </c>
      <c r="Q2" s="50">
        <v>44926</v>
      </c>
      <c r="R2" s="50">
        <v>45291</v>
      </c>
      <c r="S2" s="50">
        <v>45657</v>
      </c>
      <c r="T2" s="50">
        <v>46022</v>
      </c>
    </row>
    <row r="3" spans="2:20" x14ac:dyDescent="0.25">
      <c r="B3" s="1" t="s">
        <v>531</v>
      </c>
      <c r="C3" s="33">
        <v>748.7</v>
      </c>
      <c r="D3" s="33">
        <v>1076.8</v>
      </c>
      <c r="E3" s="33">
        <v>1305.5999999999999</v>
      </c>
      <c r="F3" s="33">
        <v>1657.1</v>
      </c>
      <c r="G3" s="33">
        <v>2266.5</v>
      </c>
      <c r="H3" s="33">
        <v>3231.6</v>
      </c>
      <c r="I3" s="33">
        <v>4071</v>
      </c>
      <c r="J3" s="33">
        <v>5373.6</v>
      </c>
      <c r="K3" s="33">
        <v>6667.2</v>
      </c>
      <c r="L3" s="33">
        <v>8437</v>
      </c>
      <c r="M3" s="33">
        <v>10540</v>
      </c>
      <c r="N3" s="33">
        <v>13282</v>
      </c>
      <c r="O3" s="33">
        <v>17098</v>
      </c>
      <c r="P3" s="33">
        <v>21252</v>
      </c>
      <c r="Q3" s="33">
        <v>26492</v>
      </c>
      <c r="R3" s="33">
        <v>31352</v>
      </c>
      <c r="S3" s="33">
        <v>34857</v>
      </c>
      <c r="T3" s="33">
        <v>41525</v>
      </c>
    </row>
    <row r="4" spans="2:20" x14ac:dyDescent="0.25">
      <c r="B4" s="1" t="s">
        <v>534</v>
      </c>
      <c r="C4" s="33">
        <v>171.6</v>
      </c>
      <c r="D4" s="33">
        <v>220.5</v>
      </c>
      <c r="E4" s="33">
        <v>257.89999999999998</v>
      </c>
      <c r="F4" s="33">
        <v>323.8</v>
      </c>
      <c r="G4" s="33">
        <v>488.9</v>
      </c>
      <c r="H4" s="33">
        <v>873</v>
      </c>
      <c r="I4" s="33">
        <v>968.4</v>
      </c>
      <c r="J4" s="33">
        <v>1289.3</v>
      </c>
      <c r="K4" s="33">
        <v>1654.5</v>
      </c>
      <c r="L4" s="33">
        <v>2234</v>
      </c>
      <c r="M4" s="33">
        <v>2773</v>
      </c>
      <c r="N4" s="33">
        <v>3451</v>
      </c>
      <c r="O4" s="33">
        <v>4235</v>
      </c>
      <c r="P4" s="33">
        <v>5438</v>
      </c>
      <c r="Q4" s="33">
        <v>7026</v>
      </c>
      <c r="R4" s="33">
        <v>8360</v>
      </c>
      <c r="S4" s="33">
        <v>8541</v>
      </c>
      <c r="T4" s="33">
        <v>9270</v>
      </c>
    </row>
    <row r="5" spans="2:20" s="34" customFormat="1" x14ac:dyDescent="0.25">
      <c r="B5" s="34" t="s">
        <v>535</v>
      </c>
      <c r="C5" s="35">
        <v>577.1</v>
      </c>
      <c r="D5" s="35">
        <v>856.3</v>
      </c>
      <c r="E5" s="35">
        <v>1047.7</v>
      </c>
      <c r="F5" s="35">
        <v>1333.3</v>
      </c>
      <c r="G5" s="35">
        <v>1777.7</v>
      </c>
      <c r="H5" s="35">
        <v>2366.6</v>
      </c>
      <c r="I5" s="35">
        <v>3102.6</v>
      </c>
      <c r="J5" s="35">
        <v>4084.3</v>
      </c>
      <c r="K5" s="35">
        <v>5012.7</v>
      </c>
      <c r="L5" s="35">
        <v>6203</v>
      </c>
      <c r="M5" s="35">
        <v>7767</v>
      </c>
      <c r="N5" s="35">
        <v>9831</v>
      </c>
      <c r="O5" s="35">
        <v>12863</v>
      </c>
      <c r="P5" s="35">
        <v>15814</v>
      </c>
      <c r="Q5" s="35">
        <v>19466</v>
      </c>
      <c r="R5" s="35">
        <v>22992</v>
      </c>
      <c r="S5" s="35">
        <v>26316</v>
      </c>
      <c r="T5" s="35">
        <v>32255</v>
      </c>
    </row>
    <row r="6" spans="2:20" x14ac:dyDescent="0.25">
      <c r="B6" s="1" t="s">
        <v>624</v>
      </c>
      <c r="C6" s="33">
        <v>116.5</v>
      </c>
      <c r="D6" s="33">
        <v>158.6</v>
      </c>
      <c r="E6" s="33">
        <v>195.3</v>
      </c>
      <c r="F6" s="33">
        <v>255.9</v>
      </c>
      <c r="G6" s="33">
        <v>347.8</v>
      </c>
      <c r="H6" s="33">
        <v>433.8</v>
      </c>
      <c r="I6" s="33">
        <v>596.70000000000005</v>
      </c>
      <c r="J6" s="33">
        <v>679.9</v>
      </c>
      <c r="K6" s="33">
        <v>748.2</v>
      </c>
      <c r="L6" s="33">
        <v>966</v>
      </c>
      <c r="M6" s="33">
        <v>1089</v>
      </c>
      <c r="N6" s="33">
        <v>1346</v>
      </c>
      <c r="O6" s="33">
        <v>1704</v>
      </c>
      <c r="P6" s="33">
        <v>2087</v>
      </c>
      <c r="Q6" s="33">
        <v>2598</v>
      </c>
      <c r="R6" s="33">
        <v>2553</v>
      </c>
      <c r="S6" s="33">
        <v>2534</v>
      </c>
      <c r="T6" s="33">
        <v>3000</v>
      </c>
    </row>
    <row r="7" spans="2:20" x14ac:dyDescent="0.25">
      <c r="B7" s="1" t="s">
        <v>625</v>
      </c>
      <c r="C7" s="33">
        <v>63.8</v>
      </c>
      <c r="D7" s="33">
        <v>99.5</v>
      </c>
      <c r="E7" s="33">
        <v>131.9</v>
      </c>
      <c r="F7" s="33">
        <v>187.9</v>
      </c>
      <c r="G7" s="33">
        <v>295.3</v>
      </c>
      <c r="H7" s="33">
        <v>429.5</v>
      </c>
      <c r="I7" s="33">
        <v>623.79999999999995</v>
      </c>
      <c r="J7" s="33">
        <v>792.9</v>
      </c>
      <c r="K7" s="33">
        <v>946.3</v>
      </c>
      <c r="L7" s="33">
        <v>1208</v>
      </c>
      <c r="M7" s="33">
        <v>1553</v>
      </c>
      <c r="N7" s="33">
        <v>1886</v>
      </c>
      <c r="O7" s="33">
        <v>2766</v>
      </c>
      <c r="P7" s="33">
        <v>3598</v>
      </c>
      <c r="Q7" s="33">
        <v>4465</v>
      </c>
      <c r="R7" s="33">
        <v>5055</v>
      </c>
      <c r="S7" s="33">
        <v>4906</v>
      </c>
      <c r="T7" s="33">
        <v>5993</v>
      </c>
    </row>
    <row r="8" spans="2:20" s="34" customFormat="1" x14ac:dyDescent="0.25">
      <c r="B8" s="34" t="s">
        <v>539</v>
      </c>
      <c r="C8" s="35">
        <v>556.79999999999995</v>
      </c>
      <c r="D8" s="35">
        <v>792.6</v>
      </c>
      <c r="E8" s="35">
        <v>932.4</v>
      </c>
      <c r="F8" s="35">
        <v>1235.8</v>
      </c>
      <c r="G8" s="35">
        <v>1812.7</v>
      </c>
      <c r="H8" s="35">
        <v>2477.3000000000002</v>
      </c>
      <c r="I8" s="35">
        <v>3388.6</v>
      </c>
      <c r="J8" s="35">
        <v>4229.8999999999996</v>
      </c>
      <c r="K8" s="35">
        <v>4897.7</v>
      </c>
      <c r="L8" s="35">
        <v>5985</v>
      </c>
      <c r="M8" s="35">
        <v>7313</v>
      </c>
      <c r="N8" s="35">
        <v>9296</v>
      </c>
      <c r="O8" s="35">
        <v>12566</v>
      </c>
      <c r="P8" s="35">
        <v>15359</v>
      </c>
      <c r="Q8" s="35">
        <v>18918</v>
      </c>
      <c r="R8" s="35">
        <v>21962</v>
      </c>
      <c r="S8" s="35">
        <v>21305</v>
      </c>
      <c r="T8" s="35">
        <v>23924</v>
      </c>
    </row>
    <row r="9" spans="2:20" s="34" customFormat="1" x14ac:dyDescent="0.25">
      <c r="B9" s="34" t="s">
        <v>540</v>
      </c>
      <c r="C9" s="35">
        <v>20.3</v>
      </c>
      <c r="D9" s="35">
        <v>63.7</v>
      </c>
      <c r="E9" s="35">
        <v>115.3</v>
      </c>
      <c r="F9" s="35">
        <v>97.5</v>
      </c>
      <c r="G9" s="35">
        <v>-35.1</v>
      </c>
      <c r="H9" s="35">
        <v>-110.7</v>
      </c>
      <c r="I9" s="35">
        <v>-286.10000000000002</v>
      </c>
      <c r="J9" s="35">
        <v>-145.6</v>
      </c>
      <c r="K9" s="35">
        <v>114.9</v>
      </c>
      <c r="L9" s="35">
        <v>218</v>
      </c>
      <c r="M9" s="35">
        <v>454</v>
      </c>
      <c r="N9" s="35">
        <v>535</v>
      </c>
      <c r="O9" s="35">
        <v>297</v>
      </c>
      <c r="P9" s="35">
        <v>455</v>
      </c>
      <c r="Q9" s="35">
        <v>548</v>
      </c>
      <c r="R9" s="35">
        <v>1030</v>
      </c>
      <c r="S9" s="35">
        <v>5011</v>
      </c>
      <c r="T9" s="35">
        <v>8331</v>
      </c>
    </row>
    <row r="10" spans="2:20" x14ac:dyDescent="0.25">
      <c r="B10" s="1" t="s">
        <v>626</v>
      </c>
      <c r="C10" s="33">
        <v>25.9</v>
      </c>
      <c r="D10" s="33">
        <v>21.8</v>
      </c>
      <c r="E10" s="33">
        <v>27.1</v>
      </c>
      <c r="F10" s="33">
        <v>6.8</v>
      </c>
      <c r="G10" s="33">
        <v>1.8</v>
      </c>
      <c r="H10" s="33">
        <v>-17.100000000000001</v>
      </c>
      <c r="I10" s="33">
        <v>-71.900000000000006</v>
      </c>
      <c r="J10" s="33">
        <v>-67.5</v>
      </c>
      <c r="K10" s="33">
        <v>-50.6</v>
      </c>
      <c r="L10" s="33">
        <v>-39</v>
      </c>
      <c r="M10" s="33">
        <v>-34</v>
      </c>
      <c r="N10" s="33">
        <v>448</v>
      </c>
      <c r="O10" s="33">
        <v>409</v>
      </c>
      <c r="P10" s="33">
        <v>2106</v>
      </c>
      <c r="Q10" s="33">
        <v>984</v>
      </c>
      <c r="R10" s="33">
        <v>-370</v>
      </c>
      <c r="S10" s="33">
        <v>-61</v>
      </c>
      <c r="T10" s="33">
        <v>1189</v>
      </c>
    </row>
    <row r="11" spans="2:20" s="34" customFormat="1" x14ac:dyDescent="0.25">
      <c r="B11" s="34" t="s">
        <v>627</v>
      </c>
      <c r="C11" s="35">
        <v>46.2</v>
      </c>
      <c r="D11" s="35">
        <v>85.6</v>
      </c>
      <c r="E11" s="35">
        <v>142.4</v>
      </c>
      <c r="F11" s="35">
        <v>104.3</v>
      </c>
      <c r="G11" s="35">
        <v>-33.299999999999997</v>
      </c>
      <c r="H11" s="35">
        <v>-127.8</v>
      </c>
      <c r="I11" s="35">
        <v>-357.9</v>
      </c>
      <c r="J11" s="35">
        <v>-213.1</v>
      </c>
      <c r="K11" s="35">
        <v>64.3</v>
      </c>
      <c r="L11" s="35">
        <v>179</v>
      </c>
      <c r="M11" s="35">
        <v>420</v>
      </c>
      <c r="N11" s="35">
        <v>983</v>
      </c>
      <c r="O11" s="35">
        <v>706</v>
      </c>
      <c r="P11" s="35">
        <v>2561</v>
      </c>
      <c r="Q11" s="35">
        <v>1532</v>
      </c>
      <c r="R11" s="35">
        <v>660</v>
      </c>
      <c r="S11" s="35">
        <v>4950</v>
      </c>
      <c r="T11" s="35">
        <v>9520</v>
      </c>
    </row>
    <row r="12" spans="2:20" x14ac:dyDescent="0.25">
      <c r="B12" s="1" t="s">
        <v>628</v>
      </c>
      <c r="C12" s="33">
        <v>23.4</v>
      </c>
      <c r="D12" s="33">
        <v>37.6</v>
      </c>
      <c r="E12" s="33">
        <v>57.7</v>
      </c>
      <c r="F12" s="33">
        <v>34.6</v>
      </c>
      <c r="G12" s="33">
        <v>-21.7</v>
      </c>
      <c r="H12" s="33">
        <v>142.69999999999999</v>
      </c>
      <c r="I12" s="33">
        <v>-125.8</v>
      </c>
      <c r="J12" s="33">
        <v>49.6</v>
      </c>
      <c r="K12" s="33">
        <v>111.7</v>
      </c>
      <c r="L12" s="33">
        <v>-144</v>
      </c>
      <c r="M12" s="33">
        <v>60</v>
      </c>
      <c r="N12" s="33">
        <v>-127</v>
      </c>
      <c r="O12" s="33">
        <v>580</v>
      </c>
      <c r="P12" s="33">
        <v>-1511</v>
      </c>
      <c r="Q12" s="33">
        <v>88</v>
      </c>
      <c r="R12" s="33">
        <v>452</v>
      </c>
      <c r="S12" s="33">
        <v>814</v>
      </c>
      <c r="T12" s="33">
        <v>2063</v>
      </c>
    </row>
    <row r="13" spans="2:20" s="34" customFormat="1" x14ac:dyDescent="0.25">
      <c r="B13" s="34" t="s">
        <v>544</v>
      </c>
      <c r="C13" s="35">
        <v>22.8</v>
      </c>
      <c r="D13" s="35">
        <v>48</v>
      </c>
      <c r="E13" s="35">
        <v>84.7</v>
      </c>
      <c r="F13" s="35">
        <v>69.7</v>
      </c>
      <c r="G13" s="35">
        <v>-11.6</v>
      </c>
      <c r="H13" s="35">
        <v>-270.39999999999998</v>
      </c>
      <c r="I13" s="35">
        <v>-232.2</v>
      </c>
      <c r="J13" s="35">
        <v>-262.7</v>
      </c>
      <c r="K13" s="35">
        <v>-47.4</v>
      </c>
      <c r="L13" s="35">
        <v>323</v>
      </c>
      <c r="M13" s="35">
        <v>360</v>
      </c>
      <c r="N13" s="35">
        <v>1110</v>
      </c>
      <c r="O13" s="35">
        <v>126</v>
      </c>
      <c r="P13" s="35">
        <v>4072</v>
      </c>
      <c r="Q13" s="35">
        <v>1444</v>
      </c>
      <c r="R13" s="35">
        <v>208</v>
      </c>
      <c r="S13" s="35">
        <v>4136</v>
      </c>
      <c r="T13" s="35">
        <v>7457</v>
      </c>
    </row>
    <row r="15" spans="2:20" s="47" customFormat="1" x14ac:dyDescent="0.25">
      <c r="B15" s="47" t="s">
        <v>698</v>
      </c>
      <c r="C15" s="47">
        <f>C12/C11</f>
        <v>0.50649350649350644</v>
      </c>
      <c r="D15" s="47">
        <f t="shared" ref="D15:T15" si="0">D12/D11</f>
        <v>0.43925233644859818</v>
      </c>
      <c r="E15" s="47">
        <f t="shared" si="0"/>
        <v>0.40519662921348315</v>
      </c>
      <c r="F15" s="47">
        <f t="shared" si="0"/>
        <v>0.3317353787152445</v>
      </c>
      <c r="G15" s="47">
        <f t="shared" si="0"/>
        <v>0.65165165165165173</v>
      </c>
      <c r="H15" s="47">
        <f t="shared" si="0"/>
        <v>-1.1165884194053208</v>
      </c>
      <c r="I15" s="47">
        <f t="shared" si="0"/>
        <v>0.35149483095836825</v>
      </c>
      <c r="J15" s="47">
        <f t="shared" si="0"/>
        <v>-0.2327545753167527</v>
      </c>
      <c r="K15" s="47">
        <f t="shared" si="0"/>
        <v>1.7371695178849147</v>
      </c>
      <c r="L15" s="47">
        <f t="shared" si="0"/>
        <v>-0.8044692737430168</v>
      </c>
      <c r="M15" s="47">
        <f t="shared" si="0"/>
        <v>0.14285714285714285</v>
      </c>
      <c r="N15" s="47">
        <f t="shared" si="0"/>
        <v>-0.12919633774160733</v>
      </c>
      <c r="O15" s="47">
        <f t="shared" si="0"/>
        <v>0.82152974504249288</v>
      </c>
      <c r="P15" s="47">
        <f t="shared" si="0"/>
        <v>-0.59000390472471687</v>
      </c>
      <c r="Q15" s="47">
        <f t="shared" si="0"/>
        <v>5.7441253263707574E-2</v>
      </c>
      <c r="R15" s="47">
        <f t="shared" si="0"/>
        <v>0.68484848484848482</v>
      </c>
      <c r="S15" s="47">
        <f t="shared" si="0"/>
        <v>0.16444444444444445</v>
      </c>
      <c r="T15" s="47">
        <f t="shared" si="0"/>
        <v>0.21670168067226891</v>
      </c>
    </row>
    <row r="18" spans="2:20" x14ac:dyDescent="0.25">
      <c r="B18" s="1" t="s">
        <v>631</v>
      </c>
      <c r="D18" s="33">
        <v>483.8</v>
      </c>
      <c r="E18" s="33">
        <v>1011.3</v>
      </c>
      <c r="F18" s="33">
        <v>424.3</v>
      </c>
      <c r="G18" s="33">
        <v>607.29999999999995</v>
      </c>
      <c r="H18" s="33">
        <v>747.2</v>
      </c>
      <c r="I18" s="33">
        <v>781.6</v>
      </c>
      <c r="J18" s="33">
        <v>908.1</v>
      </c>
      <c r="K18" s="33">
        <v>1158.4000000000001</v>
      </c>
      <c r="L18" s="33">
        <v>1606.5</v>
      </c>
      <c r="M18" s="33">
        <v>2543</v>
      </c>
      <c r="N18" s="33">
        <v>2669</v>
      </c>
      <c r="O18" s="33">
        <v>4145</v>
      </c>
      <c r="P18" s="33">
        <v>6195</v>
      </c>
      <c r="Q18" s="33">
        <v>5464</v>
      </c>
      <c r="R18" s="33">
        <v>7016</v>
      </c>
      <c r="S18" s="33">
        <v>8472</v>
      </c>
      <c r="T18" s="33">
        <v>7327</v>
      </c>
    </row>
    <row r="19" spans="2:20" x14ac:dyDescent="0.25">
      <c r="B19" s="1" t="s">
        <v>632</v>
      </c>
      <c r="D19" s="33">
        <v>213.8</v>
      </c>
      <c r="E19" s="33">
        <v>230.7</v>
      </c>
      <c r="F19" s="33">
        <v>72.7</v>
      </c>
      <c r="G19" s="33">
        <v>170.6</v>
      </c>
      <c r="H19" s="33">
        <v>120.4</v>
      </c>
      <c r="I19" s="33">
        <v>57.1</v>
      </c>
      <c r="J19" s="33">
        <v>87.3</v>
      </c>
      <c r="K19" s="33">
        <v>1567</v>
      </c>
      <c r="L19" s="33">
        <v>602.29999999999995</v>
      </c>
      <c r="M19" s="33">
        <v>1978</v>
      </c>
      <c r="N19" s="33">
        <v>1673</v>
      </c>
      <c r="O19" s="33">
        <v>3802</v>
      </c>
      <c r="P19" s="33">
        <v>5771</v>
      </c>
      <c r="Q19" s="33">
        <v>5073</v>
      </c>
      <c r="R19" s="33">
        <v>5492</v>
      </c>
      <c r="S19" s="33">
        <v>5722</v>
      </c>
      <c r="T19" s="33">
        <v>2238</v>
      </c>
    </row>
    <row r="20" spans="2:20" x14ac:dyDescent="0.25">
      <c r="B20" s="1" t="s">
        <v>633</v>
      </c>
      <c r="D20" s="33">
        <v>266.60000000000002</v>
      </c>
      <c r="E20" s="33">
        <v>321</v>
      </c>
      <c r="F20" s="33">
        <v>426.9</v>
      </c>
      <c r="G20" s="33">
        <v>683.7</v>
      </c>
      <c r="H20" s="33">
        <v>872.6</v>
      </c>
      <c r="I20" s="33">
        <v>1360.8</v>
      </c>
      <c r="J20" s="33">
        <v>1905.5</v>
      </c>
      <c r="K20" s="33">
        <v>2496.1999999999998</v>
      </c>
      <c r="L20" s="33">
        <v>3196.6</v>
      </c>
      <c r="M20" s="33">
        <v>3921</v>
      </c>
      <c r="N20" s="33">
        <v>4924</v>
      </c>
      <c r="O20" s="33">
        <v>6174</v>
      </c>
      <c r="P20" s="33">
        <v>7786</v>
      </c>
      <c r="Q20" s="33">
        <v>9739</v>
      </c>
      <c r="R20" s="33">
        <v>10755</v>
      </c>
      <c r="S20" s="33">
        <v>11414</v>
      </c>
      <c r="T20" s="33">
        <v>14339</v>
      </c>
    </row>
    <row r="21" spans="2:20" x14ac:dyDescent="0.25">
      <c r="B21" s="1" t="s">
        <v>634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</row>
    <row r="22" spans="2:20" x14ac:dyDescent="0.25">
      <c r="B22" s="1" t="s">
        <v>635</v>
      </c>
      <c r="D22" s="33">
        <v>39.4</v>
      </c>
      <c r="E22" s="33">
        <v>47.4</v>
      </c>
      <c r="F22" s="33">
        <v>67.8</v>
      </c>
      <c r="G22" s="33">
        <v>98.5</v>
      </c>
      <c r="H22" s="33">
        <v>142.30000000000001</v>
      </c>
      <c r="I22" s="33">
        <v>171.5</v>
      </c>
      <c r="J22" s="33">
        <v>368.6</v>
      </c>
      <c r="K22" s="33">
        <v>259.2</v>
      </c>
      <c r="L22" s="33">
        <v>311.8</v>
      </c>
      <c r="M22" s="33">
        <v>671</v>
      </c>
      <c r="N22" s="33">
        <v>788</v>
      </c>
      <c r="O22" s="33">
        <v>926</v>
      </c>
      <c r="P22" s="33">
        <v>1146</v>
      </c>
      <c r="Q22" s="33">
        <v>1454</v>
      </c>
      <c r="R22" s="33">
        <v>1776</v>
      </c>
      <c r="S22" s="33">
        <v>1905</v>
      </c>
      <c r="T22" s="33">
        <v>2075</v>
      </c>
    </row>
    <row r="23" spans="2:20" x14ac:dyDescent="0.25">
      <c r="B23" s="34" t="s">
        <v>630</v>
      </c>
      <c r="C23" s="35"/>
      <c r="D23" s="35">
        <v>1068.5999999999999</v>
      </c>
      <c r="E23" s="35">
        <v>1706.2</v>
      </c>
      <c r="F23" s="35">
        <v>1074.9000000000001</v>
      </c>
      <c r="G23" s="35">
        <v>1672.2</v>
      </c>
      <c r="H23" s="35">
        <v>2015.9</v>
      </c>
      <c r="I23" s="35">
        <v>2680.3</v>
      </c>
      <c r="J23" s="35">
        <v>3514.5</v>
      </c>
      <c r="K23" s="35">
        <v>5731.3</v>
      </c>
      <c r="L23" s="35">
        <v>5996.8</v>
      </c>
      <c r="M23" s="35">
        <v>9584</v>
      </c>
      <c r="N23" s="35">
        <v>10683</v>
      </c>
      <c r="O23" s="35">
        <v>15963</v>
      </c>
      <c r="P23" s="35">
        <v>21889</v>
      </c>
      <c r="Q23" s="35">
        <v>22850</v>
      </c>
      <c r="R23" s="35">
        <v>26395</v>
      </c>
      <c r="S23" s="35">
        <v>29074</v>
      </c>
      <c r="T23" s="35">
        <v>28222</v>
      </c>
    </row>
    <row r="24" spans="2:20" x14ac:dyDescent="0.25">
      <c r="B24" s="1" t="s">
        <v>637</v>
      </c>
      <c r="D24" s="33">
        <v>77</v>
      </c>
      <c r="E24" s="33">
        <v>89.7</v>
      </c>
      <c r="F24" s="33">
        <v>387.2</v>
      </c>
      <c r="G24" s="33">
        <v>527.9</v>
      </c>
      <c r="H24" s="33">
        <v>604.70000000000005</v>
      </c>
      <c r="I24" s="33">
        <v>1240.7</v>
      </c>
      <c r="J24" s="33">
        <v>1125.9000000000001</v>
      </c>
      <c r="K24" s="33">
        <v>1715.8</v>
      </c>
      <c r="L24" s="33">
        <v>1787.5</v>
      </c>
      <c r="M24" s="33">
        <v>1947</v>
      </c>
      <c r="N24" s="33">
        <v>2051</v>
      </c>
      <c r="O24" s="33">
        <v>2375</v>
      </c>
      <c r="P24" s="33">
        <v>2459</v>
      </c>
      <c r="Q24" s="33">
        <v>2815</v>
      </c>
      <c r="R24" s="33">
        <v>3702</v>
      </c>
      <c r="S24" s="33">
        <v>3689</v>
      </c>
      <c r="T24" s="33">
        <v>3120</v>
      </c>
    </row>
    <row r="25" spans="2:20" x14ac:dyDescent="0.25">
      <c r="B25" s="1" t="s">
        <v>638</v>
      </c>
      <c r="D25" s="33">
        <v>185</v>
      </c>
      <c r="E25" s="33">
        <v>485.1</v>
      </c>
      <c r="F25" s="33">
        <v>910.6</v>
      </c>
      <c r="G25" s="33">
        <v>669.3</v>
      </c>
      <c r="H25" s="33">
        <v>890.7</v>
      </c>
      <c r="I25" s="33">
        <v>482.2</v>
      </c>
      <c r="J25" s="33">
        <v>1185.5999999999999</v>
      </c>
      <c r="K25" s="33">
        <v>520.70000000000005</v>
      </c>
      <c r="L25" s="33">
        <v>567</v>
      </c>
      <c r="M25" s="33">
        <v>677</v>
      </c>
      <c r="N25" s="33">
        <v>1302</v>
      </c>
      <c r="O25" s="33">
        <v>1963</v>
      </c>
      <c r="P25" s="33">
        <v>3909</v>
      </c>
      <c r="Q25" s="33">
        <v>4784</v>
      </c>
      <c r="R25" s="33">
        <v>4672</v>
      </c>
      <c r="S25" s="33">
        <v>4848</v>
      </c>
      <c r="T25" s="33">
        <v>7591</v>
      </c>
    </row>
    <row r="26" spans="2:20" x14ac:dyDescent="0.25">
      <c r="B26" s="1" t="s">
        <v>639</v>
      </c>
      <c r="D26" s="33">
        <v>47.8</v>
      </c>
      <c r="E26" s="33">
        <v>67.900000000000006</v>
      </c>
      <c r="F26" s="33">
        <v>153.19999999999999</v>
      </c>
      <c r="G26" s="33">
        <v>233.3</v>
      </c>
      <c r="H26" s="33">
        <v>281</v>
      </c>
      <c r="I26" s="33">
        <v>766.9</v>
      </c>
      <c r="J26" s="33">
        <v>623</v>
      </c>
      <c r="K26" s="33">
        <v>332</v>
      </c>
      <c r="L26" s="33">
        <v>714.7</v>
      </c>
      <c r="M26" s="33">
        <v>1489</v>
      </c>
      <c r="N26" s="33">
        <v>1927</v>
      </c>
      <c r="O26" s="33">
        <v>4967</v>
      </c>
      <c r="P26" s="33">
        <v>7612</v>
      </c>
      <c r="Q26" s="33">
        <v>7845</v>
      </c>
      <c r="R26" s="33">
        <v>8387</v>
      </c>
      <c r="S26" s="33">
        <v>8314</v>
      </c>
      <c r="T26" s="33">
        <v>8616</v>
      </c>
    </row>
    <row r="27" spans="2:20" s="34" customFormat="1" x14ac:dyDescent="0.25">
      <c r="B27" s="34" t="s">
        <v>636</v>
      </c>
      <c r="C27" s="35"/>
      <c r="D27" s="35">
        <v>334.2</v>
      </c>
      <c r="E27" s="35">
        <v>664.3</v>
      </c>
      <c r="F27" s="35">
        <v>1629.1</v>
      </c>
      <c r="G27" s="35">
        <v>1964</v>
      </c>
      <c r="H27" s="35">
        <v>2908.4</v>
      </c>
      <c r="I27" s="35">
        <v>5231.8999999999996</v>
      </c>
      <c r="J27" s="35">
        <v>6024.7</v>
      </c>
      <c r="K27" s="35">
        <v>5315.8</v>
      </c>
      <c r="L27" s="35">
        <v>9800.6</v>
      </c>
      <c r="M27" s="35">
        <v>10453</v>
      </c>
      <c r="N27" s="35">
        <v>18003</v>
      </c>
      <c r="O27" s="35">
        <v>36788</v>
      </c>
      <c r="P27" s="35">
        <v>41953</v>
      </c>
      <c r="Q27" s="35">
        <v>69544</v>
      </c>
      <c r="R27" s="35">
        <v>68752</v>
      </c>
      <c r="S27" s="35">
        <v>67060</v>
      </c>
      <c r="T27" s="35">
        <v>80963</v>
      </c>
    </row>
    <row r="28" spans="2:20" s="34" customFormat="1" x14ac:dyDescent="0.25">
      <c r="B28" s="34" t="s">
        <v>629</v>
      </c>
      <c r="C28" s="35"/>
      <c r="D28" s="35">
        <v>1479.8</v>
      </c>
      <c r="E28" s="35">
        <v>2460.1999999999998</v>
      </c>
      <c r="F28" s="35">
        <v>3091.2</v>
      </c>
      <c r="G28" s="35">
        <v>4164.2</v>
      </c>
      <c r="H28" s="35">
        <v>5529</v>
      </c>
      <c r="I28" s="35">
        <v>9152.9</v>
      </c>
      <c r="J28" s="35">
        <v>10665.1</v>
      </c>
      <c r="K28" s="35">
        <v>12762.9</v>
      </c>
      <c r="L28" s="35">
        <v>17584.900000000001</v>
      </c>
      <c r="M28" s="35">
        <v>21984</v>
      </c>
      <c r="N28" s="35">
        <v>30737</v>
      </c>
      <c r="O28" s="35">
        <v>55126</v>
      </c>
      <c r="P28" s="35">
        <v>66301</v>
      </c>
      <c r="Q28" s="35">
        <v>95209</v>
      </c>
      <c r="R28" s="35">
        <v>98849</v>
      </c>
      <c r="S28" s="35">
        <v>99823</v>
      </c>
      <c r="T28" s="35">
        <v>112305</v>
      </c>
    </row>
    <row r="29" spans="2:20" s="34" customFormat="1" x14ac:dyDescent="0.25">
      <c r="B29" s="1" t="s">
        <v>642</v>
      </c>
      <c r="C29" s="33"/>
      <c r="D29" s="33">
        <v>0</v>
      </c>
      <c r="E29" s="33">
        <v>0</v>
      </c>
      <c r="F29" s="33">
        <v>0</v>
      </c>
      <c r="G29" s="33">
        <v>496.1</v>
      </c>
      <c r="H29" s="33">
        <v>521.29999999999995</v>
      </c>
      <c r="I29" s="33">
        <v>572.20000000000005</v>
      </c>
      <c r="J29" s="33">
        <v>0</v>
      </c>
      <c r="K29" s="33">
        <v>0</v>
      </c>
      <c r="L29" s="33">
        <v>0</v>
      </c>
      <c r="M29" s="33">
        <v>1025</v>
      </c>
      <c r="N29" s="33">
        <v>0</v>
      </c>
      <c r="O29" s="33">
        <v>0</v>
      </c>
      <c r="P29" s="33">
        <v>0</v>
      </c>
      <c r="Q29" s="33">
        <v>4</v>
      </c>
      <c r="R29" s="33">
        <v>1182</v>
      </c>
      <c r="S29" s="33">
        <v>999</v>
      </c>
      <c r="T29" s="33">
        <v>4000</v>
      </c>
    </row>
    <row r="30" spans="2:20" x14ac:dyDescent="0.25">
      <c r="B30" s="1" t="s">
        <v>643</v>
      </c>
      <c r="D30" s="33">
        <v>16.399999999999999</v>
      </c>
      <c r="E30" s="33">
        <v>14.8</v>
      </c>
      <c r="F30" s="33">
        <v>18.100000000000001</v>
      </c>
      <c r="G30" s="33">
        <v>512.29999999999995</v>
      </c>
      <c r="H30" s="33">
        <v>597.70000000000005</v>
      </c>
      <c r="I30" s="33">
        <v>934.3</v>
      </c>
      <c r="J30" s="33">
        <v>1103.3</v>
      </c>
      <c r="K30" s="33">
        <v>1349.3</v>
      </c>
      <c r="L30" s="33">
        <v>1752.7</v>
      </c>
      <c r="M30" s="33">
        <v>76</v>
      </c>
      <c r="N30" s="33">
        <v>2691</v>
      </c>
      <c r="O30" s="33">
        <v>3433</v>
      </c>
      <c r="P30" s="33">
        <v>4355</v>
      </c>
      <c r="Q30" s="33">
        <v>5470</v>
      </c>
      <c r="R30" s="33">
        <v>6743</v>
      </c>
      <c r="S30" s="33">
        <v>6111</v>
      </c>
      <c r="T30" s="33">
        <v>8253</v>
      </c>
    </row>
    <row r="31" spans="2:20" x14ac:dyDescent="0.25">
      <c r="B31" s="1" t="s">
        <v>644</v>
      </c>
      <c r="D31" s="33">
        <v>583.79999999999995</v>
      </c>
      <c r="E31" s="33">
        <v>690.2</v>
      </c>
      <c r="F31" s="33">
        <v>913.2</v>
      </c>
      <c r="G31" s="33">
        <v>1291.5999999999999</v>
      </c>
      <c r="H31" s="33">
        <v>1798.6</v>
      </c>
      <c r="I31" s="33">
        <v>2473.6999999999998</v>
      </c>
      <c r="J31" s="33">
        <v>3286.8</v>
      </c>
      <c r="K31" s="33">
        <v>4267.7</v>
      </c>
      <c r="L31" s="33">
        <v>5542.8</v>
      </c>
      <c r="M31" s="33">
        <v>6995</v>
      </c>
      <c r="N31" s="33">
        <v>8564</v>
      </c>
      <c r="O31" s="33">
        <v>10662</v>
      </c>
      <c r="P31" s="33">
        <v>12607</v>
      </c>
      <c r="Q31" s="33">
        <v>15628</v>
      </c>
      <c r="R31" s="33">
        <v>17376</v>
      </c>
      <c r="S31" s="33">
        <v>19003</v>
      </c>
      <c r="T31" s="33">
        <v>24317</v>
      </c>
    </row>
    <row r="32" spans="2:20" x14ac:dyDescent="0.25">
      <c r="B32" s="1" t="s">
        <v>645</v>
      </c>
      <c r="D32" s="33">
        <v>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750</v>
      </c>
      <c r="P32" s="33">
        <v>766</v>
      </c>
      <c r="Q32" s="33">
        <v>686</v>
      </c>
      <c r="R32" s="33">
        <v>0</v>
      </c>
      <c r="S32" s="33">
        <v>0</v>
      </c>
      <c r="T32" s="33">
        <v>548</v>
      </c>
    </row>
    <row r="33" spans="2:20" x14ac:dyDescent="0.25">
      <c r="B33" s="34" t="s">
        <v>641</v>
      </c>
      <c r="C33" s="35"/>
      <c r="D33" s="35">
        <v>767</v>
      </c>
      <c r="E33" s="35">
        <v>908.1</v>
      </c>
      <c r="F33" s="35">
        <v>1276.5</v>
      </c>
      <c r="G33" s="35">
        <v>2300</v>
      </c>
      <c r="H33" s="35">
        <v>2917.6</v>
      </c>
      <c r="I33" s="35">
        <v>3980.2</v>
      </c>
      <c r="J33" s="35">
        <v>4390.1000000000004</v>
      </c>
      <c r="K33" s="35">
        <v>5617</v>
      </c>
      <c r="L33" s="35">
        <v>7295.5</v>
      </c>
      <c r="M33" s="35">
        <v>10067</v>
      </c>
      <c r="N33" s="35">
        <v>11255</v>
      </c>
      <c r="O33" s="35">
        <v>14845</v>
      </c>
      <c r="P33" s="35">
        <v>17728</v>
      </c>
      <c r="Q33" s="35">
        <v>21788</v>
      </c>
      <c r="R33" s="35">
        <v>25891</v>
      </c>
      <c r="S33" s="35">
        <v>26631</v>
      </c>
      <c r="T33" s="35">
        <v>37118</v>
      </c>
    </row>
    <row r="34" spans="2:20" x14ac:dyDescent="0.25">
      <c r="B34" s="1" t="s">
        <v>646</v>
      </c>
      <c r="D34" s="33">
        <v>0</v>
      </c>
      <c r="E34" s="33">
        <v>450.2</v>
      </c>
      <c r="F34" s="33">
        <v>472.5</v>
      </c>
      <c r="G34" s="33">
        <v>0</v>
      </c>
      <c r="H34" s="33">
        <v>0</v>
      </c>
      <c r="I34" s="33">
        <v>1301.9000000000001</v>
      </c>
      <c r="J34" s="33">
        <v>1370.7</v>
      </c>
      <c r="K34" s="33">
        <v>1286.0999999999999</v>
      </c>
      <c r="L34" s="33">
        <v>2008.4</v>
      </c>
      <c r="M34" s="33">
        <v>695</v>
      </c>
      <c r="N34" s="33">
        <v>3173</v>
      </c>
      <c r="O34" s="33">
        <v>2673</v>
      </c>
      <c r="P34" s="33">
        <v>2673</v>
      </c>
      <c r="Q34" s="33">
        <v>10592</v>
      </c>
      <c r="R34" s="33">
        <v>9419</v>
      </c>
      <c r="S34" s="33">
        <v>8427</v>
      </c>
      <c r="T34" s="33">
        <v>10439</v>
      </c>
    </row>
    <row r="35" spans="2:20" x14ac:dyDescent="0.25">
      <c r="B35" s="1" t="s">
        <v>647</v>
      </c>
      <c r="D35" s="33">
        <v>0</v>
      </c>
      <c r="E35" s="33">
        <v>0</v>
      </c>
      <c r="F35" s="33">
        <v>0</v>
      </c>
      <c r="G35" s="33">
        <v>0</v>
      </c>
      <c r="H35" s="33">
        <v>0</v>
      </c>
      <c r="I35" s="33">
        <v>757.2</v>
      </c>
      <c r="J35" s="33">
        <v>894.5</v>
      </c>
      <c r="K35" s="33">
        <v>833.1</v>
      </c>
      <c r="L35" s="33">
        <v>780.9</v>
      </c>
      <c r="M35" s="33">
        <v>846</v>
      </c>
      <c r="N35" s="33">
        <v>704</v>
      </c>
      <c r="O35" s="33">
        <v>3723</v>
      </c>
      <c r="P35" s="33">
        <v>4407</v>
      </c>
      <c r="Q35" s="33">
        <v>4698</v>
      </c>
      <c r="R35" s="33">
        <v>0</v>
      </c>
      <c r="S35" s="33">
        <v>0</v>
      </c>
      <c r="T35" s="33">
        <v>5606</v>
      </c>
    </row>
    <row r="36" spans="2:20" x14ac:dyDescent="0.25">
      <c r="B36" s="34" t="s">
        <v>640</v>
      </c>
      <c r="C36" s="35"/>
      <c r="D36" s="35">
        <v>797.3</v>
      </c>
      <c r="E36" s="35">
        <v>1403.5</v>
      </c>
      <c r="F36" s="35">
        <v>1814.7</v>
      </c>
      <c r="G36" s="35">
        <v>2498.1</v>
      </c>
      <c r="H36" s="35">
        <v>3157.7</v>
      </c>
      <c r="I36" s="35">
        <v>6087.7</v>
      </c>
      <c r="J36" s="35">
        <v>6689.9</v>
      </c>
      <c r="K36" s="35">
        <v>7760.1</v>
      </c>
      <c r="L36" s="35">
        <v>10084.799999999999</v>
      </c>
      <c r="M36" s="35">
        <v>11608</v>
      </c>
      <c r="N36" s="35">
        <v>15132</v>
      </c>
      <c r="O36" s="35">
        <v>21241</v>
      </c>
      <c r="P36" s="35">
        <v>24808</v>
      </c>
      <c r="Q36" s="35">
        <v>37078</v>
      </c>
      <c r="R36" s="35">
        <v>40490</v>
      </c>
      <c r="S36" s="35">
        <v>40177</v>
      </c>
      <c r="T36" s="35">
        <v>53163</v>
      </c>
    </row>
    <row r="37" spans="2:20" x14ac:dyDescent="0.25">
      <c r="B37" s="1" t="s">
        <v>660</v>
      </c>
      <c r="D37" s="33">
        <v>682.5</v>
      </c>
      <c r="E37" s="33">
        <v>1056.7</v>
      </c>
      <c r="F37" s="33">
        <v>1276.5</v>
      </c>
      <c r="G37" s="33">
        <v>1587.4</v>
      </c>
      <c r="H37" s="33">
        <v>2317.6</v>
      </c>
      <c r="I37" s="33">
        <v>3038.5</v>
      </c>
      <c r="J37" s="33">
        <v>3975.2</v>
      </c>
      <c r="K37" s="33">
        <v>5002.8999999999996</v>
      </c>
      <c r="L37" s="33">
        <v>7500.1</v>
      </c>
      <c r="M37" s="33">
        <v>10376</v>
      </c>
      <c r="N37" s="33">
        <v>15605</v>
      </c>
      <c r="O37" s="33">
        <v>33885</v>
      </c>
      <c r="P37" s="33">
        <v>41493</v>
      </c>
      <c r="Q37" s="33">
        <v>58131</v>
      </c>
      <c r="R37" s="33">
        <v>58359</v>
      </c>
      <c r="S37" s="33">
        <v>59646</v>
      </c>
      <c r="T37" s="33">
        <v>59142</v>
      </c>
    </row>
    <row r="38" spans="2:20" s="34" customFormat="1" x14ac:dyDescent="0.25">
      <c r="B38" s="34" t="s">
        <v>649</v>
      </c>
      <c r="C38" s="35"/>
      <c r="D38" s="35">
        <v>1479.8</v>
      </c>
      <c r="E38" s="35">
        <v>2460.1999999999998</v>
      </c>
      <c r="F38" s="35">
        <v>3091.2</v>
      </c>
      <c r="G38" s="35">
        <v>4164.2</v>
      </c>
      <c r="H38" s="35">
        <v>5529</v>
      </c>
      <c r="I38" s="35">
        <v>9152.9</v>
      </c>
      <c r="J38" s="35">
        <v>10665.1</v>
      </c>
      <c r="K38" s="35">
        <v>12762.9</v>
      </c>
      <c r="L38" s="35">
        <v>17584.900000000001</v>
      </c>
      <c r="M38" s="35">
        <v>21984</v>
      </c>
      <c r="N38" s="35">
        <v>30737</v>
      </c>
      <c r="O38" s="35">
        <v>55126</v>
      </c>
      <c r="P38" s="35">
        <v>66301</v>
      </c>
      <c r="Q38" s="35">
        <v>95209</v>
      </c>
      <c r="R38" s="35">
        <v>98849</v>
      </c>
      <c r="S38" s="35">
        <v>99823</v>
      </c>
      <c r="T38" s="35">
        <v>112305</v>
      </c>
    </row>
    <row r="41" spans="2:20" x14ac:dyDescent="0.25">
      <c r="B41" s="1" t="s">
        <v>699</v>
      </c>
      <c r="T41" s="47">
        <f>AVERAGE(C15:T15)</f>
        <v>0.2021002273090497</v>
      </c>
    </row>
    <row r="42" spans="2:20" x14ac:dyDescent="0.25">
      <c r="B42" s="1" t="s">
        <v>671</v>
      </c>
      <c r="T42" s="47">
        <v>8.5000000000000006E-2</v>
      </c>
    </row>
    <row r="43" spans="2:20" x14ac:dyDescent="0.25">
      <c r="B43" s="1" t="s">
        <v>677</v>
      </c>
      <c r="D43" s="33">
        <f>D9*(1-$T$41)</f>
        <v>50.826215520413534</v>
      </c>
      <c r="E43" s="33">
        <f t="shared" ref="E43:T43" si="1">E9*(1-$T$41)</f>
        <v>91.997843791266561</v>
      </c>
      <c r="F43" s="33">
        <f t="shared" si="1"/>
        <v>77.795227837367648</v>
      </c>
      <c r="G43" s="33">
        <f t="shared" si="1"/>
        <v>-28.006282021452353</v>
      </c>
      <c r="H43" s="33">
        <f t="shared" si="1"/>
        <v>-88.327504836888195</v>
      </c>
      <c r="I43" s="33">
        <f t="shared" si="1"/>
        <v>-228.27912496688089</v>
      </c>
      <c r="J43" s="33">
        <f t="shared" si="1"/>
        <v>-116.17420690380236</v>
      </c>
      <c r="K43" s="33">
        <f t="shared" si="1"/>
        <v>91.678683882190185</v>
      </c>
      <c r="L43" s="33">
        <f t="shared" si="1"/>
        <v>173.94215044662715</v>
      </c>
      <c r="M43" s="33">
        <f t="shared" si="1"/>
        <v>362.24649680169142</v>
      </c>
      <c r="N43" s="33">
        <f t="shared" si="1"/>
        <v>426.87637838965838</v>
      </c>
      <c r="O43" s="33">
        <f t="shared" si="1"/>
        <v>236.97623248921224</v>
      </c>
      <c r="P43" s="33">
        <f t="shared" si="1"/>
        <v>363.04439657438235</v>
      </c>
      <c r="Q43" s="33">
        <f t="shared" si="1"/>
        <v>437.24907543464076</v>
      </c>
      <c r="R43" s="33">
        <f t="shared" si="1"/>
        <v>821.83676587167872</v>
      </c>
      <c r="S43" s="33">
        <f t="shared" si="1"/>
        <v>3998.2757609543519</v>
      </c>
      <c r="T43" s="33">
        <f t="shared" si="1"/>
        <v>6647.3030062883063</v>
      </c>
    </row>
    <row r="44" spans="2:20" x14ac:dyDescent="0.25">
      <c r="B44" s="1" t="s">
        <v>697</v>
      </c>
      <c r="D44" s="33">
        <f>D29+D34+D37</f>
        <v>682.5</v>
      </c>
      <c r="E44" s="33">
        <f t="shared" ref="E44:T44" si="2">E29+E34+E37</f>
        <v>1506.9</v>
      </c>
      <c r="F44" s="33">
        <f t="shared" si="2"/>
        <v>1749</v>
      </c>
      <c r="G44" s="33">
        <f t="shared" si="2"/>
        <v>2083.5</v>
      </c>
      <c r="H44" s="33">
        <f t="shared" si="2"/>
        <v>2838.8999999999996</v>
      </c>
      <c r="I44" s="33">
        <f t="shared" si="2"/>
        <v>4912.6000000000004</v>
      </c>
      <c r="J44" s="33">
        <f t="shared" si="2"/>
        <v>5345.9</v>
      </c>
      <c r="K44" s="33">
        <f t="shared" si="2"/>
        <v>6289</v>
      </c>
      <c r="L44" s="33">
        <f t="shared" si="2"/>
        <v>9508.5</v>
      </c>
      <c r="M44" s="33">
        <f t="shared" si="2"/>
        <v>12096</v>
      </c>
      <c r="N44" s="33">
        <f t="shared" si="2"/>
        <v>18778</v>
      </c>
      <c r="O44" s="33">
        <f t="shared" si="2"/>
        <v>36558</v>
      </c>
      <c r="P44" s="33">
        <f t="shared" si="2"/>
        <v>44166</v>
      </c>
      <c r="Q44" s="33">
        <f t="shared" si="2"/>
        <v>68727</v>
      </c>
      <c r="R44" s="33">
        <f t="shared" si="2"/>
        <v>68960</v>
      </c>
      <c r="S44" s="33">
        <f t="shared" si="2"/>
        <v>69072</v>
      </c>
      <c r="T44" s="33">
        <f t="shared" si="2"/>
        <v>73581</v>
      </c>
    </row>
    <row r="45" spans="2:20" x14ac:dyDescent="0.25">
      <c r="B45" s="34" t="s">
        <v>678</v>
      </c>
      <c r="D45" s="33">
        <f>D43+D44*$T$42</f>
        <v>108.83871552041353</v>
      </c>
      <c r="E45" s="33">
        <f t="shared" ref="E45:T45" si="3">E43+E44*$T$42</f>
        <v>220.08434379126658</v>
      </c>
      <c r="F45" s="33">
        <f t="shared" si="3"/>
        <v>226.46022783736765</v>
      </c>
      <c r="G45" s="33">
        <f t="shared" si="3"/>
        <v>149.09121797854766</v>
      </c>
      <c r="H45" s="33">
        <f t="shared" si="3"/>
        <v>152.97899516311179</v>
      </c>
      <c r="I45" s="33">
        <f t="shared" si="3"/>
        <v>189.2918750331192</v>
      </c>
      <c r="J45" s="33">
        <f t="shared" si="3"/>
        <v>338.22729309619763</v>
      </c>
      <c r="K45" s="33">
        <f t="shared" si="3"/>
        <v>626.24368388219023</v>
      </c>
      <c r="L45" s="33">
        <f t="shared" si="3"/>
        <v>982.16465044662721</v>
      </c>
      <c r="M45" s="33">
        <f t="shared" si="3"/>
        <v>1390.4064968016914</v>
      </c>
      <c r="N45" s="33">
        <f t="shared" si="3"/>
        <v>2023.0063783896585</v>
      </c>
      <c r="O45" s="33">
        <f t="shared" si="3"/>
        <v>3344.4062324892125</v>
      </c>
      <c r="P45" s="33">
        <f t="shared" si="3"/>
        <v>4117.1543965743822</v>
      </c>
      <c r="Q45" s="33">
        <f t="shared" si="3"/>
        <v>6279.0440754346409</v>
      </c>
      <c r="R45" s="33">
        <f t="shared" si="3"/>
        <v>6683.4367658716792</v>
      </c>
      <c r="S45" s="33">
        <f t="shared" si="3"/>
        <v>9869.3957609543522</v>
      </c>
      <c r="T45" s="33">
        <f t="shared" si="3"/>
        <v>12901.688006288306</v>
      </c>
    </row>
    <row r="47" spans="2:20" s="47" customFormat="1" x14ac:dyDescent="0.25">
      <c r="B47" s="47" t="s">
        <v>548</v>
      </c>
      <c r="D47" s="47">
        <f>D43/D44</f>
        <v>7.4470645451155365E-2</v>
      </c>
      <c r="E47" s="47">
        <f t="shared" ref="E47:T47" si="4">E43/E44</f>
        <v>6.1051060980334831E-2</v>
      </c>
      <c r="F47" s="47">
        <f t="shared" si="4"/>
        <v>4.4479832954469785E-2</v>
      </c>
      <c r="G47" s="47">
        <f t="shared" si="4"/>
        <v>-1.3441940015095922E-2</v>
      </c>
      <c r="H47" s="47">
        <f t="shared" si="4"/>
        <v>-3.1113285017749202E-2</v>
      </c>
      <c r="I47" s="47">
        <f t="shared" si="4"/>
        <v>-4.6468087156878411E-2</v>
      </c>
      <c r="J47" s="47">
        <f t="shared" si="4"/>
        <v>-2.1731459044090306E-2</v>
      </c>
      <c r="K47" s="47">
        <f t="shared" si="4"/>
        <v>1.4577625040895244E-2</v>
      </c>
      <c r="L47" s="47">
        <f t="shared" si="4"/>
        <v>1.8293332328614097E-2</v>
      </c>
      <c r="M47" s="47">
        <f t="shared" si="4"/>
        <v>2.9947627050404383E-2</v>
      </c>
      <c r="N47" s="47">
        <f t="shared" si="4"/>
        <v>2.2732792543916198E-2</v>
      </c>
      <c r="O47" s="47">
        <f t="shared" si="4"/>
        <v>6.4821990395867455E-3</v>
      </c>
      <c r="P47" s="47">
        <f t="shared" si="4"/>
        <v>8.2199972054155315E-3</v>
      </c>
      <c r="Q47" s="47">
        <f t="shared" si="4"/>
        <v>6.3621149684205732E-3</v>
      </c>
      <c r="R47" s="47">
        <f t="shared" si="4"/>
        <v>1.1917586512060306E-2</v>
      </c>
      <c r="S47" s="47">
        <f t="shared" si="4"/>
        <v>5.788562313172272E-2</v>
      </c>
      <c r="T47" s="47">
        <f t="shared" si="4"/>
        <v>9.0339938384750226E-2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DF9E-6EE6-4A21-808F-BB6FDBBD53CF}">
  <dimension ref="A1:U48"/>
  <sheetViews>
    <sheetView workbookViewId="0">
      <pane xSplit="2" ySplit="2" topLeftCell="F35" activePane="bottomRight" state="frozen"/>
      <selection pane="topRight" activeCell="C1" sqref="C1"/>
      <selection pane="bottomLeft" activeCell="A3" sqref="A3"/>
      <selection pane="bottomRight" activeCell="G46" sqref="G46"/>
    </sheetView>
  </sheetViews>
  <sheetFormatPr defaultRowHeight="13.2" x14ac:dyDescent="0.25"/>
  <cols>
    <col min="1" max="1" width="8.88671875" style="1"/>
    <col min="2" max="2" width="18.88671875" style="33" bestFit="1" customWidth="1"/>
    <col min="3" max="16384" width="8.88671875" style="33"/>
  </cols>
  <sheetData>
    <row r="1" spans="1:21" s="1" customFormat="1" x14ac:dyDescent="0.25"/>
    <row r="2" spans="1:21" s="50" customFormat="1" x14ac:dyDescent="0.25">
      <c r="A2" s="1"/>
      <c r="B2" s="32" t="s">
        <v>681</v>
      </c>
      <c r="C2" s="50">
        <v>39447</v>
      </c>
      <c r="D2" s="50">
        <v>39813</v>
      </c>
      <c r="E2" s="50">
        <v>40178</v>
      </c>
      <c r="F2" s="50">
        <v>40543</v>
      </c>
      <c r="G2" s="50">
        <v>40908</v>
      </c>
      <c r="H2" s="50">
        <v>41274</v>
      </c>
      <c r="I2" s="50">
        <v>41639</v>
      </c>
      <c r="J2" s="50">
        <v>42004</v>
      </c>
      <c r="K2" s="50">
        <v>42369</v>
      </c>
      <c r="L2" s="50">
        <v>42735</v>
      </c>
      <c r="M2" s="50">
        <v>43100</v>
      </c>
      <c r="N2" s="50">
        <v>43465</v>
      </c>
      <c r="O2" s="50">
        <v>43830</v>
      </c>
      <c r="P2" s="50">
        <v>44196</v>
      </c>
      <c r="Q2" s="50">
        <v>44561</v>
      </c>
      <c r="R2" s="50">
        <v>44926</v>
      </c>
      <c r="S2" s="50">
        <v>45291</v>
      </c>
      <c r="T2" s="50">
        <v>45657</v>
      </c>
      <c r="U2" s="50">
        <v>46022</v>
      </c>
    </row>
    <row r="3" spans="1:21" x14ac:dyDescent="0.25">
      <c r="B3" s="33" t="s">
        <v>531</v>
      </c>
      <c r="C3" s="33">
        <v>16594</v>
      </c>
      <c r="D3" s="33">
        <v>21796</v>
      </c>
      <c r="E3" s="33">
        <v>23651</v>
      </c>
      <c r="F3" s="33">
        <v>29321</v>
      </c>
      <c r="G3" s="33">
        <v>37905</v>
      </c>
      <c r="H3" s="33">
        <v>46039</v>
      </c>
      <c r="I3" s="33">
        <v>55519</v>
      </c>
      <c r="J3" s="33">
        <v>66001</v>
      </c>
      <c r="K3" s="33">
        <v>74989</v>
      </c>
      <c r="L3" s="33">
        <v>90272</v>
      </c>
      <c r="M3" s="33">
        <v>110855</v>
      </c>
      <c r="N3" s="33">
        <v>136819</v>
      </c>
      <c r="O3" s="33">
        <v>161857</v>
      </c>
      <c r="P3" s="33">
        <v>182527</v>
      </c>
      <c r="Q3" s="33">
        <v>257637</v>
      </c>
      <c r="R3" s="33">
        <v>282836</v>
      </c>
      <c r="S3" s="33">
        <v>307394</v>
      </c>
      <c r="T3" s="33">
        <v>350018</v>
      </c>
      <c r="U3" s="33">
        <v>402836</v>
      </c>
    </row>
    <row r="4" spans="1:21" x14ac:dyDescent="0.25">
      <c r="B4" s="33" t="s">
        <v>534</v>
      </c>
      <c r="C4" s="33">
        <v>6649.1</v>
      </c>
      <c r="D4" s="33">
        <v>8622</v>
      </c>
      <c r="E4" s="33">
        <v>8844</v>
      </c>
      <c r="F4" s="33">
        <v>10417</v>
      </c>
      <c r="G4" s="33">
        <v>13188</v>
      </c>
      <c r="H4" s="33">
        <v>17176</v>
      </c>
      <c r="I4" s="33">
        <v>21993</v>
      </c>
      <c r="J4" s="33">
        <v>25691</v>
      </c>
      <c r="K4" s="33">
        <v>28164</v>
      </c>
      <c r="L4" s="33">
        <v>35138</v>
      </c>
      <c r="M4" s="33">
        <v>45583</v>
      </c>
      <c r="N4" s="33">
        <v>59549</v>
      </c>
      <c r="O4" s="33">
        <v>71896</v>
      </c>
      <c r="P4" s="33">
        <v>84732</v>
      </c>
      <c r="Q4" s="33">
        <v>110939</v>
      </c>
      <c r="R4" s="33">
        <v>126203</v>
      </c>
      <c r="S4" s="33">
        <v>133332</v>
      </c>
      <c r="T4" s="33">
        <v>146306</v>
      </c>
      <c r="U4" s="33">
        <v>162535</v>
      </c>
    </row>
    <row r="5" spans="1:21" s="35" customFormat="1" x14ac:dyDescent="0.25">
      <c r="A5" s="34"/>
      <c r="B5" s="35" t="s">
        <v>535</v>
      </c>
      <c r="C5" s="35">
        <v>9944.9</v>
      </c>
      <c r="D5" s="35">
        <v>13174</v>
      </c>
      <c r="E5" s="35">
        <v>14807</v>
      </c>
      <c r="F5" s="35">
        <v>18904</v>
      </c>
      <c r="G5" s="35">
        <v>24717</v>
      </c>
      <c r="H5" s="35">
        <v>28863</v>
      </c>
      <c r="I5" s="35">
        <v>33526</v>
      </c>
      <c r="J5" s="35">
        <v>40310</v>
      </c>
      <c r="K5" s="35">
        <v>46825</v>
      </c>
      <c r="L5" s="35">
        <v>55134</v>
      </c>
      <c r="M5" s="35">
        <v>65272</v>
      </c>
      <c r="N5" s="35">
        <v>77270</v>
      </c>
      <c r="O5" s="35">
        <v>89961</v>
      </c>
      <c r="P5" s="35">
        <v>97795</v>
      </c>
      <c r="Q5" s="35">
        <v>146698</v>
      </c>
      <c r="R5" s="35">
        <v>156633</v>
      </c>
      <c r="S5" s="35">
        <v>174062</v>
      </c>
      <c r="T5" s="35">
        <v>203712</v>
      </c>
      <c r="U5" s="35">
        <v>240301</v>
      </c>
    </row>
    <row r="6" spans="1:21" x14ac:dyDescent="0.25">
      <c r="B6" s="33" t="s">
        <v>624</v>
      </c>
      <c r="C6" s="33">
        <v>1279.2</v>
      </c>
      <c r="D6" s="33">
        <v>1803</v>
      </c>
      <c r="E6" s="33">
        <v>1668</v>
      </c>
      <c r="F6" s="33">
        <v>1962</v>
      </c>
      <c r="G6" s="33">
        <v>2724</v>
      </c>
      <c r="H6" s="33">
        <v>3481</v>
      </c>
      <c r="I6" s="33">
        <v>4432</v>
      </c>
      <c r="J6" s="33">
        <v>5851</v>
      </c>
      <c r="K6" s="33">
        <v>6136</v>
      </c>
      <c r="L6" s="33">
        <v>6985</v>
      </c>
      <c r="M6" s="33">
        <v>6840</v>
      </c>
      <c r="N6" s="33">
        <v>6923</v>
      </c>
      <c r="O6" s="33">
        <v>9551</v>
      </c>
      <c r="P6" s="33">
        <v>11052</v>
      </c>
      <c r="Q6" s="33">
        <v>13510</v>
      </c>
      <c r="R6" s="33">
        <v>15724</v>
      </c>
      <c r="S6" s="33">
        <v>16425</v>
      </c>
      <c r="T6" s="33">
        <v>14188</v>
      </c>
      <c r="U6" s="33">
        <v>21482</v>
      </c>
    </row>
    <row r="7" spans="1:21" x14ac:dyDescent="0.25">
      <c r="B7" s="33" t="s">
        <v>625</v>
      </c>
      <c r="C7" s="33">
        <v>2120</v>
      </c>
      <c r="D7" s="33">
        <v>2793</v>
      </c>
      <c r="E7" s="33">
        <v>2843</v>
      </c>
      <c r="F7" s="33">
        <v>3762</v>
      </c>
      <c r="G7" s="33">
        <v>5162</v>
      </c>
      <c r="H7" s="33">
        <v>6083</v>
      </c>
      <c r="I7" s="33">
        <v>7137</v>
      </c>
      <c r="J7" s="33">
        <v>9832</v>
      </c>
      <c r="K7" s="33">
        <v>12282</v>
      </c>
      <c r="L7" s="33">
        <v>13948</v>
      </c>
      <c r="M7" s="33">
        <v>16625</v>
      </c>
      <c r="N7" s="33">
        <v>21419</v>
      </c>
      <c r="O7" s="33">
        <v>26018</v>
      </c>
      <c r="P7" s="33">
        <v>27573</v>
      </c>
      <c r="Q7" s="33">
        <v>31562</v>
      </c>
      <c r="R7" s="33">
        <v>39500</v>
      </c>
      <c r="S7" s="33">
        <v>45427</v>
      </c>
      <c r="T7" s="33">
        <v>49326</v>
      </c>
      <c r="U7" s="33">
        <v>61087</v>
      </c>
    </row>
    <row r="8" spans="1:21" s="35" customFormat="1" x14ac:dyDescent="0.25">
      <c r="A8" s="34"/>
      <c r="B8" s="35" t="s">
        <v>539</v>
      </c>
      <c r="C8" s="35">
        <v>4860.5</v>
      </c>
      <c r="D8" s="35">
        <v>6542</v>
      </c>
      <c r="E8" s="35">
        <v>6495</v>
      </c>
      <c r="F8" s="35">
        <v>8523</v>
      </c>
      <c r="G8" s="35">
        <v>12975</v>
      </c>
      <c r="H8" s="35">
        <v>15029</v>
      </c>
      <c r="I8" s="35">
        <v>18123</v>
      </c>
      <c r="J8" s="35">
        <v>23814</v>
      </c>
      <c r="K8" s="35">
        <v>27465</v>
      </c>
      <c r="L8" s="35">
        <v>31418</v>
      </c>
      <c r="M8" s="35">
        <v>39094</v>
      </c>
      <c r="N8" s="35">
        <v>49746</v>
      </c>
      <c r="O8" s="35">
        <v>55730</v>
      </c>
      <c r="P8" s="35">
        <v>56571</v>
      </c>
      <c r="Q8" s="35">
        <v>67984</v>
      </c>
      <c r="R8" s="35">
        <v>81791</v>
      </c>
      <c r="S8" s="35">
        <v>89769</v>
      </c>
      <c r="T8" s="35">
        <v>91322</v>
      </c>
      <c r="U8" s="35">
        <v>111262</v>
      </c>
    </row>
    <row r="9" spans="1:21" s="35" customFormat="1" x14ac:dyDescent="0.25">
      <c r="A9" s="34"/>
      <c r="B9" s="35" t="s">
        <v>540</v>
      </c>
      <c r="C9" s="35">
        <v>5084.3999999999996</v>
      </c>
      <c r="D9" s="35">
        <v>6632</v>
      </c>
      <c r="E9" s="35">
        <v>8312</v>
      </c>
      <c r="F9" s="35">
        <v>10381</v>
      </c>
      <c r="G9" s="35">
        <v>11742</v>
      </c>
      <c r="H9" s="35">
        <v>13834</v>
      </c>
      <c r="I9" s="35">
        <v>15403</v>
      </c>
      <c r="J9" s="35">
        <v>16496</v>
      </c>
      <c r="K9" s="35">
        <v>19360</v>
      </c>
      <c r="L9" s="35">
        <v>23716</v>
      </c>
      <c r="M9" s="35">
        <v>26178</v>
      </c>
      <c r="N9" s="35">
        <v>27524</v>
      </c>
      <c r="O9" s="35">
        <v>34231</v>
      </c>
      <c r="P9" s="35">
        <v>41224</v>
      </c>
      <c r="Q9" s="35">
        <v>78714</v>
      </c>
      <c r="R9" s="35">
        <v>74842</v>
      </c>
      <c r="S9" s="35">
        <v>84293</v>
      </c>
      <c r="T9" s="35">
        <v>112390</v>
      </c>
      <c r="U9" s="35">
        <v>129039</v>
      </c>
    </row>
    <row r="10" spans="1:21" x14ac:dyDescent="0.25">
      <c r="B10" s="33" t="s">
        <v>626</v>
      </c>
      <c r="C10" s="33">
        <v>589.6</v>
      </c>
      <c r="D10" s="33">
        <v>-779</v>
      </c>
      <c r="E10" s="33">
        <v>69</v>
      </c>
      <c r="F10" s="33">
        <v>415</v>
      </c>
      <c r="G10" s="33">
        <v>584</v>
      </c>
      <c r="H10" s="33">
        <v>635</v>
      </c>
      <c r="I10" s="33">
        <v>496</v>
      </c>
      <c r="J10" s="33">
        <v>763</v>
      </c>
      <c r="K10" s="33">
        <v>291</v>
      </c>
      <c r="L10" s="33">
        <v>434</v>
      </c>
      <c r="M10" s="33">
        <v>1015</v>
      </c>
      <c r="N10" s="33">
        <v>7389</v>
      </c>
      <c r="O10" s="33">
        <v>5394</v>
      </c>
      <c r="P10" s="33">
        <v>6858</v>
      </c>
      <c r="Q10" s="33">
        <v>12020</v>
      </c>
      <c r="R10" s="33">
        <v>-3514</v>
      </c>
      <c r="S10" s="33">
        <v>1424</v>
      </c>
      <c r="T10" s="33">
        <v>7425</v>
      </c>
      <c r="U10" s="33">
        <v>29787</v>
      </c>
    </row>
    <row r="11" spans="1:21" s="35" customFormat="1" x14ac:dyDescent="0.25">
      <c r="A11" s="34"/>
      <c r="B11" s="35" t="s">
        <v>627</v>
      </c>
      <c r="C11" s="35">
        <v>5674</v>
      </c>
      <c r="D11" s="35">
        <v>5853</v>
      </c>
      <c r="E11" s="35">
        <v>8381</v>
      </c>
      <c r="F11" s="35">
        <v>10796</v>
      </c>
      <c r="G11" s="35">
        <v>12326</v>
      </c>
      <c r="H11" s="35">
        <v>14469</v>
      </c>
      <c r="I11" s="35">
        <v>15899</v>
      </c>
      <c r="J11" s="35">
        <v>17259</v>
      </c>
      <c r="K11" s="35">
        <v>19651</v>
      </c>
      <c r="L11" s="35">
        <v>24150</v>
      </c>
      <c r="M11" s="35">
        <v>27193</v>
      </c>
      <c r="N11" s="35">
        <v>34913</v>
      </c>
      <c r="O11" s="35">
        <v>39625</v>
      </c>
      <c r="P11" s="35">
        <v>48082</v>
      </c>
      <c r="Q11" s="35">
        <v>90734</v>
      </c>
      <c r="R11" s="35">
        <v>71328</v>
      </c>
      <c r="S11" s="35">
        <v>85717</v>
      </c>
      <c r="T11" s="35">
        <v>119815</v>
      </c>
      <c r="U11" s="35">
        <v>158826</v>
      </c>
    </row>
    <row r="12" spans="1:21" x14ac:dyDescent="0.25">
      <c r="B12" s="33" t="s">
        <v>628</v>
      </c>
      <c r="C12" s="33">
        <v>1470.3</v>
      </c>
      <c r="D12" s="33">
        <v>1626</v>
      </c>
      <c r="E12" s="33">
        <v>1861</v>
      </c>
      <c r="F12" s="33">
        <v>2291</v>
      </c>
      <c r="G12" s="33">
        <v>2589</v>
      </c>
      <c r="H12" s="33">
        <v>2916</v>
      </c>
      <c r="I12" s="33">
        <v>2739</v>
      </c>
      <c r="J12" s="33">
        <v>3639</v>
      </c>
      <c r="K12" s="33">
        <v>3303</v>
      </c>
      <c r="L12" s="33">
        <v>4672</v>
      </c>
      <c r="M12" s="33">
        <v>14531</v>
      </c>
      <c r="N12" s="33">
        <v>4177</v>
      </c>
      <c r="O12" s="33">
        <v>5282</v>
      </c>
      <c r="P12" s="33">
        <v>7813</v>
      </c>
      <c r="Q12" s="33">
        <v>14701</v>
      </c>
      <c r="R12" s="33">
        <v>11356</v>
      </c>
      <c r="S12" s="33">
        <v>11922</v>
      </c>
      <c r="T12" s="33">
        <v>19697</v>
      </c>
      <c r="U12" s="33">
        <v>26656</v>
      </c>
    </row>
    <row r="13" spans="1:21" s="35" customFormat="1" x14ac:dyDescent="0.25">
      <c r="A13" s="34"/>
      <c r="B13" s="35" t="s">
        <v>544</v>
      </c>
      <c r="C13" s="35">
        <v>4203.7</v>
      </c>
      <c r="D13" s="35">
        <v>4227</v>
      </c>
      <c r="E13" s="35">
        <v>6520</v>
      </c>
      <c r="F13" s="35">
        <v>8505</v>
      </c>
      <c r="G13" s="35">
        <v>9737</v>
      </c>
      <c r="H13" s="35">
        <v>10737</v>
      </c>
      <c r="I13" s="35">
        <v>12733</v>
      </c>
      <c r="J13" s="35">
        <v>14136</v>
      </c>
      <c r="K13" s="35">
        <v>16348</v>
      </c>
      <c r="L13" s="35">
        <v>19478</v>
      </c>
      <c r="M13" s="35">
        <v>12662</v>
      </c>
      <c r="N13" s="35">
        <v>30736</v>
      </c>
      <c r="O13" s="35">
        <v>34343</v>
      </c>
      <c r="P13" s="35">
        <v>40269</v>
      </c>
      <c r="Q13" s="35">
        <v>76033</v>
      </c>
      <c r="R13" s="35">
        <v>59972</v>
      </c>
      <c r="S13" s="35">
        <v>73795</v>
      </c>
      <c r="T13" s="35">
        <v>100118</v>
      </c>
      <c r="U13" s="35">
        <v>132170</v>
      </c>
    </row>
    <row r="16" spans="1:21" s="39" customFormat="1" x14ac:dyDescent="0.25">
      <c r="B16" s="39" t="s">
        <v>698</v>
      </c>
      <c r="C16" s="39">
        <f>C12/C11</f>
        <v>0.25912936200211489</v>
      </c>
      <c r="D16" s="39">
        <f t="shared" ref="D16:U16" si="0">D12/D11</f>
        <v>0.2778062532034854</v>
      </c>
      <c r="E16" s="39">
        <f t="shared" si="0"/>
        <v>0.22204987471662094</v>
      </c>
      <c r="F16" s="39">
        <f t="shared" si="0"/>
        <v>0.21220822526861802</v>
      </c>
      <c r="G16" s="39">
        <f t="shared" si="0"/>
        <v>0.2100438098328736</v>
      </c>
      <c r="H16" s="39">
        <f t="shared" si="0"/>
        <v>0.20153431474186193</v>
      </c>
      <c r="I16" s="39">
        <f t="shared" si="0"/>
        <v>0.17227498584816656</v>
      </c>
      <c r="J16" s="39">
        <f t="shared" si="0"/>
        <v>0.21084651486181122</v>
      </c>
      <c r="K16" s="39">
        <f t="shared" si="0"/>
        <v>0.16808304920869166</v>
      </c>
      <c r="L16" s="39">
        <f t="shared" si="0"/>
        <v>0.19345755693581781</v>
      </c>
      <c r="M16" s="39">
        <f t="shared" si="0"/>
        <v>0.53436546169970212</v>
      </c>
      <c r="N16" s="39">
        <f t="shared" si="0"/>
        <v>0.1196402486179933</v>
      </c>
      <c r="O16" s="39">
        <f t="shared" si="0"/>
        <v>0.13329968454258675</v>
      </c>
      <c r="P16" s="39">
        <f t="shared" si="0"/>
        <v>0.16249324071378063</v>
      </c>
      <c r="Q16" s="39">
        <f t="shared" si="0"/>
        <v>0.16202305640663919</v>
      </c>
      <c r="R16" s="39">
        <f t="shared" si="0"/>
        <v>0.1592081650964558</v>
      </c>
      <c r="S16" s="39">
        <f t="shared" si="0"/>
        <v>0.13908559562280529</v>
      </c>
      <c r="T16" s="39">
        <f t="shared" si="0"/>
        <v>0.16439510912657013</v>
      </c>
      <c r="U16" s="39">
        <f t="shared" si="0"/>
        <v>0.16783146336242177</v>
      </c>
    </row>
    <row r="19" spans="1:21" x14ac:dyDescent="0.25">
      <c r="B19" s="33" t="s">
        <v>631</v>
      </c>
      <c r="D19" s="33">
        <v>8656.7000000000007</v>
      </c>
      <c r="E19" s="33">
        <v>10198</v>
      </c>
      <c r="F19" s="33">
        <v>13630</v>
      </c>
      <c r="G19" s="33">
        <v>9983</v>
      </c>
      <c r="H19" s="33">
        <v>14778</v>
      </c>
      <c r="I19" s="33">
        <v>18898</v>
      </c>
      <c r="J19" s="33">
        <v>36694</v>
      </c>
      <c r="K19" s="33">
        <v>16549</v>
      </c>
      <c r="L19" s="33">
        <v>12918</v>
      </c>
      <c r="M19" s="33">
        <v>10715</v>
      </c>
      <c r="N19" s="33">
        <v>16701</v>
      </c>
      <c r="O19" s="33">
        <v>18498</v>
      </c>
      <c r="P19" s="33">
        <v>26465</v>
      </c>
      <c r="Q19" s="33">
        <v>20945</v>
      </c>
      <c r="R19" s="33">
        <v>21879</v>
      </c>
      <c r="S19" s="33">
        <v>24048</v>
      </c>
      <c r="T19" s="33">
        <v>23466</v>
      </c>
      <c r="U19" s="33">
        <v>30708</v>
      </c>
    </row>
    <row r="20" spans="1:21" x14ac:dyDescent="0.25">
      <c r="B20" s="33" t="s">
        <v>632</v>
      </c>
      <c r="D20" s="33">
        <v>7189.1</v>
      </c>
      <c r="E20" s="33">
        <v>14287</v>
      </c>
      <c r="F20" s="33">
        <v>22095</v>
      </c>
      <c r="G20" s="33">
        <v>35388</v>
      </c>
      <c r="H20" s="33">
        <v>34010</v>
      </c>
      <c r="I20" s="33">
        <v>39919</v>
      </c>
      <c r="J20" s="33">
        <v>93846</v>
      </c>
      <c r="K20" s="33">
        <v>56967</v>
      </c>
      <c r="L20" s="33">
        <v>73415</v>
      </c>
      <c r="M20" s="33">
        <v>91156</v>
      </c>
      <c r="N20" s="33">
        <v>92439</v>
      </c>
      <c r="O20" s="33">
        <v>101177</v>
      </c>
      <c r="P20" s="33">
        <v>110229</v>
      </c>
      <c r="Q20" s="33">
        <v>118704</v>
      </c>
      <c r="R20" s="33">
        <v>91883</v>
      </c>
      <c r="S20" s="33">
        <v>86868</v>
      </c>
      <c r="T20" s="33">
        <v>72191</v>
      </c>
      <c r="U20" s="33">
        <v>96135</v>
      </c>
    </row>
    <row r="21" spans="1:21" x14ac:dyDescent="0.25">
      <c r="B21" s="33" t="s">
        <v>633</v>
      </c>
      <c r="D21" s="33">
        <v>2642.2</v>
      </c>
      <c r="E21" s="33">
        <v>3178</v>
      </c>
      <c r="F21" s="33">
        <v>4252</v>
      </c>
      <c r="G21" s="33">
        <v>5427</v>
      </c>
      <c r="H21" s="33">
        <v>7885</v>
      </c>
      <c r="I21" s="33">
        <v>8882</v>
      </c>
      <c r="J21" s="33">
        <v>18766</v>
      </c>
      <c r="K21" s="33">
        <v>11556</v>
      </c>
      <c r="L21" s="33">
        <v>14137</v>
      </c>
      <c r="M21" s="33">
        <v>18336</v>
      </c>
      <c r="N21" s="33">
        <v>20838</v>
      </c>
      <c r="O21" s="33">
        <v>25326</v>
      </c>
      <c r="P21" s="33">
        <v>30930</v>
      </c>
      <c r="Q21" s="33">
        <v>39304</v>
      </c>
      <c r="R21" s="33">
        <v>40258</v>
      </c>
      <c r="S21" s="33">
        <v>47964</v>
      </c>
      <c r="T21" s="33">
        <v>52340</v>
      </c>
      <c r="U21" s="33">
        <v>62886</v>
      </c>
    </row>
    <row r="22" spans="1:21" x14ac:dyDescent="0.25">
      <c r="B22" s="33" t="s">
        <v>634</v>
      </c>
      <c r="D22" s="33">
        <v>0</v>
      </c>
      <c r="E22" s="33">
        <v>0</v>
      </c>
      <c r="F22" s="33">
        <v>0</v>
      </c>
      <c r="G22" s="33">
        <v>35</v>
      </c>
      <c r="H22" s="33">
        <v>505</v>
      </c>
      <c r="I22" s="33">
        <v>0</v>
      </c>
      <c r="J22" s="33">
        <v>0</v>
      </c>
      <c r="K22" s="33">
        <v>491</v>
      </c>
      <c r="L22" s="33">
        <v>268</v>
      </c>
      <c r="M22" s="33">
        <v>749</v>
      </c>
      <c r="N22" s="33">
        <v>1107</v>
      </c>
      <c r="O22" s="33">
        <v>999</v>
      </c>
      <c r="P22" s="33">
        <v>728</v>
      </c>
      <c r="Q22" s="33">
        <v>1170</v>
      </c>
      <c r="R22" s="33">
        <v>0</v>
      </c>
      <c r="S22" s="33">
        <v>0</v>
      </c>
      <c r="T22" s="33">
        <v>0</v>
      </c>
      <c r="U22" s="33">
        <v>0</v>
      </c>
    </row>
    <row r="23" spans="1:21" x14ac:dyDescent="0.25">
      <c r="B23" s="33" t="s">
        <v>635</v>
      </c>
      <c r="D23" s="33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4575</v>
      </c>
      <c r="M23" s="33">
        <v>2983</v>
      </c>
      <c r="N23" s="33">
        <v>4236</v>
      </c>
      <c r="O23" s="33">
        <v>4412</v>
      </c>
      <c r="P23" s="33">
        <v>5490</v>
      </c>
      <c r="Q23" s="33">
        <v>8020</v>
      </c>
      <c r="R23" s="33">
        <v>10775</v>
      </c>
      <c r="S23" s="33">
        <v>12650</v>
      </c>
      <c r="T23" s="33">
        <v>15714</v>
      </c>
      <c r="U23" s="33">
        <v>16309</v>
      </c>
    </row>
    <row r="24" spans="1:21" s="35" customFormat="1" x14ac:dyDescent="0.25">
      <c r="A24" s="34"/>
      <c r="B24" s="35" t="s">
        <v>630</v>
      </c>
      <c r="D24" s="35">
        <v>20178.2</v>
      </c>
      <c r="E24" s="35">
        <v>29167</v>
      </c>
      <c r="F24" s="35">
        <v>41562</v>
      </c>
      <c r="G24" s="35">
        <v>52758</v>
      </c>
      <c r="H24" s="35">
        <v>60454</v>
      </c>
      <c r="I24" s="35">
        <v>72886</v>
      </c>
      <c r="J24" s="35">
        <v>157312</v>
      </c>
      <c r="K24" s="35">
        <v>90114</v>
      </c>
      <c r="L24" s="35">
        <v>105408</v>
      </c>
      <c r="M24" s="35">
        <v>124308</v>
      </c>
      <c r="N24" s="35">
        <v>135676</v>
      </c>
      <c r="O24" s="35">
        <v>152578</v>
      </c>
      <c r="P24" s="35">
        <v>174296</v>
      </c>
      <c r="Q24" s="35">
        <v>188143</v>
      </c>
      <c r="R24" s="35">
        <v>164795</v>
      </c>
      <c r="S24" s="35">
        <v>171530</v>
      </c>
      <c r="T24" s="35">
        <v>163711</v>
      </c>
      <c r="U24" s="35">
        <v>206038</v>
      </c>
    </row>
    <row r="25" spans="1:21" x14ac:dyDescent="0.25">
      <c r="B25" s="33" t="s">
        <v>637</v>
      </c>
      <c r="D25" s="33">
        <v>5233.8</v>
      </c>
      <c r="E25" s="33">
        <v>4845</v>
      </c>
      <c r="F25" s="33">
        <v>7759</v>
      </c>
      <c r="G25" s="33">
        <v>9603</v>
      </c>
      <c r="H25" s="33">
        <v>11854</v>
      </c>
      <c r="I25" s="33">
        <v>16524</v>
      </c>
      <c r="J25" s="33">
        <v>47766</v>
      </c>
      <c r="K25" s="33">
        <v>29016</v>
      </c>
      <c r="L25" s="33">
        <v>34234</v>
      </c>
      <c r="M25" s="33">
        <v>42383</v>
      </c>
      <c r="N25" s="33">
        <v>59719</v>
      </c>
      <c r="O25" s="33">
        <v>73646</v>
      </c>
      <c r="P25" s="33">
        <v>84749</v>
      </c>
      <c r="Q25" s="33">
        <v>97599</v>
      </c>
      <c r="R25" s="33">
        <v>112668</v>
      </c>
      <c r="S25" s="33">
        <v>134345</v>
      </c>
      <c r="T25" s="33">
        <v>171036</v>
      </c>
      <c r="U25" s="33">
        <v>246597</v>
      </c>
    </row>
    <row r="26" spans="1:21" x14ac:dyDescent="0.25">
      <c r="B26" s="33" t="s">
        <v>638</v>
      </c>
      <c r="D26" s="33">
        <v>85.2</v>
      </c>
      <c r="E26" s="33">
        <v>129</v>
      </c>
      <c r="F26" s="33">
        <v>523</v>
      </c>
      <c r="G26" s="33">
        <v>790</v>
      </c>
      <c r="H26" s="33">
        <v>1469</v>
      </c>
      <c r="I26" s="33">
        <v>1976</v>
      </c>
      <c r="J26" s="33">
        <v>6158</v>
      </c>
      <c r="K26" s="33">
        <v>5183</v>
      </c>
      <c r="L26" s="33">
        <v>5878</v>
      </c>
      <c r="M26" s="33">
        <v>7813</v>
      </c>
      <c r="N26" s="33">
        <v>13859</v>
      </c>
      <c r="O26" s="33">
        <v>13078</v>
      </c>
      <c r="P26" s="33">
        <v>20703</v>
      </c>
      <c r="Q26" s="33">
        <v>29549</v>
      </c>
      <c r="R26" s="33">
        <v>30492</v>
      </c>
      <c r="S26" s="33">
        <v>31008</v>
      </c>
      <c r="T26" s="33">
        <v>37982</v>
      </c>
      <c r="U26" s="33">
        <v>68687</v>
      </c>
    </row>
    <row r="27" spans="1:21" x14ac:dyDescent="0.25">
      <c r="B27" s="33" t="s">
        <v>639</v>
      </c>
      <c r="D27" s="33">
        <v>433.8</v>
      </c>
      <c r="E27" s="33">
        <v>415</v>
      </c>
      <c r="F27" s="33">
        <v>442</v>
      </c>
      <c r="G27" s="33">
        <v>499</v>
      </c>
      <c r="H27" s="33">
        <v>2011</v>
      </c>
      <c r="I27" s="33">
        <v>1976</v>
      </c>
      <c r="J27" s="33">
        <v>6374</v>
      </c>
      <c r="K27" s="33">
        <v>3181</v>
      </c>
      <c r="L27" s="33">
        <v>1819</v>
      </c>
      <c r="M27" s="33">
        <v>2672</v>
      </c>
      <c r="N27" s="33">
        <v>2693</v>
      </c>
      <c r="O27" s="33">
        <v>13283</v>
      </c>
      <c r="P27" s="33">
        <v>16164</v>
      </c>
      <c r="Q27" s="33">
        <v>18320</v>
      </c>
      <c r="R27" s="33">
        <v>23088</v>
      </c>
      <c r="S27" s="33">
        <v>24142</v>
      </c>
      <c r="T27" s="33">
        <v>28462</v>
      </c>
      <c r="U27" s="33">
        <v>31466</v>
      </c>
    </row>
    <row r="28" spans="1:21" s="35" customFormat="1" x14ac:dyDescent="0.25">
      <c r="A28" s="34"/>
      <c r="B28" s="35" t="s">
        <v>636</v>
      </c>
      <c r="D28" s="35">
        <v>6355.6</v>
      </c>
      <c r="E28" s="35">
        <v>6485</v>
      </c>
      <c r="F28" s="35">
        <v>8530</v>
      </c>
      <c r="G28" s="35">
        <v>10213</v>
      </c>
      <c r="H28" s="35">
        <v>21490</v>
      </c>
      <c r="I28" s="35">
        <v>21510</v>
      </c>
      <c r="J28" s="35">
        <v>53296</v>
      </c>
      <c r="K28" s="35">
        <v>28331</v>
      </c>
      <c r="L28" s="35">
        <v>27855</v>
      </c>
      <c r="M28" s="35">
        <v>30604</v>
      </c>
      <c r="N28" s="35">
        <v>37397</v>
      </c>
      <c r="O28" s="35">
        <v>49685</v>
      </c>
      <c r="P28" s="35">
        <v>60571</v>
      </c>
      <c r="Q28" s="35">
        <v>73526</v>
      </c>
      <c r="R28" s="35">
        <v>87801</v>
      </c>
      <c r="S28" s="35">
        <v>96517</v>
      </c>
      <c r="T28" s="35">
        <v>115509</v>
      </c>
      <c r="U28" s="35">
        <v>142646</v>
      </c>
    </row>
    <row r="29" spans="1:21" s="35" customFormat="1" x14ac:dyDescent="0.25">
      <c r="A29" s="34"/>
      <c r="B29" s="35" t="s">
        <v>629</v>
      </c>
      <c r="D29" s="35">
        <v>31767.599999999999</v>
      </c>
      <c r="E29" s="35">
        <v>40497</v>
      </c>
      <c r="F29" s="35">
        <v>57851</v>
      </c>
      <c r="G29" s="35">
        <v>72574</v>
      </c>
      <c r="H29" s="35">
        <v>93798</v>
      </c>
      <c r="I29" s="35">
        <v>110920</v>
      </c>
      <c r="J29" s="35">
        <v>258374</v>
      </c>
      <c r="K29" s="35">
        <v>147461</v>
      </c>
      <c r="L29" s="35">
        <v>167497</v>
      </c>
      <c r="M29" s="35">
        <v>197295</v>
      </c>
      <c r="N29" s="35">
        <v>232792</v>
      </c>
      <c r="O29" s="35">
        <v>275909</v>
      </c>
      <c r="P29" s="35">
        <v>319616</v>
      </c>
      <c r="Q29" s="35">
        <v>359268</v>
      </c>
      <c r="R29" s="35">
        <v>365264</v>
      </c>
      <c r="S29" s="35">
        <v>402392</v>
      </c>
      <c r="T29" s="35">
        <v>450256</v>
      </c>
      <c r="U29" s="35">
        <v>595281</v>
      </c>
    </row>
    <row r="30" spans="1:21" x14ac:dyDescent="0.25">
      <c r="B30" s="33" t="s">
        <v>642</v>
      </c>
      <c r="D30" s="33">
        <v>0</v>
      </c>
      <c r="E30" s="33">
        <v>0</v>
      </c>
      <c r="F30" s="33">
        <v>5826</v>
      </c>
      <c r="G30" s="33">
        <v>3225</v>
      </c>
      <c r="H30" s="33">
        <v>2549</v>
      </c>
      <c r="I30" s="33">
        <v>3009</v>
      </c>
      <c r="J30" s="33">
        <v>4018</v>
      </c>
      <c r="K30" s="33">
        <v>3225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</row>
    <row r="31" spans="1:21" x14ac:dyDescent="0.25">
      <c r="B31" s="33" t="s">
        <v>643</v>
      </c>
      <c r="D31" s="33">
        <v>178</v>
      </c>
      <c r="E31" s="33">
        <v>216</v>
      </c>
      <c r="F31" s="33">
        <v>483</v>
      </c>
      <c r="G31" s="33">
        <v>588</v>
      </c>
      <c r="H31" s="33">
        <v>2012</v>
      </c>
      <c r="I31" s="33">
        <v>2453</v>
      </c>
      <c r="J31" s="33">
        <v>3430</v>
      </c>
      <c r="K31" s="33">
        <v>1931</v>
      </c>
      <c r="L31" s="33">
        <v>2041</v>
      </c>
      <c r="M31" s="33">
        <v>3137</v>
      </c>
      <c r="N31" s="33">
        <v>4378</v>
      </c>
      <c r="O31" s="33">
        <v>5561</v>
      </c>
      <c r="P31" s="33">
        <v>5589</v>
      </c>
      <c r="Q31" s="33">
        <v>6037</v>
      </c>
      <c r="R31" s="33">
        <v>5128</v>
      </c>
      <c r="S31" s="33">
        <v>7493</v>
      </c>
      <c r="T31" s="33">
        <v>7987</v>
      </c>
      <c r="U31" s="33">
        <v>12200</v>
      </c>
    </row>
    <row r="32" spans="1:21" x14ac:dyDescent="0.25">
      <c r="B32" s="33" t="s">
        <v>644</v>
      </c>
      <c r="D32" s="33">
        <v>218.1</v>
      </c>
      <c r="E32" s="33">
        <v>285</v>
      </c>
      <c r="F32" s="33">
        <v>394</v>
      </c>
      <c r="G32" s="33">
        <v>547</v>
      </c>
      <c r="H32" s="33">
        <v>895</v>
      </c>
      <c r="I32" s="33">
        <v>1062</v>
      </c>
      <c r="J32" s="33">
        <v>1504</v>
      </c>
      <c r="K32" s="33">
        <v>788</v>
      </c>
      <c r="L32" s="33">
        <v>1099</v>
      </c>
      <c r="M32" s="33">
        <v>1432</v>
      </c>
      <c r="N32" s="33">
        <v>0</v>
      </c>
      <c r="O32" s="33">
        <v>1908</v>
      </c>
      <c r="P32" s="33">
        <v>2543</v>
      </c>
      <c r="Q32" s="33">
        <v>3288</v>
      </c>
      <c r="R32" s="33">
        <v>3908</v>
      </c>
      <c r="S32" s="33">
        <v>4137</v>
      </c>
      <c r="T32" s="33">
        <v>5036</v>
      </c>
      <c r="U32" s="33">
        <v>6578</v>
      </c>
    </row>
    <row r="33" spans="1:21" x14ac:dyDescent="0.25">
      <c r="B33" s="33" t="s">
        <v>645</v>
      </c>
      <c r="D33" s="33">
        <v>811.6</v>
      </c>
      <c r="E33" s="33">
        <v>982</v>
      </c>
      <c r="F33" s="33">
        <v>1410</v>
      </c>
      <c r="G33" s="33">
        <v>1818</v>
      </c>
      <c r="H33" s="33">
        <v>2239</v>
      </c>
      <c r="I33" s="33">
        <v>2502</v>
      </c>
      <c r="J33" s="33">
        <v>0</v>
      </c>
      <c r="K33" s="33">
        <v>0</v>
      </c>
      <c r="L33" s="33">
        <v>0</v>
      </c>
      <c r="M33" s="33">
        <v>0</v>
      </c>
      <c r="N33" s="33">
        <v>1784</v>
      </c>
      <c r="O33" s="33">
        <v>0</v>
      </c>
      <c r="P33" s="33">
        <v>0</v>
      </c>
      <c r="Q33" s="33">
        <v>0</v>
      </c>
      <c r="R33" s="33">
        <v>0</v>
      </c>
      <c r="S33" s="33">
        <v>15140</v>
      </c>
      <c r="T33" s="33">
        <v>0</v>
      </c>
      <c r="U33" s="33">
        <v>0</v>
      </c>
    </row>
    <row r="34" spans="1:21" x14ac:dyDescent="0.25">
      <c r="B34" s="35" t="s">
        <v>641</v>
      </c>
      <c r="C34" s="35"/>
      <c r="D34" s="35">
        <v>2302.1</v>
      </c>
      <c r="E34" s="35">
        <v>2747</v>
      </c>
      <c r="F34" s="35">
        <v>9996</v>
      </c>
      <c r="G34" s="35">
        <v>8913</v>
      </c>
      <c r="H34" s="35">
        <v>14337</v>
      </c>
      <c r="I34" s="35">
        <v>15908</v>
      </c>
      <c r="J34" s="35">
        <v>33558</v>
      </c>
      <c r="K34" s="35">
        <v>19310</v>
      </c>
      <c r="L34" s="35">
        <v>16756</v>
      </c>
      <c r="M34" s="35">
        <v>24183</v>
      </c>
      <c r="N34" s="35">
        <v>34620</v>
      </c>
      <c r="O34" s="35">
        <v>45221</v>
      </c>
      <c r="P34" s="35">
        <v>56834</v>
      </c>
      <c r="Q34" s="35">
        <v>64254</v>
      </c>
      <c r="R34" s="35">
        <v>69300</v>
      </c>
      <c r="S34" s="35">
        <v>81814</v>
      </c>
      <c r="T34" s="35">
        <v>89122</v>
      </c>
      <c r="U34" s="35">
        <v>102745</v>
      </c>
    </row>
    <row r="35" spans="1:21" x14ac:dyDescent="0.25">
      <c r="B35" s="33" t="s">
        <v>646</v>
      </c>
      <c r="D35" s="33">
        <v>0</v>
      </c>
      <c r="E35" s="33">
        <v>0</v>
      </c>
      <c r="F35" s="33">
        <v>0</v>
      </c>
      <c r="G35" s="33">
        <v>2986</v>
      </c>
      <c r="H35" s="33">
        <v>2988</v>
      </c>
      <c r="I35" s="33">
        <v>2236</v>
      </c>
      <c r="J35" s="33">
        <v>6456</v>
      </c>
      <c r="K35" s="33">
        <v>1995</v>
      </c>
      <c r="L35" s="33">
        <v>3935</v>
      </c>
      <c r="M35" s="33">
        <v>3969</v>
      </c>
      <c r="N35" s="33">
        <v>4012</v>
      </c>
      <c r="O35" s="33">
        <v>4554</v>
      </c>
      <c r="P35" s="33">
        <v>13932</v>
      </c>
      <c r="Q35" s="33">
        <v>14817</v>
      </c>
      <c r="R35" s="33">
        <v>14701</v>
      </c>
      <c r="S35" s="33">
        <v>13253</v>
      </c>
      <c r="T35" s="33">
        <v>10883</v>
      </c>
      <c r="U35" s="33">
        <v>46547</v>
      </c>
    </row>
    <row r="36" spans="1:21" x14ac:dyDescent="0.25">
      <c r="B36" s="33" t="s">
        <v>647</v>
      </c>
      <c r="D36" s="33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2236</v>
      </c>
      <c r="K36" s="33">
        <v>1822</v>
      </c>
      <c r="L36" s="33">
        <v>2665</v>
      </c>
      <c r="M36" s="33">
        <v>3059</v>
      </c>
      <c r="N36" s="33">
        <v>3545</v>
      </c>
      <c r="O36" s="33">
        <v>12748</v>
      </c>
      <c r="P36" s="33">
        <v>13415</v>
      </c>
      <c r="Q36" s="33">
        <v>13594</v>
      </c>
      <c r="R36" s="33">
        <v>14748</v>
      </c>
      <c r="S36" s="33">
        <v>0</v>
      </c>
      <c r="T36" s="33">
        <v>16385</v>
      </c>
      <c r="U36" s="33">
        <v>21193</v>
      </c>
    </row>
    <row r="37" spans="1:21" s="35" customFormat="1" x14ac:dyDescent="0.25">
      <c r="A37" s="34"/>
      <c r="B37" s="35" t="s">
        <v>640</v>
      </c>
      <c r="D37" s="35">
        <v>3528.7</v>
      </c>
      <c r="E37" s="35">
        <v>4493</v>
      </c>
      <c r="F37" s="35">
        <v>11610</v>
      </c>
      <c r="G37" s="35">
        <v>14429</v>
      </c>
      <c r="H37" s="35">
        <v>22083</v>
      </c>
      <c r="I37" s="35">
        <v>23611</v>
      </c>
      <c r="J37" s="35">
        <v>50654</v>
      </c>
      <c r="K37" s="35">
        <v>27130</v>
      </c>
      <c r="L37" s="35">
        <v>28461</v>
      </c>
      <c r="M37" s="35">
        <v>44793</v>
      </c>
      <c r="N37" s="35">
        <v>55164</v>
      </c>
      <c r="O37" s="35">
        <v>74467</v>
      </c>
      <c r="P37" s="35">
        <v>97072</v>
      </c>
      <c r="Q37" s="35">
        <v>107633</v>
      </c>
      <c r="R37" s="35">
        <v>109120</v>
      </c>
      <c r="S37" s="35">
        <v>119013</v>
      </c>
      <c r="T37" s="35">
        <v>125172</v>
      </c>
      <c r="U37" s="35">
        <v>180016</v>
      </c>
    </row>
    <row r="38" spans="1:21" x14ac:dyDescent="0.25">
      <c r="B38" s="1" t="s">
        <v>660</v>
      </c>
      <c r="D38" s="33">
        <v>28238.9</v>
      </c>
      <c r="E38" s="33">
        <v>36004</v>
      </c>
      <c r="F38" s="33">
        <v>46241</v>
      </c>
      <c r="G38" s="33">
        <v>58145</v>
      </c>
      <c r="H38" s="33">
        <v>71715</v>
      </c>
      <c r="I38" s="33">
        <v>87309</v>
      </c>
      <c r="J38" s="33">
        <v>207720</v>
      </c>
      <c r="K38" s="33">
        <v>120331</v>
      </c>
      <c r="L38" s="33">
        <v>139036</v>
      </c>
      <c r="M38" s="33">
        <v>152502</v>
      </c>
      <c r="N38" s="33">
        <v>177628</v>
      </c>
      <c r="O38" s="33">
        <v>201442</v>
      </c>
      <c r="P38" s="33">
        <v>222544</v>
      </c>
      <c r="Q38" s="33">
        <v>251635</v>
      </c>
      <c r="R38" s="33">
        <v>256144</v>
      </c>
      <c r="S38" s="33">
        <v>283379</v>
      </c>
      <c r="T38" s="33">
        <v>325084</v>
      </c>
      <c r="U38" s="33">
        <v>415265</v>
      </c>
    </row>
    <row r="39" spans="1:21" s="35" customFormat="1" x14ac:dyDescent="0.25">
      <c r="A39" s="34"/>
      <c r="B39" s="35" t="s">
        <v>649</v>
      </c>
      <c r="D39" s="35">
        <f t="shared" ref="D39:U39" si="1">D38+D37</f>
        <v>31767.600000000002</v>
      </c>
      <c r="E39" s="35">
        <f t="shared" si="1"/>
        <v>40497</v>
      </c>
      <c r="F39" s="35">
        <f t="shared" si="1"/>
        <v>57851</v>
      </c>
      <c r="G39" s="35">
        <f t="shared" si="1"/>
        <v>72574</v>
      </c>
      <c r="H39" s="35">
        <f t="shared" si="1"/>
        <v>93798</v>
      </c>
      <c r="I39" s="35">
        <f t="shared" si="1"/>
        <v>110920</v>
      </c>
      <c r="J39" s="35">
        <f t="shared" si="1"/>
        <v>258374</v>
      </c>
      <c r="K39" s="35">
        <f t="shared" si="1"/>
        <v>147461</v>
      </c>
      <c r="L39" s="35">
        <f t="shared" si="1"/>
        <v>167497</v>
      </c>
      <c r="M39" s="35">
        <f t="shared" si="1"/>
        <v>197295</v>
      </c>
      <c r="N39" s="35">
        <f t="shared" si="1"/>
        <v>232792</v>
      </c>
      <c r="O39" s="35">
        <f t="shared" si="1"/>
        <v>275909</v>
      </c>
      <c r="P39" s="35">
        <f t="shared" si="1"/>
        <v>319616</v>
      </c>
      <c r="Q39" s="35">
        <f t="shared" si="1"/>
        <v>359268</v>
      </c>
      <c r="R39" s="35">
        <f t="shared" si="1"/>
        <v>365264</v>
      </c>
      <c r="S39" s="35">
        <f t="shared" si="1"/>
        <v>402392</v>
      </c>
      <c r="T39" s="35">
        <f t="shared" si="1"/>
        <v>450256</v>
      </c>
      <c r="U39" s="35">
        <f t="shared" si="1"/>
        <v>595281</v>
      </c>
    </row>
    <row r="42" spans="1:21" x14ac:dyDescent="0.25">
      <c r="B42" s="1" t="s">
        <v>699</v>
      </c>
      <c r="U42" s="47">
        <f>HARMEAN(C16:U16)</f>
        <v>0.18333878302765438</v>
      </c>
    </row>
    <row r="43" spans="1:21" x14ac:dyDescent="0.25">
      <c r="B43" s="1" t="s">
        <v>671</v>
      </c>
      <c r="U43" s="47">
        <v>7.3999999999999996E-2</v>
      </c>
    </row>
    <row r="44" spans="1:21" x14ac:dyDescent="0.25">
      <c r="B44" s="1" t="s">
        <v>677</v>
      </c>
      <c r="D44" s="33">
        <f>D9*(1-U42)</f>
        <v>5416.097190960596</v>
      </c>
      <c r="E44" s="33">
        <f t="shared" ref="E44:U44" si="2">E9*(1-V42)</f>
        <v>8312</v>
      </c>
      <c r="F44" s="33">
        <f t="shared" si="2"/>
        <v>10381</v>
      </c>
      <c r="G44" s="33">
        <f t="shared" si="2"/>
        <v>11742</v>
      </c>
      <c r="H44" s="33">
        <f t="shared" si="2"/>
        <v>13834</v>
      </c>
      <c r="I44" s="33">
        <f t="shared" si="2"/>
        <v>15403</v>
      </c>
      <c r="J44" s="33">
        <f t="shared" si="2"/>
        <v>16496</v>
      </c>
      <c r="K44" s="33">
        <f t="shared" si="2"/>
        <v>19360</v>
      </c>
      <c r="L44" s="33">
        <f t="shared" si="2"/>
        <v>23716</v>
      </c>
      <c r="M44" s="33">
        <f t="shared" si="2"/>
        <v>26178</v>
      </c>
      <c r="N44" s="33">
        <f t="shared" si="2"/>
        <v>27524</v>
      </c>
      <c r="O44" s="33">
        <f t="shared" si="2"/>
        <v>34231</v>
      </c>
      <c r="P44" s="33">
        <f t="shared" si="2"/>
        <v>41224</v>
      </c>
      <c r="Q44" s="33">
        <f t="shared" si="2"/>
        <v>78714</v>
      </c>
      <c r="R44" s="33">
        <f t="shared" si="2"/>
        <v>74842</v>
      </c>
      <c r="S44" s="33">
        <f t="shared" si="2"/>
        <v>84293</v>
      </c>
      <c r="T44" s="33">
        <f t="shared" si="2"/>
        <v>112390</v>
      </c>
      <c r="U44" s="33">
        <f t="shared" si="2"/>
        <v>129039</v>
      </c>
    </row>
    <row r="45" spans="1:21" x14ac:dyDescent="0.25">
      <c r="B45" s="1" t="s">
        <v>697</v>
      </c>
      <c r="D45" s="33">
        <f>D30+D35+D38</f>
        <v>28238.9</v>
      </c>
      <c r="E45" s="33">
        <f t="shared" ref="E45:U45" si="3">E30+E35+E38</f>
        <v>36004</v>
      </c>
      <c r="F45" s="33">
        <f t="shared" si="3"/>
        <v>52067</v>
      </c>
      <c r="G45" s="33">
        <f t="shared" si="3"/>
        <v>64356</v>
      </c>
      <c r="H45" s="33">
        <f t="shared" si="3"/>
        <v>77252</v>
      </c>
      <c r="I45" s="33">
        <f t="shared" si="3"/>
        <v>92554</v>
      </c>
      <c r="J45" s="33">
        <f t="shared" si="3"/>
        <v>218194</v>
      </c>
      <c r="K45" s="33">
        <f t="shared" si="3"/>
        <v>125551</v>
      </c>
      <c r="L45" s="33">
        <f t="shared" si="3"/>
        <v>142971</v>
      </c>
      <c r="M45" s="33">
        <f t="shared" si="3"/>
        <v>156471</v>
      </c>
      <c r="N45" s="33">
        <f t="shared" si="3"/>
        <v>181640</v>
      </c>
      <c r="O45" s="33">
        <f t="shared" si="3"/>
        <v>205996</v>
      </c>
      <c r="P45" s="33">
        <f t="shared" si="3"/>
        <v>236476</v>
      </c>
      <c r="Q45" s="33">
        <f t="shared" si="3"/>
        <v>266452</v>
      </c>
      <c r="R45" s="33">
        <f t="shared" si="3"/>
        <v>270845</v>
      </c>
      <c r="S45" s="33">
        <f t="shared" si="3"/>
        <v>296632</v>
      </c>
      <c r="T45" s="33">
        <f t="shared" si="3"/>
        <v>335967</v>
      </c>
      <c r="U45" s="33">
        <f t="shared" si="3"/>
        <v>461812</v>
      </c>
    </row>
    <row r="46" spans="1:21" x14ac:dyDescent="0.25">
      <c r="B46" s="34" t="s">
        <v>678</v>
      </c>
      <c r="D46" s="33">
        <f>D44-D45*$U$43</f>
        <v>3326.4185909605958</v>
      </c>
      <c r="E46" s="33">
        <f t="shared" ref="E46:U46" si="4">E44-E45*$U$43</f>
        <v>5647.7039999999997</v>
      </c>
      <c r="F46" s="33">
        <f t="shared" si="4"/>
        <v>6528.0420000000004</v>
      </c>
      <c r="G46" s="33">
        <f t="shared" si="4"/>
        <v>6979.6559999999999</v>
      </c>
      <c r="H46" s="33">
        <f t="shared" si="4"/>
        <v>8117.3519999999999</v>
      </c>
      <c r="I46" s="33">
        <f t="shared" si="4"/>
        <v>8554.0040000000008</v>
      </c>
      <c r="J46" s="33">
        <f t="shared" si="4"/>
        <v>349.64400000000023</v>
      </c>
      <c r="K46" s="33">
        <f t="shared" si="4"/>
        <v>10069.226000000001</v>
      </c>
      <c r="L46" s="33">
        <f t="shared" si="4"/>
        <v>13136.146000000001</v>
      </c>
      <c r="M46" s="33">
        <f t="shared" si="4"/>
        <v>14599.146000000001</v>
      </c>
      <c r="N46" s="33">
        <f t="shared" si="4"/>
        <v>14082.640000000001</v>
      </c>
      <c r="O46" s="33">
        <f t="shared" si="4"/>
        <v>18987.296000000002</v>
      </c>
      <c r="P46" s="33">
        <f t="shared" si="4"/>
        <v>23724.776000000002</v>
      </c>
      <c r="Q46" s="33">
        <f t="shared" si="4"/>
        <v>58996.551999999996</v>
      </c>
      <c r="R46" s="33">
        <f t="shared" si="4"/>
        <v>54799.47</v>
      </c>
      <c r="S46" s="33">
        <f t="shared" si="4"/>
        <v>62342.232000000004</v>
      </c>
      <c r="T46" s="33">
        <f t="shared" si="4"/>
        <v>87528.44200000001</v>
      </c>
      <c r="U46" s="33">
        <f t="shared" si="4"/>
        <v>94864.912000000011</v>
      </c>
    </row>
    <row r="47" spans="1:21" x14ac:dyDescent="0.25">
      <c r="B47" s="1"/>
    </row>
    <row r="48" spans="1:21" s="47" customFormat="1" x14ac:dyDescent="0.25">
      <c r="B48" s="47" t="s">
        <v>548</v>
      </c>
      <c r="D48" s="47">
        <f>D44/D45</f>
        <v>0.19179561494819541</v>
      </c>
      <c r="E48" s="47">
        <f t="shared" ref="E48:U48" si="5">E44/E45</f>
        <v>0.23086323741806467</v>
      </c>
      <c r="F48" s="47">
        <f t="shared" si="5"/>
        <v>0.19937772485451438</v>
      </c>
      <c r="G48" s="47">
        <f t="shared" si="5"/>
        <v>0.18245385045683385</v>
      </c>
      <c r="H48" s="47">
        <f t="shared" si="5"/>
        <v>0.17907626987003572</v>
      </c>
      <c r="I48" s="47">
        <f t="shared" si="5"/>
        <v>0.16642176459148172</v>
      </c>
      <c r="J48" s="47">
        <f t="shared" si="5"/>
        <v>7.5602445530124573E-2</v>
      </c>
      <c r="K48" s="47">
        <f t="shared" si="5"/>
        <v>0.15420028514308926</v>
      </c>
      <c r="L48" s="47">
        <f t="shared" si="5"/>
        <v>0.16587979380433795</v>
      </c>
      <c r="M48" s="47">
        <f t="shared" si="5"/>
        <v>0.16730256724888318</v>
      </c>
      <c r="N48" s="47">
        <f t="shared" si="5"/>
        <v>0.15153049988989209</v>
      </c>
      <c r="O48" s="47">
        <f t="shared" si="5"/>
        <v>0.16617312957533156</v>
      </c>
      <c r="P48" s="47">
        <f t="shared" si="5"/>
        <v>0.17432635870024865</v>
      </c>
      <c r="Q48" s="47">
        <f t="shared" si="5"/>
        <v>0.29541530932400584</v>
      </c>
      <c r="R48" s="47">
        <f t="shared" si="5"/>
        <v>0.27632778895678339</v>
      </c>
      <c r="S48" s="47">
        <f t="shared" si="5"/>
        <v>0.28416691388656651</v>
      </c>
      <c r="T48" s="47">
        <f t="shared" si="5"/>
        <v>0.33452690293987208</v>
      </c>
      <c r="U48" s="47">
        <f t="shared" si="5"/>
        <v>0.27941889773327677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</vt:lpstr>
      <vt:lpstr>Segments</vt:lpstr>
      <vt:lpstr>Forecast</vt:lpstr>
      <vt:lpstr>DCF</vt:lpstr>
      <vt:lpstr>Model2</vt:lpstr>
      <vt:lpstr>WACC</vt:lpstr>
      <vt:lpstr>META</vt:lpstr>
      <vt:lpstr>CRM</vt:lpstr>
      <vt:lpstr>GOOG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2026-04-17T08:25:45Z</dcterms:modified>
</cp:coreProperties>
</file>