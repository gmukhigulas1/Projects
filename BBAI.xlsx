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GegaMukhigulashvili\Desktop\Excel\"/>
    </mc:Choice>
  </mc:AlternateContent>
  <xr:revisionPtr revIDLastSave="0" documentId="13_ncr:1_{125D3381-B9F8-4BFD-B1B1-2B85D40E2F3B}" xr6:coauthVersionLast="47" xr6:coauthVersionMax="47" xr10:uidLastSave="{00000000-0000-0000-0000-000000000000}"/>
  <bookViews>
    <workbookView xWindow="-108" yWindow="-108" windowWidth="23256" windowHeight="12456" xr2:uid="{00000000-000D-0000-FFFF-FFFF00000000}"/>
  </bookViews>
  <sheets>
    <sheet name="Main" sheetId="1" r:id="rId1"/>
    <sheet name="Model" sheetId="2" r:id="rId2"/>
    <sheet name="Business" sheetId="3" r:id="rId3"/>
  </sheets>
  <definedNames>
    <definedName name="_xlnm._FilterDatabase" localSheetId="1" hidden="1">Model!$B$36:$T$65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1" l="1"/>
  <c r="F9" i="1"/>
  <c r="U143" i="2"/>
  <c r="U187" i="2"/>
  <c r="U170" i="2"/>
  <c r="U169" i="2"/>
  <c r="U168" i="2"/>
  <c r="U167" i="2"/>
  <c r="U166" i="2"/>
  <c r="U164" i="2"/>
  <c r="U163" i="2"/>
  <c r="U162" i="2"/>
  <c r="U161" i="2"/>
  <c r="U160" i="2"/>
  <c r="U158" i="2"/>
  <c r="W136" i="2"/>
  <c r="V136" i="2"/>
  <c r="U136" i="2"/>
  <c r="W135" i="2"/>
  <c r="V135" i="2"/>
  <c r="U135" i="2"/>
  <c r="U150" i="2"/>
  <c r="U151" i="2"/>
  <c r="W130" i="2"/>
  <c r="V130" i="2"/>
  <c r="U130" i="2"/>
  <c r="W129" i="2"/>
  <c r="V129" i="2"/>
  <c r="U129" i="2"/>
  <c r="W127" i="2"/>
  <c r="V127" i="2"/>
  <c r="U127" i="2"/>
  <c r="W124" i="2"/>
  <c r="V124" i="2"/>
  <c r="U124" i="2"/>
  <c r="W123" i="2"/>
  <c r="V123" i="2"/>
  <c r="U123" i="2"/>
  <c r="W121" i="2"/>
  <c r="V121" i="2"/>
  <c r="U121" i="2"/>
  <c r="W119" i="2"/>
  <c r="V119" i="2"/>
  <c r="U119" i="2"/>
  <c r="W118" i="2"/>
  <c r="V118" i="2"/>
  <c r="U118" i="2"/>
  <c r="W116" i="2"/>
  <c r="V116" i="2"/>
  <c r="U116" i="2"/>
  <c r="V115" i="2"/>
  <c r="U111" i="2"/>
  <c r="U93" i="2"/>
  <c r="U89" i="2"/>
  <c r="U110" i="2" s="1"/>
  <c r="U103" i="2"/>
  <c r="U26" i="2"/>
  <c r="U25" i="2"/>
  <c r="U24" i="2"/>
  <c r="U59" i="2"/>
  <c r="U65" i="2" s="1"/>
  <c r="U47" i="2"/>
  <c r="U36" i="2"/>
  <c r="F8" i="1"/>
  <c r="AJ201" i="2"/>
  <c r="AI201" i="2"/>
  <c r="AH201" i="2"/>
  <c r="AG201" i="2"/>
  <c r="AF201" i="2"/>
  <c r="AI199" i="2"/>
  <c r="AG199" i="2"/>
  <c r="AF199" i="2"/>
  <c r="AH199" i="2"/>
  <c r="AK33" i="2"/>
  <c r="K32" i="2"/>
  <c r="J32" i="2"/>
  <c r="O32" i="2"/>
  <c r="N32" i="2"/>
  <c r="AA32" i="2"/>
  <c r="Z32" i="2"/>
  <c r="Y32" i="2"/>
  <c r="X32" i="2"/>
  <c r="W32" i="2"/>
  <c r="V32" i="2"/>
  <c r="U32" i="2"/>
  <c r="AA11" i="2"/>
  <c r="AA5" i="2"/>
  <c r="AA12" i="2" s="1"/>
  <c r="AA17" i="2" s="1"/>
  <c r="AA19" i="2" s="1"/>
  <c r="AA21" i="2" s="1"/>
  <c r="Z11" i="2"/>
  <c r="Y11" i="2"/>
  <c r="X11" i="2"/>
  <c r="W11" i="2"/>
  <c r="V11" i="2"/>
  <c r="Z5" i="2"/>
  <c r="Y5" i="2"/>
  <c r="X5" i="2"/>
  <c r="W5" i="2"/>
  <c r="V5" i="2"/>
  <c r="V12" i="2" s="1"/>
  <c r="V17" i="2" s="1"/>
  <c r="V19" i="2" s="1"/>
  <c r="V21" i="2" s="1"/>
  <c r="AK32" i="2"/>
  <c r="AJ32" i="2"/>
  <c r="G103" i="2"/>
  <c r="G123" i="2"/>
  <c r="G130" i="2"/>
  <c r="G89" i="2"/>
  <c r="G110" i="2" s="1"/>
  <c r="K103" i="2"/>
  <c r="K123" i="2"/>
  <c r="K89" i="2"/>
  <c r="K110" i="2" s="1"/>
  <c r="K111" i="2"/>
  <c r="G125" i="2"/>
  <c r="AF125" i="2"/>
  <c r="AF130" i="2"/>
  <c r="AE130" i="2"/>
  <c r="AD130" i="2"/>
  <c r="AF129" i="2"/>
  <c r="AE129" i="2"/>
  <c r="AD129" i="2"/>
  <c r="AF127" i="2"/>
  <c r="AE127" i="2"/>
  <c r="AD127" i="2"/>
  <c r="AF124" i="2"/>
  <c r="AE124" i="2"/>
  <c r="AD124" i="2"/>
  <c r="AF123" i="2"/>
  <c r="AE123" i="2"/>
  <c r="AD123" i="2"/>
  <c r="AF121" i="2"/>
  <c r="AE121" i="2"/>
  <c r="AD121" i="2"/>
  <c r="AF119" i="2"/>
  <c r="AE119" i="2"/>
  <c r="AD119" i="2"/>
  <c r="AF118" i="2"/>
  <c r="AE118" i="2"/>
  <c r="AD118" i="2"/>
  <c r="AF116" i="2"/>
  <c r="AE116" i="2"/>
  <c r="AD116" i="2"/>
  <c r="AF143" i="2"/>
  <c r="AE143" i="2"/>
  <c r="AD143" i="2"/>
  <c r="AD151" i="2"/>
  <c r="AE151" i="2"/>
  <c r="AF151" i="2"/>
  <c r="E158" i="2"/>
  <c r="D158" i="2"/>
  <c r="C158" i="2"/>
  <c r="E151" i="2"/>
  <c r="D151" i="2"/>
  <c r="C151" i="2"/>
  <c r="E143" i="2"/>
  <c r="D143" i="2"/>
  <c r="C143" i="2"/>
  <c r="E130" i="2"/>
  <c r="D130" i="2"/>
  <c r="C130" i="2"/>
  <c r="E129" i="2"/>
  <c r="D129" i="2"/>
  <c r="C129" i="2"/>
  <c r="E127" i="2"/>
  <c r="D127" i="2"/>
  <c r="C127" i="2"/>
  <c r="E124" i="2"/>
  <c r="D124" i="2"/>
  <c r="C124" i="2"/>
  <c r="E123" i="2"/>
  <c r="D123" i="2"/>
  <c r="C123" i="2"/>
  <c r="E121" i="2"/>
  <c r="D121" i="2"/>
  <c r="C121" i="2"/>
  <c r="E119" i="2"/>
  <c r="D119" i="2"/>
  <c r="C119" i="2"/>
  <c r="E118" i="2"/>
  <c r="D118" i="2"/>
  <c r="C118" i="2"/>
  <c r="E116" i="2"/>
  <c r="D116" i="2"/>
  <c r="C116" i="2"/>
  <c r="E111" i="2"/>
  <c r="D111" i="2"/>
  <c r="C111" i="2"/>
  <c r="E103" i="2"/>
  <c r="D103" i="2"/>
  <c r="C103" i="2"/>
  <c r="E93" i="2"/>
  <c r="D93" i="2"/>
  <c r="C93" i="2"/>
  <c r="E89" i="2"/>
  <c r="E110" i="2" s="1"/>
  <c r="D89" i="2"/>
  <c r="D110" i="2" s="1"/>
  <c r="C89" i="2"/>
  <c r="C110" i="2" s="1"/>
  <c r="E59" i="2"/>
  <c r="E65" i="2" s="1"/>
  <c r="D59" i="2"/>
  <c r="D65" i="2" s="1"/>
  <c r="C59" i="2"/>
  <c r="C65" i="2" s="1"/>
  <c r="E47" i="2"/>
  <c r="D47" i="2"/>
  <c r="C47" i="2"/>
  <c r="E36" i="2"/>
  <c r="D36" i="2"/>
  <c r="C36" i="2"/>
  <c r="E11" i="2"/>
  <c r="D11" i="2"/>
  <c r="C11" i="2"/>
  <c r="E5" i="2"/>
  <c r="D5" i="2"/>
  <c r="C5" i="2"/>
  <c r="C12" i="2" s="1"/>
  <c r="C17" i="2" s="1"/>
  <c r="C19" i="2" s="1"/>
  <c r="AD98" i="2"/>
  <c r="AD103" i="2" s="1"/>
  <c r="AE98" i="2"/>
  <c r="AE103" i="2" s="1"/>
  <c r="AF102" i="2"/>
  <c r="AF98" i="2"/>
  <c r="AF74" i="2"/>
  <c r="AF89" i="2" s="1"/>
  <c r="AF110" i="2" s="1"/>
  <c r="AF111" i="2"/>
  <c r="AE111" i="2"/>
  <c r="AD111" i="2"/>
  <c r="AF93" i="2"/>
  <c r="AE93" i="2"/>
  <c r="AD93" i="2"/>
  <c r="AE89" i="2"/>
  <c r="AE110" i="2" s="1"/>
  <c r="AD89" i="2"/>
  <c r="AD110" i="2" s="1"/>
  <c r="AG32" i="2"/>
  <c r="AF32" i="2"/>
  <c r="AD11" i="2"/>
  <c r="AD5" i="2"/>
  <c r="AD26" i="2" s="1"/>
  <c r="AG59" i="2"/>
  <c r="AG67" i="2" s="1"/>
  <c r="AG47" i="2"/>
  <c r="AG36" i="2"/>
  <c r="AF59" i="2"/>
  <c r="AF65" i="2" s="1"/>
  <c r="AF37" i="2"/>
  <c r="AF47" i="2" s="1"/>
  <c r="AI59" i="2"/>
  <c r="AI65" i="2" s="1"/>
  <c r="S59" i="2"/>
  <c r="S65" i="2" s="1"/>
  <c r="R59" i="2"/>
  <c r="R65" i="2" s="1"/>
  <c r="Q59" i="2"/>
  <c r="Q65" i="2" s="1"/>
  <c r="P59" i="2"/>
  <c r="P65" i="2" s="1"/>
  <c r="N59" i="2"/>
  <c r="N65" i="2" s="1"/>
  <c r="M59" i="2"/>
  <c r="M67" i="2" s="1"/>
  <c r="L59" i="2"/>
  <c r="L67" i="2" s="1"/>
  <c r="K59" i="2"/>
  <c r="K65" i="2" s="1"/>
  <c r="J59" i="2"/>
  <c r="J65" i="2" s="1"/>
  <c r="I59" i="2"/>
  <c r="I67" i="2" s="1"/>
  <c r="H59" i="2"/>
  <c r="H65" i="2" s="1"/>
  <c r="G59" i="2"/>
  <c r="G65" i="2" s="1"/>
  <c r="F59" i="2"/>
  <c r="F65" i="2" s="1"/>
  <c r="T59" i="2"/>
  <c r="T67" i="2" s="1"/>
  <c r="G37" i="2"/>
  <c r="G36" i="2" s="1"/>
  <c r="Q163" i="2"/>
  <c r="P163" i="2"/>
  <c r="O163" i="2"/>
  <c r="N163" i="2"/>
  <c r="M163" i="2"/>
  <c r="L163" i="2"/>
  <c r="K163" i="2"/>
  <c r="Q162" i="2"/>
  <c r="P162" i="2"/>
  <c r="O162" i="2"/>
  <c r="N162" i="2"/>
  <c r="M162" i="2"/>
  <c r="L162" i="2"/>
  <c r="K162" i="2"/>
  <c r="Q161" i="2"/>
  <c r="P161" i="2"/>
  <c r="O161" i="2"/>
  <c r="N161" i="2"/>
  <c r="M161" i="2"/>
  <c r="L161" i="2"/>
  <c r="K161" i="2"/>
  <c r="Q160" i="2"/>
  <c r="P160" i="2"/>
  <c r="O160" i="2"/>
  <c r="N160" i="2"/>
  <c r="M160" i="2"/>
  <c r="L160" i="2"/>
  <c r="K160" i="2"/>
  <c r="N169" i="2"/>
  <c r="M169" i="2"/>
  <c r="L169" i="2"/>
  <c r="K169" i="2"/>
  <c r="N168" i="2"/>
  <c r="M168" i="2"/>
  <c r="L168" i="2"/>
  <c r="K168" i="2"/>
  <c r="N167" i="2"/>
  <c r="M167" i="2"/>
  <c r="L167" i="2"/>
  <c r="K167" i="2"/>
  <c r="N166" i="2"/>
  <c r="M166" i="2"/>
  <c r="L166" i="2"/>
  <c r="K166" i="2"/>
  <c r="R163" i="2"/>
  <c r="R162" i="2"/>
  <c r="R161" i="2"/>
  <c r="R160" i="2"/>
  <c r="S169" i="2"/>
  <c r="R169" i="2"/>
  <c r="Q169" i="2"/>
  <c r="P169" i="2"/>
  <c r="O169" i="2"/>
  <c r="S168" i="2"/>
  <c r="R168" i="2"/>
  <c r="Q168" i="2"/>
  <c r="P168" i="2"/>
  <c r="O168" i="2"/>
  <c r="S167" i="2"/>
  <c r="R167" i="2"/>
  <c r="Q167" i="2"/>
  <c r="P167" i="2"/>
  <c r="O167" i="2"/>
  <c r="S166" i="2"/>
  <c r="R166" i="2"/>
  <c r="Q166" i="2"/>
  <c r="P166" i="2"/>
  <c r="O166" i="2"/>
  <c r="L151" i="2"/>
  <c r="S151" i="2"/>
  <c r="O151" i="2"/>
  <c r="O143" i="2"/>
  <c r="AH187" i="2"/>
  <c r="AG187" i="2"/>
  <c r="AI187" i="2"/>
  <c r="S103" i="2"/>
  <c r="S111" i="2"/>
  <c r="S123" i="2"/>
  <c r="S130" i="2"/>
  <c r="S89" i="2"/>
  <c r="R111" i="2"/>
  <c r="R123" i="2"/>
  <c r="R89" i="2"/>
  <c r="Q103" i="2"/>
  <c r="Q123" i="2"/>
  <c r="Q89" i="2"/>
  <c r="Q110" i="2" s="1"/>
  <c r="O103" i="2"/>
  <c r="O111" i="2"/>
  <c r="O123" i="2"/>
  <c r="O89" i="2"/>
  <c r="N103" i="2"/>
  <c r="N93" i="2"/>
  <c r="N123" i="2"/>
  <c r="N130" i="2"/>
  <c r="N89" i="2"/>
  <c r="M93" i="2"/>
  <c r="M130" i="2"/>
  <c r="M121" i="2"/>
  <c r="P32" i="2"/>
  <c r="Q32" i="2"/>
  <c r="R32" i="2"/>
  <c r="S32" i="2"/>
  <c r="AH54" i="2"/>
  <c r="AH59" i="2" s="1"/>
  <c r="AH47" i="2"/>
  <c r="AH36" i="2"/>
  <c r="AI47" i="2"/>
  <c r="AI36" i="2"/>
  <c r="L36" i="2"/>
  <c r="O54" i="2"/>
  <c r="T47" i="2"/>
  <c r="S47" i="2"/>
  <c r="R47" i="2"/>
  <c r="Q47" i="2"/>
  <c r="P47" i="2"/>
  <c r="O47" i="2"/>
  <c r="N47" i="2"/>
  <c r="M47" i="2"/>
  <c r="K47" i="2"/>
  <c r="J47" i="2"/>
  <c r="I47" i="2"/>
  <c r="H47" i="2"/>
  <c r="F47" i="2"/>
  <c r="L47" i="2"/>
  <c r="S118" i="2"/>
  <c r="S116" i="2"/>
  <c r="Q5" i="2"/>
  <c r="Q26" i="2" s="1"/>
  <c r="AI130" i="2"/>
  <c r="AH130" i="2"/>
  <c r="AG130" i="2"/>
  <c r="AI129" i="2"/>
  <c r="AH129" i="2"/>
  <c r="AG129" i="2"/>
  <c r="AI127" i="2"/>
  <c r="AH127" i="2"/>
  <c r="AG127" i="2"/>
  <c r="AI124" i="2"/>
  <c r="AH124" i="2"/>
  <c r="AG124" i="2"/>
  <c r="AI123" i="2"/>
  <c r="AG123" i="2"/>
  <c r="AI121" i="2"/>
  <c r="AH121" i="2"/>
  <c r="AG121" i="2"/>
  <c r="AI119" i="2"/>
  <c r="AH119" i="2"/>
  <c r="AG119" i="2"/>
  <c r="AI118" i="2"/>
  <c r="AH118" i="2"/>
  <c r="AG118" i="2"/>
  <c r="AI116" i="2"/>
  <c r="AH116" i="2"/>
  <c r="AG116" i="2"/>
  <c r="AI158" i="2"/>
  <c r="AH158" i="2"/>
  <c r="AG158" i="2"/>
  <c r="AI151" i="2"/>
  <c r="AH151" i="2"/>
  <c r="AG151" i="2"/>
  <c r="AI143" i="2"/>
  <c r="AH143" i="2"/>
  <c r="AG143" i="2"/>
  <c r="S36" i="2"/>
  <c r="R36" i="2"/>
  <c r="Q36" i="2"/>
  <c r="P36" i="2"/>
  <c r="O36" i="2"/>
  <c r="N36" i="2"/>
  <c r="M36" i="2"/>
  <c r="K36" i="2"/>
  <c r="J36" i="2"/>
  <c r="I36" i="2"/>
  <c r="H36" i="2"/>
  <c r="F36" i="2"/>
  <c r="T36" i="2"/>
  <c r="AG98" i="2"/>
  <c r="AG103" i="2" s="1"/>
  <c r="T103" i="2"/>
  <c r="R103" i="2"/>
  <c r="P103" i="2"/>
  <c r="M103" i="2"/>
  <c r="L103" i="2"/>
  <c r="J103" i="2"/>
  <c r="I103" i="2"/>
  <c r="H103" i="2"/>
  <c r="F103" i="2"/>
  <c r="AH98" i="2"/>
  <c r="AH95" i="2"/>
  <c r="AI98" i="2"/>
  <c r="AI103" i="2" s="1"/>
  <c r="AG76" i="2"/>
  <c r="AG89" i="2" s="1"/>
  <c r="AG110" i="2" s="1"/>
  <c r="AH81" i="2"/>
  <c r="AH89" i="2" s="1"/>
  <c r="AH110" i="2" s="1"/>
  <c r="AI111" i="2"/>
  <c r="AH111" i="2"/>
  <c r="AG111" i="2"/>
  <c r="AI93" i="2"/>
  <c r="AH93" i="2"/>
  <c r="AG93" i="2"/>
  <c r="AI89" i="2"/>
  <c r="AI110" i="2" s="1"/>
  <c r="S163" i="2"/>
  <c r="S162" i="2"/>
  <c r="S161" i="2"/>
  <c r="S160" i="2"/>
  <c r="AH32" i="2"/>
  <c r="AI32" i="2"/>
  <c r="AI11" i="2"/>
  <c r="AH11" i="2"/>
  <c r="AG11" i="2"/>
  <c r="AF11" i="2"/>
  <c r="AE11" i="2"/>
  <c r="AI5" i="2"/>
  <c r="AI26" i="2" s="1"/>
  <c r="AH5" i="2"/>
  <c r="AH26" i="2" s="1"/>
  <c r="AG5" i="2"/>
  <c r="AG26" i="2" s="1"/>
  <c r="AF5" i="2"/>
  <c r="AF25" i="2" s="1"/>
  <c r="AE5" i="2"/>
  <c r="AE25" i="2" s="1"/>
  <c r="F158" i="2"/>
  <c r="G158" i="2"/>
  <c r="H158" i="2"/>
  <c r="I158" i="2"/>
  <c r="J158" i="2"/>
  <c r="K158" i="2"/>
  <c r="L158" i="2"/>
  <c r="M158" i="2"/>
  <c r="N158" i="2"/>
  <c r="O158" i="2"/>
  <c r="P158" i="2"/>
  <c r="Q158" i="2"/>
  <c r="R158" i="2"/>
  <c r="S158" i="2"/>
  <c r="T166" i="2"/>
  <c r="T169" i="2"/>
  <c r="T168" i="2"/>
  <c r="T167" i="2"/>
  <c r="T163" i="2"/>
  <c r="T162" i="2"/>
  <c r="T161" i="2"/>
  <c r="T160" i="2"/>
  <c r="T158" i="2"/>
  <c r="R151" i="2"/>
  <c r="Q151" i="2"/>
  <c r="P151" i="2"/>
  <c r="N151" i="2"/>
  <c r="M151" i="2"/>
  <c r="K151" i="2"/>
  <c r="J151" i="2"/>
  <c r="I151" i="2"/>
  <c r="H151" i="2"/>
  <c r="G151" i="2"/>
  <c r="F151" i="2"/>
  <c r="T151" i="2"/>
  <c r="S143" i="2"/>
  <c r="R143" i="2"/>
  <c r="Q143" i="2"/>
  <c r="P143" i="2"/>
  <c r="N143" i="2"/>
  <c r="M143" i="2"/>
  <c r="L143" i="2"/>
  <c r="K143" i="2"/>
  <c r="J143" i="2"/>
  <c r="I143" i="2"/>
  <c r="H143" i="2"/>
  <c r="G143" i="2"/>
  <c r="F143" i="2"/>
  <c r="T143" i="2"/>
  <c r="R130" i="2"/>
  <c r="Q130" i="2"/>
  <c r="P130" i="2"/>
  <c r="O130" i="2"/>
  <c r="L130" i="2"/>
  <c r="K130" i="2"/>
  <c r="J130" i="2"/>
  <c r="I130" i="2"/>
  <c r="H130" i="2"/>
  <c r="F130" i="2"/>
  <c r="S129" i="2"/>
  <c r="R129" i="2"/>
  <c r="Q129" i="2"/>
  <c r="P129" i="2"/>
  <c r="O129" i="2"/>
  <c r="N129" i="2"/>
  <c r="M129" i="2"/>
  <c r="L129" i="2"/>
  <c r="K129" i="2"/>
  <c r="J129" i="2"/>
  <c r="I129" i="2"/>
  <c r="H129" i="2"/>
  <c r="G129" i="2"/>
  <c r="F129" i="2"/>
  <c r="S127" i="2"/>
  <c r="R127" i="2"/>
  <c r="Q127" i="2"/>
  <c r="P127" i="2"/>
  <c r="O127" i="2"/>
  <c r="N127" i="2"/>
  <c r="M127" i="2"/>
  <c r="L127" i="2"/>
  <c r="K127" i="2"/>
  <c r="J127" i="2"/>
  <c r="I127" i="2"/>
  <c r="H127" i="2"/>
  <c r="G127" i="2"/>
  <c r="F127" i="2"/>
  <c r="S124" i="2"/>
  <c r="R124" i="2"/>
  <c r="Q124" i="2"/>
  <c r="P124" i="2"/>
  <c r="O124" i="2"/>
  <c r="N124" i="2"/>
  <c r="M124" i="2"/>
  <c r="L124" i="2"/>
  <c r="K124" i="2"/>
  <c r="J124" i="2"/>
  <c r="I124" i="2"/>
  <c r="H124" i="2"/>
  <c r="G124" i="2"/>
  <c r="F124" i="2"/>
  <c r="P123" i="2"/>
  <c r="M123" i="2"/>
  <c r="L123" i="2"/>
  <c r="J123" i="2"/>
  <c r="I123" i="2"/>
  <c r="H123" i="2"/>
  <c r="F123" i="2"/>
  <c r="S121" i="2"/>
  <c r="R121" i="2"/>
  <c r="Q121" i="2"/>
  <c r="P121" i="2"/>
  <c r="O121" i="2"/>
  <c r="N121" i="2"/>
  <c r="L121" i="2"/>
  <c r="K121" i="2"/>
  <c r="J121" i="2"/>
  <c r="I121" i="2"/>
  <c r="H121" i="2"/>
  <c r="G121" i="2"/>
  <c r="F121" i="2"/>
  <c r="T130" i="2"/>
  <c r="T129" i="2"/>
  <c r="T127" i="2"/>
  <c r="T124" i="2"/>
  <c r="T123" i="2"/>
  <c r="T121" i="2"/>
  <c r="S119" i="2"/>
  <c r="R119" i="2"/>
  <c r="Q119" i="2"/>
  <c r="P119" i="2"/>
  <c r="O119" i="2"/>
  <c r="N119" i="2"/>
  <c r="M119" i="2"/>
  <c r="L119" i="2"/>
  <c r="K119" i="2"/>
  <c r="J119" i="2"/>
  <c r="I119" i="2"/>
  <c r="H119" i="2"/>
  <c r="G119" i="2"/>
  <c r="F119" i="2"/>
  <c r="R118" i="2"/>
  <c r="Q118" i="2"/>
  <c r="P118" i="2"/>
  <c r="O118" i="2"/>
  <c r="N118" i="2"/>
  <c r="M118" i="2"/>
  <c r="L118" i="2"/>
  <c r="K118" i="2"/>
  <c r="J118" i="2"/>
  <c r="I118" i="2"/>
  <c r="H118" i="2"/>
  <c r="G118" i="2"/>
  <c r="F118" i="2"/>
  <c r="R116" i="2"/>
  <c r="Q116" i="2"/>
  <c r="P116" i="2"/>
  <c r="O116" i="2"/>
  <c r="N116" i="2"/>
  <c r="M116" i="2"/>
  <c r="L116" i="2"/>
  <c r="K116" i="2"/>
  <c r="J116" i="2"/>
  <c r="I116" i="2"/>
  <c r="H116" i="2"/>
  <c r="G116" i="2"/>
  <c r="F116" i="2"/>
  <c r="T119" i="2"/>
  <c r="T118" i="2"/>
  <c r="T116" i="2"/>
  <c r="Q111" i="2"/>
  <c r="P111" i="2"/>
  <c r="N111" i="2"/>
  <c r="L111" i="2"/>
  <c r="J111" i="2"/>
  <c r="I111" i="2"/>
  <c r="H111" i="2"/>
  <c r="G111" i="2"/>
  <c r="F111" i="2"/>
  <c r="T111" i="2"/>
  <c r="S93" i="2"/>
  <c r="Q93" i="2"/>
  <c r="P93" i="2"/>
  <c r="L93" i="2"/>
  <c r="K93" i="2"/>
  <c r="J93" i="2"/>
  <c r="I93" i="2"/>
  <c r="H93" i="2"/>
  <c r="G93" i="2"/>
  <c r="F93" i="2"/>
  <c r="T93" i="2"/>
  <c r="P89" i="2"/>
  <c r="M89" i="2"/>
  <c r="L89" i="2"/>
  <c r="J89" i="2"/>
  <c r="J110" i="2" s="1"/>
  <c r="I89" i="2"/>
  <c r="I110" i="2" s="1"/>
  <c r="H89" i="2"/>
  <c r="H110" i="2" s="1"/>
  <c r="F89" i="2"/>
  <c r="F110" i="2" s="1"/>
  <c r="T89" i="2"/>
  <c r="T110" i="2" s="1"/>
  <c r="T32" i="2"/>
  <c r="U11" i="2"/>
  <c r="S11" i="2"/>
  <c r="R11" i="2"/>
  <c r="Q11" i="2"/>
  <c r="P11" i="2"/>
  <c r="O11" i="2"/>
  <c r="N11" i="2"/>
  <c r="M11" i="2"/>
  <c r="L11" i="2"/>
  <c r="K11" i="2"/>
  <c r="J11" i="2"/>
  <c r="I11" i="2"/>
  <c r="H11" i="2"/>
  <c r="G11" i="2"/>
  <c r="F11" i="2"/>
  <c r="T11" i="2"/>
  <c r="U5" i="2"/>
  <c r="S5" i="2"/>
  <c r="S25" i="2" s="1"/>
  <c r="R5" i="2"/>
  <c r="R25" i="2" s="1"/>
  <c r="P5" i="2"/>
  <c r="P24" i="2" s="1"/>
  <c r="O5" i="2"/>
  <c r="O26" i="2" s="1"/>
  <c r="N5" i="2"/>
  <c r="N24" i="2" s="1"/>
  <c r="M5" i="2"/>
  <c r="M25" i="2" s="1"/>
  <c r="L5" i="2"/>
  <c r="L26" i="2" s="1"/>
  <c r="K5" i="2"/>
  <c r="J5" i="2"/>
  <c r="I5" i="2"/>
  <c r="H5" i="2"/>
  <c r="G5" i="2"/>
  <c r="F5" i="2"/>
  <c r="T5" i="2"/>
  <c r="T24" i="2" s="1"/>
  <c r="V120" i="2" l="1"/>
  <c r="V133" i="2" s="1"/>
  <c r="U105" i="2"/>
  <c r="U67" i="2"/>
  <c r="D12" i="2"/>
  <c r="D17" i="2" s="1"/>
  <c r="D19" i="2" s="1"/>
  <c r="W12" i="2"/>
  <c r="W17" i="2" s="1"/>
  <c r="W19" i="2" s="1"/>
  <c r="X12" i="2"/>
  <c r="X17" i="2" s="1"/>
  <c r="X19" i="2" s="1"/>
  <c r="X21" i="2" s="1"/>
  <c r="E12" i="2"/>
  <c r="E17" i="2" s="1"/>
  <c r="E19" i="2" s="1"/>
  <c r="Y12" i="2"/>
  <c r="Y17" i="2" s="1"/>
  <c r="Y19" i="2" s="1"/>
  <c r="Y21" i="2" s="1"/>
  <c r="Z12" i="2"/>
  <c r="Z17" i="2" s="1"/>
  <c r="Z19" i="2" s="1"/>
  <c r="Z21" i="2" s="1"/>
  <c r="D105" i="2"/>
  <c r="D107" i="2" s="1"/>
  <c r="E105" i="2"/>
  <c r="E107" i="2" s="1"/>
  <c r="D67" i="2"/>
  <c r="E67" i="2"/>
  <c r="C67" i="2"/>
  <c r="C105" i="2"/>
  <c r="C107" i="2" s="1"/>
  <c r="C21" i="2"/>
  <c r="C115" i="2"/>
  <c r="C120" i="2" s="1"/>
  <c r="C133" i="2" s="1"/>
  <c r="C71" i="2"/>
  <c r="D21" i="2"/>
  <c r="D115" i="2"/>
  <c r="D120" i="2" s="1"/>
  <c r="D133" i="2" s="1"/>
  <c r="D71" i="2"/>
  <c r="E21" i="2"/>
  <c r="E115" i="2"/>
  <c r="E120" i="2" s="1"/>
  <c r="E133" i="2" s="1"/>
  <c r="E71" i="2"/>
  <c r="AD105" i="2"/>
  <c r="AD107" i="2" s="1"/>
  <c r="Q164" i="2"/>
  <c r="P170" i="2"/>
  <c r="S170" i="2"/>
  <c r="M164" i="2"/>
  <c r="AF36" i="2"/>
  <c r="AE26" i="2"/>
  <c r="AF26" i="2"/>
  <c r="K170" i="2"/>
  <c r="AF103" i="2"/>
  <c r="AF105" i="2" s="1"/>
  <c r="G47" i="2"/>
  <c r="AG65" i="2"/>
  <c r="AD12" i="2"/>
  <c r="O170" i="2"/>
  <c r="L164" i="2"/>
  <c r="AE24" i="2"/>
  <c r="AD24" i="2"/>
  <c r="K164" i="2"/>
  <c r="R170" i="2"/>
  <c r="AF24" i="2"/>
  <c r="N164" i="2"/>
  <c r="AD25" i="2"/>
  <c r="O59" i="2"/>
  <c r="O65" i="2" s="1"/>
  <c r="AF67" i="2"/>
  <c r="AE105" i="2"/>
  <c r="AE107" i="2" s="1"/>
  <c r="AF106" i="2" s="1"/>
  <c r="N170" i="2"/>
  <c r="L65" i="2"/>
  <c r="AI67" i="2"/>
  <c r="O164" i="2"/>
  <c r="L170" i="2"/>
  <c r="P164" i="2"/>
  <c r="M170" i="2"/>
  <c r="R164" i="2"/>
  <c r="Q170" i="2"/>
  <c r="S110" i="2"/>
  <c r="R93" i="2"/>
  <c r="R105" i="2" s="1"/>
  <c r="R110" i="2"/>
  <c r="O93" i="2"/>
  <c r="O105" i="2" s="1"/>
  <c r="O110" i="2"/>
  <c r="N110" i="2"/>
  <c r="M110" i="2"/>
  <c r="M111" i="2"/>
  <c r="AH67" i="2"/>
  <c r="AH65" i="2"/>
  <c r="AH103" i="2"/>
  <c r="AH105" i="2" s="1"/>
  <c r="Q24" i="2"/>
  <c r="Q25" i="2"/>
  <c r="L24" i="2"/>
  <c r="L25" i="2"/>
  <c r="I65" i="2"/>
  <c r="Q12" i="2"/>
  <c r="Q28" i="2" s="1"/>
  <c r="R24" i="2"/>
  <c r="S24" i="2"/>
  <c r="J67" i="2"/>
  <c r="G67" i="2"/>
  <c r="K67" i="2"/>
  <c r="P26" i="2"/>
  <c r="AG24" i="2"/>
  <c r="N67" i="2"/>
  <c r="AH24" i="2"/>
  <c r="N25" i="2"/>
  <c r="R26" i="2"/>
  <c r="O25" i="2"/>
  <c r="M65" i="2"/>
  <c r="P25" i="2"/>
  <c r="AH25" i="2"/>
  <c r="F67" i="2"/>
  <c r="M24" i="2"/>
  <c r="AI25" i="2"/>
  <c r="M26" i="2"/>
  <c r="AI24" i="2"/>
  <c r="S26" i="2"/>
  <c r="H67" i="2"/>
  <c r="O24" i="2"/>
  <c r="N26" i="2"/>
  <c r="AG25" i="2"/>
  <c r="S164" i="2"/>
  <c r="N105" i="2"/>
  <c r="M105" i="2"/>
  <c r="P105" i="2"/>
  <c r="K105" i="2"/>
  <c r="K107" i="2" s="1"/>
  <c r="F105" i="2"/>
  <c r="F107" i="2" s="1"/>
  <c r="J105" i="2"/>
  <c r="J107" i="2" s="1"/>
  <c r="AF12" i="2"/>
  <c r="L105" i="2"/>
  <c r="L107" i="2" s="1"/>
  <c r="M106" i="2" s="1"/>
  <c r="G105" i="2"/>
  <c r="G107" i="2" s="1"/>
  <c r="T65" i="2"/>
  <c r="T105" i="2"/>
  <c r="Q105" i="2"/>
  <c r="I105" i="2"/>
  <c r="I107" i="2" s="1"/>
  <c r="AE12" i="2"/>
  <c r="S105" i="2"/>
  <c r="H105" i="2"/>
  <c r="H107" i="2" s="1"/>
  <c r="R67" i="2"/>
  <c r="S67" i="2"/>
  <c r="L110" i="2"/>
  <c r="AG105" i="2"/>
  <c r="AG12" i="2"/>
  <c r="AI105" i="2"/>
  <c r="AH12" i="2"/>
  <c r="AI12" i="2"/>
  <c r="T170" i="2"/>
  <c r="T164" i="2"/>
  <c r="P110" i="2"/>
  <c r="P67" i="2"/>
  <c r="Q67" i="2"/>
  <c r="F12" i="1"/>
  <c r="O12" i="2"/>
  <c r="F12" i="2"/>
  <c r="F17" i="2" s="1"/>
  <c r="F19" i="2" s="1"/>
  <c r="R12" i="2"/>
  <c r="T12" i="2"/>
  <c r="T17" i="2" s="1"/>
  <c r="T19" i="2" s="1"/>
  <c r="T115" i="2" s="1"/>
  <c r="T120" i="2" s="1"/>
  <c r="T133" i="2" s="1"/>
  <c r="K12" i="2"/>
  <c r="K17" i="2" s="1"/>
  <c r="K19" i="2" s="1"/>
  <c r="L12" i="2"/>
  <c r="M12" i="2"/>
  <c r="T26" i="2"/>
  <c r="G12" i="2"/>
  <c r="G17" i="2" s="1"/>
  <c r="G19" i="2" s="1"/>
  <c r="G115" i="2" s="1"/>
  <c r="G120" i="2" s="1"/>
  <c r="G133" i="2" s="1"/>
  <c r="S12" i="2"/>
  <c r="H12" i="2"/>
  <c r="H17" i="2" s="1"/>
  <c r="H19" i="2" s="1"/>
  <c r="H115" i="2" s="1"/>
  <c r="H120" i="2" s="1"/>
  <c r="H133" i="2" s="1"/>
  <c r="U12" i="2"/>
  <c r="I12" i="2"/>
  <c r="I17" i="2" s="1"/>
  <c r="I19" i="2" s="1"/>
  <c r="I115" i="2" s="1"/>
  <c r="I120" i="2" s="1"/>
  <c r="I133" i="2" s="1"/>
  <c r="N12" i="2"/>
  <c r="J12" i="2"/>
  <c r="J17" i="2" s="1"/>
  <c r="J19" i="2" s="1"/>
  <c r="P12" i="2"/>
  <c r="T25" i="2"/>
  <c r="W21" i="2" l="1"/>
  <c r="W115" i="2"/>
  <c r="W120" i="2" s="1"/>
  <c r="W133" i="2" s="1"/>
  <c r="U17" i="2"/>
  <c r="U28" i="2"/>
  <c r="U27" i="2"/>
  <c r="K115" i="2"/>
  <c r="K120" i="2" s="1"/>
  <c r="K133" i="2" s="1"/>
  <c r="K33" i="2"/>
  <c r="J33" i="2"/>
  <c r="U107" i="2"/>
  <c r="J115" i="2"/>
  <c r="J120" i="2" s="1"/>
  <c r="J133" i="2" s="1"/>
  <c r="J20" i="2"/>
  <c r="F115" i="2"/>
  <c r="F120" i="2" s="1"/>
  <c r="F133" i="2" s="1"/>
  <c r="F21" i="2"/>
  <c r="M107" i="2"/>
  <c r="N106" i="2" s="1"/>
  <c r="N107" i="2" s="1"/>
  <c r="O106" i="2" s="1"/>
  <c r="O107" i="2" s="1"/>
  <c r="P106" i="2" s="1"/>
  <c r="P107" i="2" s="1"/>
  <c r="Q106" i="2" s="1"/>
  <c r="Q107" i="2" s="1"/>
  <c r="R106" i="2" s="1"/>
  <c r="R107" i="2" s="1"/>
  <c r="S106" i="2" s="1"/>
  <c r="S107" i="2" s="1"/>
  <c r="T106" i="2" s="1"/>
  <c r="T107" i="2" s="1"/>
  <c r="U106" i="2" s="1"/>
  <c r="AF17" i="2"/>
  <c r="AF27" i="2"/>
  <c r="AF28" i="2"/>
  <c r="AE17" i="2"/>
  <c r="AE27" i="2"/>
  <c r="AE28" i="2"/>
  <c r="O67" i="2"/>
  <c r="AF107" i="2"/>
  <c r="AG106" i="2" s="1"/>
  <c r="AG107" i="2" s="1"/>
  <c r="AH106" i="2" s="1"/>
  <c r="AH107" i="2" s="1"/>
  <c r="AI106" i="2" s="1"/>
  <c r="AI107" i="2" s="1"/>
  <c r="AD17" i="2"/>
  <c r="AD28" i="2"/>
  <c r="AD27" i="2"/>
  <c r="Q27" i="2"/>
  <c r="T29" i="2"/>
  <c r="Q17" i="2"/>
  <c r="Q19" i="2" s="1"/>
  <c r="N17" i="2"/>
  <c r="N27" i="2"/>
  <c r="N28" i="2"/>
  <c r="AG17" i="2"/>
  <c r="AG28" i="2"/>
  <c r="AG27" i="2"/>
  <c r="O17" i="2"/>
  <c r="O27" i="2"/>
  <c r="O28" i="2"/>
  <c r="S17" i="2"/>
  <c r="S28" i="2"/>
  <c r="S27" i="2"/>
  <c r="M17" i="2"/>
  <c r="M28" i="2"/>
  <c r="M27" i="2"/>
  <c r="L17" i="2"/>
  <c r="L28" i="2"/>
  <c r="L27" i="2"/>
  <c r="AI17" i="2"/>
  <c r="AI28" i="2"/>
  <c r="AI27" i="2"/>
  <c r="AH17" i="2"/>
  <c r="AH28" i="2"/>
  <c r="AH27" i="2"/>
  <c r="R17" i="2"/>
  <c r="R28" i="2"/>
  <c r="R27" i="2"/>
  <c r="P27" i="2"/>
  <c r="P28" i="2"/>
  <c r="T28" i="2"/>
  <c r="T27" i="2"/>
  <c r="T136" i="2"/>
  <c r="T135" i="2"/>
  <c r="H21" i="2"/>
  <c r="H71" i="2"/>
  <c r="G21" i="2"/>
  <c r="G71" i="2"/>
  <c r="T71" i="2"/>
  <c r="K21" i="2"/>
  <c r="K71" i="2"/>
  <c r="J71" i="2"/>
  <c r="I21" i="2"/>
  <c r="I71" i="2"/>
  <c r="F71" i="2"/>
  <c r="P17" i="2"/>
  <c r="P29" i="2" s="1"/>
  <c r="T21" i="2"/>
  <c r="T30" i="2"/>
  <c r="U19" i="2" l="1"/>
  <c r="U29" i="2"/>
  <c r="AF19" i="2"/>
  <c r="AF29" i="2"/>
  <c r="AD29" i="2"/>
  <c r="AD19" i="2"/>
  <c r="AD115" i="2" s="1"/>
  <c r="AD120" i="2" s="1"/>
  <c r="AE19" i="2"/>
  <c r="AE115" i="2" s="1"/>
  <c r="AE120" i="2" s="1"/>
  <c r="AE29" i="2"/>
  <c r="Q71" i="2"/>
  <c r="Q29" i="2"/>
  <c r="S19" i="2"/>
  <c r="S29" i="2"/>
  <c r="L19" i="2"/>
  <c r="L29" i="2"/>
  <c r="AH19" i="2"/>
  <c r="AH29" i="2"/>
  <c r="AI19" i="2"/>
  <c r="AI29" i="2"/>
  <c r="O19" i="2"/>
  <c r="O33" i="2" s="1"/>
  <c r="O29" i="2"/>
  <c r="AG19" i="2"/>
  <c r="AG33" i="2" s="1"/>
  <c r="AG29" i="2"/>
  <c r="R19" i="2"/>
  <c r="R29" i="2"/>
  <c r="M19" i="2"/>
  <c r="Q33" i="2" s="1"/>
  <c r="M29" i="2"/>
  <c r="N19" i="2"/>
  <c r="N33" i="2" s="1"/>
  <c r="N29" i="2"/>
  <c r="Q115" i="2"/>
  <c r="Q120" i="2" s="1"/>
  <c r="Q133" i="2" s="1"/>
  <c r="Q30" i="2"/>
  <c r="P19" i="2"/>
  <c r="AJ33" i="2" l="1"/>
  <c r="AI33" i="2"/>
  <c r="AH33" i="2"/>
  <c r="AF115" i="2"/>
  <c r="AF120" i="2" s="1"/>
  <c r="AF33" i="2"/>
  <c r="U21" i="2"/>
  <c r="U71" i="2"/>
  <c r="U33" i="2"/>
  <c r="U30" i="2"/>
  <c r="U115" i="2"/>
  <c r="U120" i="2" s="1"/>
  <c r="U133" i="2" s="1"/>
  <c r="S33" i="2"/>
  <c r="AE133" i="2"/>
  <c r="AE136" i="2" s="1"/>
  <c r="AE135" i="2"/>
  <c r="AD133" i="2"/>
  <c r="AD136" i="2" s="1"/>
  <c r="AD135" i="2"/>
  <c r="AF135" i="2"/>
  <c r="AF133" i="2"/>
  <c r="AF136" i="2" s="1"/>
  <c r="R33" i="2"/>
  <c r="P33" i="2"/>
  <c r="AE21" i="2"/>
  <c r="AE30" i="2"/>
  <c r="AE71" i="2"/>
  <c r="AD21" i="2"/>
  <c r="AD30" i="2"/>
  <c r="AD71" i="2"/>
  <c r="AF21" i="2"/>
  <c r="AF71" i="2"/>
  <c r="AF30" i="2"/>
  <c r="R115" i="2"/>
  <c r="R120" i="2" s="1"/>
  <c r="R133" i="2" s="1"/>
  <c r="R30" i="2"/>
  <c r="R21" i="2"/>
  <c r="R71" i="2"/>
  <c r="S115" i="2"/>
  <c r="S120" i="2" s="1"/>
  <c r="S133" i="2" s="1"/>
  <c r="S30" i="2"/>
  <c r="S71" i="2"/>
  <c r="S21" i="2"/>
  <c r="AG30" i="2"/>
  <c r="AG115" i="2"/>
  <c r="AG120" i="2" s="1"/>
  <c r="AG133" i="2" s="1"/>
  <c r="AG71" i="2"/>
  <c r="AG21" i="2"/>
  <c r="P115" i="2"/>
  <c r="P120" i="2" s="1"/>
  <c r="P30" i="2"/>
  <c r="O71" i="2"/>
  <c r="O30" i="2"/>
  <c r="O20" i="2"/>
  <c r="O115" i="2"/>
  <c r="O120" i="2" s="1"/>
  <c r="Q135" i="2"/>
  <c r="Q136" i="2"/>
  <c r="AI30" i="2"/>
  <c r="AI115" i="2"/>
  <c r="AI120" i="2" s="1"/>
  <c r="AI133" i="2" s="1"/>
  <c r="AI21" i="2"/>
  <c r="AI71" i="2"/>
  <c r="N115" i="2"/>
  <c r="N120" i="2" s="1"/>
  <c r="N30" i="2"/>
  <c r="N71" i="2"/>
  <c r="AH30" i="2"/>
  <c r="AH115" i="2"/>
  <c r="AH120" i="2" s="1"/>
  <c r="AH133" i="2" s="1"/>
  <c r="AH21" i="2"/>
  <c r="AH71" i="2"/>
  <c r="M115" i="2"/>
  <c r="M120" i="2" s="1"/>
  <c r="M20" i="2"/>
  <c r="M30" i="2"/>
  <c r="M71" i="2"/>
  <c r="L115" i="2"/>
  <c r="L120" i="2" s="1"/>
  <c r="L20" i="2"/>
  <c r="L30" i="2"/>
  <c r="L71" i="2"/>
  <c r="P71" i="2"/>
  <c r="T33" i="2"/>
  <c r="P21" i="2"/>
  <c r="L133" i="2" l="1"/>
  <c r="L136" i="2" s="1"/>
  <c r="L135" i="2"/>
  <c r="M133" i="2"/>
  <c r="M136" i="2" s="1"/>
  <c r="M135" i="2"/>
  <c r="N133" i="2"/>
  <c r="N136" i="2" s="1"/>
  <c r="N135" i="2"/>
  <c r="O133" i="2"/>
  <c r="O136" i="2" s="1"/>
  <c r="O135" i="2"/>
  <c r="P135" i="2"/>
  <c r="P133" i="2"/>
  <c r="P136" i="2" s="1"/>
  <c r="R135" i="2"/>
  <c r="R136" i="2"/>
  <c r="AI135" i="2"/>
  <c r="AI136" i="2"/>
  <c r="AG135" i="2"/>
  <c r="AG136" i="2"/>
  <c r="AH135" i="2"/>
  <c r="AH136" i="2"/>
  <c r="S135" i="2"/>
  <c r="S136" i="2"/>
  <c r="N2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Gega Mukhigulashvili</author>
  </authors>
  <commentList>
    <comment ref="B53" authorId="0" shapeId="0" xr:uid="{803FADF5-095E-4BF6-B8E3-DB58C9C92B9B}">
      <text>
        <r>
          <rPr>
            <b/>
            <sz val="9"/>
            <color indexed="81"/>
            <rFont val="Tahoma"/>
            <family val="2"/>
          </rPr>
          <t>Gega Mukhigulashvili:</t>
        </r>
        <r>
          <rPr>
            <sz val="9"/>
            <color indexed="81"/>
            <rFont val="Tahoma"/>
            <family val="2"/>
          </rPr>
          <t xml:space="preserve">
Obligation a company has under a derivative contract. </t>
        </r>
      </text>
    </comment>
    <comment ref="AF76" authorId="0" shapeId="0" xr:uid="{B8136AD4-4DA7-4F6B-A274-F31B3C2E547C}">
      <text>
        <r>
          <rPr>
            <b/>
            <sz val="9"/>
            <color indexed="81"/>
            <rFont val="Tahoma"/>
            <family val="2"/>
          </rPr>
          <t>Gega Mukhigulashvili:</t>
        </r>
        <r>
          <rPr>
            <sz val="9"/>
            <color indexed="81"/>
            <rFont val="Tahoma"/>
            <family val="2"/>
          </rPr>
          <t xml:space="preserve">
Loss on sale of property and equipment</t>
        </r>
      </text>
    </comment>
    <comment ref="N102" authorId="0" shapeId="0" xr:uid="{05681F94-01B3-4F6B-AA8D-6B58F328CCE4}">
      <text>
        <r>
          <rPr>
            <b/>
            <sz val="9"/>
            <color indexed="81"/>
            <rFont val="Tahoma"/>
            <family val="2"/>
          </rPr>
          <t>Gega Mukhigulashvili:</t>
        </r>
        <r>
          <rPr>
            <sz val="9"/>
            <color indexed="81"/>
            <rFont val="Tahoma"/>
            <family val="2"/>
          </rPr>
          <t xml:space="preserve">
Issuance of common stock upon ESPP purchase</t>
        </r>
      </text>
    </comment>
    <comment ref="Q102" authorId="0" shapeId="0" xr:uid="{FBD6AE14-892F-4329-810B-C9D0C1C883C9}">
      <text>
        <r>
          <rPr>
            <b/>
            <sz val="9"/>
            <color indexed="81"/>
            <rFont val="Tahoma"/>
            <family val="2"/>
          </rPr>
          <t>Gega Mukhigulashvili:</t>
        </r>
        <r>
          <rPr>
            <sz val="9"/>
            <color indexed="81"/>
            <rFont val="Tahoma"/>
            <family val="2"/>
          </rPr>
          <t xml:space="preserve">
Issuance of common stock upon ESPP purchase</t>
        </r>
      </text>
    </comment>
    <comment ref="AD102" authorId="0" shapeId="0" xr:uid="{2799DB11-FC1D-4331-BB19-818C59210D1D}">
      <text>
        <r>
          <rPr>
            <b/>
            <sz val="9"/>
            <color indexed="81"/>
            <rFont val="Tahoma"/>
            <family val="2"/>
          </rPr>
          <t>Gega Mukhigulashvili:</t>
        </r>
        <r>
          <rPr>
            <sz val="9"/>
            <color indexed="81"/>
            <rFont val="Tahoma"/>
            <family val="2"/>
          </rPr>
          <t xml:space="preserve">
Distributions to members</t>
        </r>
      </text>
    </comment>
    <comment ref="AE102" authorId="0" shapeId="0" xr:uid="{9747464F-649F-4692-B2B8-F4F53F0A0D40}">
      <text>
        <r>
          <rPr>
            <b/>
            <sz val="9"/>
            <color indexed="81"/>
            <rFont val="Tahoma"/>
            <family val="2"/>
          </rPr>
          <t>Gega Mukhigulashvili:</t>
        </r>
        <r>
          <rPr>
            <sz val="9"/>
            <color indexed="81"/>
            <rFont val="Tahoma"/>
            <family val="2"/>
          </rPr>
          <t xml:space="preserve">
Parent's contribution</t>
        </r>
      </text>
    </comment>
    <comment ref="AF102" authorId="0" shapeId="0" xr:uid="{269E2E44-EE2D-402B-88D7-98B5F8AFB23D}">
      <text>
        <r>
          <rPr>
            <b/>
            <sz val="9"/>
            <color indexed="81"/>
            <rFont val="Tahoma"/>
            <family val="2"/>
          </rPr>
          <t>Gega Mukhigulashvili:</t>
        </r>
        <r>
          <rPr>
            <sz val="9"/>
            <color indexed="81"/>
            <rFont val="Tahoma"/>
            <family val="2"/>
          </rPr>
          <t xml:space="preserve">
Proceeds from issuance of convertible notes + Proceeds from the Merger + Payment of Merger transaction costs</t>
        </r>
      </text>
    </comment>
    <comment ref="AG102" authorId="0" shapeId="0" xr:uid="{F0CD5045-6194-4FE8-A848-649B3F4075C3}">
      <text>
        <r>
          <rPr>
            <b/>
            <sz val="9"/>
            <color indexed="81"/>
            <rFont val="Tahoma"/>
            <charset val="1"/>
          </rPr>
          <t>Gega Mukhigulashvili:</t>
        </r>
        <r>
          <rPr>
            <sz val="9"/>
            <color indexed="81"/>
            <rFont val="Tahoma"/>
            <charset val="1"/>
          </rPr>
          <t xml:space="preserve">
Repurchase of shares as a result of forward share purchase agreements — — (100,896)
</t>
        </r>
      </text>
    </comment>
    <comment ref="AH102" authorId="0" shapeId="0" xr:uid="{C20206DF-7987-443A-BB48-AFDA1025F5D5}">
      <text>
        <r>
          <rPr>
            <b/>
            <sz val="9"/>
            <color indexed="81"/>
            <rFont val="Tahoma"/>
            <charset val="1"/>
          </rPr>
          <t>Gega Mukhigulashvili:</t>
        </r>
        <r>
          <rPr>
            <sz val="9"/>
            <color indexed="81"/>
            <rFont val="Tahoma"/>
            <charset val="1"/>
          </rPr>
          <t xml:space="preserve">
Issuance of common stock upon ESPP purchase</t>
        </r>
      </text>
    </comment>
    <comment ref="AI102" authorId="0" shapeId="0" xr:uid="{6AB6DB5E-4724-4B7D-92FE-3CD998FD8CFE}">
      <text>
        <r>
          <rPr>
            <b/>
            <sz val="9"/>
            <color indexed="81"/>
            <rFont val="Tahoma"/>
            <charset val="1"/>
          </rPr>
          <t>Gega Mukhigulashvili:</t>
        </r>
        <r>
          <rPr>
            <sz val="9"/>
            <color indexed="81"/>
            <rFont val="Tahoma"/>
            <charset val="1"/>
          </rPr>
          <t xml:space="preserve">
Issuance of common stock upon ESPP purchase</t>
        </r>
      </text>
    </comment>
    <comment ref="F125" authorId="0" shapeId="0" xr:uid="{BF69EC06-197C-4150-A65A-6C68378289B3}">
      <text>
        <r>
          <rPr>
            <b/>
            <sz val="9"/>
            <color indexed="81"/>
            <rFont val="Tahoma"/>
            <family val="2"/>
          </rPr>
          <t>Gega Mukhigulashvili:</t>
        </r>
        <r>
          <rPr>
            <sz val="9"/>
            <color indexed="81"/>
            <rFont val="Tahoma"/>
            <family val="2"/>
          </rPr>
          <t xml:space="preserve">
Management fees</t>
        </r>
      </text>
    </comment>
    <comment ref="G125" authorId="0" shapeId="0" xr:uid="{EFAD3CB5-E928-4CDC-8006-7629C263A20D}">
      <text>
        <r>
          <rPr>
            <b/>
            <sz val="9"/>
            <color indexed="81"/>
            <rFont val="Tahoma"/>
            <family val="2"/>
          </rPr>
          <t>Gega Mukhigulashvili:</t>
        </r>
        <r>
          <rPr>
            <sz val="9"/>
            <color indexed="81"/>
            <rFont val="Tahoma"/>
            <family val="2"/>
          </rPr>
          <t xml:space="preserve">
Transaction bonuses + Management fees</t>
        </r>
      </text>
    </comment>
    <comment ref="AE125" authorId="0" shapeId="0" xr:uid="{5251FAE2-578A-4B99-8681-BF5C4CECCD41}">
      <text>
        <r>
          <rPr>
            <b/>
            <sz val="9"/>
            <color indexed="81"/>
            <rFont val="Tahoma"/>
            <family val="2"/>
          </rPr>
          <t>Gega Mukhigulashvili:</t>
        </r>
        <r>
          <rPr>
            <sz val="9"/>
            <color indexed="81"/>
            <rFont val="Tahoma"/>
            <family val="2"/>
          </rPr>
          <t xml:space="preserve">
Management fees</t>
        </r>
      </text>
    </comment>
    <comment ref="AF125" authorId="0" shapeId="0" xr:uid="{127E7AED-F7F2-486B-8AAE-36E0D190B917}">
      <text>
        <r>
          <rPr>
            <b/>
            <sz val="9"/>
            <color indexed="81"/>
            <rFont val="Tahoma"/>
            <family val="2"/>
          </rPr>
          <t>Gega Mukhigulashvili:</t>
        </r>
        <r>
          <rPr>
            <sz val="9"/>
            <color indexed="81"/>
            <rFont val="Tahoma"/>
            <family val="2"/>
          </rPr>
          <t xml:space="preserve">
Transaction bonuses + Management fees</t>
        </r>
      </text>
    </comment>
    <comment ref="F126" authorId="0" shapeId="0" xr:uid="{0FC89DDE-A749-4463-9219-D54192B2888C}">
      <text>
        <r>
          <rPr>
            <b/>
            <sz val="9"/>
            <color indexed="81"/>
            <rFont val="Tahoma"/>
            <family val="2"/>
          </rPr>
          <t>Gega Mukhigulashvili:</t>
        </r>
        <r>
          <rPr>
            <sz val="9"/>
            <color indexed="81"/>
            <rFont val="Tahoma"/>
            <family val="2"/>
          </rPr>
          <t xml:space="preserve">
Termination of legacy benefits</t>
        </r>
      </text>
    </comment>
    <comment ref="G126" authorId="0" shapeId="0" xr:uid="{DFD46ED8-1248-4B55-8D96-A6B3014DF8EC}">
      <text>
        <r>
          <rPr>
            <b/>
            <sz val="9"/>
            <color indexed="81"/>
            <rFont val="Tahoma"/>
            <family val="2"/>
          </rPr>
          <t>Gega Mukhigulashvili:</t>
        </r>
        <r>
          <rPr>
            <sz val="9"/>
            <color indexed="81"/>
            <rFont val="Tahoma"/>
            <family val="2"/>
          </rPr>
          <t xml:space="preserve">
Termination of legacy benefits</t>
        </r>
      </text>
    </comment>
    <comment ref="AF126" authorId="0" shapeId="0" xr:uid="{41B61832-FB18-40C3-8280-71A848BD64EC}">
      <text>
        <r>
          <rPr>
            <b/>
            <sz val="9"/>
            <color indexed="81"/>
            <rFont val="Tahoma"/>
            <family val="2"/>
          </rPr>
          <t>Gega Mukhigulashvili:</t>
        </r>
        <r>
          <rPr>
            <sz val="9"/>
            <color indexed="81"/>
            <rFont val="Tahoma"/>
            <family val="2"/>
          </rPr>
          <t xml:space="preserve">
Termination of legacy benefits</t>
        </r>
      </text>
    </comment>
  </commentList>
</comments>
</file>

<file path=xl/sharedStrings.xml><?xml version="1.0" encoding="utf-8"?>
<sst xmlns="http://schemas.openxmlformats.org/spreadsheetml/2006/main" count="304" uniqueCount="282">
  <si>
    <t>Main</t>
  </si>
  <si>
    <t>Inv</t>
  </si>
  <si>
    <t>P</t>
  </si>
  <si>
    <t>S/O</t>
  </si>
  <si>
    <t>MC</t>
  </si>
  <si>
    <t>Cash</t>
  </si>
  <si>
    <t>Debt</t>
  </si>
  <si>
    <t>EV</t>
  </si>
  <si>
    <t>Q125</t>
  </si>
  <si>
    <t>Q225</t>
  </si>
  <si>
    <t>Q123</t>
  </si>
  <si>
    <t>Q223</t>
  </si>
  <si>
    <t>Q323</t>
  </si>
  <si>
    <t>Q423</t>
  </si>
  <si>
    <t>Q124</t>
  </si>
  <si>
    <t>Q224</t>
  </si>
  <si>
    <t>Q324</t>
  </si>
  <si>
    <t>Q424</t>
  </si>
  <si>
    <t>Q321</t>
  </si>
  <si>
    <t>Q421</t>
  </si>
  <si>
    <t>Q122</t>
  </si>
  <si>
    <t>Q222</t>
  </si>
  <si>
    <t>Q322</t>
  </si>
  <si>
    <t>Q422</t>
  </si>
  <si>
    <t>Revenue</t>
  </si>
  <si>
    <t>COGS</t>
  </si>
  <si>
    <t>Gross profit</t>
  </si>
  <si>
    <t>SG&amp;A</t>
  </si>
  <si>
    <t>R&amp;D</t>
  </si>
  <si>
    <t>Restructuring</t>
  </si>
  <si>
    <t>Transaction expenses</t>
  </si>
  <si>
    <t>Goodwill impairment</t>
  </si>
  <si>
    <t>Operating expenses</t>
  </si>
  <si>
    <t>Operating income</t>
  </si>
  <si>
    <t>Interest expense</t>
  </si>
  <si>
    <t>Net increase of fair value of derivatives</t>
  </si>
  <si>
    <t>Loss on extinguishment of debt</t>
  </si>
  <si>
    <t>Other income, net</t>
  </si>
  <si>
    <t>Pretax income</t>
  </si>
  <si>
    <t>Net income</t>
  </si>
  <si>
    <t>EPS</t>
  </si>
  <si>
    <t>Taxes</t>
  </si>
  <si>
    <t>($ thousands)</t>
  </si>
  <si>
    <t>Gross margin</t>
  </si>
  <si>
    <t>SG&amp;A margin</t>
  </si>
  <si>
    <t>R&amp;D margin</t>
  </si>
  <si>
    <t>Operating margin</t>
  </si>
  <si>
    <t>Interest margin</t>
  </si>
  <si>
    <t>Tax margin</t>
  </si>
  <si>
    <t>Net margin</t>
  </si>
  <si>
    <t>Revenue Y/Y</t>
  </si>
  <si>
    <t>Net cash</t>
  </si>
  <si>
    <t>A/R</t>
  </si>
  <si>
    <t>Contract assets</t>
  </si>
  <si>
    <t>Prepaids</t>
  </si>
  <si>
    <t>PP&amp;A</t>
  </si>
  <si>
    <t>Goodwill</t>
  </si>
  <si>
    <t>Intangibles</t>
  </si>
  <si>
    <t>ROU assets</t>
  </si>
  <si>
    <t>ONCA</t>
  </si>
  <si>
    <t>Total assets</t>
  </si>
  <si>
    <t>A/P</t>
  </si>
  <si>
    <t>Short-term debt</t>
  </si>
  <si>
    <t>Accrued liabilities</t>
  </si>
  <si>
    <t>Contract liabilities</t>
  </si>
  <si>
    <t>Current portion of long-term lease</t>
  </si>
  <si>
    <t>Derivative liabilities</t>
  </si>
  <si>
    <t>OCL</t>
  </si>
  <si>
    <t>Long-term debt</t>
  </si>
  <si>
    <t>Long-term lease</t>
  </si>
  <si>
    <t>Total liabilities</t>
  </si>
  <si>
    <t>L+SE</t>
  </si>
  <si>
    <t>Common stock</t>
  </si>
  <si>
    <t>Additional paid-in capital</t>
  </si>
  <si>
    <t>Treasury stock</t>
  </si>
  <si>
    <t>Accumulated deficit</t>
  </si>
  <si>
    <t>Accumulated other comperhensive income</t>
  </si>
  <si>
    <t>NI Y/Y</t>
  </si>
  <si>
    <t>Debt to Equity</t>
  </si>
  <si>
    <t>Model NI</t>
  </si>
  <si>
    <t>GAAP NI</t>
  </si>
  <si>
    <t>D&amp;A</t>
  </si>
  <si>
    <t>Stock-based comp.</t>
  </si>
  <si>
    <t>Non-cash lease expense</t>
  </si>
  <si>
    <t>Provision for doubtful accounts</t>
  </si>
  <si>
    <t>Deferred income tax benefit</t>
  </si>
  <si>
    <t>Net increase in fair value of derivatives</t>
  </si>
  <si>
    <t>Accrued expenses</t>
  </si>
  <si>
    <t>Other liabilities</t>
  </si>
  <si>
    <t>CFFO</t>
  </si>
  <si>
    <t>Acquisitions</t>
  </si>
  <si>
    <t>CapEx</t>
  </si>
  <si>
    <t>Capitalized software development</t>
  </si>
  <si>
    <t>CFFI</t>
  </si>
  <si>
    <t>Proceeds from RDO and PIPE warrants</t>
  </si>
  <si>
    <t>Payment of RDO and PIPE transaction costs</t>
  </si>
  <si>
    <t>Repayment of short-term debt</t>
  </si>
  <si>
    <t>Proceeds from exercise of options</t>
  </si>
  <si>
    <t>Payments of tax witholding from the issuance of common stock</t>
  </si>
  <si>
    <t>CFFF</t>
  </si>
  <si>
    <t>FX adj</t>
  </si>
  <si>
    <t>CF</t>
  </si>
  <si>
    <t>BOP Cash</t>
  </si>
  <si>
    <t>EOP Cash</t>
  </si>
  <si>
    <t>FCF</t>
  </si>
  <si>
    <t>Capex Margin</t>
  </si>
  <si>
    <t>Amortization of debt issuance costs and discount</t>
  </si>
  <si>
    <t>Proceedds from at-the-market offering</t>
  </si>
  <si>
    <t>Payments from transaction costs for at-the-market offering</t>
  </si>
  <si>
    <t>Net Income</t>
  </si>
  <si>
    <t>Interest income</t>
  </si>
  <si>
    <t>Tax</t>
  </si>
  <si>
    <t>EBITDA</t>
  </si>
  <si>
    <t>Employer payroll taxes related to equity-based comp.</t>
  </si>
  <si>
    <t>Restructuring charges</t>
  </si>
  <si>
    <t>Non-recurring strategic initiatives</t>
  </si>
  <si>
    <t>Non-recurring litigation</t>
  </si>
  <si>
    <t>Non-recurring integration costs</t>
  </si>
  <si>
    <t>Loss on extinguishment of debt\</t>
  </si>
  <si>
    <t>Adjusted EBITDA</t>
  </si>
  <si>
    <t>EBITDA margin</t>
  </si>
  <si>
    <t>Adj. EBITDA margin</t>
  </si>
  <si>
    <t>Pangiam Acquisiton</t>
  </si>
  <si>
    <t>On February 29, 2024, BigBear.ai completed its acquisition of Pangiam, a deal initiated by a merger agreement dated November 4, 2023.</t>
  </si>
  <si>
    <t>BigBear.ai acquired Pangiam through a two-step merger process. As consideration, BigBear.ai issued a total of 61,838,072 shares of its common stock to the seller, based on a volume-weighted average price (VWAP) of $1.3439 per share, for an initial enterprise value of $70 million.</t>
  </si>
  <si>
    <t>A portion of the purchase price, $3.5 million, was initially held back for potential post-closing adjustments. On July 2, 2024, BigBear.ai issued an additional 2,144,073 shares to settle the final adjusted purchase price.</t>
  </si>
  <si>
    <t>Time and materials</t>
  </si>
  <si>
    <t>Firm fixed price</t>
  </si>
  <si>
    <t>Cost-reimbursable</t>
  </si>
  <si>
    <t>Total revenues</t>
  </si>
  <si>
    <t>Customer A</t>
  </si>
  <si>
    <t>All others</t>
  </si>
  <si>
    <t>Customer E</t>
  </si>
  <si>
    <t>Customer D</t>
  </si>
  <si>
    <t>Customer C</t>
  </si>
  <si>
    <t>Customer B</t>
  </si>
  <si>
    <t>2029 Convertible Notes</t>
  </si>
  <si>
    <t xml:space="preserve">The company exchanged approximately $182.3 million in 2026 Convertible Notes for new senior secured convertible notes due in 2029. </t>
  </si>
  <si>
    <t>The new notes have an interest rate of 6.0% if paid in cash, or 7.0% if paid in shares. Since the exchange, $57.7 million of these new notes have been converted by noteholders, resulting in the issuance of about 16.7 million shares of common stock</t>
  </si>
  <si>
    <t>Pangiam is specializing in vision AI for trade, travel, and digital identity. This acquisition is intended to expand the company's AI portfolio by adding facial recognition, biometrics, and other computer vision capabilities.</t>
  </si>
  <si>
    <t>Warrant Exercises</t>
  </si>
  <si>
    <t>These new warrants were fully exercised in the first quarter of 2025, generating $21.9 million and leading to the issuance of new 2025 RDO warrants with a $9.00 exercise price.</t>
  </si>
  <si>
    <t>These warrants were also fully exercised in the first quarter of 2025.</t>
  </si>
  <si>
    <t>Global Economic and Geopolitical Environment</t>
  </si>
  <si>
    <t>The majority of the company's revenue comes from U.S. government contracts, which makes its financial performance dependent on government budget requests, appropriations, and shifting priorities.</t>
  </si>
  <si>
    <t>The company acknowledges that factors like the federal budget, debt ceiling, and global security environment could impact defense spending and its programs.</t>
  </si>
  <si>
    <t>While the company expects the current geopolitical environment to drive long-term adoption of its AI offerings, it also recognizes potential risks. Executive orders aimed at modernizing defense acquisitions and reviewing over-budget programs could lead to changes in how the company interacts with the government.</t>
  </si>
  <si>
    <t>The company states that while it doesn't believe these challenges will have a material impact, a worsening of global disruptions could negatively affect its business.</t>
  </si>
  <si>
    <r>
      <t xml:space="preserve">In February 2024, an investor exercised </t>
    </r>
    <r>
      <rPr>
        <b/>
        <sz val="10"/>
        <color theme="1"/>
        <rFont val="Arial"/>
        <family val="2"/>
      </rPr>
      <t>RDO</t>
    </r>
    <r>
      <rPr>
        <sz val="10"/>
        <color theme="1"/>
        <rFont val="Arial"/>
        <family val="2"/>
      </rPr>
      <t xml:space="preserve"> warrants for $20.6 million, and in return received new 2024 RDO warrants. </t>
    </r>
  </si>
  <si>
    <r>
      <t xml:space="preserve">In March 2024, another investor exercised </t>
    </r>
    <r>
      <rPr>
        <b/>
        <sz val="10"/>
        <color theme="1"/>
        <rFont val="Arial"/>
        <family val="2"/>
      </rPr>
      <t>PIPE</t>
    </r>
    <r>
      <rPr>
        <sz val="10"/>
        <color theme="1"/>
        <rFont val="Arial"/>
        <family val="2"/>
      </rPr>
      <t xml:space="preserve"> warrants for $33.2 million, and received new 2024 PIPE warrants.</t>
    </r>
  </si>
  <si>
    <t>Revenues:</t>
  </si>
  <si>
    <t>Customers:</t>
  </si>
  <si>
    <r>
      <t xml:space="preserve">The company makes money by selling </t>
    </r>
    <r>
      <rPr>
        <b/>
        <sz val="10"/>
        <color theme="1"/>
        <rFont val="Arial"/>
        <family val="2"/>
      </rPr>
      <t xml:space="preserve">Edge AI-powered decision intelligence solutions and services. </t>
    </r>
    <r>
      <rPr>
        <sz val="10"/>
        <color theme="1"/>
        <rFont val="Arial"/>
        <family val="2"/>
      </rPr>
      <t>Revenue comes from both software and services.</t>
    </r>
  </si>
  <si>
    <t>Cost of Revenues:</t>
  </si>
  <si>
    <r>
      <t xml:space="preserve">Its customers include </t>
    </r>
    <r>
      <rPr>
        <b/>
        <sz val="10"/>
        <color theme="1"/>
        <rFont val="Arial"/>
        <family val="2"/>
      </rPr>
      <t>government defense and intelligence agencies, as well as commercial businesses.</t>
    </r>
  </si>
  <si>
    <t>SG&amp;A:</t>
  </si>
  <si>
    <r>
      <t xml:space="preserve">Non-operational expenses include </t>
    </r>
    <r>
      <rPr>
        <b/>
        <sz val="10"/>
        <color theme="1"/>
        <rFont val="Arial"/>
        <family val="2"/>
      </rPr>
      <t>salaries and benefits for executives and administrative staff, along with professional fees for services like accounting and legal.</t>
    </r>
  </si>
  <si>
    <t>R&amp;D:</t>
  </si>
  <si>
    <r>
      <t xml:space="preserve">Developing new products and services mainly consist of employee salaries and benefits for R&amp;D personnel. Some costs for developing software are capitalized, but </t>
    </r>
    <r>
      <rPr>
        <b/>
        <sz val="10"/>
        <color theme="1"/>
        <rFont val="Arial"/>
        <family val="2"/>
      </rPr>
      <t>most</t>
    </r>
    <r>
      <rPr>
        <sz val="10"/>
        <color theme="1"/>
        <rFont val="Arial"/>
        <family val="2"/>
      </rPr>
      <t xml:space="preserve"> R&amp;D costs are expensed as they are incurred.</t>
    </r>
  </si>
  <si>
    <t>Restructuring Charges:</t>
  </si>
  <si>
    <t>These are costs associated with strategic changes, such as employee separation costs from initiatives to improve efficiency or changes in leadership roles.</t>
  </si>
  <si>
    <t>Transaction Expenses:</t>
  </si>
  <si>
    <r>
      <t xml:space="preserve">In 2024, these were the </t>
    </r>
    <r>
      <rPr>
        <b/>
        <sz val="10"/>
        <color theme="1"/>
        <rFont val="Arial"/>
        <family val="2"/>
      </rPr>
      <t>diligence, legal, and other costs related to the acquisition of Pangiam.</t>
    </r>
  </si>
  <si>
    <t>Goodwill Impairment:</t>
  </si>
  <si>
    <t>This is a non-cash expense that occurs when the value of the company's goodwill is written down.</t>
  </si>
  <si>
    <t>Net Increase in Fair Value of Derivatives:</t>
  </si>
  <si>
    <t>Interest Expense:</t>
  </si>
  <si>
    <t>Income Tax Expense (Benefit):</t>
  </si>
  <si>
    <r>
      <t xml:space="preserve">This category primarily includes </t>
    </r>
    <r>
      <rPr>
        <b/>
        <sz val="10"/>
        <color theme="1"/>
        <rFont val="Arial"/>
        <family val="2"/>
      </rPr>
      <t>salaries, stock-based compensation, and benefits</t>
    </r>
    <r>
      <rPr>
        <sz val="10"/>
        <color theme="1"/>
        <rFont val="Arial"/>
        <family val="2"/>
      </rPr>
      <t xml:space="preserve"> for the employees who deliver these services, as well as overhead costs.</t>
    </r>
  </si>
  <si>
    <r>
      <t xml:space="preserve">This item represents changes in the </t>
    </r>
    <r>
      <rPr>
        <b/>
        <sz val="10"/>
        <color theme="1"/>
        <rFont val="Arial"/>
        <family val="2"/>
      </rPr>
      <t>fair value of various financial instruments</t>
    </r>
    <r>
      <rPr>
        <sz val="10"/>
        <color theme="1"/>
        <rFont val="Arial"/>
        <family val="2"/>
      </rPr>
      <t>, such as the conversion options on the company's convertible notes and different types of warrants.</t>
    </r>
  </si>
  <si>
    <r>
      <t xml:space="preserve">This primarily consists of </t>
    </r>
    <r>
      <rPr>
        <b/>
        <sz val="10"/>
        <color theme="1"/>
        <rFont val="Arial"/>
        <family val="2"/>
      </rPr>
      <t>interest, fees, and amortization costs</t>
    </r>
    <r>
      <rPr>
        <sz val="10"/>
        <color theme="1"/>
        <rFont val="Arial"/>
        <family val="2"/>
      </rPr>
      <t xml:space="preserve"> related to the company's debt.</t>
    </r>
  </si>
  <si>
    <r>
      <t xml:space="preserve">This represents the </t>
    </r>
    <r>
      <rPr>
        <b/>
        <sz val="10"/>
        <color theme="1"/>
        <rFont val="Arial"/>
        <family val="2"/>
      </rPr>
      <t>federal and state income taxes</t>
    </r>
    <r>
      <rPr>
        <sz val="10"/>
        <color theme="1"/>
        <rFont val="Arial"/>
        <family val="2"/>
      </rPr>
      <t xml:space="preserve"> the company pays or receives.</t>
    </r>
  </si>
  <si>
    <t>Business growth metric:</t>
  </si>
  <si>
    <r>
      <rPr>
        <b/>
        <sz val="10"/>
        <color theme="1"/>
        <rFont val="Arial"/>
        <family val="2"/>
      </rPr>
      <t xml:space="preserve">Backlog </t>
    </r>
    <r>
      <rPr>
        <sz val="10"/>
        <color theme="1"/>
        <rFont val="Arial"/>
        <family val="2"/>
      </rPr>
      <t xml:space="preserve">represents the estimated value of awarded contracts for which </t>
    </r>
    <r>
      <rPr>
        <b/>
        <sz val="10"/>
        <color theme="1"/>
        <rFont val="Arial"/>
        <family val="2"/>
      </rPr>
      <t>work has yet to be completed</t>
    </r>
    <r>
      <rPr>
        <sz val="10"/>
        <color theme="1"/>
        <rFont val="Arial"/>
        <family val="2"/>
      </rPr>
      <t>.</t>
    </r>
  </si>
  <si>
    <r>
      <t xml:space="preserve">The majority of the company's revenue comes from federal government contracts, </t>
    </r>
    <r>
      <rPr>
        <b/>
        <sz val="10"/>
        <color theme="1"/>
        <rFont val="Arial"/>
        <family val="2"/>
      </rPr>
      <t>which are often not fully funded at the time of award.</t>
    </r>
  </si>
  <si>
    <t>Four types of backlog:</t>
  </si>
  <si>
    <t>Funded Backlog:</t>
  </si>
  <si>
    <t xml:space="preserve">Unfunded Backlog: </t>
  </si>
  <si>
    <t>Priced Unexercised Options:</t>
  </si>
  <si>
    <t>Unpriced Unexercised Options:</t>
  </si>
  <si>
    <r>
      <t xml:space="preserve">This represents the remaining value of existing contracts that have been awarded but for which </t>
    </r>
    <r>
      <rPr>
        <b/>
        <sz val="10"/>
        <color theme="1"/>
        <rFont val="Arial"/>
        <family val="2"/>
      </rPr>
      <t>funding has not yet been authorized.</t>
    </r>
  </si>
  <si>
    <r>
      <t xml:space="preserve">This is the remaining value of existing contracts for which </t>
    </r>
    <r>
      <rPr>
        <b/>
        <sz val="10"/>
        <color theme="1"/>
        <rFont val="Arial"/>
        <family val="2"/>
      </rPr>
      <t>funding has already been approved.</t>
    </r>
  </si>
  <si>
    <t xml:space="preserve">This is the potential value from additional goods and services that customers can choose to purchase under existing contracts.
</t>
  </si>
  <si>
    <r>
      <t xml:space="preserve">The backlog is based on the specific prices and scopes </t>
    </r>
    <r>
      <rPr>
        <b/>
        <sz val="10"/>
        <color theme="1"/>
        <rFont val="Arial"/>
        <family val="2"/>
      </rPr>
      <t>that were already negotiated and outlined in the contract.</t>
    </r>
  </si>
  <si>
    <r>
      <t xml:space="preserve">This is also potential value from customer options, but </t>
    </r>
    <r>
      <rPr>
        <b/>
        <sz val="10"/>
        <color theme="1"/>
        <rFont val="Arial"/>
        <family val="2"/>
      </rPr>
      <t>the scope and price were not specified in the contract.</t>
    </r>
  </si>
  <si>
    <t>The company estimates this backlog based on its current level of support for the customer's program.</t>
  </si>
  <si>
    <t>Funded</t>
  </si>
  <si>
    <t>Unfunded</t>
  </si>
  <si>
    <t>Priced, unexercised options</t>
  </si>
  <si>
    <t>Unpriced, unexercised options</t>
  </si>
  <si>
    <t>Total backlog</t>
  </si>
  <si>
    <t>Funded Y/Y</t>
  </si>
  <si>
    <t>Unfunded Y/Y</t>
  </si>
  <si>
    <t>Priced Y/Y</t>
  </si>
  <si>
    <t>Unpriced Y/Y</t>
  </si>
  <si>
    <t>Total Y/Y</t>
  </si>
  <si>
    <t>Funded Q/Q</t>
  </si>
  <si>
    <t>Unfunded Q/Q</t>
  </si>
  <si>
    <t>Priced Q/Q</t>
  </si>
  <si>
    <t>Unpriced Q/Q</t>
  </si>
  <si>
    <t>Total Q/Q</t>
  </si>
  <si>
    <t>Controlling</t>
  </si>
  <si>
    <r>
      <t>This is due to a previously reported</t>
    </r>
    <r>
      <rPr>
        <b/>
        <sz val="10"/>
        <color theme="1"/>
        <rFont val="Arial"/>
        <family val="2"/>
      </rPr>
      <t xml:space="preserve"> material weakness in internal control over financial reporting.</t>
    </r>
  </si>
  <si>
    <t xml:space="preserve">BigBear.ai, as an "emerging growth company," is currently exempt from having its independent auditor formally attest to its internal controls. </t>
  </si>
  <si>
    <t xml:space="preserve">Management itself identified this issue and is working to fix it.
</t>
  </si>
  <si>
    <r>
      <t xml:space="preserve">The company expects to resolve this weakness by </t>
    </r>
    <r>
      <rPr>
        <b/>
        <sz val="10"/>
        <color theme="1"/>
        <rFont val="Arial"/>
        <family val="2"/>
      </rPr>
      <t>the end of the second quarter of 2025.</t>
    </r>
  </si>
  <si>
    <t>Legal and Risk Factors</t>
  </si>
  <si>
    <r>
      <t xml:space="preserve">The company's management, including its top two executives, has determined that its </t>
    </r>
    <r>
      <rPr>
        <b/>
        <sz val="10"/>
        <color theme="1"/>
        <rFont val="Arial"/>
        <family val="2"/>
      </rPr>
      <t>disclosure controls and procedures were not effective</t>
    </r>
    <r>
      <rPr>
        <sz val="10"/>
        <color theme="1"/>
        <rFont val="Arial"/>
        <family val="2"/>
      </rPr>
      <t xml:space="preserve"> as of March 31, 2025. </t>
    </r>
  </si>
  <si>
    <r>
      <t xml:space="preserve">The company states it is involved in various legal matters but does </t>
    </r>
    <r>
      <rPr>
        <b/>
        <sz val="10"/>
        <color theme="1"/>
        <rFont val="Arial"/>
        <family val="2"/>
      </rPr>
      <t>not expect them to have a material financial impact</t>
    </r>
    <r>
      <rPr>
        <sz val="10"/>
        <color theme="1"/>
        <rFont val="Arial"/>
        <family val="2"/>
      </rPr>
      <t>.</t>
    </r>
  </si>
  <si>
    <t>Repayment of debt costs to third parties</t>
  </si>
  <si>
    <t>Other</t>
  </si>
  <si>
    <t>Capital market advisory fees</t>
  </si>
  <si>
    <t>Commercial start-up costs</t>
  </si>
  <si>
    <t>Deferred tax assets</t>
  </si>
  <si>
    <t>Deferred tax liabilities</t>
  </si>
  <si>
    <t>Stock options</t>
  </si>
  <si>
    <t>Private warrants</t>
  </si>
  <si>
    <t>Public warrants</t>
  </si>
  <si>
    <t>2023 PIPE warrants</t>
  </si>
  <si>
    <t>2024 PIPE warrants</t>
  </si>
  <si>
    <t>2023 RDO warrants</t>
  </si>
  <si>
    <t>2024 RDO warrants</t>
  </si>
  <si>
    <t>2026 Convertible notes</t>
  </si>
  <si>
    <t>2029 Convertible notes</t>
  </si>
  <si>
    <t>PSUs</t>
  </si>
  <si>
    <t>RSUs</t>
  </si>
  <si>
    <t>ESPP</t>
  </si>
  <si>
    <t>Total</t>
  </si>
  <si>
    <t>ONCL</t>
  </si>
  <si>
    <t>May 22-Dec 31, 2020</t>
  </si>
  <si>
    <t>Jan 1-Oct 22, 2020</t>
  </si>
  <si>
    <t>Q420</t>
  </si>
  <si>
    <t>Q121</t>
  </si>
  <si>
    <t>Q221</t>
  </si>
  <si>
    <t>Predecessor</t>
  </si>
  <si>
    <t>Successor</t>
  </si>
  <si>
    <t>Q325</t>
  </si>
  <si>
    <t>Q425</t>
  </si>
  <si>
    <t>Q126</t>
  </si>
  <si>
    <t>Q226</t>
  </si>
  <si>
    <t>Q326</t>
  </si>
  <si>
    <t>Q426</t>
  </si>
  <si>
    <t>Maturity</t>
  </si>
  <si>
    <t>Discount</t>
  </si>
  <si>
    <t>NPV</t>
  </si>
  <si>
    <t>Share</t>
  </si>
  <si>
    <t>U.S. Military spending</t>
  </si>
  <si>
    <t>Y/Y</t>
  </si>
  <si>
    <t>DOD Contracts - Award Obligations</t>
  </si>
  <si>
    <t>Core Markets and Offerings</t>
  </si>
  <si>
    <t>National Security:</t>
  </si>
  <si>
    <t>The company has over 30 years of experience supporting the DoD, DHS, and the Intelligence Community.</t>
  </si>
  <si>
    <t>Supply Chain Management (SCM):</t>
  </si>
  <si>
    <r>
      <t xml:space="preserve">Its solutions help with </t>
    </r>
    <r>
      <rPr>
        <b/>
        <sz val="10"/>
        <color theme="1"/>
        <rFont val="Arial"/>
        <family val="2"/>
      </rPr>
      <t>Operational Readiness</t>
    </r>
    <r>
      <rPr>
        <sz val="10"/>
        <color theme="1"/>
        <rFont val="Arial"/>
        <family val="2"/>
      </rPr>
      <t xml:space="preserve"> (forecasting manpower and supply chains), </t>
    </r>
    <r>
      <rPr>
        <b/>
        <sz val="10"/>
        <color theme="1"/>
        <rFont val="Arial"/>
        <family val="2"/>
      </rPr>
      <t>Autonomy at the Edge</t>
    </r>
    <r>
      <rPr>
        <sz val="10"/>
        <color theme="1"/>
        <rFont val="Arial"/>
        <family val="2"/>
      </rPr>
      <t xml:space="preserve"> (fusing data and AI in disconnected environments), and </t>
    </r>
    <r>
      <rPr>
        <b/>
        <sz val="10"/>
        <color theme="1"/>
        <rFont val="Arial"/>
        <family val="2"/>
      </rPr>
      <t>Contested Logistics</t>
    </r>
    <r>
      <rPr>
        <sz val="10"/>
        <color theme="1"/>
        <rFont val="Arial"/>
        <family val="2"/>
      </rPr>
      <t xml:space="preserve"> (facilitating the transport of goods and people in high-risk areas).</t>
    </r>
  </si>
  <si>
    <r>
      <t xml:space="preserve">It provides solutions for complex manufacturers and logistics operations, including </t>
    </r>
    <r>
      <rPr>
        <b/>
        <sz val="10"/>
        <color theme="1"/>
        <rFont val="Arial"/>
        <family val="2"/>
      </rPr>
      <t>Digital Twin</t>
    </r>
    <r>
      <rPr>
        <sz val="10"/>
        <color theme="1"/>
        <rFont val="Arial"/>
        <family val="2"/>
      </rPr>
      <t xml:space="preserve"> technology for modeling and simulation to aid in capital investment and operational planning.</t>
    </r>
  </si>
  <si>
    <t>Digital Identity:</t>
  </si>
  <si>
    <r>
      <t xml:space="preserve">Through its acquisition of Pangiam, BigBear.ai offers advanced </t>
    </r>
    <r>
      <rPr>
        <b/>
        <sz val="10"/>
        <color theme="1"/>
        <rFont val="Arial"/>
        <family val="2"/>
      </rPr>
      <t>vision AI and biometrics</t>
    </r>
    <r>
      <rPr>
        <sz val="10"/>
        <color theme="1"/>
        <rFont val="Arial"/>
        <family val="2"/>
      </rPr>
      <t xml:space="preserve"> for identity verification and security, expanding its reach into sectors like personal finance.</t>
    </r>
  </si>
  <si>
    <t>Operations, Employees, and Competition</t>
  </si>
  <si>
    <t>BigBear.ai serves a global customer base in both the public and private sectors, with a significant portion of its revenue coming from U.S. government agencies.</t>
  </si>
  <si>
    <t>The sensitive nature of this work often requires employees to work on-site at customer facilities.</t>
  </si>
  <si>
    <t>Competitive Advantage:</t>
  </si>
  <si>
    <t>Workforce:</t>
  </si>
  <si>
    <t>Competition:</t>
  </si>
  <si>
    <t>The company faces competition from a variety of sources, including custom software providers, internal IT departments of its customers, and larger public cloud providers.</t>
  </si>
  <si>
    <t>Seasonality:</t>
  </si>
  <si>
    <r>
      <t xml:space="preserve">The company's revenue recognition is seasonal, often peaking in the </t>
    </r>
    <r>
      <rPr>
        <b/>
        <sz val="10"/>
        <color theme="1"/>
        <rFont val="Arial"/>
        <family val="2"/>
      </rPr>
      <t>third and fourth quarters</t>
    </r>
    <r>
      <rPr>
        <sz val="10"/>
        <color theme="1"/>
        <rFont val="Arial"/>
        <family val="2"/>
      </rPr>
      <t xml:space="preserve"> due to the fiscal year-end and procurement cycles of its government customers.</t>
    </r>
  </si>
  <si>
    <t>Research and Growth</t>
  </si>
  <si>
    <r>
      <t xml:space="preserve">The company's main advantage is its </t>
    </r>
    <r>
      <rPr>
        <b/>
        <sz val="10"/>
        <color theme="1"/>
        <rFont val="Arial"/>
        <family val="2"/>
      </rPr>
      <t>mission-first culture</t>
    </r>
    <r>
      <rPr>
        <sz val="10"/>
        <color theme="1"/>
        <rFont val="Arial"/>
        <family val="2"/>
      </rPr>
      <t xml:space="preserve"> and its hundreds of employees with deep </t>
    </r>
    <r>
      <rPr>
        <b/>
        <sz val="10"/>
        <color theme="1"/>
        <rFont val="Arial"/>
        <family val="2"/>
      </rPr>
      <t>domain expertise</t>
    </r>
    <r>
      <rPr>
        <sz val="10"/>
        <color theme="1"/>
        <rFont val="Arial"/>
        <family val="2"/>
      </rPr>
      <t xml:space="preserve"> in the fields it serves.</t>
    </r>
  </si>
  <si>
    <r>
      <t xml:space="preserve">As of December 31, 2024, BigBear.ai had </t>
    </r>
    <r>
      <rPr>
        <b/>
        <sz val="10"/>
        <color theme="1"/>
        <rFont val="Arial"/>
        <family val="2"/>
      </rPr>
      <t>630 employees,</t>
    </r>
    <r>
      <rPr>
        <sz val="10"/>
        <color theme="1"/>
        <rFont val="Arial"/>
        <family val="2"/>
      </rPr>
      <t xml:space="preserve"> most of whom hold active security clearances. Approximately 53% are technical staff like software engineers and data scientists.</t>
    </r>
  </si>
  <si>
    <t>However, in response to DoD initiatives, the company has begun making its own targeted investments into foundational software to build critical AI infrastructure, and it expects these investments to continue.</t>
  </si>
  <si>
    <t>Its growth strategy is centered on winning new government contracts, expanding existing ones, and growing its digital identity solutions.</t>
  </si>
  <si>
    <r>
      <t xml:space="preserve">Historically, a lot of BigBear.ai's </t>
    </r>
    <r>
      <rPr>
        <b/>
        <sz val="10"/>
        <color theme="1"/>
        <rFont val="Arial"/>
        <family val="2"/>
      </rPr>
      <t>Research &amp; Development</t>
    </r>
    <r>
      <rPr>
        <sz val="10"/>
        <color theme="1"/>
        <rFont val="Arial"/>
        <family val="2"/>
      </rPr>
      <t xml:space="preserve"> has been funded by government customers.</t>
    </r>
  </si>
  <si>
    <t>Tech</t>
  </si>
  <si>
    <t>2025 RDO warrants</t>
  </si>
  <si>
    <t>125-140</t>
  </si>
  <si>
    <t>ATM Program</t>
  </si>
  <si>
    <t>The Company completed the “May 2024 Sales Agreement” and the “June 2025 Sales Agreement” during the six months ended June 30, 2025 for a total gross proceeds of $300 million and 77 million shares issued</t>
  </si>
  <si>
    <r>
      <t xml:space="preserve">BigBear.ai management evaluated its disclosure controls and procedures and concluded that they were </t>
    </r>
    <r>
      <rPr>
        <b/>
        <sz val="10"/>
        <color theme="1"/>
        <rFont val="Arial"/>
        <family val="2"/>
      </rPr>
      <t>not effective as of June 30, 2025</t>
    </r>
    <r>
      <rPr>
        <sz val="10"/>
        <color theme="1"/>
        <rFont val="Arial"/>
        <family val="2"/>
      </rPr>
      <t>. This is a continuation of the previously reported material weakness in internal control over financial reporting.</t>
    </r>
  </si>
  <si>
    <t>In a prior report (Q1 2025), the company expected the material weaknesses to be remediated during the second quarter of 2025.</t>
  </si>
  <si>
    <t>However, the Q2 2025 report has extended this timeline, stating that they now expect the remediation to be completed sometime during 2025, but not necessarily by the end of Q2.</t>
  </si>
  <si>
    <t>The company stated that the material weaknesses will not be considered remediated until remedial controls have operated for a sufficient period and have been tested to be effective.</t>
  </si>
  <si>
    <t>Controlling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</si>
</sst>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0"/>
      <color theme="1"/>
      <name val="Arial"/>
      <family val="2"/>
    </font>
    <font>
      <sz val="10"/>
      <color theme="1"/>
      <name val="Arial"/>
      <family val="2"/>
    </font>
    <font>
      <sz val="10"/>
      <color theme="1"/>
      <name val="Arial"/>
      <family val="2"/>
    </font>
    <font>
      <b/>
      <sz val="10"/>
      <color theme="1"/>
      <name val="Arial"/>
      <family val="2"/>
    </font>
    <font>
      <u/>
      <sz val="11"/>
      <color theme="10"/>
      <name val="Calibri"/>
      <family val="2"/>
      <scheme val="minor"/>
    </font>
    <font>
      <sz val="8"/>
      <name val="Calibri"/>
      <family val="2"/>
      <scheme val="minor"/>
    </font>
    <font>
      <u/>
      <sz val="10"/>
      <color theme="10"/>
      <name val="Arial"/>
      <family val="2"/>
    </font>
    <font>
      <sz val="9"/>
      <color indexed="81"/>
      <name val="Tahoma"/>
      <family val="2"/>
    </font>
    <font>
      <b/>
      <sz val="9"/>
      <color indexed="81"/>
      <name val="Tahoma"/>
      <family val="2"/>
    </font>
    <font>
      <sz val="10"/>
      <color rgb="FF1B1C1D"/>
      <name val="Arial"/>
      <family val="2"/>
    </font>
    <font>
      <b/>
      <sz val="11"/>
      <color theme="1"/>
      <name val="Calibri"/>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FF505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5" fillId="0" borderId="0" xfId="1"/>
    <xf numFmtId="0" fontId="3" fillId="0" borderId="0" xfId="0" applyFont="1"/>
    <xf numFmtId="0" fontId="4" fillId="0" borderId="0" xfId="0" applyFont="1"/>
    <xf numFmtId="4" fontId="3" fillId="0" borderId="0" xfId="0" applyNumberFormat="1" applyFont="1"/>
    <xf numFmtId="3" fontId="3" fillId="0" borderId="0" xfId="0" applyNumberFormat="1" applyFont="1"/>
    <xf numFmtId="0" fontId="7" fillId="0" borderId="0" xfId="1" applyFont="1"/>
    <xf numFmtId="3" fontId="4" fillId="0" borderId="0" xfId="0" applyNumberFormat="1" applyFont="1"/>
    <xf numFmtId="4" fontId="4" fillId="0" borderId="0" xfId="0" applyNumberFormat="1" applyFont="1"/>
    <xf numFmtId="164" fontId="3" fillId="0" borderId="0" xfId="0" applyNumberFormat="1" applyFont="1"/>
    <xf numFmtId="164" fontId="4" fillId="0" borderId="0" xfId="0" applyNumberFormat="1" applyFont="1"/>
    <xf numFmtId="0" fontId="10" fillId="0" borderId="0" xfId="0" applyFont="1" applyAlignment="1">
      <alignment vertical="center"/>
    </xf>
    <xf numFmtId="3" fontId="0" fillId="0" borderId="0" xfId="0" applyNumberFormat="1"/>
    <xf numFmtId="0" fontId="4" fillId="0" borderId="0" xfId="0" applyFont="1" applyAlignment="1">
      <alignment horizontal="left" indent="1"/>
    </xf>
    <xf numFmtId="3" fontId="5" fillId="0" borderId="0" xfId="1" applyNumberFormat="1"/>
    <xf numFmtId="0" fontId="4" fillId="2" borderId="0" xfId="0" applyFont="1" applyFill="1"/>
    <xf numFmtId="0" fontId="3" fillId="2" borderId="0" xfId="0" applyFont="1" applyFill="1"/>
    <xf numFmtId="0" fontId="2" fillId="0" borderId="0" xfId="0" applyFont="1"/>
    <xf numFmtId="3" fontId="4" fillId="0" borderId="0" xfId="0" applyNumberFormat="1" applyFont="1" applyAlignment="1">
      <alignment horizontal="left" indent="1"/>
    </xf>
    <xf numFmtId="3" fontId="11" fillId="0" borderId="0" xfId="0" applyNumberFormat="1" applyFont="1" applyAlignment="1">
      <alignment horizontal="left" indent="1"/>
    </xf>
    <xf numFmtId="3" fontId="2" fillId="0" borderId="0" xfId="0" applyNumberFormat="1" applyFont="1"/>
    <xf numFmtId="9" fontId="3" fillId="0" borderId="0" xfId="0" applyNumberFormat="1" applyFont="1"/>
    <xf numFmtId="164" fontId="2" fillId="0" borderId="0" xfId="0" applyNumberFormat="1" applyFont="1"/>
    <xf numFmtId="0" fontId="2" fillId="0" borderId="0" xfId="0" applyFont="1" applyAlignment="1">
      <alignment horizontal="left" indent="1"/>
    </xf>
    <xf numFmtId="3" fontId="1" fillId="0" borderId="0" xfId="0" applyNumberFormat="1" applyFont="1"/>
    <xf numFmtId="0" fontId="1" fillId="0" borderId="0" xfId="0" applyFont="1"/>
    <xf numFmtId="0" fontId="3" fillId="0"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Tech.xlsx" TargetMode="External"/><Relationship Id="rId1" Type="http://schemas.openxmlformats.org/officeDocument/2006/relationships/hyperlink" Target="Inv.xls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zoomScale="92" workbookViewId="0">
      <selection activeCell="G17" sqref="G17"/>
    </sheetView>
  </sheetViews>
  <sheetFormatPr defaultRowHeight="13.2" x14ac:dyDescent="0.25"/>
  <cols>
    <col min="1" max="16384" width="8.88671875" style="2"/>
  </cols>
  <sheetData>
    <row r="1" spans="1:12" x14ac:dyDescent="0.25">
      <c r="A1" s="6" t="s">
        <v>1</v>
      </c>
    </row>
    <row r="2" spans="1:12" ht="14.4" x14ac:dyDescent="0.3">
      <c r="A2" s="1" t="s">
        <v>272</v>
      </c>
    </row>
    <row r="3" spans="1:12" x14ac:dyDescent="0.25">
      <c r="I3" s="25" t="s">
        <v>9</v>
      </c>
      <c r="J3" s="25"/>
      <c r="K3" s="25"/>
      <c r="L3" s="2" t="s">
        <v>8</v>
      </c>
    </row>
    <row r="4" spans="1:12" x14ac:dyDescent="0.25">
      <c r="I4" s="3" t="s">
        <v>275</v>
      </c>
      <c r="J4" s="3"/>
      <c r="K4" s="3"/>
      <c r="L4" s="3" t="s">
        <v>122</v>
      </c>
    </row>
    <row r="5" spans="1:12" x14ac:dyDescent="0.25">
      <c r="I5" s="2" t="s">
        <v>276</v>
      </c>
      <c r="L5" s="2" t="s">
        <v>139</v>
      </c>
    </row>
    <row r="6" spans="1:12" x14ac:dyDescent="0.25">
      <c r="E6" s="3" t="s">
        <v>2</v>
      </c>
      <c r="F6" s="4">
        <v>5.01</v>
      </c>
      <c r="L6" s="11" t="s">
        <v>123</v>
      </c>
    </row>
    <row r="7" spans="1:12" x14ac:dyDescent="0.25">
      <c r="E7" s="3" t="s">
        <v>3</v>
      </c>
      <c r="F7" s="5">
        <v>370.70319799999999</v>
      </c>
      <c r="G7" s="25" t="s">
        <v>9</v>
      </c>
      <c r="L7" s="11" t="s">
        <v>124</v>
      </c>
    </row>
    <row r="8" spans="1:12" x14ac:dyDescent="0.25">
      <c r="E8" s="3" t="s">
        <v>4</v>
      </c>
      <c r="F8" s="5">
        <f>F7*F6</f>
        <v>1857.2230219799999</v>
      </c>
      <c r="L8" s="11" t="s">
        <v>125</v>
      </c>
    </row>
    <row r="9" spans="1:12" x14ac:dyDescent="0.25">
      <c r="E9" s="3" t="s">
        <v>5</v>
      </c>
      <c r="F9" s="5">
        <f>+Model!U37/1000</f>
        <v>390.84500000000003</v>
      </c>
      <c r="G9" s="25" t="s">
        <v>9</v>
      </c>
    </row>
    <row r="10" spans="1:12" x14ac:dyDescent="0.25">
      <c r="E10" s="3" t="s">
        <v>6</v>
      </c>
      <c r="F10" s="5">
        <f>(Model!U49+Model!U55)/1000</f>
        <v>103.05</v>
      </c>
      <c r="G10" s="25" t="s">
        <v>9</v>
      </c>
      <c r="L10" s="3" t="s">
        <v>136</v>
      </c>
    </row>
    <row r="11" spans="1:12" x14ac:dyDescent="0.25">
      <c r="L11" s="2" t="s">
        <v>137</v>
      </c>
    </row>
    <row r="12" spans="1:12" x14ac:dyDescent="0.25">
      <c r="E12" s="3" t="s">
        <v>7</v>
      </c>
      <c r="F12" s="5">
        <f>F8-F9+F10</f>
        <v>1569.4280219799998</v>
      </c>
      <c r="L12" s="25" t="s">
        <v>138</v>
      </c>
    </row>
    <row r="14" spans="1:12" x14ac:dyDescent="0.25">
      <c r="L14" s="3" t="s">
        <v>140</v>
      </c>
    </row>
    <row r="15" spans="1:12" x14ac:dyDescent="0.25">
      <c r="L15" s="2" t="s">
        <v>148</v>
      </c>
    </row>
    <row r="16" spans="1:12" x14ac:dyDescent="0.25">
      <c r="L16" s="2" t="s">
        <v>141</v>
      </c>
    </row>
    <row r="18" spans="9:13" x14ac:dyDescent="0.25">
      <c r="L18" s="2" t="s">
        <v>149</v>
      </c>
    </row>
    <row r="19" spans="9:13" x14ac:dyDescent="0.25">
      <c r="L19" s="2" t="s">
        <v>142</v>
      </c>
    </row>
    <row r="21" spans="9:13" x14ac:dyDescent="0.25">
      <c r="L21" s="3" t="s">
        <v>143</v>
      </c>
    </row>
    <row r="22" spans="9:13" x14ac:dyDescent="0.25">
      <c r="L22" s="2" t="s">
        <v>144</v>
      </c>
    </row>
    <row r="23" spans="9:13" x14ac:dyDescent="0.25">
      <c r="L23" s="2" t="s">
        <v>145</v>
      </c>
    </row>
    <row r="24" spans="9:13" x14ac:dyDescent="0.25">
      <c r="L24" s="2" t="s">
        <v>146</v>
      </c>
    </row>
    <row r="25" spans="9:13" x14ac:dyDescent="0.25">
      <c r="L25" s="2" t="s">
        <v>147</v>
      </c>
    </row>
    <row r="26" spans="9:13" x14ac:dyDescent="0.25">
      <c r="L26" s="3"/>
    </row>
    <row r="27" spans="9:13" x14ac:dyDescent="0.25">
      <c r="I27" s="15" t="s">
        <v>281</v>
      </c>
      <c r="J27" s="16"/>
      <c r="K27" s="26"/>
      <c r="L27" s="15" t="s">
        <v>201</v>
      </c>
      <c r="M27" s="16"/>
    </row>
    <row r="28" spans="9:13" x14ac:dyDescent="0.25">
      <c r="I28" s="25" t="s">
        <v>277</v>
      </c>
      <c r="L28" s="2" t="s">
        <v>207</v>
      </c>
    </row>
    <row r="29" spans="9:13" x14ac:dyDescent="0.25">
      <c r="L29" s="2" t="s">
        <v>202</v>
      </c>
    </row>
    <row r="30" spans="9:13" x14ac:dyDescent="0.25">
      <c r="I30" s="25" t="s">
        <v>278</v>
      </c>
    </row>
    <row r="31" spans="9:13" x14ac:dyDescent="0.25">
      <c r="I31" s="25" t="s">
        <v>279</v>
      </c>
      <c r="L31" s="2" t="s">
        <v>204</v>
      </c>
    </row>
    <row r="32" spans="9:13" x14ac:dyDescent="0.25">
      <c r="I32" s="25" t="s">
        <v>280</v>
      </c>
      <c r="L32" s="2" t="s">
        <v>203</v>
      </c>
    </row>
    <row r="33" spans="12:14" x14ac:dyDescent="0.25">
      <c r="L33" s="2" t="s">
        <v>205</v>
      </c>
    </row>
    <row r="35" spans="12:14" x14ac:dyDescent="0.25">
      <c r="L35" s="15" t="s">
        <v>206</v>
      </c>
      <c r="M35" s="16"/>
      <c r="N35" s="16"/>
    </row>
    <row r="36" spans="12:14" x14ac:dyDescent="0.25">
      <c r="L36" s="2" t="s">
        <v>208</v>
      </c>
    </row>
  </sheetData>
  <hyperlinks>
    <hyperlink ref="A1" r:id="rId1" xr:uid="{7E8EF3F8-7E9B-4C4D-9E23-AC1A1DE9DA02}"/>
    <hyperlink ref="A2" r:id="rId2" xr:uid="{9EE2F6D3-EFA2-41C5-A1D9-793AB33A38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ADF52-603F-42C6-8F73-48E9972C6975}">
  <dimension ref="A1:AP201"/>
  <sheetViews>
    <sheetView zoomScaleNormal="100" workbookViewId="0">
      <pane xSplit="2" ySplit="2" topLeftCell="Q33" activePane="bottomRight" state="frozen"/>
      <selection pane="topRight" activeCell="C1" sqref="C1"/>
      <selection pane="bottomLeft" activeCell="A3" sqref="A3"/>
      <selection pane="bottomRight" activeCell="U49" sqref="U49"/>
    </sheetView>
  </sheetViews>
  <sheetFormatPr defaultRowHeight="13.2" x14ac:dyDescent="0.25"/>
  <cols>
    <col min="1" max="1" width="8.88671875" style="2"/>
    <col min="2" max="2" width="17.77734375" style="2" customWidth="1"/>
    <col min="3" max="15" width="8.88671875" style="2"/>
    <col min="16" max="16" width="9.109375" style="2" bestFit="1" customWidth="1"/>
    <col min="17" max="19" width="8.88671875" style="2"/>
    <col min="20" max="20" width="12" style="2" bestFit="1" customWidth="1"/>
    <col min="21" max="21" width="9.5546875" style="2" bestFit="1" customWidth="1"/>
    <col min="22" max="30" width="8.88671875" style="2"/>
    <col min="31" max="32" width="11.77734375" style="2" bestFit="1" customWidth="1"/>
    <col min="33" max="35" width="11.6640625" style="2" bestFit="1" customWidth="1"/>
    <col min="36" max="36" width="11.77734375" style="2" bestFit="1" customWidth="1"/>
    <col min="37" max="37" width="13.5546875" style="2" bestFit="1" customWidth="1"/>
    <col min="38" max="16384" width="8.88671875" style="2"/>
  </cols>
  <sheetData>
    <row r="1" spans="1:37" x14ac:dyDescent="0.25">
      <c r="A1" s="6" t="s">
        <v>0</v>
      </c>
      <c r="C1" s="3" t="s">
        <v>42</v>
      </c>
      <c r="D1" s="3"/>
      <c r="E1" s="3"/>
      <c r="AD1" s="17" t="s">
        <v>234</v>
      </c>
      <c r="AE1" s="17" t="s">
        <v>235</v>
      </c>
    </row>
    <row r="2" spans="1:37" x14ac:dyDescent="0.25">
      <c r="C2" s="2" t="s">
        <v>231</v>
      </c>
      <c r="D2" s="2" t="s">
        <v>232</v>
      </c>
      <c r="E2" s="2" t="s">
        <v>233</v>
      </c>
      <c r="F2" s="2" t="s">
        <v>18</v>
      </c>
      <c r="G2" s="2" t="s">
        <v>19</v>
      </c>
      <c r="H2" s="2" t="s">
        <v>20</v>
      </c>
      <c r="I2" s="2" t="s">
        <v>21</v>
      </c>
      <c r="J2" s="2" t="s">
        <v>22</v>
      </c>
      <c r="K2" s="2" t="s">
        <v>23</v>
      </c>
      <c r="L2" s="2" t="s">
        <v>10</v>
      </c>
      <c r="M2" s="2" t="s">
        <v>11</v>
      </c>
      <c r="N2" s="2" t="s">
        <v>12</v>
      </c>
      <c r="O2" s="2" t="s">
        <v>13</v>
      </c>
      <c r="P2" s="2" t="s">
        <v>14</v>
      </c>
      <c r="Q2" s="2" t="s">
        <v>15</v>
      </c>
      <c r="R2" s="2" t="s">
        <v>16</v>
      </c>
      <c r="S2" s="2" t="s">
        <v>17</v>
      </c>
      <c r="T2" s="2" t="s">
        <v>8</v>
      </c>
      <c r="U2" s="2" t="s">
        <v>9</v>
      </c>
      <c r="V2" s="2" t="s">
        <v>236</v>
      </c>
      <c r="W2" s="2" t="s">
        <v>237</v>
      </c>
      <c r="X2" s="2" t="s">
        <v>238</v>
      </c>
      <c r="Y2" s="2" t="s">
        <v>239</v>
      </c>
      <c r="Z2" s="2" t="s">
        <v>240</v>
      </c>
      <c r="AA2" s="2" t="s">
        <v>241</v>
      </c>
      <c r="AD2" s="17" t="s">
        <v>230</v>
      </c>
      <c r="AE2" s="17" t="s">
        <v>229</v>
      </c>
      <c r="AF2" s="2">
        <v>2021</v>
      </c>
      <c r="AG2" s="2">
        <v>2022</v>
      </c>
      <c r="AH2" s="2">
        <v>2023</v>
      </c>
      <c r="AI2" s="2">
        <v>2024</v>
      </c>
      <c r="AJ2" s="2">
        <v>2025</v>
      </c>
      <c r="AK2" s="2">
        <v>2026</v>
      </c>
    </row>
    <row r="3" spans="1:37" s="5" customFormat="1" x14ac:dyDescent="0.25">
      <c r="A3" s="2"/>
      <c r="B3" s="5" t="s">
        <v>24</v>
      </c>
      <c r="F3" s="5">
        <v>40219</v>
      </c>
      <c r="G3" s="5">
        <v>33478</v>
      </c>
      <c r="J3" s="5">
        <v>40651</v>
      </c>
      <c r="K3" s="5">
        <v>40357</v>
      </c>
      <c r="L3" s="5">
        <v>42154</v>
      </c>
      <c r="M3" s="5">
        <v>38459</v>
      </c>
      <c r="N3" s="5">
        <v>33988</v>
      </c>
      <c r="O3" s="5">
        <v>40563</v>
      </c>
      <c r="P3" s="5">
        <v>33121</v>
      </c>
      <c r="Q3" s="5">
        <v>39783</v>
      </c>
      <c r="R3" s="5">
        <v>41505</v>
      </c>
      <c r="S3" s="5">
        <v>43827</v>
      </c>
      <c r="T3" s="5">
        <v>34757</v>
      </c>
      <c r="U3" s="5">
        <v>32472</v>
      </c>
      <c r="V3" s="5">
        <v>44720</v>
      </c>
      <c r="W3" s="5">
        <v>47690</v>
      </c>
      <c r="X3" s="5">
        <v>38580</v>
      </c>
      <c r="Y3" s="5">
        <v>46370</v>
      </c>
      <c r="Z3" s="5">
        <v>50850</v>
      </c>
      <c r="AA3" s="5">
        <v>53510</v>
      </c>
      <c r="AD3" s="5">
        <v>59765</v>
      </c>
      <c r="AE3" s="5">
        <v>31552</v>
      </c>
      <c r="AF3" s="5">
        <v>145578</v>
      </c>
      <c r="AG3" s="5">
        <v>155011</v>
      </c>
      <c r="AH3" s="5">
        <v>155164</v>
      </c>
      <c r="AI3" s="5">
        <v>158236</v>
      </c>
      <c r="AJ3" s="5">
        <v>168000</v>
      </c>
      <c r="AK3" s="5">
        <v>190000</v>
      </c>
    </row>
    <row r="4" spans="1:37" s="5" customFormat="1" x14ac:dyDescent="0.25">
      <c r="A4" s="2"/>
      <c r="B4" s="5" t="s">
        <v>25</v>
      </c>
      <c r="F4" s="5">
        <v>29421</v>
      </c>
      <c r="G4" s="5">
        <v>29651</v>
      </c>
      <c r="J4" s="5">
        <v>28900</v>
      </c>
      <c r="K4" s="5">
        <v>28572</v>
      </c>
      <c r="L4" s="5">
        <v>31941</v>
      </c>
      <c r="M4" s="5">
        <v>29496</v>
      </c>
      <c r="N4" s="5">
        <v>25579</v>
      </c>
      <c r="O4" s="5">
        <v>27547</v>
      </c>
      <c r="P4" s="5">
        <v>26135</v>
      </c>
      <c r="Q4" s="5">
        <v>28720</v>
      </c>
      <c r="R4" s="5">
        <v>30739</v>
      </c>
      <c r="S4" s="5">
        <v>27422</v>
      </c>
      <c r="T4" s="5">
        <v>27369</v>
      </c>
      <c r="U4" s="5">
        <v>24359</v>
      </c>
      <c r="AD4" s="5">
        <v>46755</v>
      </c>
      <c r="AE4" s="5">
        <v>22877</v>
      </c>
      <c r="AF4" s="5">
        <v>111510</v>
      </c>
      <c r="AG4" s="5">
        <v>112018</v>
      </c>
      <c r="AH4" s="5">
        <v>114563</v>
      </c>
      <c r="AI4" s="5">
        <v>113016</v>
      </c>
      <c r="AJ4" s="24" t="s">
        <v>274</v>
      </c>
    </row>
    <row r="5" spans="1:37" s="7" customFormat="1" x14ac:dyDescent="0.25">
      <c r="A5" s="3"/>
      <c r="B5" s="7" t="s">
        <v>26</v>
      </c>
      <c r="C5" s="7">
        <f t="shared" ref="C5:E5" si="0">C3-C4</f>
        <v>0</v>
      </c>
      <c r="D5" s="7">
        <f t="shared" si="0"/>
        <v>0</v>
      </c>
      <c r="E5" s="7">
        <f t="shared" si="0"/>
        <v>0</v>
      </c>
      <c r="F5" s="7">
        <f t="shared" ref="F5:S5" si="1">F3-F4</f>
        <v>10798</v>
      </c>
      <c r="G5" s="7">
        <f t="shared" si="1"/>
        <v>3827</v>
      </c>
      <c r="H5" s="7">
        <f t="shared" si="1"/>
        <v>0</v>
      </c>
      <c r="I5" s="7">
        <f t="shared" si="1"/>
        <v>0</v>
      </c>
      <c r="J5" s="7">
        <f t="shared" si="1"/>
        <v>11751</v>
      </c>
      <c r="K5" s="7">
        <f t="shared" si="1"/>
        <v>11785</v>
      </c>
      <c r="L5" s="7">
        <f t="shared" si="1"/>
        <v>10213</v>
      </c>
      <c r="M5" s="7">
        <f t="shared" si="1"/>
        <v>8963</v>
      </c>
      <c r="N5" s="7">
        <f t="shared" si="1"/>
        <v>8409</v>
      </c>
      <c r="O5" s="7">
        <f t="shared" si="1"/>
        <v>13016</v>
      </c>
      <c r="P5" s="7">
        <f t="shared" si="1"/>
        <v>6986</v>
      </c>
      <c r="Q5" s="7">
        <f t="shared" si="1"/>
        <v>11063</v>
      </c>
      <c r="R5" s="7">
        <f t="shared" si="1"/>
        <v>10766</v>
      </c>
      <c r="S5" s="7">
        <f t="shared" si="1"/>
        <v>16405</v>
      </c>
      <c r="T5" s="7">
        <f>T3-T4</f>
        <v>7388</v>
      </c>
      <c r="U5" s="7">
        <f>U3-U4</f>
        <v>8113</v>
      </c>
      <c r="V5" s="7">
        <f t="shared" ref="V5:AA5" si="2">V3-V4</f>
        <v>44720</v>
      </c>
      <c r="W5" s="7">
        <f t="shared" si="2"/>
        <v>47690</v>
      </c>
      <c r="X5" s="7">
        <f t="shared" si="2"/>
        <v>38580</v>
      </c>
      <c r="Y5" s="7">
        <f t="shared" si="2"/>
        <v>46370</v>
      </c>
      <c r="Z5" s="7">
        <f t="shared" si="2"/>
        <v>50850</v>
      </c>
      <c r="AA5" s="7">
        <f t="shared" si="2"/>
        <v>53510</v>
      </c>
      <c r="AD5" s="7">
        <f t="shared" ref="AD5:AI5" si="3">AD3-AD4</f>
        <v>13010</v>
      </c>
      <c r="AE5" s="7">
        <f t="shared" si="3"/>
        <v>8675</v>
      </c>
      <c r="AF5" s="7">
        <f t="shared" si="3"/>
        <v>34068</v>
      </c>
      <c r="AG5" s="7">
        <f t="shared" si="3"/>
        <v>42993</v>
      </c>
      <c r="AH5" s="7">
        <f t="shared" si="3"/>
        <v>40601</v>
      </c>
      <c r="AI5" s="7">
        <f t="shared" si="3"/>
        <v>45220</v>
      </c>
    </row>
    <row r="6" spans="1:37" s="5" customFormat="1" x14ac:dyDescent="0.25">
      <c r="A6" s="2"/>
      <c r="B6" s="5" t="s">
        <v>27</v>
      </c>
      <c r="F6" s="5">
        <v>12038</v>
      </c>
      <c r="G6" s="5">
        <v>73950</v>
      </c>
      <c r="J6" s="5">
        <v>20233</v>
      </c>
      <c r="K6" s="5">
        <v>15570</v>
      </c>
      <c r="L6" s="5">
        <v>20362</v>
      </c>
      <c r="M6" s="5">
        <v>16930</v>
      </c>
      <c r="N6" s="5">
        <v>15533</v>
      </c>
      <c r="O6" s="5">
        <v>18232</v>
      </c>
      <c r="P6" s="5">
        <v>16948</v>
      </c>
      <c r="Q6" s="5">
        <v>23364</v>
      </c>
      <c r="R6" s="5">
        <v>17485</v>
      </c>
      <c r="S6" s="5">
        <v>22243</v>
      </c>
      <c r="T6" s="5">
        <v>22732</v>
      </c>
      <c r="U6" s="5">
        <v>21487</v>
      </c>
      <c r="AD6" s="5">
        <v>7632</v>
      </c>
      <c r="AE6" s="5">
        <v>7909</v>
      </c>
      <c r="AF6" s="5">
        <v>106507</v>
      </c>
      <c r="AG6" s="5">
        <v>84775</v>
      </c>
      <c r="AH6" s="5">
        <v>71057</v>
      </c>
      <c r="AI6" s="5">
        <v>80040</v>
      </c>
    </row>
    <row r="7" spans="1:37" s="5" customFormat="1" x14ac:dyDescent="0.25">
      <c r="A7" s="2"/>
      <c r="B7" s="5" t="s">
        <v>28</v>
      </c>
      <c r="F7" s="5">
        <v>1363</v>
      </c>
      <c r="G7" s="5">
        <v>1875</v>
      </c>
      <c r="J7" s="5">
        <v>1785</v>
      </c>
      <c r="K7" s="5">
        <v>1199</v>
      </c>
      <c r="L7" s="5">
        <v>1128</v>
      </c>
      <c r="M7" s="5">
        <v>2225</v>
      </c>
      <c r="N7" s="5">
        <v>-349</v>
      </c>
      <c r="O7" s="5">
        <v>2031</v>
      </c>
      <c r="P7" s="5">
        <v>1144</v>
      </c>
      <c r="Q7" s="5">
        <v>3565</v>
      </c>
      <c r="R7" s="5">
        <v>3820</v>
      </c>
      <c r="S7" s="5">
        <v>2334</v>
      </c>
      <c r="T7" s="5">
        <v>4166</v>
      </c>
      <c r="U7" s="5">
        <v>4393</v>
      </c>
      <c r="AD7" s="5">
        <v>85</v>
      </c>
      <c r="AE7" s="5">
        <v>530</v>
      </c>
      <c r="AF7" s="5">
        <v>6033</v>
      </c>
      <c r="AG7" s="5">
        <v>8393</v>
      </c>
      <c r="AH7" s="5">
        <v>5035</v>
      </c>
      <c r="AI7" s="5">
        <v>10863</v>
      </c>
    </row>
    <row r="8" spans="1:37" s="5" customFormat="1" x14ac:dyDescent="0.25">
      <c r="A8" s="2"/>
      <c r="B8" s="5" t="s">
        <v>29</v>
      </c>
      <c r="J8" s="5">
        <v>1562</v>
      </c>
      <c r="K8" s="5">
        <v>2641</v>
      </c>
      <c r="L8" s="5">
        <v>755</v>
      </c>
      <c r="M8" s="5">
        <v>25</v>
      </c>
      <c r="O8" s="5">
        <v>42</v>
      </c>
      <c r="P8" s="5">
        <v>860</v>
      </c>
      <c r="Q8" s="5">
        <v>457</v>
      </c>
      <c r="R8" s="5">
        <v>0</v>
      </c>
      <c r="S8" s="5">
        <v>-30</v>
      </c>
      <c r="T8" s="5">
        <v>1698</v>
      </c>
      <c r="U8" s="5">
        <v>1899</v>
      </c>
      <c r="AG8" s="5">
        <v>4203</v>
      </c>
      <c r="AH8" s="5">
        <v>822</v>
      </c>
      <c r="AI8" s="5">
        <v>1287</v>
      </c>
    </row>
    <row r="9" spans="1:37" s="5" customFormat="1" x14ac:dyDescent="0.25">
      <c r="A9" s="2"/>
      <c r="B9" s="5" t="s">
        <v>30</v>
      </c>
      <c r="J9" s="5">
        <v>566</v>
      </c>
      <c r="K9" s="5">
        <v>454</v>
      </c>
      <c r="N9" s="5">
        <v>1437</v>
      </c>
      <c r="O9" s="5">
        <v>1284</v>
      </c>
      <c r="P9" s="5">
        <v>1103</v>
      </c>
      <c r="Q9" s="5">
        <v>347</v>
      </c>
      <c r="R9" s="5">
        <v>0</v>
      </c>
      <c r="S9" s="5">
        <v>0</v>
      </c>
      <c r="AE9" s="5">
        <v>10091</v>
      </c>
      <c r="AG9" s="5">
        <v>2605</v>
      </c>
      <c r="AH9" s="5">
        <v>2721</v>
      </c>
      <c r="AI9" s="5">
        <v>1450</v>
      </c>
    </row>
    <row r="10" spans="1:37" s="5" customFormat="1" x14ac:dyDescent="0.25">
      <c r="A10" s="2"/>
      <c r="B10" s="5" t="s">
        <v>31</v>
      </c>
      <c r="K10" s="5">
        <v>18292</v>
      </c>
      <c r="P10" s="5">
        <v>85000</v>
      </c>
      <c r="R10" s="5">
        <v>0</v>
      </c>
      <c r="S10" s="5">
        <v>0</v>
      </c>
      <c r="U10" s="5">
        <v>70636</v>
      </c>
      <c r="AG10" s="5">
        <v>53544</v>
      </c>
      <c r="AI10" s="5">
        <v>85000</v>
      </c>
    </row>
    <row r="11" spans="1:37" s="7" customFormat="1" x14ac:dyDescent="0.25">
      <c r="A11" s="3"/>
      <c r="B11" s="7" t="s">
        <v>32</v>
      </c>
      <c r="C11" s="7">
        <f t="shared" ref="C11:E11" si="4">SUM(C6:C10)</f>
        <v>0</v>
      </c>
      <c r="D11" s="7">
        <f t="shared" si="4"/>
        <v>0</v>
      </c>
      <c r="E11" s="7">
        <f t="shared" si="4"/>
        <v>0</v>
      </c>
      <c r="F11" s="7">
        <f t="shared" ref="F11:S11" si="5">SUM(F6:F10)</f>
        <v>13401</v>
      </c>
      <c r="G11" s="7">
        <f t="shared" si="5"/>
        <v>75825</v>
      </c>
      <c r="H11" s="7">
        <f t="shared" si="5"/>
        <v>0</v>
      </c>
      <c r="I11" s="7">
        <f t="shared" si="5"/>
        <v>0</v>
      </c>
      <c r="J11" s="7">
        <f t="shared" si="5"/>
        <v>24146</v>
      </c>
      <c r="K11" s="7">
        <f t="shared" si="5"/>
        <v>38156</v>
      </c>
      <c r="L11" s="7">
        <f t="shared" si="5"/>
        <v>22245</v>
      </c>
      <c r="M11" s="7">
        <f t="shared" si="5"/>
        <v>19180</v>
      </c>
      <c r="N11" s="7">
        <f t="shared" si="5"/>
        <v>16621</v>
      </c>
      <c r="O11" s="7">
        <f t="shared" si="5"/>
        <v>21589</v>
      </c>
      <c r="P11" s="7">
        <f t="shared" si="5"/>
        <v>105055</v>
      </c>
      <c r="Q11" s="7">
        <f t="shared" si="5"/>
        <v>27733</v>
      </c>
      <c r="R11" s="7">
        <f t="shared" si="5"/>
        <v>21305</v>
      </c>
      <c r="S11" s="7">
        <f t="shared" si="5"/>
        <v>24547</v>
      </c>
      <c r="T11" s="7">
        <f>SUM(T6:T10)</f>
        <v>28596</v>
      </c>
      <c r="U11" s="7">
        <f>SUM(U6:U10)</f>
        <v>98415</v>
      </c>
      <c r="V11" s="7">
        <f t="shared" ref="V11:AA11" si="6">SUM(V6:V10)</f>
        <v>0</v>
      </c>
      <c r="W11" s="7">
        <f t="shared" si="6"/>
        <v>0</v>
      </c>
      <c r="X11" s="7">
        <f t="shared" si="6"/>
        <v>0</v>
      </c>
      <c r="Y11" s="7">
        <f t="shared" si="6"/>
        <v>0</v>
      </c>
      <c r="Z11" s="7">
        <f t="shared" si="6"/>
        <v>0</v>
      </c>
      <c r="AA11" s="7">
        <f t="shared" si="6"/>
        <v>0</v>
      </c>
      <c r="AD11" s="7">
        <f t="shared" ref="AD11" si="7">SUM(AD6:AD10)</f>
        <v>7717</v>
      </c>
      <c r="AE11" s="7">
        <f t="shared" ref="AE11:AI11" si="8">SUM(AE6:AE10)</f>
        <v>18530</v>
      </c>
      <c r="AF11" s="7">
        <f t="shared" si="8"/>
        <v>112540</v>
      </c>
      <c r="AG11" s="7">
        <f t="shared" si="8"/>
        <v>153520</v>
      </c>
      <c r="AH11" s="7">
        <f t="shared" si="8"/>
        <v>79635</v>
      </c>
      <c r="AI11" s="7">
        <f t="shared" si="8"/>
        <v>178640</v>
      </c>
    </row>
    <row r="12" spans="1:37" s="7" customFormat="1" x14ac:dyDescent="0.25">
      <c r="A12" s="3"/>
      <c r="B12" s="7" t="s">
        <v>33</v>
      </c>
      <c r="C12" s="7">
        <f t="shared" ref="C12:E12" si="9">C5-C11</f>
        <v>0</v>
      </c>
      <c r="D12" s="7">
        <f t="shared" si="9"/>
        <v>0</v>
      </c>
      <c r="E12" s="7">
        <f t="shared" si="9"/>
        <v>0</v>
      </c>
      <c r="F12" s="7">
        <f t="shared" ref="F12:S12" si="10">F5-F11</f>
        <v>-2603</v>
      </c>
      <c r="G12" s="7">
        <f t="shared" si="10"/>
        <v>-71998</v>
      </c>
      <c r="H12" s="7">
        <f t="shared" si="10"/>
        <v>0</v>
      </c>
      <c r="I12" s="7">
        <f t="shared" si="10"/>
        <v>0</v>
      </c>
      <c r="J12" s="7">
        <f t="shared" si="10"/>
        <v>-12395</v>
      </c>
      <c r="K12" s="7">
        <f t="shared" si="10"/>
        <v>-26371</v>
      </c>
      <c r="L12" s="7">
        <f t="shared" si="10"/>
        <v>-12032</v>
      </c>
      <c r="M12" s="7">
        <f t="shared" si="10"/>
        <v>-10217</v>
      </c>
      <c r="N12" s="7">
        <f t="shared" si="10"/>
        <v>-8212</v>
      </c>
      <c r="O12" s="7">
        <f t="shared" si="10"/>
        <v>-8573</v>
      </c>
      <c r="P12" s="7">
        <f t="shared" si="10"/>
        <v>-98069</v>
      </c>
      <c r="Q12" s="7">
        <f t="shared" si="10"/>
        <v>-16670</v>
      </c>
      <c r="R12" s="7">
        <f t="shared" si="10"/>
        <v>-10539</v>
      </c>
      <c r="S12" s="7">
        <f t="shared" si="10"/>
        <v>-8142</v>
      </c>
      <c r="T12" s="7">
        <f>T5-T11</f>
        <v>-21208</v>
      </c>
      <c r="U12" s="7">
        <f t="shared" ref="U12:Z12" si="11">U5-U11</f>
        <v>-90302</v>
      </c>
      <c r="V12" s="7">
        <f t="shared" si="11"/>
        <v>44720</v>
      </c>
      <c r="W12" s="7">
        <f t="shared" si="11"/>
        <v>47690</v>
      </c>
      <c r="X12" s="7">
        <f t="shared" si="11"/>
        <v>38580</v>
      </c>
      <c r="Y12" s="7">
        <f t="shared" si="11"/>
        <v>46370</v>
      </c>
      <c r="Z12" s="7">
        <f t="shared" si="11"/>
        <v>50850</v>
      </c>
      <c r="AA12" s="7">
        <f t="shared" ref="AA12" si="12">AA5-AA11</f>
        <v>53510</v>
      </c>
      <c r="AD12" s="7">
        <f t="shared" ref="AD12:AE12" si="13">AD5-AD11</f>
        <v>5293</v>
      </c>
      <c r="AE12" s="7">
        <f t="shared" si="13"/>
        <v>-9855</v>
      </c>
      <c r="AF12" s="7">
        <f t="shared" ref="AF12" si="14">AF5-AF11</f>
        <v>-78472</v>
      </c>
      <c r="AG12" s="7">
        <f t="shared" ref="AG12" si="15">AG5-AG11</f>
        <v>-110527</v>
      </c>
      <c r="AH12" s="7">
        <f t="shared" ref="AH12" si="16">AH5-AH11</f>
        <v>-39034</v>
      </c>
      <c r="AI12" s="7">
        <f t="shared" ref="AI12" si="17">AI5-AI11</f>
        <v>-133420</v>
      </c>
    </row>
    <row r="13" spans="1:37" s="5" customFormat="1" x14ac:dyDescent="0.25">
      <c r="A13" s="2"/>
      <c r="B13" s="5" t="s">
        <v>34</v>
      </c>
      <c r="F13" s="5">
        <v>1870</v>
      </c>
      <c r="G13" s="5">
        <v>2183</v>
      </c>
      <c r="J13" s="5">
        <v>3557</v>
      </c>
      <c r="K13" s="5">
        <v>3770</v>
      </c>
      <c r="L13" s="5">
        <v>6084</v>
      </c>
      <c r="M13" s="5">
        <v>6186</v>
      </c>
      <c r="N13" s="5">
        <v>6267</v>
      </c>
      <c r="O13" s="5">
        <v>6340</v>
      </c>
      <c r="P13" s="5">
        <v>6385</v>
      </c>
      <c r="Q13" s="5">
        <v>6452</v>
      </c>
      <c r="R13" s="5">
        <v>6552</v>
      </c>
      <c r="S13" s="5">
        <v>6258</v>
      </c>
      <c r="T13" s="5">
        <v>5116</v>
      </c>
      <c r="U13" s="5">
        <v>4419</v>
      </c>
      <c r="AD13" s="5">
        <v>1</v>
      </c>
      <c r="AE13" s="5">
        <v>616</v>
      </c>
      <c r="AF13" s="5">
        <v>7762</v>
      </c>
      <c r="AG13" s="5">
        <v>24092</v>
      </c>
      <c r="AH13" s="5">
        <v>24877</v>
      </c>
      <c r="AI13" s="5">
        <v>25647</v>
      </c>
    </row>
    <row r="14" spans="1:37" s="5" customFormat="1" x14ac:dyDescent="0.25">
      <c r="A14" s="2"/>
      <c r="B14" s="24" t="s">
        <v>35</v>
      </c>
      <c r="G14" s="5">
        <v>33353</v>
      </c>
      <c r="J14" s="5">
        <v>-102</v>
      </c>
      <c r="K14" s="5">
        <v>-27</v>
      </c>
      <c r="L14" s="5">
        <v>13012</v>
      </c>
      <c r="M14" s="5">
        <v>2430</v>
      </c>
      <c r="N14" s="5">
        <v>-17269</v>
      </c>
      <c r="O14" s="5">
        <v>9188</v>
      </c>
      <c r="P14" s="5">
        <v>23807</v>
      </c>
      <c r="Q14" s="5">
        <v>-8081</v>
      </c>
      <c r="R14" s="5">
        <v>-1330</v>
      </c>
      <c r="S14" s="5">
        <v>93262</v>
      </c>
      <c r="T14" s="5">
        <v>33336</v>
      </c>
      <c r="U14" s="5">
        <v>135751</v>
      </c>
      <c r="AF14" s="5">
        <v>33353</v>
      </c>
      <c r="AG14" s="5">
        <v>-21387</v>
      </c>
      <c r="AH14" s="5">
        <v>7361</v>
      </c>
      <c r="AI14" s="5">
        <v>107658</v>
      </c>
    </row>
    <row r="15" spans="1:37" s="5" customFormat="1" x14ac:dyDescent="0.25">
      <c r="A15" s="2"/>
      <c r="B15" s="5" t="s">
        <v>36</v>
      </c>
      <c r="G15" s="5">
        <v>2881</v>
      </c>
      <c r="R15" s="5">
        <v>0</v>
      </c>
      <c r="S15" s="5">
        <v>31272</v>
      </c>
      <c r="T15" s="5">
        <v>2577</v>
      </c>
      <c r="AF15" s="5">
        <v>2881</v>
      </c>
      <c r="AI15" s="5">
        <v>31272</v>
      </c>
    </row>
    <row r="16" spans="1:37" s="5" customFormat="1" x14ac:dyDescent="0.25">
      <c r="A16" s="2"/>
      <c r="B16" s="5" t="s">
        <v>37</v>
      </c>
      <c r="G16" s="5">
        <v>1</v>
      </c>
      <c r="J16" s="5">
        <v>8</v>
      </c>
      <c r="K16" s="5">
        <v>7</v>
      </c>
      <c r="N16" s="5">
        <v>-87</v>
      </c>
      <c r="O16" s="5">
        <v>-306</v>
      </c>
      <c r="P16" s="5">
        <v>-455</v>
      </c>
      <c r="Q16" s="5">
        <v>-617</v>
      </c>
      <c r="R16" s="5">
        <v>-647</v>
      </c>
      <c r="S16" s="5">
        <v>-475</v>
      </c>
      <c r="T16" s="5">
        <v>-276</v>
      </c>
      <c r="U16" s="5">
        <v>-1867</v>
      </c>
      <c r="AG16" s="5">
        <v>19</v>
      </c>
      <c r="AH16" s="5">
        <v>-393</v>
      </c>
      <c r="AI16" s="5">
        <v>-2194</v>
      </c>
    </row>
    <row r="17" spans="1:37" s="7" customFormat="1" x14ac:dyDescent="0.25">
      <c r="A17" s="3"/>
      <c r="B17" s="7" t="s">
        <v>38</v>
      </c>
      <c r="C17" s="7">
        <f t="shared" ref="C17:E17" si="18">C12-(C13+C14+C15+C16)</f>
        <v>0</v>
      </c>
      <c r="D17" s="7">
        <f t="shared" si="18"/>
        <v>0</v>
      </c>
      <c r="E17" s="7">
        <f t="shared" si="18"/>
        <v>0</v>
      </c>
      <c r="F17" s="7">
        <f t="shared" ref="F17:S17" si="19">F12-(F13+F14+F15+F16)</f>
        <v>-4473</v>
      </c>
      <c r="G17" s="7">
        <f t="shared" si="19"/>
        <v>-110416</v>
      </c>
      <c r="H17" s="7">
        <f t="shared" si="19"/>
        <v>0</v>
      </c>
      <c r="I17" s="7">
        <f t="shared" si="19"/>
        <v>0</v>
      </c>
      <c r="J17" s="7">
        <f t="shared" si="19"/>
        <v>-15858</v>
      </c>
      <c r="K17" s="7">
        <f t="shared" si="19"/>
        <v>-30121</v>
      </c>
      <c r="L17" s="7">
        <f t="shared" si="19"/>
        <v>-31128</v>
      </c>
      <c r="M17" s="7">
        <f t="shared" si="19"/>
        <v>-18833</v>
      </c>
      <c r="N17" s="7">
        <f t="shared" si="19"/>
        <v>2877</v>
      </c>
      <c r="O17" s="7">
        <f t="shared" si="19"/>
        <v>-23795</v>
      </c>
      <c r="P17" s="7">
        <f t="shared" si="19"/>
        <v>-127806</v>
      </c>
      <c r="Q17" s="7">
        <f t="shared" si="19"/>
        <v>-14424</v>
      </c>
      <c r="R17" s="7">
        <f t="shared" si="19"/>
        <v>-15114</v>
      </c>
      <c r="S17" s="7">
        <f t="shared" si="19"/>
        <v>-138459</v>
      </c>
      <c r="T17" s="7">
        <f>T12-(T13+T14+T15+T16)</f>
        <v>-61961</v>
      </c>
      <c r="U17" s="7">
        <f>U12-(U13+U14+U15+U16)</f>
        <v>-228605</v>
      </c>
      <c r="V17" s="7">
        <f t="shared" ref="V17:AA17" si="20">V12-(V13+V14+V15+V16)</f>
        <v>44720</v>
      </c>
      <c r="W17" s="7">
        <f t="shared" si="20"/>
        <v>47690</v>
      </c>
      <c r="X17" s="7">
        <f t="shared" si="20"/>
        <v>38580</v>
      </c>
      <c r="Y17" s="7">
        <f t="shared" si="20"/>
        <v>46370</v>
      </c>
      <c r="Z17" s="7">
        <f t="shared" si="20"/>
        <v>50850</v>
      </c>
      <c r="AA17" s="7">
        <f t="shared" si="20"/>
        <v>53510</v>
      </c>
      <c r="AD17" s="7">
        <f t="shared" ref="AD17:AI17" si="21">AD12-(AD13+AD14+AD15+AD16)</f>
        <v>5292</v>
      </c>
      <c r="AE17" s="7">
        <f t="shared" si="21"/>
        <v>-10471</v>
      </c>
      <c r="AF17" s="7">
        <f t="shared" si="21"/>
        <v>-122468</v>
      </c>
      <c r="AG17" s="7">
        <f t="shared" si="21"/>
        <v>-113251</v>
      </c>
      <c r="AH17" s="7">
        <f t="shared" si="21"/>
        <v>-70879</v>
      </c>
      <c r="AI17" s="7">
        <f t="shared" si="21"/>
        <v>-295803</v>
      </c>
    </row>
    <row r="18" spans="1:37" s="5" customFormat="1" x14ac:dyDescent="0.25">
      <c r="A18" s="2"/>
      <c r="B18" s="5" t="s">
        <v>41</v>
      </c>
      <c r="F18" s="5">
        <v>-1327</v>
      </c>
      <c r="G18" s="5">
        <v>4378</v>
      </c>
      <c r="J18" s="5">
        <v>252</v>
      </c>
      <c r="K18" s="5">
        <v>-226</v>
      </c>
      <c r="L18" s="5">
        <v>59</v>
      </c>
      <c r="M18" s="5">
        <v>-3</v>
      </c>
      <c r="N18" s="5">
        <v>-5</v>
      </c>
      <c r="O18" s="5">
        <v>-273</v>
      </c>
      <c r="P18" s="5">
        <v>-14</v>
      </c>
      <c r="Q18" s="5">
        <v>15</v>
      </c>
      <c r="R18" s="5">
        <v>21</v>
      </c>
      <c r="S18" s="5">
        <v>-278</v>
      </c>
      <c r="T18" s="5">
        <v>25</v>
      </c>
      <c r="U18" s="5">
        <v>14</v>
      </c>
      <c r="AD18" s="5">
        <v>3</v>
      </c>
      <c r="AE18" s="5">
        <v>-2633</v>
      </c>
      <c r="AF18" s="5">
        <v>1084</v>
      </c>
      <c r="AG18" s="5">
        <v>-1884</v>
      </c>
      <c r="AH18" s="5">
        <v>-222</v>
      </c>
      <c r="AI18" s="5">
        <v>-256</v>
      </c>
    </row>
    <row r="19" spans="1:37" s="7" customFormat="1" x14ac:dyDescent="0.25">
      <c r="A19" s="3"/>
      <c r="B19" s="7" t="s">
        <v>39</v>
      </c>
      <c r="C19" s="7">
        <f t="shared" ref="C19:E19" si="22">C17-C18</f>
        <v>0</v>
      </c>
      <c r="D19" s="7">
        <f t="shared" si="22"/>
        <v>0</v>
      </c>
      <c r="E19" s="7">
        <f t="shared" si="22"/>
        <v>0</v>
      </c>
      <c r="F19" s="7">
        <f t="shared" ref="F19:S19" si="23">F17-F18</f>
        <v>-3146</v>
      </c>
      <c r="G19" s="7">
        <f t="shared" si="23"/>
        <v>-114794</v>
      </c>
      <c r="H19" s="7">
        <f t="shared" si="23"/>
        <v>0</v>
      </c>
      <c r="I19" s="7">
        <f t="shared" si="23"/>
        <v>0</v>
      </c>
      <c r="J19" s="7">
        <f t="shared" si="23"/>
        <v>-16110</v>
      </c>
      <c r="K19" s="7">
        <f t="shared" si="23"/>
        <v>-29895</v>
      </c>
      <c r="L19" s="7">
        <f t="shared" si="23"/>
        <v>-31187</v>
      </c>
      <c r="M19" s="7">
        <f t="shared" si="23"/>
        <v>-18830</v>
      </c>
      <c r="N19" s="7">
        <f t="shared" si="23"/>
        <v>2882</v>
      </c>
      <c r="O19" s="7">
        <f t="shared" si="23"/>
        <v>-23522</v>
      </c>
      <c r="P19" s="7">
        <f t="shared" si="23"/>
        <v>-127792</v>
      </c>
      <c r="Q19" s="7">
        <f t="shared" si="23"/>
        <v>-14439</v>
      </c>
      <c r="R19" s="7">
        <f t="shared" si="23"/>
        <v>-15135</v>
      </c>
      <c r="S19" s="7">
        <f t="shared" si="23"/>
        <v>-138181</v>
      </c>
      <c r="T19" s="7">
        <f>T17-T18</f>
        <v>-61986</v>
      </c>
      <c r="U19" s="7">
        <f>U17-U18</f>
        <v>-228619</v>
      </c>
      <c r="V19" s="7">
        <f t="shared" ref="V19:AA19" si="24">V17-V18</f>
        <v>44720</v>
      </c>
      <c r="W19" s="7">
        <f t="shared" si="24"/>
        <v>47690</v>
      </c>
      <c r="X19" s="7">
        <f t="shared" si="24"/>
        <v>38580</v>
      </c>
      <c r="Y19" s="7">
        <f t="shared" si="24"/>
        <v>46370</v>
      </c>
      <c r="Z19" s="7">
        <f t="shared" si="24"/>
        <v>50850</v>
      </c>
      <c r="AA19" s="7">
        <f t="shared" si="24"/>
        <v>53510</v>
      </c>
      <c r="AD19" s="7">
        <f t="shared" ref="AD19:AI19" si="25">AD17-AD18</f>
        <v>5289</v>
      </c>
      <c r="AE19" s="7">
        <f t="shared" si="25"/>
        <v>-7838</v>
      </c>
      <c r="AF19" s="7">
        <f t="shared" si="25"/>
        <v>-123552</v>
      </c>
      <c r="AG19" s="7">
        <f t="shared" si="25"/>
        <v>-111367</v>
      </c>
      <c r="AH19" s="7">
        <f t="shared" si="25"/>
        <v>-70657</v>
      </c>
      <c r="AI19" s="7">
        <f t="shared" si="25"/>
        <v>-295547</v>
      </c>
      <c r="AJ19" s="7">
        <v>-108000</v>
      </c>
      <c r="AK19" s="7">
        <v>-52620</v>
      </c>
    </row>
    <row r="20" spans="1:37" s="5" customFormat="1" x14ac:dyDescent="0.25">
      <c r="A20" s="2"/>
      <c r="B20" s="5" t="s">
        <v>3</v>
      </c>
      <c r="F20" s="5">
        <v>105000</v>
      </c>
      <c r="G20" s="5">
        <v>107009.834</v>
      </c>
      <c r="J20" s="5">
        <f>J19/J21</f>
        <v>123923.07692307692</v>
      </c>
      <c r="K20" s="5">
        <v>127698.478</v>
      </c>
      <c r="L20" s="5">
        <f>L19/L21</f>
        <v>135595.65217391303</v>
      </c>
      <c r="M20" s="5">
        <f>M19/M21</f>
        <v>144846.15384615384</v>
      </c>
      <c r="N20" s="5">
        <f>N19/N21</f>
        <v>144100</v>
      </c>
      <c r="O20" s="5">
        <f>O19/O21</f>
        <v>156813.33333333334</v>
      </c>
      <c r="P20" s="5">
        <v>187279.204</v>
      </c>
      <c r="Q20" s="5">
        <v>187279.204</v>
      </c>
      <c r="R20" s="5">
        <v>228066.66666666669</v>
      </c>
      <c r="S20" s="5">
        <v>233604.5</v>
      </c>
      <c r="T20" s="5">
        <v>252341.40100000001</v>
      </c>
      <c r="U20" s="5">
        <v>320591.20400000003</v>
      </c>
      <c r="AD20" s="5">
        <v>105000</v>
      </c>
      <c r="AE20" s="5">
        <v>105000</v>
      </c>
      <c r="AF20" s="5">
        <v>107009.834</v>
      </c>
      <c r="AG20" s="5">
        <v>127698.478</v>
      </c>
      <c r="AH20" s="5">
        <v>149234.91699999999</v>
      </c>
      <c r="AI20" s="5">
        <v>233604.5</v>
      </c>
    </row>
    <row r="21" spans="1:37" s="8" customFormat="1" x14ac:dyDescent="0.25">
      <c r="B21" s="8" t="s">
        <v>40</v>
      </c>
      <c r="C21" s="8" t="e">
        <f t="shared" ref="C21:E21" si="26">C19/C20</f>
        <v>#DIV/0!</v>
      </c>
      <c r="D21" s="8" t="e">
        <f t="shared" si="26"/>
        <v>#DIV/0!</v>
      </c>
      <c r="E21" s="8" t="e">
        <f t="shared" si="26"/>
        <v>#DIV/0!</v>
      </c>
      <c r="F21" s="8">
        <f t="shared" ref="F21:S21" si="27">F19/F20</f>
        <v>-2.9961904761904763E-2</v>
      </c>
      <c r="G21" s="8">
        <f t="shared" si="27"/>
        <v>-1.0727425294389299</v>
      </c>
      <c r="H21" s="8" t="e">
        <f t="shared" si="27"/>
        <v>#DIV/0!</v>
      </c>
      <c r="I21" s="8" t="e">
        <f t="shared" si="27"/>
        <v>#DIV/0!</v>
      </c>
      <c r="J21" s="8">
        <v>-0.13</v>
      </c>
      <c r="K21" s="8">
        <f t="shared" si="27"/>
        <v>-0.23410615747511102</v>
      </c>
      <c r="L21" s="8">
        <v>-0.23</v>
      </c>
      <c r="M21" s="8">
        <v>-0.13</v>
      </c>
      <c r="N21" s="8">
        <v>0.02</v>
      </c>
      <c r="O21" s="8">
        <v>-0.15</v>
      </c>
      <c r="P21" s="8">
        <f t="shared" si="27"/>
        <v>-0.68236086693320208</v>
      </c>
      <c r="Q21" s="8">
        <v>-0.06</v>
      </c>
      <c r="R21" s="8">
        <f t="shared" si="27"/>
        <v>-6.6362174802689272E-2</v>
      </c>
      <c r="S21" s="8">
        <f t="shared" si="27"/>
        <v>-0.59151685862215841</v>
      </c>
      <c r="T21" s="8">
        <f>T19/T20</f>
        <v>-0.24564340117934114</v>
      </c>
      <c r="U21" s="8">
        <f>U19/U20</f>
        <v>-0.71311688264535167</v>
      </c>
      <c r="V21" s="8" t="e">
        <f t="shared" ref="V21:AA21" si="28">V19/V20</f>
        <v>#DIV/0!</v>
      </c>
      <c r="W21" s="8" t="e">
        <f t="shared" si="28"/>
        <v>#DIV/0!</v>
      </c>
      <c r="X21" s="8" t="e">
        <f t="shared" si="28"/>
        <v>#DIV/0!</v>
      </c>
      <c r="Y21" s="8" t="e">
        <f t="shared" si="28"/>
        <v>#DIV/0!</v>
      </c>
      <c r="Z21" s="8" t="e">
        <f t="shared" si="28"/>
        <v>#DIV/0!</v>
      </c>
      <c r="AA21" s="8" t="e">
        <f t="shared" si="28"/>
        <v>#DIV/0!</v>
      </c>
      <c r="AD21" s="8">
        <f t="shared" ref="AD21:AI21" si="29">AD19/AD20</f>
        <v>5.0371428571428574E-2</v>
      </c>
      <c r="AE21" s="8">
        <f t="shared" si="29"/>
        <v>-7.4647619047619046E-2</v>
      </c>
      <c r="AF21" s="8">
        <f t="shared" si="29"/>
        <v>-1.1545854748265472</v>
      </c>
      <c r="AG21" s="8">
        <f t="shared" si="29"/>
        <v>-0.8721090630383237</v>
      </c>
      <c r="AH21" s="8">
        <f t="shared" si="29"/>
        <v>-0.47346158272061761</v>
      </c>
      <c r="AI21" s="8">
        <f t="shared" si="29"/>
        <v>-1.2651597036872149</v>
      </c>
    </row>
    <row r="24" spans="1:37" s="9" customFormat="1" x14ac:dyDescent="0.25">
      <c r="B24" s="9" t="s">
        <v>43</v>
      </c>
      <c r="L24" s="9">
        <f t="shared" ref="L24:S24" si="30">L5/L3</f>
        <v>0.2422783128528728</v>
      </c>
      <c r="M24" s="9">
        <f t="shared" si="30"/>
        <v>0.23305338152318053</v>
      </c>
      <c r="N24" s="9">
        <f t="shared" si="30"/>
        <v>0.24741085088854889</v>
      </c>
      <c r="O24" s="9">
        <f t="shared" si="30"/>
        <v>0.32088356383896655</v>
      </c>
      <c r="P24" s="9">
        <f t="shared" si="30"/>
        <v>0.21092358322514418</v>
      </c>
      <c r="Q24" s="9">
        <f t="shared" si="30"/>
        <v>0.27808360354925471</v>
      </c>
      <c r="R24" s="9">
        <f t="shared" si="30"/>
        <v>0.25939043488736296</v>
      </c>
      <c r="S24" s="9">
        <f t="shared" si="30"/>
        <v>0.37431263832797135</v>
      </c>
      <c r="T24" s="9">
        <f>T5/T3</f>
        <v>0.21256149840319935</v>
      </c>
      <c r="U24" s="9">
        <f>U5/U3</f>
        <v>0.24984602118748461</v>
      </c>
      <c r="AD24" s="9">
        <f t="shared" ref="AD24:AF24" si="31">AD5/AD3</f>
        <v>0.21768593658495775</v>
      </c>
      <c r="AE24" s="9">
        <f t="shared" si="31"/>
        <v>0.27494295131845842</v>
      </c>
      <c r="AF24" s="9">
        <f t="shared" si="31"/>
        <v>0.23401887647858879</v>
      </c>
      <c r="AG24" s="9">
        <f t="shared" ref="AG24:AI24" si="32">AG5/AG3</f>
        <v>0.27735451032507369</v>
      </c>
      <c r="AH24" s="9">
        <f t="shared" si="32"/>
        <v>0.26166507695083913</v>
      </c>
      <c r="AI24" s="9">
        <f t="shared" si="32"/>
        <v>0.28577567683712934</v>
      </c>
    </row>
    <row r="25" spans="1:37" s="9" customFormat="1" x14ac:dyDescent="0.25">
      <c r="B25" s="9" t="s">
        <v>44</v>
      </c>
      <c r="L25" s="9">
        <f t="shared" ref="L25:S25" si="33">L6/L5</f>
        <v>1.9937334769411534</v>
      </c>
      <c r="M25" s="9">
        <f t="shared" si="33"/>
        <v>1.8888764922458998</v>
      </c>
      <c r="N25" s="9">
        <f t="shared" si="33"/>
        <v>1.8471875371625639</v>
      </c>
      <c r="O25" s="9">
        <f t="shared" si="33"/>
        <v>1.4007375537799631</v>
      </c>
      <c r="P25" s="9">
        <f t="shared" si="33"/>
        <v>2.42599484683653</v>
      </c>
      <c r="Q25" s="9">
        <f t="shared" si="33"/>
        <v>2.1119045466871555</v>
      </c>
      <c r="R25" s="9">
        <f t="shared" si="33"/>
        <v>1.6240943711684934</v>
      </c>
      <c r="S25" s="9">
        <f t="shared" si="33"/>
        <v>1.3558671136848521</v>
      </c>
      <c r="T25" s="9">
        <f>T6/T5</f>
        <v>3.0768814293448834</v>
      </c>
      <c r="U25" s="9">
        <f>U6/U5</f>
        <v>2.6484654258597313</v>
      </c>
      <c r="AD25" s="9">
        <f t="shared" ref="AD25:AF25" si="34">AD6/AD5</f>
        <v>0.58662567255956954</v>
      </c>
      <c r="AE25" s="9">
        <f t="shared" si="34"/>
        <v>0.91170028818443805</v>
      </c>
      <c r="AF25" s="9">
        <f t="shared" si="34"/>
        <v>3.1263062111071975</v>
      </c>
      <c r="AG25" s="9">
        <f t="shared" ref="AG25:AI25" si="35">AG6/AG5</f>
        <v>1.9718326239155211</v>
      </c>
      <c r="AH25" s="9">
        <f t="shared" si="35"/>
        <v>1.7501293071599222</v>
      </c>
      <c r="AI25" s="9">
        <f t="shared" si="35"/>
        <v>1.770013268465281</v>
      </c>
    </row>
    <row r="26" spans="1:37" s="9" customFormat="1" x14ac:dyDescent="0.25">
      <c r="B26" s="9" t="s">
        <v>45</v>
      </c>
      <c r="L26" s="9">
        <f t="shared" ref="L26:S26" si="36">L7/L5</f>
        <v>0.11044746891217076</v>
      </c>
      <c r="M26" s="9">
        <f t="shared" si="36"/>
        <v>0.24824277585629811</v>
      </c>
      <c r="N26" s="9">
        <f t="shared" si="36"/>
        <v>-4.1503151385420385E-2</v>
      </c>
      <c r="O26" s="9">
        <f t="shared" si="36"/>
        <v>0.15603872157344806</v>
      </c>
      <c r="P26" s="9">
        <f t="shared" si="36"/>
        <v>0.16375608359576296</v>
      </c>
      <c r="Q26" s="9">
        <f t="shared" si="36"/>
        <v>0.32224532224532226</v>
      </c>
      <c r="R26" s="9">
        <f t="shared" si="36"/>
        <v>0.35482073193386587</v>
      </c>
      <c r="S26" s="9">
        <f t="shared" si="36"/>
        <v>0.14227369704358428</v>
      </c>
      <c r="T26" s="9">
        <f>T7/T5</f>
        <v>0.56388738494856527</v>
      </c>
      <c r="U26" s="9">
        <f>U7/U5</f>
        <v>0.54147664242573645</v>
      </c>
      <c r="AD26" s="9">
        <f t="shared" ref="AD26:AF26" si="37">AD7/AD5</f>
        <v>6.5334358186010764E-3</v>
      </c>
      <c r="AE26" s="9">
        <f t="shared" si="37"/>
        <v>6.1095100864553317E-2</v>
      </c>
      <c r="AF26" s="9">
        <f t="shared" si="37"/>
        <v>0.17708700246565692</v>
      </c>
      <c r="AG26" s="9">
        <f t="shared" ref="AG26:AI26" si="38">AG7/AG5</f>
        <v>0.1952178261577466</v>
      </c>
      <c r="AH26" s="9">
        <f t="shared" si="38"/>
        <v>0.12401172384916628</v>
      </c>
      <c r="AI26" s="9">
        <f t="shared" si="38"/>
        <v>0.24022556390977443</v>
      </c>
    </row>
    <row r="27" spans="1:37" s="9" customFormat="1" x14ac:dyDescent="0.25">
      <c r="B27" s="9" t="s">
        <v>46</v>
      </c>
      <c r="L27" s="9">
        <f t="shared" ref="L27:S27" si="39">L12/L3</f>
        <v>-0.2854296152203824</v>
      </c>
      <c r="M27" s="9">
        <f t="shared" si="39"/>
        <v>-0.26565953352921295</v>
      </c>
      <c r="N27" s="9">
        <f t="shared" si="39"/>
        <v>-0.24161468753677767</v>
      </c>
      <c r="O27" s="9">
        <f t="shared" si="39"/>
        <v>-0.21135024529743857</v>
      </c>
      <c r="P27" s="9">
        <f t="shared" si="39"/>
        <v>-2.9609311313064217</v>
      </c>
      <c r="Q27" s="9">
        <f t="shared" si="39"/>
        <v>-0.41902320086469097</v>
      </c>
      <c r="R27" s="9">
        <f t="shared" si="39"/>
        <v>-0.25392121431152875</v>
      </c>
      <c r="S27" s="9">
        <f t="shared" si="39"/>
        <v>-0.18577589157368746</v>
      </c>
      <c r="T27" s="9">
        <f>T12/T3</f>
        <v>-0.61017924446874006</v>
      </c>
      <c r="U27" s="9">
        <f>U12/U3</f>
        <v>-2.780918945553092</v>
      </c>
      <c r="AD27" s="9">
        <f t="shared" ref="AD27:AF27" si="40">AD12/AD3</f>
        <v>8.8563540533757215E-2</v>
      </c>
      <c r="AE27" s="9">
        <f t="shared" si="40"/>
        <v>-0.31234153144016225</v>
      </c>
      <c r="AF27" s="9">
        <f t="shared" si="40"/>
        <v>-0.53903749192872552</v>
      </c>
      <c r="AG27" s="9">
        <f t="shared" ref="AG27:AI27" si="41">AG12/AG3</f>
        <v>-0.71302681745166474</v>
      </c>
      <c r="AH27" s="9">
        <f t="shared" si="41"/>
        <v>-0.25156608491660437</v>
      </c>
      <c r="AI27" s="9">
        <f t="shared" si="41"/>
        <v>-0.8431709598321494</v>
      </c>
    </row>
    <row r="28" spans="1:37" s="9" customFormat="1" x14ac:dyDescent="0.25">
      <c r="B28" s="9" t="s">
        <v>47</v>
      </c>
      <c r="L28" s="9">
        <f t="shared" ref="L28:S28" si="42">SUM(L13:L16)/L12</f>
        <v>-1.5871010638297873</v>
      </c>
      <c r="M28" s="9">
        <f t="shared" si="42"/>
        <v>-0.84330038171674659</v>
      </c>
      <c r="N28" s="9">
        <f t="shared" si="42"/>
        <v>1.3503409644422797</v>
      </c>
      <c r="O28" s="9">
        <f t="shared" si="42"/>
        <v>-1.7755744780123643</v>
      </c>
      <c r="P28" s="9">
        <f t="shared" si="42"/>
        <v>-0.30322528015988742</v>
      </c>
      <c r="Q28" s="9">
        <f t="shared" si="42"/>
        <v>0.13473305338932215</v>
      </c>
      <c r="R28" s="9">
        <f t="shared" si="42"/>
        <v>-0.43410190720182179</v>
      </c>
      <c r="S28" s="9">
        <f t="shared" si="42"/>
        <v>-16.005526897568163</v>
      </c>
      <c r="T28" s="9">
        <f>SUM(T13:T16)/T12</f>
        <v>-1.9215861938890983</v>
      </c>
      <c r="U28" s="9">
        <f>SUM(U13:U16)/U12</f>
        <v>-1.5315607627738035</v>
      </c>
      <c r="AD28" s="9">
        <f t="shared" ref="AD28:AF28" si="43">SUM(AD13:AD16)/AD12</f>
        <v>1.8892877385225771E-4</v>
      </c>
      <c r="AE28" s="9">
        <f t="shared" si="43"/>
        <v>-6.2506341958396758E-2</v>
      </c>
      <c r="AF28" s="9">
        <f t="shared" si="43"/>
        <v>-0.56065857885615256</v>
      </c>
      <c r="AG28" s="9">
        <f t="shared" ref="AG28:AI28" si="44">SUM(AG13:AG16)/AG12</f>
        <v>-2.4645561717951271E-2</v>
      </c>
      <c r="AH28" s="9">
        <f t="shared" si="44"/>
        <v>-0.81582722754521697</v>
      </c>
      <c r="AI28" s="9">
        <f t="shared" si="44"/>
        <v>-1.2170813970918903</v>
      </c>
    </row>
    <row r="29" spans="1:37" s="9" customFormat="1" x14ac:dyDescent="0.25">
      <c r="B29" s="9" t="s">
        <v>48</v>
      </c>
      <c r="L29" s="9">
        <f t="shared" ref="L29:S29" si="45">L18/L17</f>
        <v>-1.8953996401953226E-3</v>
      </c>
      <c r="M29" s="9">
        <f t="shared" si="45"/>
        <v>1.5929485477619073E-4</v>
      </c>
      <c r="N29" s="9">
        <f t="shared" si="45"/>
        <v>-1.7379214459506431E-3</v>
      </c>
      <c r="O29" s="9">
        <f t="shared" si="45"/>
        <v>1.1472998529102753E-2</v>
      </c>
      <c r="P29" s="9">
        <f t="shared" si="45"/>
        <v>1.0954102311315588E-4</v>
      </c>
      <c r="Q29" s="9">
        <f t="shared" si="45"/>
        <v>-1.0399334442595673E-3</v>
      </c>
      <c r="R29" s="9">
        <f t="shared" si="45"/>
        <v>-1.3894402540690751E-3</v>
      </c>
      <c r="S29" s="9">
        <f t="shared" si="45"/>
        <v>2.0078145877118858E-3</v>
      </c>
      <c r="T29" s="9">
        <f>T18/T17</f>
        <v>-4.034796081406046E-4</v>
      </c>
      <c r="U29" s="9">
        <f>U18/U17</f>
        <v>-6.1241005227357235E-5</v>
      </c>
      <c r="AD29" s="9">
        <f t="shared" ref="AD29:AF29" si="46">AD18/AD17</f>
        <v>5.6689342403628119E-4</v>
      </c>
      <c r="AE29" s="9">
        <f t="shared" si="46"/>
        <v>0.2514564033998663</v>
      </c>
      <c r="AF29" s="9">
        <f t="shared" si="46"/>
        <v>-8.8512917660123463E-3</v>
      </c>
      <c r="AG29" s="9">
        <f t="shared" ref="AG29:AI29" si="47">AG18/AG17</f>
        <v>1.663561469655897E-2</v>
      </c>
      <c r="AH29" s="9">
        <f t="shared" si="47"/>
        <v>3.1320983648189167E-3</v>
      </c>
      <c r="AI29" s="9">
        <f t="shared" si="47"/>
        <v>8.6544085083653651E-4</v>
      </c>
    </row>
    <row r="30" spans="1:37" s="9" customFormat="1" x14ac:dyDescent="0.25">
      <c r="B30" s="9" t="s">
        <v>49</v>
      </c>
      <c r="L30" s="9">
        <f t="shared" ref="L30:S30" si="48">L19/L3</f>
        <v>-0.73983489111353606</v>
      </c>
      <c r="M30" s="9">
        <f t="shared" si="48"/>
        <v>-0.48961231441275122</v>
      </c>
      <c r="N30" s="9">
        <f t="shared" si="48"/>
        <v>8.4794633400023536E-2</v>
      </c>
      <c r="O30" s="9">
        <f t="shared" si="48"/>
        <v>-0.57988807533959519</v>
      </c>
      <c r="P30" s="9">
        <f t="shared" si="48"/>
        <v>-3.8583376105793907</v>
      </c>
      <c r="Q30" s="9">
        <f t="shared" si="48"/>
        <v>-0.36294397104290776</v>
      </c>
      <c r="R30" s="9">
        <f t="shared" si="48"/>
        <v>-0.36465486086013732</v>
      </c>
      <c r="S30" s="9">
        <f t="shared" si="48"/>
        <v>-3.1528737992561662</v>
      </c>
      <c r="T30" s="9">
        <f>T19/T3</f>
        <v>-1.7834105360071353</v>
      </c>
      <c r="U30" s="9">
        <f>U19/U3</f>
        <v>-7.0404964276915498</v>
      </c>
      <c r="AD30" s="9">
        <f t="shared" ref="AD30:AF30" si="49">AD19/AD3</f>
        <v>8.8496611729272992E-2</v>
      </c>
      <c r="AE30" s="9">
        <f t="shared" si="49"/>
        <v>-0.24841531440162271</v>
      </c>
      <c r="AF30" s="9">
        <f t="shared" si="49"/>
        <v>-0.84869966615834813</v>
      </c>
      <c r="AG30" s="9">
        <f t="shared" ref="AG30:AI30" si="50">AG19/AG3</f>
        <v>-0.71844578771829093</v>
      </c>
      <c r="AH30" s="9">
        <f t="shared" si="50"/>
        <v>-0.45536980227372331</v>
      </c>
      <c r="AI30" s="9">
        <f t="shared" si="50"/>
        <v>-1.8677608129629162</v>
      </c>
    </row>
    <row r="31" spans="1:37" s="9" customFormat="1" x14ac:dyDescent="0.25"/>
    <row r="32" spans="1:37" s="9" customFormat="1" x14ac:dyDescent="0.25">
      <c r="B32" s="9" t="s">
        <v>50</v>
      </c>
      <c r="J32" s="9">
        <f t="shared" ref="J32" si="51">J3/F3-1</f>
        <v>1.0741191973942632E-2</v>
      </c>
      <c r="K32" s="9">
        <f t="shared" ref="K32" si="52">K3/G3-1</f>
        <v>0.20547822450564546</v>
      </c>
      <c r="N32" s="9">
        <f t="shared" ref="N32" si="53">N3/J3-1</f>
        <v>-0.16390740695185846</v>
      </c>
      <c r="O32" s="9">
        <f t="shared" ref="O32" si="54">O3/K3-1</f>
        <v>5.1044428475852666E-3</v>
      </c>
      <c r="P32" s="9">
        <f t="shared" ref="P32:S32" si="55">P3/L3-1</f>
        <v>-0.2142857142857143</v>
      </c>
      <c r="Q32" s="9">
        <f t="shared" si="55"/>
        <v>3.4426272133960767E-2</v>
      </c>
      <c r="R32" s="9">
        <f t="shared" si="55"/>
        <v>0.22116629398611276</v>
      </c>
      <c r="S32" s="9">
        <f t="shared" si="55"/>
        <v>8.0467421048739052E-2</v>
      </c>
      <c r="T32" s="9">
        <f>T3/P3-1</f>
        <v>4.9394643881525369E-2</v>
      </c>
      <c r="U32" s="9">
        <f t="shared" ref="U32:AA32" si="56">U3/Q3-1</f>
        <v>-0.18377196289872555</v>
      </c>
      <c r="V32" s="9">
        <f t="shared" si="56"/>
        <v>7.7460546922057505E-2</v>
      </c>
      <c r="W32" s="9">
        <f t="shared" si="56"/>
        <v>8.8142012914413481E-2</v>
      </c>
      <c r="X32" s="9">
        <f t="shared" si="56"/>
        <v>0.10999223178064854</v>
      </c>
      <c r="Y32" s="9">
        <f t="shared" si="56"/>
        <v>0.42799950726780001</v>
      </c>
      <c r="Z32" s="9">
        <f t="shared" si="56"/>
        <v>0.13707513416815753</v>
      </c>
      <c r="AA32" s="9">
        <f t="shared" si="56"/>
        <v>0.12203816313692606</v>
      </c>
      <c r="AF32" s="9">
        <f t="shared" ref="AF32" si="57">AF3/AE3-1</f>
        <v>3.6139072008113589</v>
      </c>
      <c r="AG32" s="9">
        <f t="shared" ref="AG32" si="58">AG3/AF3-1</f>
        <v>6.4796878649246548E-2</v>
      </c>
      <c r="AH32" s="9">
        <f t="shared" ref="AH32" si="59">AH3/AG3-1</f>
        <v>9.8702672713546491E-4</v>
      </c>
      <c r="AI32" s="9">
        <f>AI3/AH3-1</f>
        <v>1.9798406846949002E-2</v>
      </c>
      <c r="AJ32" s="9">
        <f t="shared" ref="AJ32:AK32" si="60">AJ3/AI3-1</f>
        <v>6.1705300942895391E-2</v>
      </c>
      <c r="AK32" s="9">
        <f t="shared" si="60"/>
        <v>0.13095238095238093</v>
      </c>
    </row>
    <row r="33" spans="1:42" s="9" customFormat="1" x14ac:dyDescent="0.25">
      <c r="B33" s="9" t="s">
        <v>77</v>
      </c>
      <c r="J33" s="9">
        <f t="shared" ref="J33" si="61">J19/F19-1</f>
        <v>4.120788302606484</v>
      </c>
      <c r="K33" s="9">
        <f t="shared" ref="K33" si="62">K19/G19-1</f>
        <v>-0.73957698137533323</v>
      </c>
      <c r="N33" s="9">
        <f t="shared" ref="N33" si="63">N19/J19-1</f>
        <v>-1.1788950962135321</v>
      </c>
      <c r="O33" s="9">
        <f t="shared" ref="O33" si="64">O19/K19-1</f>
        <v>-0.21317946144840272</v>
      </c>
      <c r="P33" s="9">
        <f t="shared" ref="P33:S33" si="65">P19/L19-1</f>
        <v>3.0976047712187773</v>
      </c>
      <c r="Q33" s="9">
        <f t="shared" si="65"/>
        <v>-0.23319171534784922</v>
      </c>
      <c r="R33" s="9">
        <f t="shared" si="65"/>
        <v>-6.2515614156835531</v>
      </c>
      <c r="S33" s="9">
        <f t="shared" si="65"/>
        <v>4.8745429810390277</v>
      </c>
      <c r="T33" s="9">
        <f>T19/P19-1</f>
        <v>-0.51494616251408543</v>
      </c>
      <c r="U33" s="9">
        <f>U19/Q19-1</f>
        <v>14.833437218643951</v>
      </c>
      <c r="AF33" s="9">
        <f t="shared" ref="AF33:AJ33" si="66">AF19/AE19-1</f>
        <v>14.763204899208981</v>
      </c>
      <c r="AG33" s="9">
        <f t="shared" si="66"/>
        <v>-9.8622442372442332E-2</v>
      </c>
      <c r="AH33" s="9">
        <f t="shared" si="66"/>
        <v>-0.36554814262752877</v>
      </c>
      <c r="AI33" s="9">
        <f t="shared" si="66"/>
        <v>3.1828410490114214</v>
      </c>
      <c r="AJ33" s="9">
        <f t="shared" si="66"/>
        <v>-0.63457588809901644</v>
      </c>
      <c r="AK33" s="9">
        <f>AK19/AJ19-1</f>
        <v>-0.51277777777777778</v>
      </c>
    </row>
    <row r="36" spans="1:42" s="5" customFormat="1" x14ac:dyDescent="0.25">
      <c r="A36" s="2"/>
      <c r="B36" s="2" t="s">
        <v>51</v>
      </c>
      <c r="C36" s="5">
        <f t="shared" ref="C36" si="67">C37-C49-C55</f>
        <v>0</v>
      </c>
      <c r="D36" s="5">
        <f t="shared" ref="D36" si="68">D37-D49-D55</f>
        <v>0</v>
      </c>
      <c r="E36" s="5">
        <f t="shared" ref="E36" si="69">E37-E49-E55</f>
        <v>0</v>
      </c>
      <c r="F36" s="5">
        <f t="shared" ref="F36:T36" si="70">F37-F49-F55</f>
        <v>0</v>
      </c>
      <c r="G36" s="5">
        <f t="shared" si="70"/>
        <v>-24676</v>
      </c>
      <c r="H36" s="5">
        <f t="shared" si="70"/>
        <v>0</v>
      </c>
      <c r="I36" s="5">
        <f t="shared" si="70"/>
        <v>0</v>
      </c>
      <c r="J36" s="5">
        <f t="shared" si="70"/>
        <v>-170644</v>
      </c>
      <c r="K36" s="5">
        <f t="shared" si="70"/>
        <v>-181745</v>
      </c>
      <c r="L36" s="5">
        <f t="shared" si="70"/>
        <v>-126009</v>
      </c>
      <c r="M36" s="5">
        <f t="shared" si="70"/>
        <v>-120254</v>
      </c>
      <c r="N36" s="5">
        <f t="shared" si="70"/>
        <v>-120686</v>
      </c>
      <c r="O36" s="5">
        <f t="shared" si="70"/>
        <v>-124827</v>
      </c>
      <c r="P36" s="5">
        <f t="shared" si="70"/>
        <v>-78887</v>
      </c>
      <c r="Q36" s="5">
        <f t="shared" si="70"/>
        <v>-91014</v>
      </c>
      <c r="R36" s="5">
        <f t="shared" si="70"/>
        <v>-100778</v>
      </c>
      <c r="S36" s="5">
        <f t="shared" si="70"/>
        <v>-86081</v>
      </c>
      <c r="T36" s="5">
        <f t="shared" si="70"/>
        <v>6204</v>
      </c>
      <c r="U36" s="5">
        <f t="shared" ref="U36" si="71">U37-U49-U55</f>
        <v>287795</v>
      </c>
      <c r="AF36" s="5">
        <f t="shared" ref="AF36:AG36" si="72">AF37-AF49-AF55</f>
        <v>-24676</v>
      </c>
      <c r="AG36" s="5">
        <f t="shared" si="72"/>
        <v>-181745</v>
      </c>
      <c r="AH36" s="5">
        <f>AH37-AH49-AH55</f>
        <v>-124827</v>
      </c>
      <c r="AI36" s="5">
        <f>AI37-AI49-AI55</f>
        <v>-86081</v>
      </c>
      <c r="AO36" s="7" t="s">
        <v>242</v>
      </c>
      <c r="AP36" s="21">
        <v>-0.02</v>
      </c>
    </row>
    <row r="37" spans="1:42" s="5" customFormat="1" x14ac:dyDescent="0.25">
      <c r="A37" s="2"/>
      <c r="B37" s="2" t="s">
        <v>5</v>
      </c>
      <c r="G37" s="5">
        <f>68900+101021</f>
        <v>169921</v>
      </c>
      <c r="J37" s="5">
        <v>21955</v>
      </c>
      <c r="K37" s="5">
        <v>12632</v>
      </c>
      <c r="L37" s="5">
        <v>21827</v>
      </c>
      <c r="M37" s="5">
        <v>29923</v>
      </c>
      <c r="N37" s="5">
        <v>32184</v>
      </c>
      <c r="O37" s="5">
        <v>32557</v>
      </c>
      <c r="P37" s="5">
        <v>81412</v>
      </c>
      <c r="Q37" s="5">
        <v>72266</v>
      </c>
      <c r="R37" s="5">
        <v>65584</v>
      </c>
      <c r="S37" s="5">
        <v>50141</v>
      </c>
      <c r="T37" s="5">
        <v>107610</v>
      </c>
      <c r="U37" s="5">
        <v>390845</v>
      </c>
      <c r="AF37" s="5">
        <f>68900+101021</f>
        <v>169921</v>
      </c>
      <c r="AG37" s="5">
        <v>12632</v>
      </c>
      <c r="AH37" s="5">
        <v>32557</v>
      </c>
      <c r="AI37" s="5">
        <v>50141</v>
      </c>
      <c r="AO37" s="20" t="s">
        <v>243</v>
      </c>
      <c r="AP37" s="21">
        <v>9.5000000000000001E-2</v>
      </c>
    </row>
    <row r="38" spans="1:42" s="5" customFormat="1" x14ac:dyDescent="0.25">
      <c r="A38" s="2"/>
      <c r="B38" s="2" t="s">
        <v>52</v>
      </c>
      <c r="G38" s="5">
        <v>28605</v>
      </c>
      <c r="J38" s="5">
        <v>31652</v>
      </c>
      <c r="K38" s="5">
        <v>30091</v>
      </c>
      <c r="L38" s="5">
        <v>32678</v>
      </c>
      <c r="M38" s="5">
        <v>36269</v>
      </c>
      <c r="N38" s="5">
        <v>29030</v>
      </c>
      <c r="O38" s="5">
        <v>21949</v>
      </c>
      <c r="P38" s="5">
        <v>36584</v>
      </c>
      <c r="Q38" s="5">
        <v>33944</v>
      </c>
      <c r="R38" s="5">
        <v>32464</v>
      </c>
      <c r="S38" s="5">
        <v>38953</v>
      </c>
      <c r="T38" s="5">
        <v>34565</v>
      </c>
      <c r="U38" s="5">
        <v>28342</v>
      </c>
      <c r="AF38" s="5">
        <v>28605</v>
      </c>
      <c r="AG38" s="5">
        <v>30091</v>
      </c>
      <c r="AH38" s="5">
        <v>21949</v>
      </c>
      <c r="AI38" s="5">
        <v>38953</v>
      </c>
      <c r="AO38" s="20" t="s">
        <v>244</v>
      </c>
    </row>
    <row r="39" spans="1:42" s="5" customFormat="1" x14ac:dyDescent="0.25">
      <c r="A39" s="2"/>
      <c r="B39" s="2" t="s">
        <v>53</v>
      </c>
      <c r="G39" s="5">
        <v>628</v>
      </c>
      <c r="J39" s="5">
        <v>1323</v>
      </c>
      <c r="K39" s="5">
        <v>1312</v>
      </c>
      <c r="L39" s="5">
        <v>2427</v>
      </c>
      <c r="M39" s="5">
        <v>346</v>
      </c>
      <c r="N39" s="5">
        <v>452</v>
      </c>
      <c r="O39" s="5">
        <v>4822</v>
      </c>
      <c r="P39" s="5">
        <v>2379</v>
      </c>
      <c r="Q39" s="5">
        <v>1041</v>
      </c>
      <c r="R39" s="5">
        <v>1914</v>
      </c>
      <c r="S39" s="5">
        <v>895</v>
      </c>
      <c r="T39" s="5">
        <v>512</v>
      </c>
      <c r="U39" s="5">
        <v>701</v>
      </c>
      <c r="AF39" s="5">
        <v>628</v>
      </c>
      <c r="AG39" s="5">
        <v>1312</v>
      </c>
      <c r="AH39" s="5">
        <v>4822</v>
      </c>
      <c r="AI39" s="5">
        <v>895</v>
      </c>
      <c r="AO39" s="20" t="s">
        <v>245</v>
      </c>
    </row>
    <row r="40" spans="1:42" s="5" customFormat="1" x14ac:dyDescent="0.25">
      <c r="A40" s="2"/>
      <c r="B40" s="2" t="s">
        <v>54</v>
      </c>
      <c r="G40" s="5">
        <v>7028</v>
      </c>
      <c r="J40" s="5">
        <v>5084</v>
      </c>
      <c r="K40" s="5">
        <v>10300</v>
      </c>
      <c r="L40" s="5">
        <v>8775</v>
      </c>
      <c r="M40" s="5">
        <v>5042</v>
      </c>
      <c r="N40" s="5">
        <v>4104</v>
      </c>
      <c r="O40" s="5">
        <v>4449</v>
      </c>
      <c r="P40" s="5">
        <v>4661</v>
      </c>
      <c r="Q40" s="5">
        <v>4519</v>
      </c>
      <c r="R40" s="5">
        <v>4222</v>
      </c>
      <c r="S40" s="5">
        <v>3768</v>
      </c>
      <c r="T40" s="5">
        <v>5547</v>
      </c>
      <c r="U40" s="5">
        <v>4395</v>
      </c>
      <c r="AF40" s="5">
        <v>7028</v>
      </c>
      <c r="AG40" s="5">
        <v>10300</v>
      </c>
      <c r="AH40" s="5">
        <v>4449</v>
      </c>
      <c r="AI40" s="5">
        <v>3768</v>
      </c>
    </row>
    <row r="41" spans="1:42" s="5" customFormat="1" x14ac:dyDescent="0.25">
      <c r="A41" s="2"/>
      <c r="B41" s="2" t="s">
        <v>55</v>
      </c>
      <c r="G41" s="5">
        <v>1078</v>
      </c>
      <c r="J41" s="5">
        <v>1528</v>
      </c>
      <c r="K41" s="5">
        <v>1433</v>
      </c>
      <c r="L41" s="5">
        <v>1308</v>
      </c>
      <c r="M41" s="5">
        <v>1199</v>
      </c>
      <c r="N41" s="5">
        <v>1095</v>
      </c>
      <c r="O41" s="5">
        <v>997</v>
      </c>
      <c r="P41" s="5">
        <v>1570</v>
      </c>
      <c r="Q41" s="5">
        <v>1586</v>
      </c>
      <c r="R41" s="5">
        <v>1519</v>
      </c>
      <c r="S41" s="5">
        <v>1566</v>
      </c>
      <c r="T41" s="5">
        <v>1454</v>
      </c>
      <c r="U41" s="5">
        <v>1425</v>
      </c>
      <c r="AF41" s="5">
        <v>1078</v>
      </c>
      <c r="AG41" s="5">
        <v>1433</v>
      </c>
      <c r="AH41" s="5">
        <v>997</v>
      </c>
      <c r="AI41" s="5">
        <v>1566</v>
      </c>
    </row>
    <row r="42" spans="1:42" s="5" customFormat="1" x14ac:dyDescent="0.25">
      <c r="A42" s="2"/>
      <c r="B42" s="2" t="s">
        <v>56</v>
      </c>
      <c r="G42" s="5">
        <v>91636</v>
      </c>
      <c r="J42" s="5">
        <v>67125</v>
      </c>
      <c r="K42" s="5">
        <v>48683</v>
      </c>
      <c r="L42" s="5">
        <v>48683</v>
      </c>
      <c r="M42" s="5">
        <v>48683</v>
      </c>
      <c r="N42" s="5">
        <v>48683</v>
      </c>
      <c r="O42" s="5">
        <v>48683</v>
      </c>
      <c r="P42" s="5">
        <v>119769</v>
      </c>
      <c r="Q42" s="5">
        <v>118621</v>
      </c>
      <c r="R42" s="5">
        <v>118621</v>
      </c>
      <c r="S42" s="5">
        <v>119081</v>
      </c>
      <c r="T42" s="5">
        <v>119081</v>
      </c>
      <c r="U42" s="5">
        <v>48446</v>
      </c>
      <c r="AF42" s="5">
        <v>91636</v>
      </c>
      <c r="AG42" s="5">
        <v>48683</v>
      </c>
      <c r="AH42" s="5">
        <v>48683</v>
      </c>
      <c r="AI42" s="5">
        <v>119081</v>
      </c>
    </row>
    <row r="43" spans="1:42" s="5" customFormat="1" x14ac:dyDescent="0.25">
      <c r="A43" s="2"/>
      <c r="B43" s="2" t="s">
        <v>57</v>
      </c>
      <c r="G43" s="5">
        <v>83646</v>
      </c>
      <c r="J43" s="5">
        <v>87551</v>
      </c>
      <c r="K43" s="5">
        <v>85685</v>
      </c>
      <c r="L43" s="5">
        <v>83816</v>
      </c>
      <c r="M43" s="5">
        <v>81948</v>
      </c>
      <c r="N43" s="5">
        <v>82823</v>
      </c>
      <c r="O43" s="5">
        <v>82040</v>
      </c>
      <c r="P43" s="5">
        <v>120444</v>
      </c>
      <c r="Q43" s="5">
        <v>118197</v>
      </c>
      <c r="R43" s="5">
        <v>119257</v>
      </c>
      <c r="S43" s="5">
        <v>119119</v>
      </c>
      <c r="T43" s="5">
        <v>117600</v>
      </c>
      <c r="U43" s="5">
        <v>115621</v>
      </c>
      <c r="AF43" s="5">
        <v>83646</v>
      </c>
      <c r="AG43" s="5">
        <v>85685</v>
      </c>
      <c r="AH43" s="5">
        <v>82040</v>
      </c>
      <c r="AI43" s="5">
        <v>119119</v>
      </c>
    </row>
    <row r="44" spans="1:42" s="5" customFormat="1" x14ac:dyDescent="0.25">
      <c r="A44" s="2"/>
      <c r="B44" s="2" t="s">
        <v>58</v>
      </c>
      <c r="K44" s="5">
        <v>4638</v>
      </c>
      <c r="L44" s="5">
        <v>4491</v>
      </c>
      <c r="M44" s="5">
        <v>4341</v>
      </c>
      <c r="N44" s="5">
        <v>4188</v>
      </c>
      <c r="O44" s="5">
        <v>4041</v>
      </c>
      <c r="P44" s="5">
        <v>9701</v>
      </c>
      <c r="Q44" s="5">
        <v>9620</v>
      </c>
      <c r="R44" s="5">
        <v>9430</v>
      </c>
      <c r="S44" s="5">
        <v>9263</v>
      </c>
      <c r="T44" s="5">
        <v>8893</v>
      </c>
      <c r="U44" s="5">
        <v>8639</v>
      </c>
      <c r="AG44" s="5">
        <v>4638</v>
      </c>
      <c r="AH44" s="5">
        <v>4041</v>
      </c>
      <c r="AI44" s="5">
        <v>9263</v>
      </c>
    </row>
    <row r="45" spans="1:42" s="5" customFormat="1" x14ac:dyDescent="0.25">
      <c r="A45" s="2"/>
      <c r="B45" s="2" t="s">
        <v>213</v>
      </c>
      <c r="K45" s="5">
        <v>51</v>
      </c>
      <c r="L45" s="5">
        <v>51</v>
      </c>
      <c r="AG45" s="5">
        <v>51</v>
      </c>
    </row>
    <row r="46" spans="1:42" s="5" customFormat="1" x14ac:dyDescent="0.25">
      <c r="A46" s="2"/>
      <c r="B46" s="2" t="s">
        <v>59</v>
      </c>
      <c r="G46" s="5">
        <v>780</v>
      </c>
      <c r="J46" s="5">
        <v>692</v>
      </c>
      <c r="K46" s="5">
        <v>483</v>
      </c>
      <c r="L46" s="5">
        <v>509</v>
      </c>
      <c r="M46" s="5">
        <v>469</v>
      </c>
      <c r="N46" s="5">
        <v>452</v>
      </c>
      <c r="O46" s="5">
        <v>372</v>
      </c>
      <c r="P46" s="5">
        <v>1107</v>
      </c>
      <c r="Q46" s="5">
        <v>1089</v>
      </c>
      <c r="R46" s="5">
        <v>1072</v>
      </c>
      <c r="S46" s="5">
        <v>990</v>
      </c>
      <c r="T46" s="5">
        <v>1006</v>
      </c>
      <c r="U46" s="5">
        <v>958</v>
      </c>
      <c r="AF46" s="5">
        <v>780</v>
      </c>
      <c r="AG46" s="5">
        <v>483</v>
      </c>
      <c r="AH46" s="5">
        <v>372</v>
      </c>
      <c r="AI46" s="5">
        <v>990</v>
      </c>
    </row>
    <row r="47" spans="1:42" s="7" customFormat="1" x14ac:dyDescent="0.25">
      <c r="A47" s="3"/>
      <c r="B47" s="3" t="s">
        <v>60</v>
      </c>
      <c r="C47" s="7">
        <f t="shared" ref="C47:E47" si="73">SUM(C37:C46)</f>
        <v>0</v>
      </c>
      <c r="D47" s="7">
        <f t="shared" si="73"/>
        <v>0</v>
      </c>
      <c r="E47" s="7">
        <f t="shared" si="73"/>
        <v>0</v>
      </c>
      <c r="F47" s="7">
        <f t="shared" ref="F47:K47" si="74">SUM(F37:F46)</f>
        <v>0</v>
      </c>
      <c r="G47" s="7">
        <f t="shared" si="74"/>
        <v>383322</v>
      </c>
      <c r="H47" s="7">
        <f t="shared" si="74"/>
        <v>0</v>
      </c>
      <c r="I47" s="7">
        <f t="shared" si="74"/>
        <v>0</v>
      </c>
      <c r="J47" s="7">
        <f t="shared" si="74"/>
        <v>216910</v>
      </c>
      <c r="K47" s="7">
        <f t="shared" si="74"/>
        <v>195308</v>
      </c>
      <c r="L47" s="7">
        <f>SUM(L37:L46)</f>
        <v>204565</v>
      </c>
      <c r="M47" s="7">
        <f t="shared" ref="M47:U47" si="75">SUM(M37:M46)</f>
        <v>208220</v>
      </c>
      <c r="N47" s="7">
        <f t="shared" si="75"/>
        <v>203011</v>
      </c>
      <c r="O47" s="7">
        <f t="shared" si="75"/>
        <v>199910</v>
      </c>
      <c r="P47" s="7">
        <f t="shared" si="75"/>
        <v>377627</v>
      </c>
      <c r="Q47" s="7">
        <f t="shared" si="75"/>
        <v>360883</v>
      </c>
      <c r="R47" s="7">
        <f t="shared" si="75"/>
        <v>354083</v>
      </c>
      <c r="S47" s="7">
        <f t="shared" si="75"/>
        <v>343776</v>
      </c>
      <c r="T47" s="7">
        <f t="shared" si="75"/>
        <v>396268</v>
      </c>
      <c r="U47" s="7">
        <f t="shared" si="75"/>
        <v>599372</v>
      </c>
      <c r="AF47" s="7">
        <f t="shared" ref="AF47:AG47" si="76">SUM(AF37:AF46)</f>
        <v>383322</v>
      </c>
      <c r="AG47" s="7">
        <f t="shared" si="76"/>
        <v>195308</v>
      </c>
      <c r="AH47" s="7">
        <f t="shared" ref="AH47" si="77">SUM(AH37:AH46)</f>
        <v>199910</v>
      </c>
      <c r="AI47" s="7">
        <f t="shared" ref="AI47" si="78">SUM(AI37:AI46)</f>
        <v>343776</v>
      </c>
    </row>
    <row r="48" spans="1:42" s="5" customFormat="1" x14ac:dyDescent="0.25">
      <c r="A48" s="2"/>
      <c r="B48" s="2" t="s">
        <v>61</v>
      </c>
      <c r="G48" s="5">
        <v>5475</v>
      </c>
      <c r="J48" s="5">
        <v>7426</v>
      </c>
      <c r="K48" s="5">
        <v>15422</v>
      </c>
      <c r="L48" s="5">
        <v>10508</v>
      </c>
      <c r="M48" s="5">
        <v>7298</v>
      </c>
      <c r="N48" s="5">
        <v>9076</v>
      </c>
      <c r="O48" s="5">
        <v>11038</v>
      </c>
      <c r="P48" s="5">
        <v>6215</v>
      </c>
      <c r="Q48" s="5">
        <v>7128</v>
      </c>
      <c r="R48" s="5">
        <v>4249</v>
      </c>
      <c r="S48" s="5">
        <v>8455</v>
      </c>
      <c r="T48" s="5">
        <v>3936</v>
      </c>
      <c r="U48" s="5">
        <v>3440</v>
      </c>
      <c r="AF48" s="5">
        <v>5475</v>
      </c>
      <c r="AG48" s="5">
        <v>15422</v>
      </c>
      <c r="AH48" s="5">
        <v>11038</v>
      </c>
      <c r="AI48" s="5">
        <v>8455</v>
      </c>
    </row>
    <row r="49" spans="1:35" s="5" customFormat="1" x14ac:dyDescent="0.25">
      <c r="A49" s="2"/>
      <c r="B49" s="2" t="s">
        <v>62</v>
      </c>
      <c r="G49" s="5">
        <v>4233</v>
      </c>
      <c r="J49" s="5">
        <v>769</v>
      </c>
      <c r="K49" s="5">
        <v>2059</v>
      </c>
      <c r="L49" s="5">
        <v>1296</v>
      </c>
      <c r="M49" s="5">
        <v>522</v>
      </c>
      <c r="O49" s="5">
        <v>1229</v>
      </c>
      <c r="P49" s="5">
        <v>826</v>
      </c>
      <c r="Q49" s="5">
        <v>417</v>
      </c>
      <c r="S49" s="5">
        <v>818</v>
      </c>
      <c r="T49" s="5">
        <v>818</v>
      </c>
      <c r="U49" s="5">
        <v>367</v>
      </c>
      <c r="AF49" s="5">
        <v>4233</v>
      </c>
      <c r="AG49" s="5">
        <v>2059</v>
      </c>
      <c r="AH49" s="5">
        <v>1229</v>
      </c>
      <c r="AI49" s="5">
        <v>818</v>
      </c>
    </row>
    <row r="50" spans="1:35" s="5" customFormat="1" x14ac:dyDescent="0.25">
      <c r="A50" s="2"/>
      <c r="B50" s="2" t="s">
        <v>63</v>
      </c>
      <c r="G50" s="5">
        <v>10735</v>
      </c>
      <c r="J50" s="5">
        <v>17494</v>
      </c>
      <c r="K50" s="5">
        <v>13366</v>
      </c>
      <c r="L50" s="5">
        <v>18271</v>
      </c>
      <c r="M50" s="5">
        <v>15630</v>
      </c>
      <c r="N50" s="5">
        <v>15460</v>
      </c>
      <c r="O50" s="5">
        <v>16233</v>
      </c>
      <c r="P50" s="5">
        <v>21516</v>
      </c>
      <c r="Q50" s="5">
        <v>20375</v>
      </c>
      <c r="R50" s="5">
        <v>26356</v>
      </c>
      <c r="S50" s="5">
        <v>19496</v>
      </c>
      <c r="T50" s="5">
        <v>20734</v>
      </c>
      <c r="U50" s="5">
        <v>16555</v>
      </c>
      <c r="AF50" s="5">
        <v>10735</v>
      </c>
      <c r="AG50" s="5">
        <v>13366</v>
      </c>
      <c r="AH50" s="5">
        <v>16233</v>
      </c>
      <c r="AI50" s="5">
        <v>19496</v>
      </c>
    </row>
    <row r="51" spans="1:35" s="5" customFormat="1" x14ac:dyDescent="0.25">
      <c r="A51" s="2"/>
      <c r="B51" s="2" t="s">
        <v>64</v>
      </c>
      <c r="G51" s="5">
        <v>4207</v>
      </c>
      <c r="J51" s="5">
        <v>4758</v>
      </c>
      <c r="K51" s="5">
        <v>2022</v>
      </c>
      <c r="L51" s="5">
        <v>2347</v>
      </c>
      <c r="M51" s="5">
        <v>2000</v>
      </c>
      <c r="N51" s="5">
        <v>2320</v>
      </c>
      <c r="O51" s="5">
        <v>879</v>
      </c>
      <c r="P51" s="5">
        <v>3853</v>
      </c>
      <c r="Q51" s="5">
        <v>3496</v>
      </c>
      <c r="R51" s="5">
        <v>2082</v>
      </c>
      <c r="S51" s="5">
        <v>2541</v>
      </c>
      <c r="T51" s="5">
        <v>3017</v>
      </c>
      <c r="U51" s="5">
        <v>4466</v>
      </c>
      <c r="AF51" s="5">
        <v>4207</v>
      </c>
      <c r="AG51" s="5">
        <v>2022</v>
      </c>
      <c r="AH51" s="5">
        <v>879</v>
      </c>
      <c r="AI51" s="5">
        <v>2541</v>
      </c>
    </row>
    <row r="52" spans="1:35" s="5" customFormat="1" x14ac:dyDescent="0.25">
      <c r="A52" s="2"/>
      <c r="B52" s="2" t="s">
        <v>65</v>
      </c>
      <c r="K52" s="5">
        <v>806</v>
      </c>
      <c r="L52" s="5">
        <v>810</v>
      </c>
      <c r="M52" s="5">
        <v>850</v>
      </c>
      <c r="N52" s="5">
        <v>803</v>
      </c>
      <c r="O52" s="5">
        <v>779</v>
      </c>
      <c r="P52" s="5">
        <v>848</v>
      </c>
      <c r="Q52" s="5">
        <v>1077</v>
      </c>
      <c r="R52" s="5">
        <v>1075</v>
      </c>
      <c r="S52" s="5">
        <v>1068</v>
      </c>
      <c r="T52" s="5">
        <v>1091</v>
      </c>
      <c r="U52" s="5">
        <v>1096</v>
      </c>
      <c r="AG52" s="5">
        <v>806</v>
      </c>
      <c r="AH52" s="5">
        <v>779</v>
      </c>
      <c r="AI52" s="5">
        <v>1068</v>
      </c>
    </row>
    <row r="53" spans="1:35" s="5" customFormat="1" x14ac:dyDescent="0.25">
      <c r="A53" s="2"/>
      <c r="B53" s="2" t="s">
        <v>66</v>
      </c>
      <c r="G53" s="5">
        <v>44827</v>
      </c>
      <c r="L53" s="5">
        <v>28469</v>
      </c>
      <c r="M53" s="5">
        <v>46435</v>
      </c>
      <c r="N53" s="5">
        <v>29166</v>
      </c>
      <c r="O53" s="5">
        <v>38353</v>
      </c>
      <c r="P53" s="5">
        <v>25262</v>
      </c>
      <c r="Q53" s="5">
        <v>17181</v>
      </c>
      <c r="R53" s="5">
        <v>15851</v>
      </c>
      <c r="S53" s="5">
        <v>170515</v>
      </c>
      <c r="T53" s="5">
        <v>57449</v>
      </c>
      <c r="U53" s="5">
        <v>193199</v>
      </c>
      <c r="AF53" s="5">
        <v>44827</v>
      </c>
      <c r="AH53" s="5">
        <v>38353</v>
      </c>
      <c r="AI53" s="5">
        <v>170515</v>
      </c>
    </row>
    <row r="54" spans="1:35" s="5" customFormat="1" x14ac:dyDescent="0.25">
      <c r="A54" s="2"/>
      <c r="B54" s="2" t="s">
        <v>67</v>
      </c>
      <c r="G54" s="5">
        <v>541</v>
      </c>
      <c r="J54" s="5">
        <v>2290</v>
      </c>
      <c r="K54" s="5">
        <v>2085</v>
      </c>
      <c r="L54" s="5">
        <v>2136</v>
      </c>
      <c r="M54" s="5">
        <v>1355</v>
      </c>
      <c r="N54" s="5">
        <v>871</v>
      </c>
      <c r="O54" s="5">
        <f>602</f>
        <v>602</v>
      </c>
      <c r="P54" s="5">
        <v>4856</v>
      </c>
      <c r="Q54" s="5">
        <v>3748</v>
      </c>
      <c r="R54" s="5">
        <v>1027</v>
      </c>
      <c r="S54" s="5">
        <v>73</v>
      </c>
      <c r="T54" s="5">
        <v>2070</v>
      </c>
      <c r="U54" s="5">
        <v>2522</v>
      </c>
      <c r="AF54" s="5">
        <v>541</v>
      </c>
      <c r="AG54" s="5">
        <v>2085</v>
      </c>
      <c r="AH54" s="5">
        <f>602</f>
        <v>602</v>
      </c>
      <c r="AI54" s="5">
        <v>73</v>
      </c>
    </row>
    <row r="55" spans="1:35" s="5" customFormat="1" x14ac:dyDescent="0.25">
      <c r="A55" s="2"/>
      <c r="B55" s="2" t="s">
        <v>68</v>
      </c>
      <c r="G55" s="5">
        <v>190364</v>
      </c>
      <c r="J55" s="5">
        <v>191830</v>
      </c>
      <c r="K55" s="5">
        <v>192318</v>
      </c>
      <c r="L55" s="5">
        <v>146540</v>
      </c>
      <c r="M55" s="5">
        <v>149655</v>
      </c>
      <c r="N55" s="5">
        <v>152870</v>
      </c>
      <c r="O55" s="5">
        <v>156155</v>
      </c>
      <c r="P55" s="5">
        <v>159473</v>
      </c>
      <c r="Q55" s="5">
        <v>162863</v>
      </c>
      <c r="R55" s="5">
        <v>166362</v>
      </c>
      <c r="S55" s="5">
        <v>135404</v>
      </c>
      <c r="T55" s="5">
        <v>100588</v>
      </c>
      <c r="U55" s="5">
        <v>102683</v>
      </c>
      <c r="AF55" s="5">
        <v>190364</v>
      </c>
      <c r="AG55" s="5">
        <v>192318</v>
      </c>
      <c r="AH55" s="5">
        <v>156155</v>
      </c>
      <c r="AI55" s="5">
        <v>135404</v>
      </c>
    </row>
    <row r="56" spans="1:35" s="5" customFormat="1" x14ac:dyDescent="0.25">
      <c r="A56" s="2"/>
      <c r="B56" s="2" t="s">
        <v>69</v>
      </c>
      <c r="J56" s="5">
        <v>406</v>
      </c>
      <c r="K56" s="5">
        <v>5092</v>
      </c>
      <c r="L56" s="5">
        <v>4906</v>
      </c>
      <c r="M56" s="5">
        <v>4714</v>
      </c>
      <c r="N56" s="5">
        <v>4517</v>
      </c>
      <c r="O56" s="5">
        <v>4313</v>
      </c>
      <c r="P56" s="5">
        <v>11300</v>
      </c>
      <c r="Q56" s="5">
        <v>9562</v>
      </c>
      <c r="R56" s="5">
        <v>9327</v>
      </c>
      <c r="S56" s="5">
        <v>9120</v>
      </c>
      <c r="T56" s="5">
        <v>8770</v>
      </c>
      <c r="U56" s="5">
        <v>8494</v>
      </c>
      <c r="AG56" s="5">
        <v>5092</v>
      </c>
      <c r="AH56" s="5">
        <v>4313</v>
      </c>
      <c r="AI56" s="5">
        <v>9120</v>
      </c>
    </row>
    <row r="57" spans="1:35" s="5" customFormat="1" x14ac:dyDescent="0.25">
      <c r="A57" s="2"/>
      <c r="B57" s="2" t="s">
        <v>214</v>
      </c>
      <c r="G57" s="5">
        <v>248</v>
      </c>
      <c r="J57" s="5">
        <v>36</v>
      </c>
      <c r="L57" s="5">
        <v>667</v>
      </c>
      <c r="M57" s="5">
        <v>615</v>
      </c>
      <c r="N57" s="5">
        <v>615</v>
      </c>
      <c r="O57" s="5">
        <v>328</v>
      </c>
      <c r="P57" s="5">
        <v>305</v>
      </c>
      <c r="Q57" s="5">
        <v>291</v>
      </c>
      <c r="R57" s="5">
        <v>291</v>
      </c>
      <c r="AF57" s="5">
        <v>248</v>
      </c>
      <c r="AH57" s="5">
        <v>328</v>
      </c>
    </row>
    <row r="58" spans="1:35" s="5" customFormat="1" x14ac:dyDescent="0.25">
      <c r="A58" s="2"/>
      <c r="B58" s="17" t="s">
        <v>228</v>
      </c>
      <c r="G58" s="5">
        <v>324</v>
      </c>
      <c r="K58" s="5">
        <v>10</v>
      </c>
      <c r="AF58" s="5">
        <v>324</v>
      </c>
      <c r="AG58" s="5">
        <v>10</v>
      </c>
    </row>
    <row r="59" spans="1:35" s="7" customFormat="1" x14ac:dyDescent="0.25">
      <c r="A59" s="3"/>
      <c r="B59" s="3" t="s">
        <v>70</v>
      </c>
      <c r="C59" s="7">
        <f t="shared" ref="C59" si="79">SUM(C48:C58)</f>
        <v>0</v>
      </c>
      <c r="D59" s="7">
        <f t="shared" ref="D59" si="80">SUM(D48:D58)</f>
        <v>0</v>
      </c>
      <c r="E59" s="7">
        <f t="shared" ref="E59" si="81">SUM(E48:E58)</f>
        <v>0</v>
      </c>
      <c r="F59" s="7">
        <f t="shared" ref="F59:S59" si="82">SUM(F48:F58)</f>
        <v>0</v>
      </c>
      <c r="G59" s="7">
        <f t="shared" si="82"/>
        <v>260954</v>
      </c>
      <c r="H59" s="7">
        <f t="shared" si="82"/>
        <v>0</v>
      </c>
      <c r="I59" s="7">
        <f t="shared" si="82"/>
        <v>0</v>
      </c>
      <c r="J59" s="7">
        <f t="shared" si="82"/>
        <v>225009</v>
      </c>
      <c r="K59" s="7">
        <f t="shared" si="82"/>
        <v>233180</v>
      </c>
      <c r="L59" s="7">
        <f t="shared" si="82"/>
        <v>215950</v>
      </c>
      <c r="M59" s="7">
        <f t="shared" si="82"/>
        <v>229074</v>
      </c>
      <c r="N59" s="7">
        <f t="shared" si="82"/>
        <v>215698</v>
      </c>
      <c r="O59" s="7">
        <f t="shared" si="82"/>
        <v>229909</v>
      </c>
      <c r="P59" s="7">
        <f t="shared" si="82"/>
        <v>234454</v>
      </c>
      <c r="Q59" s="7">
        <f t="shared" si="82"/>
        <v>226138</v>
      </c>
      <c r="R59" s="7">
        <f t="shared" si="82"/>
        <v>226620</v>
      </c>
      <c r="S59" s="7">
        <f t="shared" si="82"/>
        <v>347490</v>
      </c>
      <c r="T59" s="7">
        <f>SUM(T48:T58)</f>
        <v>198473</v>
      </c>
      <c r="U59" s="7">
        <f t="shared" ref="U59" si="83">SUM(U48:U58)</f>
        <v>332822</v>
      </c>
      <c r="AF59" s="7">
        <f t="shared" ref="AF59:AG59" si="84">SUM(AF48:AF58)</f>
        <v>260954</v>
      </c>
      <c r="AG59" s="7">
        <f t="shared" si="84"/>
        <v>233180</v>
      </c>
      <c r="AH59" s="7">
        <f t="shared" ref="AH59:AI59" si="85">SUM(AH48:AH58)</f>
        <v>229909</v>
      </c>
      <c r="AI59" s="7">
        <f t="shared" si="85"/>
        <v>347490</v>
      </c>
    </row>
    <row r="60" spans="1:35" s="5" customFormat="1" x14ac:dyDescent="0.25">
      <c r="A60" s="2"/>
      <c r="B60" s="2" t="s">
        <v>72</v>
      </c>
      <c r="G60" s="5">
        <v>14</v>
      </c>
      <c r="J60" s="5">
        <v>14</v>
      </c>
      <c r="K60" s="5">
        <v>14</v>
      </c>
      <c r="L60" s="5">
        <v>16</v>
      </c>
      <c r="M60" s="5">
        <v>17</v>
      </c>
      <c r="N60" s="5">
        <v>17</v>
      </c>
      <c r="O60" s="5">
        <v>17</v>
      </c>
      <c r="P60" s="5">
        <v>25</v>
      </c>
      <c r="Q60" s="5">
        <v>25</v>
      </c>
      <c r="R60" s="5">
        <v>25</v>
      </c>
      <c r="S60" s="5">
        <v>26</v>
      </c>
      <c r="T60" s="5">
        <v>31</v>
      </c>
      <c r="U60" s="5">
        <v>39</v>
      </c>
      <c r="AF60" s="5">
        <v>14</v>
      </c>
      <c r="AG60" s="5">
        <v>14</v>
      </c>
      <c r="AH60" s="5">
        <v>17</v>
      </c>
      <c r="AI60" s="5">
        <v>26</v>
      </c>
    </row>
    <row r="61" spans="1:35" s="5" customFormat="1" x14ac:dyDescent="0.25">
      <c r="A61" s="2"/>
      <c r="B61" s="2" t="s">
        <v>73</v>
      </c>
      <c r="G61" s="5">
        <v>253744</v>
      </c>
      <c r="J61" s="5">
        <v>272406</v>
      </c>
      <c r="K61" s="5">
        <v>272528</v>
      </c>
      <c r="L61" s="5">
        <v>282573</v>
      </c>
      <c r="M61" s="5">
        <v>291933</v>
      </c>
      <c r="N61" s="5">
        <v>297218</v>
      </c>
      <c r="O61" s="5">
        <v>303428</v>
      </c>
      <c r="P61" s="5">
        <v>604384</v>
      </c>
      <c r="Q61" s="5">
        <v>610395</v>
      </c>
      <c r="R61" s="5">
        <v>618256</v>
      </c>
      <c r="S61" s="5">
        <v>625130</v>
      </c>
      <c r="T61" s="5">
        <v>888608</v>
      </c>
      <c r="U61" s="5">
        <v>1186256</v>
      </c>
      <c r="AF61" s="5">
        <v>253744</v>
      </c>
      <c r="AG61" s="5">
        <v>272528</v>
      </c>
      <c r="AH61" s="5">
        <v>303428</v>
      </c>
      <c r="AI61" s="5">
        <v>625130</v>
      </c>
    </row>
    <row r="62" spans="1:35" s="5" customFormat="1" x14ac:dyDescent="0.25">
      <c r="A62" s="2"/>
      <c r="B62" s="2" t="s">
        <v>74</v>
      </c>
      <c r="J62" s="5">
        <v>-57350</v>
      </c>
      <c r="K62" s="5">
        <v>-57350</v>
      </c>
      <c r="L62" s="5">
        <v>-57350</v>
      </c>
      <c r="M62" s="5">
        <v>-57350</v>
      </c>
      <c r="N62" s="5">
        <v>-57350</v>
      </c>
      <c r="O62" s="5">
        <v>-57350</v>
      </c>
      <c r="P62" s="5">
        <v>-57350</v>
      </c>
      <c r="Q62" s="5">
        <v>-57350</v>
      </c>
      <c r="R62" s="5">
        <v>-57350</v>
      </c>
      <c r="S62" s="5">
        <v>-57350</v>
      </c>
      <c r="T62" s="5">
        <v>-57350</v>
      </c>
      <c r="U62" s="5">
        <v>-57350</v>
      </c>
      <c r="AG62" s="5">
        <v>-57350</v>
      </c>
      <c r="AH62" s="5">
        <v>-57350</v>
      </c>
      <c r="AI62" s="5">
        <v>-57350</v>
      </c>
    </row>
    <row r="63" spans="1:35" s="5" customFormat="1" x14ac:dyDescent="0.25">
      <c r="A63" s="2"/>
      <c r="B63" s="2" t="s">
        <v>75</v>
      </c>
      <c r="G63" s="5">
        <v>-131390</v>
      </c>
      <c r="J63" s="5">
        <v>-223169</v>
      </c>
      <c r="K63" s="5">
        <v>-253064</v>
      </c>
      <c r="L63" s="5">
        <v>-236624</v>
      </c>
      <c r="M63" s="5">
        <v>-255454</v>
      </c>
      <c r="N63" s="5">
        <v>-252572</v>
      </c>
      <c r="O63" s="5">
        <v>-276094</v>
      </c>
      <c r="P63" s="5">
        <v>-403886</v>
      </c>
      <c r="Q63" s="5">
        <v>-418325</v>
      </c>
      <c r="R63" s="5">
        <v>-433460</v>
      </c>
      <c r="S63" s="5">
        <v>-571641</v>
      </c>
      <c r="T63" s="5">
        <v>-633627</v>
      </c>
      <c r="U63" s="5">
        <v>-862246</v>
      </c>
      <c r="AF63" s="5">
        <v>-131390</v>
      </c>
      <c r="AG63" s="5">
        <v>-253064</v>
      </c>
      <c r="AH63" s="5">
        <v>-276094</v>
      </c>
      <c r="AI63" s="5">
        <v>-571641</v>
      </c>
    </row>
    <row r="64" spans="1:35" s="5" customFormat="1" x14ac:dyDescent="0.25">
      <c r="A64" s="2"/>
      <c r="B64" s="2" t="s">
        <v>76</v>
      </c>
      <c r="R64" s="5">
        <v>-8</v>
      </c>
      <c r="S64" s="5">
        <v>121</v>
      </c>
      <c r="T64" s="5">
        <v>133</v>
      </c>
      <c r="U64" s="5">
        <v>-149</v>
      </c>
      <c r="AI64" s="5">
        <v>121</v>
      </c>
    </row>
    <row r="65" spans="1:35" s="7" customFormat="1" x14ac:dyDescent="0.25">
      <c r="A65" s="3"/>
      <c r="B65" s="3" t="s">
        <v>71</v>
      </c>
      <c r="C65" s="7">
        <f t="shared" ref="C65:E65" si="86">C59+SUM(C60:C64)</f>
        <v>0</v>
      </c>
      <c r="D65" s="7">
        <f t="shared" si="86"/>
        <v>0</v>
      </c>
      <c r="E65" s="7">
        <f t="shared" si="86"/>
        <v>0</v>
      </c>
      <c r="F65" s="7">
        <f t="shared" ref="F65" si="87">F59+SUM(F60:F64)</f>
        <v>0</v>
      </c>
      <c r="G65" s="7">
        <f t="shared" ref="G65" si="88">G59+SUM(G60:G64)</f>
        <v>383322</v>
      </c>
      <c r="H65" s="7">
        <f t="shared" ref="H65" si="89">H59+SUM(H60:H64)</f>
        <v>0</v>
      </c>
      <c r="I65" s="7">
        <f t="shared" ref="I65" si="90">I59+SUM(I60:I64)</f>
        <v>0</v>
      </c>
      <c r="J65" s="7">
        <f t="shared" ref="J65" si="91">J59+SUM(J60:J64)</f>
        <v>216910</v>
      </c>
      <c r="K65" s="7">
        <f t="shared" ref="K65" si="92">K59+SUM(K60:K64)</f>
        <v>195308</v>
      </c>
      <c r="L65" s="7">
        <f>L59+SUM(L60:L64)</f>
        <v>204565</v>
      </c>
      <c r="M65" s="7">
        <f t="shared" ref="M65" si="93">M59+SUM(M60:M64)</f>
        <v>208220</v>
      </c>
      <c r="N65" s="7">
        <f t="shared" ref="N65" si="94">N59+SUM(N60:N64)</f>
        <v>203011</v>
      </c>
      <c r="O65" s="7">
        <f t="shared" ref="O65" si="95">O59+SUM(O60:O64)</f>
        <v>199910</v>
      </c>
      <c r="P65" s="7">
        <f t="shared" ref="P65:S65" si="96">P59+SUM(P60:P64)</f>
        <v>377627</v>
      </c>
      <c r="Q65" s="7">
        <f t="shared" si="96"/>
        <v>360883</v>
      </c>
      <c r="R65" s="7">
        <f t="shared" si="96"/>
        <v>354083</v>
      </c>
      <c r="S65" s="7">
        <f t="shared" si="96"/>
        <v>343776</v>
      </c>
      <c r="T65" s="7">
        <f>T59+SUM(T60:T64)</f>
        <v>396268</v>
      </c>
      <c r="U65" s="7">
        <f t="shared" ref="U65" si="97">U59+SUM(U60:U64)</f>
        <v>599372</v>
      </c>
      <c r="AF65" s="7">
        <f t="shared" ref="AF65" si="98">AF59+SUM(AF60:AF64)</f>
        <v>383322</v>
      </c>
      <c r="AG65" s="7">
        <f t="shared" ref="AG65" si="99">AG59+SUM(AG60:AG64)</f>
        <v>195308</v>
      </c>
      <c r="AH65" s="7">
        <f t="shared" ref="AH65" si="100">AH59+SUM(AH60:AH64)</f>
        <v>199910</v>
      </c>
      <c r="AI65" s="7">
        <f t="shared" ref="AI65" si="101">AI59+SUM(AI60:AI64)</f>
        <v>343776</v>
      </c>
    </row>
    <row r="67" spans="1:35" x14ac:dyDescent="0.25">
      <c r="B67" s="2" t="s">
        <v>78</v>
      </c>
      <c r="C67" s="4" t="e">
        <f t="shared" ref="C67:E67" si="102">C59/(SUM(C60:C64))</f>
        <v>#DIV/0!</v>
      </c>
      <c r="D67" s="4" t="e">
        <f t="shared" si="102"/>
        <v>#DIV/0!</v>
      </c>
      <c r="E67" s="4" t="e">
        <f t="shared" si="102"/>
        <v>#DIV/0!</v>
      </c>
      <c r="F67" s="4" t="e">
        <f t="shared" ref="F67:O67" si="103">F59/(SUM(F60:F64))</f>
        <v>#DIV/0!</v>
      </c>
      <c r="G67" s="4">
        <f t="shared" si="103"/>
        <v>2.13253464958159</v>
      </c>
      <c r="H67" s="4" t="e">
        <f t="shared" si="103"/>
        <v>#DIV/0!</v>
      </c>
      <c r="I67" s="4" t="e">
        <f t="shared" si="103"/>
        <v>#DIV/0!</v>
      </c>
      <c r="J67" s="4">
        <f t="shared" si="103"/>
        <v>-27.782318804790716</v>
      </c>
      <c r="K67" s="4">
        <f t="shared" si="103"/>
        <v>-6.1570553443177021</v>
      </c>
      <c r="L67" s="4">
        <f t="shared" si="103"/>
        <v>-18.9679402722881</v>
      </c>
      <c r="M67" s="4">
        <f t="shared" si="103"/>
        <v>-10.984655222019756</v>
      </c>
      <c r="N67" s="4">
        <f t="shared" si="103"/>
        <v>-17.001497595964373</v>
      </c>
      <c r="O67" s="4">
        <f t="shared" si="103"/>
        <v>-7.6638887962932101</v>
      </c>
      <c r="P67" s="4">
        <f t="shared" ref="P67:S67" si="104">P59/(SUM(P60:P64))</f>
        <v>1.6375573606755465</v>
      </c>
      <c r="Q67" s="4">
        <f t="shared" si="104"/>
        <v>1.6782663549667891</v>
      </c>
      <c r="R67" s="4">
        <f t="shared" si="104"/>
        <v>1.7779277123557424</v>
      </c>
      <c r="S67" s="4">
        <f t="shared" si="104"/>
        <v>-93.562197092084006</v>
      </c>
      <c r="T67" s="4">
        <f>T59/(SUM(T60:T64))</f>
        <v>1.003427791400187</v>
      </c>
      <c r="U67" s="4">
        <f t="shared" ref="U67" si="105">U59/(SUM(U60:U64))</f>
        <v>1.2486287750891014</v>
      </c>
      <c r="AF67" s="4">
        <f t="shared" ref="AF67:AH67" si="106">AF59/(SUM(AF60:AF64))</f>
        <v>2.13253464958159</v>
      </c>
      <c r="AG67" s="4">
        <f t="shared" si="106"/>
        <v>-6.1570553443177021</v>
      </c>
      <c r="AH67" s="4">
        <f t="shared" si="106"/>
        <v>-7.6638887962932101</v>
      </c>
      <c r="AI67" s="4">
        <f t="shared" ref="AI67" si="107">AI59/(SUM(AI60:AI64))</f>
        <v>-93.562197092084006</v>
      </c>
    </row>
    <row r="71" spans="1:35" s="5" customFormat="1" x14ac:dyDescent="0.25">
      <c r="B71" s="5" t="s">
        <v>79</v>
      </c>
      <c r="C71" s="5">
        <f t="shared" ref="C71:E71" si="108">C19</f>
        <v>0</v>
      </c>
      <c r="D71" s="5">
        <f t="shared" si="108"/>
        <v>0</v>
      </c>
      <c r="E71" s="5">
        <f t="shared" si="108"/>
        <v>0</v>
      </c>
      <c r="F71" s="5">
        <f t="shared" ref="F71:T71" si="109">F19</f>
        <v>-3146</v>
      </c>
      <c r="G71" s="5">
        <f t="shared" si="109"/>
        <v>-114794</v>
      </c>
      <c r="H71" s="5">
        <f t="shared" si="109"/>
        <v>0</v>
      </c>
      <c r="I71" s="5">
        <f t="shared" si="109"/>
        <v>0</v>
      </c>
      <c r="J71" s="5">
        <f t="shared" si="109"/>
        <v>-16110</v>
      </c>
      <c r="K71" s="5">
        <f t="shared" si="109"/>
        <v>-29895</v>
      </c>
      <c r="L71" s="5">
        <f t="shared" si="109"/>
        <v>-31187</v>
      </c>
      <c r="M71" s="5">
        <f t="shared" si="109"/>
        <v>-18830</v>
      </c>
      <c r="N71" s="5">
        <f t="shared" si="109"/>
        <v>2882</v>
      </c>
      <c r="O71" s="5">
        <f t="shared" si="109"/>
        <v>-23522</v>
      </c>
      <c r="P71" s="5">
        <f t="shared" si="109"/>
        <v>-127792</v>
      </c>
      <c r="Q71" s="5">
        <f t="shared" si="109"/>
        <v>-14439</v>
      </c>
      <c r="R71" s="5">
        <f t="shared" si="109"/>
        <v>-15135</v>
      </c>
      <c r="S71" s="5">
        <f t="shared" si="109"/>
        <v>-138181</v>
      </c>
      <c r="T71" s="5">
        <f t="shared" si="109"/>
        <v>-61986</v>
      </c>
      <c r="U71" s="5">
        <f t="shared" ref="U71" si="110">U19</f>
        <v>-228619</v>
      </c>
      <c r="W71" s="20"/>
      <c r="X71" s="20"/>
      <c r="Y71" s="20"/>
      <c r="Z71" s="20"/>
      <c r="AA71" s="20"/>
      <c r="AD71" s="5">
        <f t="shared" ref="AD71:AF71" si="111">AD19</f>
        <v>5289</v>
      </c>
      <c r="AE71" s="5">
        <f t="shared" si="111"/>
        <v>-7838</v>
      </c>
      <c r="AF71" s="5">
        <f t="shared" si="111"/>
        <v>-123552</v>
      </c>
      <c r="AG71" s="5">
        <f>AG19</f>
        <v>-111367</v>
      </c>
      <c r="AH71" s="5">
        <f>AH19</f>
        <v>-70657</v>
      </c>
      <c r="AI71" s="5">
        <f>AI19</f>
        <v>-295547</v>
      </c>
    </row>
    <row r="72" spans="1:35" s="5" customFormat="1" x14ac:dyDescent="0.25">
      <c r="B72" s="5" t="s">
        <v>80</v>
      </c>
      <c r="G72" s="5">
        <v>-114794</v>
      </c>
      <c r="K72" s="5">
        <v>-19588</v>
      </c>
      <c r="L72" s="5">
        <v>-31187</v>
      </c>
      <c r="M72" s="5">
        <v>-18830</v>
      </c>
      <c r="N72" s="5">
        <v>2882</v>
      </c>
      <c r="O72" s="5">
        <v>-23522</v>
      </c>
      <c r="P72" s="5">
        <v>-127792</v>
      </c>
      <c r="Q72" s="5">
        <v>-14439</v>
      </c>
      <c r="R72" s="5">
        <v>-15135</v>
      </c>
      <c r="S72" s="5">
        <v>-138181</v>
      </c>
      <c r="T72" s="5">
        <v>-61986</v>
      </c>
      <c r="U72" s="5">
        <v>-228619</v>
      </c>
      <c r="W72" s="20"/>
      <c r="AD72" s="5">
        <v>5289</v>
      </c>
      <c r="AE72" s="5">
        <v>-7838</v>
      </c>
      <c r="AF72" s="5">
        <v>-123552</v>
      </c>
      <c r="AG72" s="5">
        <v>-111367</v>
      </c>
      <c r="AH72" s="5">
        <v>-70657</v>
      </c>
      <c r="AI72" s="5">
        <v>-295547</v>
      </c>
    </row>
    <row r="73" spans="1:35" s="5" customFormat="1" x14ac:dyDescent="0.25">
      <c r="B73" s="5" t="s">
        <v>81</v>
      </c>
      <c r="G73" s="5">
        <v>1830</v>
      </c>
      <c r="K73" s="5">
        <v>1994</v>
      </c>
      <c r="L73" s="5">
        <v>1986</v>
      </c>
      <c r="M73" s="5">
        <v>1979</v>
      </c>
      <c r="N73" s="5">
        <v>1971</v>
      </c>
      <c r="O73" s="5">
        <v>1965</v>
      </c>
      <c r="P73" s="5">
        <v>2439</v>
      </c>
      <c r="Q73" s="5">
        <v>2907</v>
      </c>
      <c r="R73" s="5">
        <v>3394</v>
      </c>
      <c r="S73" s="5">
        <v>3133</v>
      </c>
      <c r="T73" s="5">
        <v>3470</v>
      </c>
      <c r="U73" s="5">
        <v>3451</v>
      </c>
      <c r="W73" s="20"/>
      <c r="AD73" s="5">
        <v>52</v>
      </c>
      <c r="AE73" s="5">
        <v>1028</v>
      </c>
      <c r="AF73" s="5">
        <v>7262</v>
      </c>
      <c r="AG73" s="5">
        <v>7758</v>
      </c>
      <c r="AH73" s="5">
        <v>7901</v>
      </c>
      <c r="AI73" s="5">
        <v>11873</v>
      </c>
    </row>
    <row r="74" spans="1:35" s="5" customFormat="1" x14ac:dyDescent="0.25">
      <c r="B74" s="5" t="s">
        <v>106</v>
      </c>
      <c r="G74" s="5">
        <v>250</v>
      </c>
      <c r="K74" s="5">
        <v>10388</v>
      </c>
      <c r="L74" s="5">
        <v>3028</v>
      </c>
      <c r="M74" s="5">
        <v>3132</v>
      </c>
      <c r="N74" s="5">
        <v>3233</v>
      </c>
      <c r="O74" s="5">
        <v>3302</v>
      </c>
      <c r="P74" s="5">
        <v>3336</v>
      </c>
      <c r="Q74" s="5">
        <v>3407</v>
      </c>
      <c r="R74" s="5">
        <v>3516</v>
      </c>
      <c r="S74" s="5">
        <v>3169</v>
      </c>
      <c r="T74" s="5">
        <v>2764</v>
      </c>
      <c r="U74" s="5">
        <v>2026</v>
      </c>
      <c r="W74" s="20"/>
      <c r="AE74" s="5">
        <v>17</v>
      </c>
      <c r="AF74" s="5">
        <f>679</f>
        <v>679</v>
      </c>
      <c r="AG74" s="5">
        <v>11958</v>
      </c>
      <c r="AH74" s="5">
        <v>12695</v>
      </c>
      <c r="AI74" s="5">
        <v>13428</v>
      </c>
    </row>
    <row r="75" spans="1:35" s="5" customFormat="1" x14ac:dyDescent="0.25">
      <c r="B75" s="5" t="s">
        <v>82</v>
      </c>
      <c r="G75" s="5">
        <v>60529</v>
      </c>
      <c r="K75" s="5">
        <v>-295</v>
      </c>
      <c r="L75" s="5">
        <v>3805</v>
      </c>
      <c r="M75" s="5">
        <v>3994</v>
      </c>
      <c r="N75" s="5">
        <v>4793</v>
      </c>
      <c r="O75" s="5">
        <v>6079</v>
      </c>
      <c r="P75" s="5">
        <v>5157</v>
      </c>
      <c r="Q75" s="5">
        <v>5749</v>
      </c>
      <c r="R75" s="5">
        <v>5168</v>
      </c>
      <c r="S75" s="5">
        <v>5053</v>
      </c>
      <c r="T75" s="5">
        <v>7400</v>
      </c>
      <c r="U75" s="5">
        <v>4319</v>
      </c>
      <c r="W75" s="20"/>
      <c r="AD75" s="5">
        <v>80</v>
      </c>
      <c r="AF75" s="5">
        <v>60615</v>
      </c>
      <c r="AG75" s="5">
        <v>10865</v>
      </c>
      <c r="AH75" s="5">
        <v>18671</v>
      </c>
      <c r="AI75" s="5">
        <v>21127</v>
      </c>
    </row>
    <row r="76" spans="1:35" s="5" customFormat="1" x14ac:dyDescent="0.25">
      <c r="B76" s="5" t="s">
        <v>31</v>
      </c>
      <c r="G76" s="5">
        <v>14</v>
      </c>
      <c r="K76" s="5">
        <v>19193</v>
      </c>
      <c r="L76" s="5">
        <v>-35</v>
      </c>
      <c r="M76" s="5">
        <v>332</v>
      </c>
      <c r="N76" s="5">
        <v>153</v>
      </c>
      <c r="O76" s="5">
        <v>-450</v>
      </c>
      <c r="P76" s="5">
        <v>85000</v>
      </c>
      <c r="Q76" s="5">
        <v>0</v>
      </c>
      <c r="R76" s="5">
        <v>0</v>
      </c>
      <c r="S76" s="5">
        <v>0</v>
      </c>
      <c r="U76" s="5">
        <v>70636</v>
      </c>
      <c r="W76" s="20"/>
      <c r="AF76" s="5">
        <v>14</v>
      </c>
      <c r="AG76" s="5">
        <f>53544+901</f>
        <v>54445</v>
      </c>
      <c r="AI76" s="5">
        <v>85000</v>
      </c>
    </row>
    <row r="77" spans="1:35" s="5" customFormat="1" x14ac:dyDescent="0.25">
      <c r="B77" s="5" t="s">
        <v>83</v>
      </c>
      <c r="G77" s="5">
        <v>0</v>
      </c>
      <c r="K77" s="5">
        <v>174</v>
      </c>
      <c r="L77" s="5">
        <v>882</v>
      </c>
      <c r="M77" s="5">
        <v>675</v>
      </c>
      <c r="N77" s="5">
        <v>50</v>
      </c>
      <c r="O77" s="5">
        <v>-1010</v>
      </c>
      <c r="P77" s="5">
        <v>94</v>
      </c>
      <c r="Q77" s="5">
        <v>269</v>
      </c>
      <c r="R77" s="5">
        <v>190</v>
      </c>
      <c r="S77" s="5">
        <v>167</v>
      </c>
      <c r="T77" s="5">
        <v>370</v>
      </c>
      <c r="U77" s="5">
        <v>254</v>
      </c>
      <c r="W77" s="20"/>
      <c r="AG77" s="5">
        <v>174</v>
      </c>
      <c r="AH77" s="5">
        <v>597</v>
      </c>
      <c r="AI77" s="5">
        <v>720</v>
      </c>
    </row>
    <row r="78" spans="1:35" s="5" customFormat="1" x14ac:dyDescent="0.25">
      <c r="B78" s="5" t="s">
        <v>84</v>
      </c>
      <c r="G78" s="5">
        <v>0</v>
      </c>
      <c r="K78" s="5">
        <v>0</v>
      </c>
      <c r="L78" s="5">
        <v>54</v>
      </c>
      <c r="M78" s="5">
        <v>-1</v>
      </c>
      <c r="N78" s="5">
        <v>0</v>
      </c>
      <c r="O78" s="5">
        <v>1686</v>
      </c>
      <c r="P78" s="5">
        <v>171</v>
      </c>
      <c r="Q78" s="5">
        <v>5</v>
      </c>
      <c r="R78" s="5">
        <v>44</v>
      </c>
      <c r="S78" s="5">
        <v>8</v>
      </c>
      <c r="T78" s="5">
        <v>40</v>
      </c>
      <c r="U78" s="5">
        <v>311</v>
      </c>
      <c r="W78" s="20"/>
      <c r="AE78" s="5">
        <v>43</v>
      </c>
      <c r="AG78" s="5">
        <v>55</v>
      </c>
      <c r="AH78" s="5">
        <v>1739</v>
      </c>
      <c r="AI78" s="5">
        <v>228</v>
      </c>
    </row>
    <row r="79" spans="1:35" s="5" customFormat="1" x14ac:dyDescent="0.25">
      <c r="B79" s="5" t="s">
        <v>85</v>
      </c>
      <c r="G79" s="5">
        <v>4383</v>
      </c>
      <c r="K79" s="5">
        <v>-474</v>
      </c>
      <c r="L79" s="5">
        <v>13012</v>
      </c>
      <c r="M79" s="5">
        <v>2430</v>
      </c>
      <c r="N79" s="5">
        <v>-17269</v>
      </c>
      <c r="O79" s="5">
        <v>1592</v>
      </c>
      <c r="P79" s="5">
        <v>-23</v>
      </c>
      <c r="Q79" s="5">
        <v>-14</v>
      </c>
      <c r="R79" s="5">
        <v>0</v>
      </c>
      <c r="S79" s="5">
        <v>-291</v>
      </c>
      <c r="U79" s="5">
        <v>0</v>
      </c>
      <c r="W79" s="20"/>
      <c r="AD79" s="5">
        <v>-8</v>
      </c>
      <c r="AE79" s="5">
        <v>-2637</v>
      </c>
      <c r="AF79" s="5">
        <v>1042</v>
      </c>
      <c r="AG79" s="5">
        <v>-1924</v>
      </c>
      <c r="AH79" s="5">
        <v>-235</v>
      </c>
      <c r="AI79" s="5">
        <v>-328</v>
      </c>
    </row>
    <row r="80" spans="1:35" s="5" customFormat="1" x14ac:dyDescent="0.25">
      <c r="B80" s="5" t="s">
        <v>36</v>
      </c>
      <c r="G80" s="5">
        <v>2881</v>
      </c>
      <c r="K80" s="5">
        <v>0</v>
      </c>
      <c r="L80" s="5">
        <v>8</v>
      </c>
      <c r="M80" s="5">
        <v>0</v>
      </c>
      <c r="N80" s="5">
        <v>2</v>
      </c>
      <c r="O80" s="5">
        <v>-10</v>
      </c>
      <c r="Q80" s="5">
        <v>0</v>
      </c>
      <c r="R80" s="5">
        <v>0</v>
      </c>
      <c r="S80" s="5">
        <v>31272</v>
      </c>
      <c r="T80" s="5">
        <v>2577</v>
      </c>
      <c r="U80" s="5">
        <v>0</v>
      </c>
      <c r="W80" s="20"/>
      <c r="AF80" s="5">
        <v>2881</v>
      </c>
      <c r="AI80" s="5">
        <v>31272</v>
      </c>
    </row>
    <row r="81" spans="2:35" s="5" customFormat="1" x14ac:dyDescent="0.25">
      <c r="B81" s="5" t="s">
        <v>86</v>
      </c>
      <c r="G81" s="5">
        <v>33353</v>
      </c>
      <c r="K81" s="5">
        <v>-19823</v>
      </c>
      <c r="M81" s="5">
        <v>0</v>
      </c>
      <c r="N81" s="5">
        <v>0</v>
      </c>
      <c r="O81" s="5">
        <v>7371</v>
      </c>
      <c r="P81" s="5">
        <v>23807</v>
      </c>
      <c r="Q81" s="5">
        <v>-8081</v>
      </c>
      <c r="R81" s="5">
        <v>-1330</v>
      </c>
      <c r="S81" s="5">
        <v>93262</v>
      </c>
      <c r="T81" s="5">
        <v>33336</v>
      </c>
      <c r="U81" s="5">
        <v>135751</v>
      </c>
      <c r="W81" s="20"/>
      <c r="AF81" s="5">
        <v>33353</v>
      </c>
      <c r="AG81" s="5">
        <v>-21387</v>
      </c>
      <c r="AH81" s="5">
        <f>7361+10</f>
        <v>7371</v>
      </c>
      <c r="AI81" s="5">
        <v>107658</v>
      </c>
    </row>
    <row r="82" spans="2:35" s="5" customFormat="1" x14ac:dyDescent="0.25">
      <c r="B82" s="5" t="s">
        <v>52</v>
      </c>
      <c r="G82" s="5">
        <v>-7342</v>
      </c>
      <c r="K82" s="5">
        <v>1561</v>
      </c>
      <c r="L82" s="5">
        <v>-3469</v>
      </c>
      <c r="M82" s="5">
        <v>-4266</v>
      </c>
      <c r="N82" s="5">
        <v>7189</v>
      </c>
      <c r="O82" s="5">
        <v>6949</v>
      </c>
      <c r="P82" s="5">
        <v>-8957</v>
      </c>
      <c r="Q82" s="5">
        <v>2725</v>
      </c>
      <c r="R82" s="5">
        <v>836</v>
      </c>
      <c r="S82" s="5">
        <v>-6357</v>
      </c>
      <c r="T82" s="5">
        <v>4348</v>
      </c>
      <c r="U82" s="5">
        <v>5919</v>
      </c>
      <c r="W82" s="20"/>
      <c r="AD82" s="5">
        <v>6818</v>
      </c>
      <c r="AE82" s="5">
        <v>-4000</v>
      </c>
      <c r="AF82" s="5">
        <v>-7179</v>
      </c>
      <c r="AG82" s="5">
        <v>-798</v>
      </c>
      <c r="AH82" s="5">
        <v>6403</v>
      </c>
      <c r="AI82" s="5">
        <v>-11753</v>
      </c>
    </row>
    <row r="83" spans="2:35" s="5" customFormat="1" x14ac:dyDescent="0.25">
      <c r="B83" s="5" t="s">
        <v>53</v>
      </c>
      <c r="G83" s="5">
        <v>2235</v>
      </c>
      <c r="K83" s="5">
        <v>11</v>
      </c>
      <c r="L83" s="5">
        <v>-1115</v>
      </c>
      <c r="M83" s="5">
        <v>2081</v>
      </c>
      <c r="N83" s="5">
        <v>-106</v>
      </c>
      <c r="O83" s="5">
        <v>-4370</v>
      </c>
      <c r="P83" s="5">
        <v>2443</v>
      </c>
      <c r="Q83" s="5">
        <v>1338</v>
      </c>
      <c r="R83" s="5">
        <v>-703</v>
      </c>
      <c r="S83" s="5">
        <v>849</v>
      </c>
      <c r="T83" s="5">
        <v>383</v>
      </c>
      <c r="U83" s="5">
        <v>-189</v>
      </c>
      <c r="W83" s="20"/>
      <c r="AD83" s="5">
        <v>-4300</v>
      </c>
      <c r="AE83" s="5">
        <v>3868</v>
      </c>
      <c r="AF83" s="5">
        <v>1947</v>
      </c>
      <c r="AG83" s="5">
        <v>-286</v>
      </c>
      <c r="AH83" s="5">
        <v>-3510</v>
      </c>
      <c r="AI83" s="5">
        <v>3927</v>
      </c>
    </row>
    <row r="84" spans="2:35" s="5" customFormat="1" x14ac:dyDescent="0.25">
      <c r="B84" s="5" t="s">
        <v>54</v>
      </c>
      <c r="G84" s="5">
        <v>-608</v>
      </c>
      <c r="K84" s="5">
        <v>-5251</v>
      </c>
      <c r="L84" s="5">
        <v>1488</v>
      </c>
      <c r="M84" s="5">
        <v>3756</v>
      </c>
      <c r="N84" s="5">
        <v>937</v>
      </c>
      <c r="O84" s="5">
        <v>-282</v>
      </c>
      <c r="P84" s="5">
        <v>950</v>
      </c>
      <c r="Q84" s="5">
        <v>293</v>
      </c>
      <c r="R84" s="5">
        <v>297</v>
      </c>
      <c r="S84" s="5">
        <v>536</v>
      </c>
      <c r="T84" s="5">
        <v>-1795</v>
      </c>
      <c r="U84" s="5">
        <v>1203</v>
      </c>
      <c r="W84" s="20"/>
      <c r="AD84" s="5">
        <v>-29</v>
      </c>
      <c r="AE84" s="5">
        <v>-453</v>
      </c>
      <c r="AF84" s="5">
        <v>-6437</v>
      </c>
      <c r="AG84" s="5">
        <v>-1702</v>
      </c>
      <c r="AH84" s="5">
        <v>5899</v>
      </c>
      <c r="AI84" s="5">
        <v>2076</v>
      </c>
    </row>
    <row r="85" spans="2:35" s="5" customFormat="1" x14ac:dyDescent="0.25">
      <c r="B85" s="5" t="s">
        <v>61</v>
      </c>
      <c r="G85" s="5">
        <v>-3993</v>
      </c>
      <c r="K85" s="5">
        <v>7996</v>
      </c>
      <c r="L85" s="5">
        <v>-4914</v>
      </c>
      <c r="M85" s="5">
        <v>-3210</v>
      </c>
      <c r="N85" s="5">
        <v>1778</v>
      </c>
      <c r="O85" s="5">
        <v>1962</v>
      </c>
      <c r="P85" s="5">
        <v>-5960</v>
      </c>
      <c r="Q85" s="5">
        <v>913</v>
      </c>
      <c r="R85" s="5">
        <v>-3177</v>
      </c>
      <c r="S85" s="5">
        <v>4197</v>
      </c>
      <c r="T85" s="5">
        <v>-4163</v>
      </c>
      <c r="U85" s="5">
        <v>-876</v>
      </c>
      <c r="W85" s="20"/>
      <c r="AD85" s="5">
        <v>51</v>
      </c>
      <c r="AE85" s="5">
        <v>1111</v>
      </c>
      <c r="AF85" s="5">
        <v>2744</v>
      </c>
      <c r="AG85" s="5">
        <v>9942</v>
      </c>
      <c r="AH85" s="5">
        <v>-4384</v>
      </c>
      <c r="AI85" s="5">
        <v>-4027</v>
      </c>
    </row>
    <row r="86" spans="2:35" s="5" customFormat="1" x14ac:dyDescent="0.25">
      <c r="B86" s="5" t="s">
        <v>87</v>
      </c>
      <c r="G86" s="5">
        <v>-1888</v>
      </c>
      <c r="K86" s="5">
        <v>-4128</v>
      </c>
      <c r="L86" s="5">
        <v>4066</v>
      </c>
      <c r="M86" s="5">
        <v>-3406</v>
      </c>
      <c r="N86" s="5">
        <v>1375</v>
      </c>
      <c r="O86" s="5">
        <v>602</v>
      </c>
      <c r="P86" s="5">
        <v>2599</v>
      </c>
      <c r="Q86" s="5">
        <v>-947</v>
      </c>
      <c r="R86" s="5">
        <v>5958</v>
      </c>
      <c r="S86" s="5">
        <v>-10483</v>
      </c>
      <c r="T86" s="5">
        <v>4446</v>
      </c>
      <c r="U86" s="5">
        <v>319</v>
      </c>
      <c r="W86" s="20"/>
      <c r="AD86" s="5">
        <v>504</v>
      </c>
      <c r="AE86" s="5">
        <v>1224</v>
      </c>
      <c r="AF86" s="5">
        <v>2845</v>
      </c>
      <c r="AG86" s="5">
        <v>-5121</v>
      </c>
      <c r="AH86" s="5">
        <v>2637</v>
      </c>
      <c r="AI86" s="5">
        <v>-2873</v>
      </c>
    </row>
    <row r="87" spans="2:35" s="5" customFormat="1" x14ac:dyDescent="0.25">
      <c r="B87" s="5" t="s">
        <v>64</v>
      </c>
      <c r="G87" s="5">
        <v>2071</v>
      </c>
      <c r="K87" s="5">
        <v>-2736</v>
      </c>
      <c r="L87" s="5">
        <v>325</v>
      </c>
      <c r="M87" s="5">
        <v>-347</v>
      </c>
      <c r="N87" s="5">
        <v>320</v>
      </c>
      <c r="O87" s="5">
        <v>-1441</v>
      </c>
      <c r="P87" s="5">
        <v>1826</v>
      </c>
      <c r="Q87" s="5">
        <v>-357</v>
      </c>
      <c r="R87" s="5">
        <v>-983</v>
      </c>
      <c r="S87" s="5">
        <v>28</v>
      </c>
      <c r="T87" s="5">
        <v>476</v>
      </c>
      <c r="U87" s="5">
        <v>1449</v>
      </c>
      <c r="W87" s="20"/>
      <c r="AE87" s="5">
        <v>40</v>
      </c>
      <c r="AF87" s="5">
        <v>3666</v>
      </c>
      <c r="AG87" s="5">
        <v>-3740</v>
      </c>
      <c r="AH87" s="5">
        <v>-1143</v>
      </c>
      <c r="AI87" s="5">
        <v>514</v>
      </c>
    </row>
    <row r="88" spans="2:35" s="5" customFormat="1" x14ac:dyDescent="0.25">
      <c r="B88" s="5" t="s">
        <v>88</v>
      </c>
      <c r="G88" s="5">
        <v>75</v>
      </c>
      <c r="K88" s="5">
        <v>450</v>
      </c>
      <c r="L88" s="5">
        <v>49</v>
      </c>
      <c r="M88" s="5">
        <v>-1115</v>
      </c>
      <c r="N88" s="5">
        <v>-728</v>
      </c>
      <c r="O88" s="5">
        <v>-497</v>
      </c>
      <c r="P88" s="5">
        <v>551</v>
      </c>
      <c r="Q88" s="5">
        <v>-826</v>
      </c>
      <c r="R88" s="5">
        <v>29</v>
      </c>
      <c r="S88" s="5">
        <v>-1168</v>
      </c>
      <c r="T88" s="5">
        <v>1670</v>
      </c>
      <c r="U88" s="5">
        <v>178</v>
      </c>
      <c r="W88" s="20"/>
      <c r="AD88" s="5">
        <v>157</v>
      </c>
      <c r="AE88" s="5">
        <v>181</v>
      </c>
      <c r="AF88" s="5">
        <v>338</v>
      </c>
      <c r="AG88" s="5">
        <v>2210</v>
      </c>
      <c r="AH88" s="5">
        <v>-2291</v>
      </c>
      <c r="AI88" s="5">
        <v>-1414</v>
      </c>
    </row>
    <row r="89" spans="2:35" s="7" customFormat="1" x14ac:dyDescent="0.25">
      <c r="B89" s="7" t="s">
        <v>89</v>
      </c>
      <c r="C89" s="7">
        <f t="shared" ref="C89:E89" si="112">SUM(C72:C88)</f>
        <v>0</v>
      </c>
      <c r="D89" s="7">
        <f t="shared" si="112"/>
        <v>0</v>
      </c>
      <c r="E89" s="7">
        <f t="shared" si="112"/>
        <v>0</v>
      </c>
      <c r="F89" s="7">
        <f t="shared" ref="F89:S89" si="113">SUM(F72:F88)</f>
        <v>0</v>
      </c>
      <c r="G89" s="7">
        <f t="shared" si="113"/>
        <v>-21004</v>
      </c>
      <c r="H89" s="7">
        <f t="shared" si="113"/>
        <v>0</v>
      </c>
      <c r="I89" s="7">
        <f t="shared" si="113"/>
        <v>0</v>
      </c>
      <c r="J89" s="7">
        <f t="shared" si="113"/>
        <v>0</v>
      </c>
      <c r="K89" s="7">
        <f t="shared" si="113"/>
        <v>-10528</v>
      </c>
      <c r="L89" s="7">
        <f t="shared" si="113"/>
        <v>-12017</v>
      </c>
      <c r="M89" s="7">
        <f t="shared" si="113"/>
        <v>-12796</v>
      </c>
      <c r="N89" s="7">
        <f t="shared" si="113"/>
        <v>6580</v>
      </c>
      <c r="O89" s="7">
        <f t="shared" si="113"/>
        <v>-74</v>
      </c>
      <c r="P89" s="7">
        <f t="shared" si="113"/>
        <v>-14359</v>
      </c>
      <c r="Q89" s="7">
        <f t="shared" si="113"/>
        <v>-7058</v>
      </c>
      <c r="R89" s="7">
        <f t="shared" si="113"/>
        <v>-1896</v>
      </c>
      <c r="S89" s="7">
        <f t="shared" si="113"/>
        <v>-14806</v>
      </c>
      <c r="T89" s="7">
        <f>SUM(T72:T88)</f>
        <v>-6664</v>
      </c>
      <c r="U89" s="7">
        <f t="shared" ref="U89" si="114">SUM(U72:U88)</f>
        <v>-3868</v>
      </c>
      <c r="W89" s="20"/>
      <c r="AB89" s="5"/>
      <c r="AC89" s="5"/>
      <c r="AD89" s="7">
        <f t="shared" ref="AD89:AF89" si="115">SUM(AD72:AD88)</f>
        <v>8614</v>
      </c>
      <c r="AE89" s="7">
        <f t="shared" si="115"/>
        <v>-7416</v>
      </c>
      <c r="AF89" s="7">
        <f t="shared" si="115"/>
        <v>-19782</v>
      </c>
      <c r="AG89" s="7">
        <f t="shared" ref="AG89" si="116">SUM(AG72:AG88)</f>
        <v>-48918</v>
      </c>
      <c r="AH89" s="7">
        <f t="shared" ref="AH89" si="117">SUM(AH72:AH88)</f>
        <v>-18307</v>
      </c>
      <c r="AI89" s="7">
        <f t="shared" ref="AI89" si="118">SUM(AI72:AI88)</f>
        <v>-38119</v>
      </c>
    </row>
    <row r="90" spans="2:35" s="5" customFormat="1" x14ac:dyDescent="0.25">
      <c r="B90" s="5" t="s">
        <v>90</v>
      </c>
      <c r="G90" s="5">
        <v>0</v>
      </c>
      <c r="K90" s="5">
        <v>0</v>
      </c>
      <c r="O90" s="5">
        <v>0</v>
      </c>
      <c r="P90" s="5">
        <v>13935</v>
      </c>
      <c r="Q90" s="5">
        <v>0</v>
      </c>
      <c r="R90" s="5">
        <v>0</v>
      </c>
      <c r="S90" s="5">
        <v>0</v>
      </c>
      <c r="U90" s="5">
        <v>0</v>
      </c>
      <c r="W90" s="20"/>
      <c r="AE90" s="5">
        <v>-184714</v>
      </c>
      <c r="AF90" s="5">
        <v>-224</v>
      </c>
      <c r="AG90" s="5">
        <v>-4465</v>
      </c>
      <c r="AI90" s="5">
        <v>13935</v>
      </c>
    </row>
    <row r="91" spans="2:35" s="5" customFormat="1" x14ac:dyDescent="0.25">
      <c r="B91" s="5" t="s">
        <v>91</v>
      </c>
      <c r="G91" s="5">
        <v>-44</v>
      </c>
      <c r="K91" s="5">
        <v>-33</v>
      </c>
      <c r="M91" s="5">
        <v>-2</v>
      </c>
      <c r="O91" s="5">
        <v>0</v>
      </c>
      <c r="P91" s="5">
        <v>-38</v>
      </c>
      <c r="Q91" s="5">
        <v>-129</v>
      </c>
      <c r="R91" s="5">
        <v>-137</v>
      </c>
      <c r="S91" s="5">
        <v>-180</v>
      </c>
      <c r="T91" s="5">
        <v>-80</v>
      </c>
      <c r="U91" s="5">
        <v>-5</v>
      </c>
      <c r="W91" s="20"/>
      <c r="AD91" s="5">
        <v>-121</v>
      </c>
      <c r="AE91" s="5">
        <v>-155</v>
      </c>
      <c r="AF91" s="5">
        <v>-645</v>
      </c>
      <c r="AG91" s="5">
        <v>-769</v>
      </c>
      <c r="AH91" s="5">
        <v>-2</v>
      </c>
      <c r="AI91" s="5">
        <v>-484</v>
      </c>
    </row>
    <row r="92" spans="2:35" s="5" customFormat="1" x14ac:dyDescent="0.25">
      <c r="B92" s="5" t="s">
        <v>92</v>
      </c>
      <c r="G92" s="5">
        <v>6</v>
      </c>
      <c r="K92" s="5">
        <v>0</v>
      </c>
      <c r="N92" s="5">
        <v>-2744</v>
      </c>
      <c r="O92" s="5">
        <v>-1084</v>
      </c>
      <c r="P92" s="5">
        <v>-1643</v>
      </c>
      <c r="Q92" s="5">
        <v>-1582</v>
      </c>
      <c r="R92" s="5">
        <v>-4171</v>
      </c>
      <c r="S92" s="5">
        <v>-3234</v>
      </c>
      <c r="T92" s="5">
        <v>-1540</v>
      </c>
      <c r="U92" s="5">
        <v>-1159</v>
      </c>
      <c r="W92" s="20"/>
      <c r="AF92" s="5">
        <v>6</v>
      </c>
      <c r="AH92" s="5">
        <v>-3828</v>
      </c>
      <c r="AI92" s="5">
        <v>-10630</v>
      </c>
    </row>
    <row r="93" spans="2:35" s="7" customFormat="1" x14ac:dyDescent="0.25">
      <c r="B93" s="7" t="s">
        <v>93</v>
      </c>
      <c r="C93" s="7">
        <f t="shared" ref="C93:E93" si="119">SUM(C90:C92)</f>
        <v>0</v>
      </c>
      <c r="D93" s="7">
        <f t="shared" si="119"/>
        <v>0</v>
      </c>
      <c r="E93" s="7">
        <f t="shared" si="119"/>
        <v>0</v>
      </c>
      <c r="F93" s="7">
        <f t="shared" ref="F93:S93" si="120">SUM(F90:F92)</f>
        <v>0</v>
      </c>
      <c r="G93" s="7">
        <f t="shared" si="120"/>
        <v>-38</v>
      </c>
      <c r="H93" s="7">
        <f t="shared" si="120"/>
        <v>0</v>
      </c>
      <c r="I93" s="7">
        <f t="shared" si="120"/>
        <v>0</v>
      </c>
      <c r="J93" s="7">
        <f t="shared" si="120"/>
        <v>0</v>
      </c>
      <c r="K93" s="7">
        <f t="shared" si="120"/>
        <v>-33</v>
      </c>
      <c r="L93" s="7">
        <f t="shared" si="120"/>
        <v>0</v>
      </c>
      <c r="M93" s="7">
        <f t="shared" si="120"/>
        <v>-2</v>
      </c>
      <c r="N93" s="7">
        <f t="shared" si="120"/>
        <v>-2744</v>
      </c>
      <c r="O93" s="7">
        <f t="shared" si="120"/>
        <v>-1084</v>
      </c>
      <c r="P93" s="7">
        <f t="shared" si="120"/>
        <v>12254</v>
      </c>
      <c r="Q93" s="7">
        <f t="shared" si="120"/>
        <v>-1711</v>
      </c>
      <c r="R93" s="7">
        <f t="shared" si="120"/>
        <v>-4308</v>
      </c>
      <c r="S93" s="7">
        <f t="shared" si="120"/>
        <v>-3414</v>
      </c>
      <c r="T93" s="7">
        <f>SUM(T90:T92)</f>
        <v>-1620</v>
      </c>
      <c r="U93" s="7">
        <f t="shared" ref="U93" si="121">SUM(U90:U92)</f>
        <v>-1164</v>
      </c>
      <c r="W93" s="20"/>
      <c r="AB93" s="5"/>
      <c r="AC93" s="5"/>
      <c r="AD93" s="7">
        <f t="shared" ref="AD93:AF93" si="122">SUM(AD90:AD92)</f>
        <v>-121</v>
      </c>
      <c r="AE93" s="7">
        <f t="shared" si="122"/>
        <v>-184869</v>
      </c>
      <c r="AF93" s="7">
        <f t="shared" si="122"/>
        <v>-863</v>
      </c>
      <c r="AG93" s="7">
        <f t="shared" ref="AG93" si="123">SUM(AG90:AG92)</f>
        <v>-5234</v>
      </c>
      <c r="AH93" s="7">
        <f t="shared" ref="AH93" si="124">SUM(AH90:AH92)</f>
        <v>-3830</v>
      </c>
      <c r="AI93" s="7">
        <f t="shared" ref="AI93" si="125">SUM(AI90:AI92)</f>
        <v>2821</v>
      </c>
    </row>
    <row r="94" spans="2:35" s="5" customFormat="1" x14ac:dyDescent="0.25">
      <c r="B94" s="5" t="s">
        <v>94</v>
      </c>
      <c r="G94" s="5">
        <v>0</v>
      </c>
      <c r="K94" s="5">
        <v>0</v>
      </c>
      <c r="M94" s="5">
        <v>0</v>
      </c>
      <c r="N94" s="5">
        <v>0</v>
      </c>
      <c r="O94" s="5">
        <v>0</v>
      </c>
      <c r="P94" s="5">
        <v>53809</v>
      </c>
      <c r="Q94" s="5">
        <v>0</v>
      </c>
      <c r="R94" s="5">
        <v>0</v>
      </c>
      <c r="S94" s="5">
        <v>0</v>
      </c>
      <c r="T94" s="5">
        <v>64673</v>
      </c>
      <c r="U94" s="5">
        <v>0</v>
      </c>
      <c r="W94" s="20"/>
      <c r="AI94" s="5">
        <v>53809</v>
      </c>
    </row>
    <row r="95" spans="2:35" s="5" customFormat="1" x14ac:dyDescent="0.25">
      <c r="B95" s="5" t="s">
        <v>95</v>
      </c>
      <c r="G95" s="5">
        <v>0</v>
      </c>
      <c r="K95" s="5">
        <v>0</v>
      </c>
      <c r="M95" s="5">
        <v>0</v>
      </c>
      <c r="N95" s="5">
        <v>0</v>
      </c>
      <c r="O95" s="5">
        <v>44276</v>
      </c>
      <c r="Q95" s="5">
        <v>0</v>
      </c>
      <c r="R95" s="5">
        <v>0</v>
      </c>
      <c r="S95" s="5">
        <v>0</v>
      </c>
      <c r="T95" s="5">
        <v>-551</v>
      </c>
      <c r="U95" s="5">
        <v>0</v>
      </c>
      <c r="W95" s="20"/>
      <c r="AH95" s="5">
        <f>50000-5724</f>
        <v>44276</v>
      </c>
    </row>
    <row r="96" spans="2:35" s="5" customFormat="1" x14ac:dyDescent="0.25">
      <c r="B96" s="5" t="s">
        <v>107</v>
      </c>
      <c r="G96" s="5">
        <v>0</v>
      </c>
      <c r="K96" s="5">
        <v>0</v>
      </c>
      <c r="L96" s="5">
        <v>25000</v>
      </c>
      <c r="M96" s="5">
        <v>25000</v>
      </c>
      <c r="N96" s="5">
        <v>0</v>
      </c>
      <c r="O96" s="5">
        <v>-50000</v>
      </c>
      <c r="Q96" s="5">
        <v>0</v>
      </c>
      <c r="R96" s="5">
        <v>0</v>
      </c>
      <c r="S96" s="5">
        <v>0</v>
      </c>
      <c r="T96" s="5">
        <v>6569</v>
      </c>
      <c r="U96" s="5">
        <v>293431</v>
      </c>
      <c r="W96" s="20"/>
    </row>
    <row r="97" spans="2:35" s="5" customFormat="1" x14ac:dyDescent="0.25">
      <c r="B97" s="5" t="s">
        <v>108</v>
      </c>
      <c r="G97" s="5">
        <v>0</v>
      </c>
      <c r="K97" s="5">
        <v>0</v>
      </c>
      <c r="L97" s="5">
        <v>-3025</v>
      </c>
      <c r="M97" s="5">
        <v>-2200</v>
      </c>
      <c r="N97" s="5">
        <v>-499</v>
      </c>
      <c r="O97" s="5">
        <v>5724</v>
      </c>
      <c r="Q97" s="5">
        <v>0</v>
      </c>
      <c r="R97" s="5">
        <v>0</v>
      </c>
      <c r="S97" s="5">
        <v>0</v>
      </c>
      <c r="T97" s="5">
        <v>-115</v>
      </c>
      <c r="U97" s="5">
        <v>-5135</v>
      </c>
      <c r="W97" s="20"/>
    </row>
    <row r="98" spans="2:35" s="5" customFormat="1" x14ac:dyDescent="0.25">
      <c r="B98" s="5" t="s">
        <v>96</v>
      </c>
      <c r="G98" s="5">
        <v>-105767</v>
      </c>
      <c r="K98" s="5">
        <v>1290</v>
      </c>
      <c r="L98" s="5">
        <v>-763</v>
      </c>
      <c r="M98" s="5">
        <v>-774</v>
      </c>
      <c r="N98" s="5">
        <v>-522</v>
      </c>
      <c r="O98" s="5">
        <v>1229</v>
      </c>
      <c r="P98" s="5">
        <v>-403</v>
      </c>
      <c r="Q98" s="5">
        <v>-409</v>
      </c>
      <c r="R98" s="5">
        <v>-417</v>
      </c>
      <c r="S98" s="5">
        <v>817</v>
      </c>
      <c r="T98" s="5">
        <v>-366</v>
      </c>
      <c r="U98" s="5">
        <v>-85</v>
      </c>
      <c r="W98" s="20"/>
      <c r="AD98" s="5">
        <f>2000-2000</f>
        <v>0</v>
      </c>
      <c r="AE98" s="5">
        <f>107249+91283-91283+4000-4000</f>
        <v>107249</v>
      </c>
      <c r="AF98" s="5">
        <f>-110000+9233-5000</f>
        <v>-105767</v>
      </c>
      <c r="AG98" s="5">
        <f>2059-4233</f>
        <v>-2174</v>
      </c>
      <c r="AH98" s="5">
        <f>1229-2059</f>
        <v>-830</v>
      </c>
      <c r="AI98" s="5">
        <f>817-1229</f>
        <v>-412</v>
      </c>
    </row>
    <row r="99" spans="2:35" s="5" customFormat="1" x14ac:dyDescent="0.25">
      <c r="B99" s="5" t="s">
        <v>209</v>
      </c>
      <c r="G99" s="5">
        <v>-5527</v>
      </c>
      <c r="K99" s="5">
        <v>0</v>
      </c>
      <c r="M99" s="5">
        <v>0</v>
      </c>
      <c r="N99" s="5">
        <v>0</v>
      </c>
      <c r="O99" s="5">
        <v>0</v>
      </c>
      <c r="Q99" s="5">
        <v>0</v>
      </c>
      <c r="R99" s="5">
        <v>0</v>
      </c>
      <c r="S99" s="5">
        <v>-349</v>
      </c>
      <c r="T99" s="5">
        <v>-4342</v>
      </c>
      <c r="U99" s="5">
        <v>-337</v>
      </c>
      <c r="W99" s="20"/>
      <c r="AE99" s="5">
        <v>-307</v>
      </c>
      <c r="AF99" s="5">
        <v>-5527</v>
      </c>
      <c r="AI99" s="5">
        <v>-349</v>
      </c>
    </row>
    <row r="100" spans="2:35" s="5" customFormat="1" x14ac:dyDescent="0.25">
      <c r="B100" s="5" t="s">
        <v>97</v>
      </c>
      <c r="G100" s="5">
        <v>0</v>
      </c>
      <c r="K100" s="5">
        <v>0</v>
      </c>
      <c r="M100" s="5">
        <v>0</v>
      </c>
      <c r="N100" s="5">
        <v>0</v>
      </c>
      <c r="O100" s="5">
        <v>0</v>
      </c>
      <c r="P100" s="5">
        <v>86</v>
      </c>
      <c r="Q100" s="5">
        <v>33</v>
      </c>
      <c r="R100" s="5">
        <v>0</v>
      </c>
      <c r="S100" s="5">
        <v>302</v>
      </c>
      <c r="T100" s="5">
        <v>1393</v>
      </c>
      <c r="U100" s="5">
        <v>240</v>
      </c>
      <c r="W100" s="20"/>
      <c r="AI100" s="5">
        <v>421</v>
      </c>
    </row>
    <row r="101" spans="2:35" s="5" customFormat="1" x14ac:dyDescent="0.25">
      <c r="B101" s="5" t="s">
        <v>98</v>
      </c>
      <c r="G101" s="5">
        <v>0</v>
      </c>
      <c r="K101" s="5">
        <v>-52</v>
      </c>
      <c r="M101" s="5">
        <v>-1132</v>
      </c>
      <c r="N101" s="5">
        <v>-1085</v>
      </c>
      <c r="O101" s="5">
        <v>-343</v>
      </c>
      <c r="P101" s="5">
        <v>-2532</v>
      </c>
      <c r="Q101" s="5">
        <v>-608</v>
      </c>
      <c r="R101" s="5">
        <v>-3</v>
      </c>
      <c r="S101" s="5">
        <v>765</v>
      </c>
      <c r="T101" s="5">
        <v>-1318</v>
      </c>
      <c r="U101" s="5">
        <v>-361</v>
      </c>
      <c r="W101" s="20"/>
      <c r="AG101" s="5">
        <v>-67</v>
      </c>
      <c r="AH101" s="5">
        <v>-2560</v>
      </c>
      <c r="AI101" s="5">
        <v>-2378</v>
      </c>
    </row>
    <row r="102" spans="2:35" s="5" customFormat="1" x14ac:dyDescent="0.25">
      <c r="B102" s="5" t="s">
        <v>210</v>
      </c>
      <c r="G102" s="5">
        <v>291481</v>
      </c>
      <c r="K102" s="5">
        <v>0</v>
      </c>
      <c r="M102" s="5">
        <v>0</v>
      </c>
      <c r="N102" s="5">
        <v>531</v>
      </c>
      <c r="O102" s="5">
        <v>645</v>
      </c>
      <c r="Q102" s="5">
        <v>607</v>
      </c>
      <c r="R102" s="5">
        <v>0</v>
      </c>
      <c r="S102" s="5">
        <v>760</v>
      </c>
      <c r="U102" s="5">
        <v>1069</v>
      </c>
      <c r="W102" s="20"/>
      <c r="AD102" s="5">
        <v>-9773</v>
      </c>
      <c r="AE102" s="5">
        <v>95047</v>
      </c>
      <c r="AF102" s="5">
        <f>200000+101958-9802</f>
        <v>292156</v>
      </c>
      <c r="AG102" s="5">
        <v>-100896</v>
      </c>
      <c r="AH102" s="5">
        <v>1176</v>
      </c>
      <c r="AI102" s="5">
        <v>1367</v>
      </c>
    </row>
    <row r="103" spans="2:35" s="7" customFormat="1" x14ac:dyDescent="0.25">
      <c r="B103" s="7" t="s">
        <v>99</v>
      </c>
      <c r="C103" s="7">
        <f t="shared" ref="C103:E103" si="126">SUM(C94:C102)</f>
        <v>0</v>
      </c>
      <c r="D103" s="7">
        <f t="shared" si="126"/>
        <v>0</v>
      </c>
      <c r="E103" s="7">
        <f t="shared" si="126"/>
        <v>0</v>
      </c>
      <c r="F103" s="7">
        <f t="shared" ref="F103:T103" si="127">SUM(F94:F102)</f>
        <v>0</v>
      </c>
      <c r="G103" s="7">
        <f t="shared" si="127"/>
        <v>180187</v>
      </c>
      <c r="H103" s="7">
        <f t="shared" si="127"/>
        <v>0</v>
      </c>
      <c r="I103" s="7">
        <f t="shared" si="127"/>
        <v>0</v>
      </c>
      <c r="J103" s="7">
        <f t="shared" si="127"/>
        <v>0</v>
      </c>
      <c r="K103" s="7">
        <f t="shared" si="127"/>
        <v>1238</v>
      </c>
      <c r="L103" s="7">
        <f t="shared" si="127"/>
        <v>21212</v>
      </c>
      <c r="M103" s="7">
        <f t="shared" si="127"/>
        <v>20894</v>
      </c>
      <c r="N103" s="7">
        <f t="shared" si="127"/>
        <v>-1575</v>
      </c>
      <c r="O103" s="7">
        <f t="shared" si="127"/>
        <v>1531</v>
      </c>
      <c r="P103" s="7">
        <f t="shared" si="127"/>
        <v>50960</v>
      </c>
      <c r="Q103" s="7">
        <f t="shared" si="127"/>
        <v>-377</v>
      </c>
      <c r="R103" s="7">
        <f t="shared" si="127"/>
        <v>-420</v>
      </c>
      <c r="S103" s="7">
        <f t="shared" si="127"/>
        <v>2295</v>
      </c>
      <c r="T103" s="7">
        <f t="shared" si="127"/>
        <v>65943</v>
      </c>
      <c r="U103" s="7">
        <f t="shared" ref="U103" si="128">SUM(U94:U102)</f>
        <v>288822</v>
      </c>
      <c r="W103" s="20"/>
      <c r="AB103" s="5"/>
      <c r="AC103" s="5"/>
      <c r="AD103" s="7">
        <f t="shared" ref="AD103:AF103" si="129">SUM(AD94:AD102)</f>
        <v>-9773</v>
      </c>
      <c r="AE103" s="7">
        <f t="shared" si="129"/>
        <v>201989</v>
      </c>
      <c r="AF103" s="7">
        <f t="shared" si="129"/>
        <v>180862</v>
      </c>
      <c r="AG103" s="7">
        <f>SUM(AG94:AG102)</f>
        <v>-103137</v>
      </c>
      <c r="AH103" s="7">
        <f>SUM(AH94:AH102)</f>
        <v>42062</v>
      </c>
      <c r="AI103" s="7">
        <f>SUM(AI94:AI102)</f>
        <v>52458</v>
      </c>
    </row>
    <row r="104" spans="2:35" s="5" customFormat="1" x14ac:dyDescent="0.25">
      <c r="B104" s="5" t="s">
        <v>100</v>
      </c>
      <c r="R104" s="5">
        <v>-58</v>
      </c>
      <c r="S104" s="5">
        <v>482</v>
      </c>
      <c r="T104" s="5">
        <v>-190</v>
      </c>
      <c r="U104" s="5">
        <v>-555</v>
      </c>
      <c r="W104" s="20"/>
      <c r="AI104" s="5">
        <v>424</v>
      </c>
    </row>
    <row r="105" spans="2:35" s="7" customFormat="1" x14ac:dyDescent="0.25">
      <c r="B105" s="7" t="s">
        <v>101</v>
      </c>
      <c r="C105" s="7">
        <f t="shared" ref="C105" si="130">C89+C93+C103+C104</f>
        <v>0</v>
      </c>
      <c r="D105" s="7">
        <f t="shared" ref="D105" si="131">D89+D93+D103+D104</f>
        <v>0</v>
      </c>
      <c r="E105" s="7">
        <f t="shared" ref="E105" si="132">E89+E93+E103+E104</f>
        <v>0</v>
      </c>
      <c r="F105" s="7">
        <f t="shared" ref="F105:T105" si="133">F89+F93+F103+F104</f>
        <v>0</v>
      </c>
      <c r="G105" s="7">
        <f t="shared" si="133"/>
        <v>159145</v>
      </c>
      <c r="H105" s="7">
        <f t="shared" si="133"/>
        <v>0</v>
      </c>
      <c r="I105" s="7">
        <f t="shared" si="133"/>
        <v>0</v>
      </c>
      <c r="J105" s="7">
        <f t="shared" si="133"/>
        <v>0</v>
      </c>
      <c r="K105" s="7">
        <f t="shared" si="133"/>
        <v>-9323</v>
      </c>
      <c r="L105" s="7">
        <f t="shared" si="133"/>
        <v>9195</v>
      </c>
      <c r="M105" s="7">
        <f t="shared" si="133"/>
        <v>8096</v>
      </c>
      <c r="N105" s="7">
        <f t="shared" si="133"/>
        <v>2261</v>
      </c>
      <c r="O105" s="7">
        <f t="shared" si="133"/>
        <v>373</v>
      </c>
      <c r="P105" s="7">
        <f t="shared" si="133"/>
        <v>48855</v>
      </c>
      <c r="Q105" s="7">
        <f t="shared" si="133"/>
        <v>-9146</v>
      </c>
      <c r="R105" s="7">
        <f t="shared" si="133"/>
        <v>-6682</v>
      </c>
      <c r="S105" s="7">
        <f t="shared" si="133"/>
        <v>-15443</v>
      </c>
      <c r="T105" s="7">
        <f t="shared" si="133"/>
        <v>57469</v>
      </c>
      <c r="U105" s="7">
        <f t="shared" ref="U105" si="134">U89+U93+U103+U104</f>
        <v>283235</v>
      </c>
      <c r="W105" s="20"/>
      <c r="AC105" s="5"/>
      <c r="AD105" s="7">
        <f t="shared" ref="AD105" si="135">AD89+AD93+AD103+AD104</f>
        <v>-1280</v>
      </c>
      <c r="AE105" s="7">
        <f t="shared" ref="AE105" si="136">AE89+AE93+AE103+AE104</f>
        <v>9704</v>
      </c>
      <c r="AF105" s="7">
        <f t="shared" ref="AF105" si="137">AF89+AF93+AF103+AF104</f>
        <v>160217</v>
      </c>
      <c r="AG105" s="7">
        <f>AG89+AG93+AG103+AG104</f>
        <v>-157289</v>
      </c>
      <c r="AH105" s="7">
        <f>AH89+AH93+AH103+AH104</f>
        <v>19925</v>
      </c>
      <c r="AI105" s="7">
        <f>AI89+AI93+AI103+AI104</f>
        <v>17584</v>
      </c>
    </row>
    <row r="106" spans="2:35" s="5" customFormat="1" x14ac:dyDescent="0.25">
      <c r="B106" s="5" t="s">
        <v>102</v>
      </c>
      <c r="L106" s="5">
        <v>12632</v>
      </c>
      <c r="M106" s="5">
        <f>L107</f>
        <v>21827</v>
      </c>
      <c r="N106" s="5">
        <f t="shared" ref="N106:U106" si="138">M107</f>
        <v>29923</v>
      </c>
      <c r="O106" s="5">
        <f t="shared" si="138"/>
        <v>32184</v>
      </c>
      <c r="P106" s="5">
        <f t="shared" si="138"/>
        <v>32557</v>
      </c>
      <c r="Q106" s="5">
        <f t="shared" si="138"/>
        <v>81412</v>
      </c>
      <c r="R106" s="5">
        <f t="shared" si="138"/>
        <v>72266</v>
      </c>
      <c r="S106" s="5">
        <f t="shared" si="138"/>
        <v>65584</v>
      </c>
      <c r="T106" s="5">
        <f t="shared" si="138"/>
        <v>50141</v>
      </c>
      <c r="U106" s="5">
        <f t="shared" si="138"/>
        <v>107610</v>
      </c>
      <c r="AE106" s="5">
        <v>0</v>
      </c>
      <c r="AF106" s="5">
        <f>AE107</f>
        <v>9704</v>
      </c>
      <c r="AG106" s="5">
        <f>AF107</f>
        <v>169921</v>
      </c>
      <c r="AH106" s="5">
        <f>AG107</f>
        <v>12632</v>
      </c>
      <c r="AI106" s="5">
        <f>AH107</f>
        <v>32557</v>
      </c>
    </row>
    <row r="107" spans="2:35" s="5" customFormat="1" x14ac:dyDescent="0.25">
      <c r="B107" s="5" t="s">
        <v>103</v>
      </c>
      <c r="C107" s="5">
        <f t="shared" ref="C107:E107" si="139">C105+C106</f>
        <v>0</v>
      </c>
      <c r="D107" s="5">
        <f t="shared" si="139"/>
        <v>0</v>
      </c>
      <c r="E107" s="5">
        <f t="shared" si="139"/>
        <v>0</v>
      </c>
      <c r="F107" s="5">
        <f t="shared" ref="F107:S107" si="140">F105+F106</f>
        <v>0</v>
      </c>
      <c r="G107" s="5">
        <f t="shared" si="140"/>
        <v>159145</v>
      </c>
      <c r="H107" s="5">
        <f t="shared" si="140"/>
        <v>0</v>
      </c>
      <c r="I107" s="5">
        <f t="shared" si="140"/>
        <v>0</v>
      </c>
      <c r="J107" s="5">
        <f t="shared" si="140"/>
        <v>0</v>
      </c>
      <c r="K107" s="5">
        <f t="shared" si="140"/>
        <v>-9323</v>
      </c>
      <c r="L107" s="5">
        <f t="shared" si="140"/>
        <v>21827</v>
      </c>
      <c r="M107" s="5">
        <f t="shared" si="140"/>
        <v>29923</v>
      </c>
      <c r="N107" s="5">
        <f t="shared" si="140"/>
        <v>32184</v>
      </c>
      <c r="O107" s="5">
        <f t="shared" si="140"/>
        <v>32557</v>
      </c>
      <c r="P107" s="5">
        <f t="shared" si="140"/>
        <v>81412</v>
      </c>
      <c r="Q107" s="5">
        <f t="shared" si="140"/>
        <v>72266</v>
      </c>
      <c r="R107" s="5">
        <f t="shared" si="140"/>
        <v>65584</v>
      </c>
      <c r="S107" s="5">
        <f t="shared" si="140"/>
        <v>50141</v>
      </c>
      <c r="T107" s="5">
        <f>T105+T106</f>
        <v>107610</v>
      </c>
      <c r="U107" s="5">
        <f t="shared" ref="U107" si="141">U105+U106</f>
        <v>390845</v>
      </c>
      <c r="AD107" s="5">
        <f t="shared" ref="AD107:AF107" si="142">AD105+AD106</f>
        <v>-1280</v>
      </c>
      <c r="AE107" s="5">
        <f t="shared" si="142"/>
        <v>9704</v>
      </c>
      <c r="AF107" s="5">
        <f t="shared" si="142"/>
        <v>169921</v>
      </c>
      <c r="AG107" s="5">
        <f t="shared" ref="AG107" si="143">AG105+AG106</f>
        <v>12632</v>
      </c>
      <c r="AH107" s="5">
        <f t="shared" ref="AH107" si="144">AH105+AH106</f>
        <v>32557</v>
      </c>
      <c r="AI107" s="5">
        <f t="shared" ref="AI107" si="145">AI105+AI106</f>
        <v>50141</v>
      </c>
    </row>
    <row r="108" spans="2:35" s="5" customFormat="1" x14ac:dyDescent="0.25"/>
    <row r="109" spans="2:35" s="5" customFormat="1" x14ac:dyDescent="0.25"/>
    <row r="110" spans="2:35" s="5" customFormat="1" x14ac:dyDescent="0.25">
      <c r="B110" s="5" t="s">
        <v>104</v>
      </c>
      <c r="C110" s="5">
        <f t="shared" ref="C110:E110" si="146">C89+C91+C92</f>
        <v>0</v>
      </c>
      <c r="D110" s="5">
        <f t="shared" si="146"/>
        <v>0</v>
      </c>
      <c r="E110" s="5">
        <f t="shared" si="146"/>
        <v>0</v>
      </c>
      <c r="F110" s="5">
        <f t="shared" ref="F110:T110" si="147">F89+F91+F92</f>
        <v>0</v>
      </c>
      <c r="G110" s="5">
        <f t="shared" si="147"/>
        <v>-21042</v>
      </c>
      <c r="H110" s="5">
        <f t="shared" si="147"/>
        <v>0</v>
      </c>
      <c r="I110" s="5">
        <f t="shared" si="147"/>
        <v>0</v>
      </c>
      <c r="J110" s="5">
        <f t="shared" si="147"/>
        <v>0</v>
      </c>
      <c r="K110" s="5">
        <f t="shared" si="147"/>
        <v>-10561</v>
      </c>
      <c r="L110" s="5">
        <f t="shared" si="147"/>
        <v>-12017</v>
      </c>
      <c r="M110" s="5">
        <f t="shared" si="147"/>
        <v>-12798</v>
      </c>
      <c r="N110" s="5">
        <f t="shared" si="147"/>
        <v>3836</v>
      </c>
      <c r="O110" s="5">
        <f t="shared" si="147"/>
        <v>-1158</v>
      </c>
      <c r="P110" s="5">
        <f t="shared" si="147"/>
        <v>-16040</v>
      </c>
      <c r="Q110" s="5">
        <f t="shared" si="147"/>
        <v>-8769</v>
      </c>
      <c r="R110" s="5">
        <f t="shared" si="147"/>
        <v>-6204</v>
      </c>
      <c r="S110" s="5">
        <f t="shared" si="147"/>
        <v>-18220</v>
      </c>
      <c r="T110" s="5">
        <f t="shared" si="147"/>
        <v>-8284</v>
      </c>
      <c r="U110" s="5">
        <f t="shared" ref="U110" si="148">U89+U91+U92</f>
        <v>-5032</v>
      </c>
      <c r="AD110" s="5">
        <f t="shared" ref="AD110:AF110" si="149">AD89+AD91+AD92</f>
        <v>8493</v>
      </c>
      <c r="AE110" s="5">
        <f t="shared" si="149"/>
        <v>-7571</v>
      </c>
      <c r="AF110" s="5">
        <f t="shared" si="149"/>
        <v>-20421</v>
      </c>
      <c r="AG110" s="5">
        <f>AG89+AG91+AG92</f>
        <v>-49687</v>
      </c>
      <c r="AH110" s="5">
        <f>AH89+AH91+AH92</f>
        <v>-22137</v>
      </c>
      <c r="AI110" s="5">
        <f>AI89+AI91+AI92</f>
        <v>-49233</v>
      </c>
    </row>
    <row r="111" spans="2:35" x14ac:dyDescent="0.25">
      <c r="B111" s="2" t="s">
        <v>105</v>
      </c>
      <c r="C111" s="9" t="e">
        <f t="shared" ref="C111:E111" si="150">-SUM(C90:C92)/C72</f>
        <v>#DIV/0!</v>
      </c>
      <c r="D111" s="9" t="e">
        <f t="shared" si="150"/>
        <v>#DIV/0!</v>
      </c>
      <c r="E111" s="9" t="e">
        <f t="shared" si="150"/>
        <v>#DIV/0!</v>
      </c>
      <c r="F111" s="9" t="e">
        <f t="shared" ref="F111:T111" si="151">-SUM(F90:F92)/F72</f>
        <v>#DIV/0!</v>
      </c>
      <c r="G111" s="9">
        <f t="shared" si="151"/>
        <v>-3.3102775406380127E-4</v>
      </c>
      <c r="H111" s="9" t="e">
        <f t="shared" si="151"/>
        <v>#DIV/0!</v>
      </c>
      <c r="I111" s="9" t="e">
        <f t="shared" si="151"/>
        <v>#DIV/0!</v>
      </c>
      <c r="J111" s="9" t="e">
        <f t="shared" si="151"/>
        <v>#DIV/0!</v>
      </c>
      <c r="K111" s="9">
        <f t="shared" si="151"/>
        <v>-1.684704921380437E-3</v>
      </c>
      <c r="L111" s="9">
        <f t="shared" si="151"/>
        <v>0</v>
      </c>
      <c r="M111" s="9">
        <f t="shared" si="151"/>
        <v>-1.0621348911311737E-4</v>
      </c>
      <c r="N111" s="9">
        <f t="shared" si="151"/>
        <v>0.95211658570437196</v>
      </c>
      <c r="O111" s="9">
        <f t="shared" si="151"/>
        <v>-4.608451662273616E-2</v>
      </c>
      <c r="P111" s="9">
        <f t="shared" si="151"/>
        <v>9.5890196569425309E-2</v>
      </c>
      <c r="Q111" s="9">
        <f t="shared" si="151"/>
        <v>-0.11849851097721449</v>
      </c>
      <c r="R111" s="9">
        <f t="shared" si="151"/>
        <v>-0.2846382556987116</v>
      </c>
      <c r="S111" s="9">
        <f t="shared" si="151"/>
        <v>-2.4706725237188903E-2</v>
      </c>
      <c r="T111" s="9">
        <f t="shared" si="151"/>
        <v>-2.6134933694705258E-2</v>
      </c>
      <c r="U111" s="9">
        <f t="shared" ref="U111" si="152">-SUM(U90:U92)/U72</f>
        <v>-5.0914403439784092E-3</v>
      </c>
      <c r="AD111" s="9">
        <f t="shared" ref="AD111:AF111" si="153">-SUM(AD90:AD92)/AD72</f>
        <v>2.2877670637171488E-2</v>
      </c>
      <c r="AE111" s="9">
        <f t="shared" si="153"/>
        <v>-23.586246491451902</v>
      </c>
      <c r="AF111" s="9">
        <f t="shared" si="153"/>
        <v>-6.9849132349132353E-3</v>
      </c>
      <c r="AG111" s="9">
        <f>-SUM(AG90:AG92)/AG72</f>
        <v>-4.6997764149164477E-2</v>
      </c>
      <c r="AH111" s="9">
        <f>-SUM(AH90:AH92)/AH72</f>
        <v>-5.4205528114694937E-2</v>
      </c>
      <c r="AI111" s="9">
        <f>-SUM(AI90:AI92)/AI72</f>
        <v>9.5450131451173589E-3</v>
      </c>
    </row>
    <row r="115" spans="2:35" s="5" customFormat="1" x14ac:dyDescent="0.25">
      <c r="B115" s="5" t="s">
        <v>109</v>
      </c>
      <c r="C115" s="5">
        <f t="shared" ref="C115:E115" si="154">C19</f>
        <v>0</v>
      </c>
      <c r="D115" s="5">
        <f t="shared" si="154"/>
        <v>0</v>
      </c>
      <c r="E115" s="5">
        <f t="shared" si="154"/>
        <v>0</v>
      </c>
      <c r="F115" s="5">
        <f t="shared" ref="F115:T115" si="155">F19</f>
        <v>-3146</v>
      </c>
      <c r="G115" s="5">
        <f t="shared" si="155"/>
        <v>-114794</v>
      </c>
      <c r="H115" s="5">
        <f t="shared" si="155"/>
        <v>0</v>
      </c>
      <c r="I115" s="5">
        <f t="shared" si="155"/>
        <v>0</v>
      </c>
      <c r="J115" s="5">
        <f t="shared" si="155"/>
        <v>-16110</v>
      </c>
      <c r="K115" s="5">
        <f t="shared" si="155"/>
        <v>-29895</v>
      </c>
      <c r="L115" s="5">
        <f t="shared" si="155"/>
        <v>-31187</v>
      </c>
      <c r="M115" s="5">
        <f t="shared" si="155"/>
        <v>-18830</v>
      </c>
      <c r="N115" s="5">
        <f t="shared" si="155"/>
        <v>2882</v>
      </c>
      <c r="O115" s="5">
        <f t="shared" si="155"/>
        <v>-23522</v>
      </c>
      <c r="P115" s="5">
        <f t="shared" si="155"/>
        <v>-127792</v>
      </c>
      <c r="Q115" s="5">
        <f t="shared" si="155"/>
        <v>-14439</v>
      </c>
      <c r="R115" s="5">
        <f t="shared" si="155"/>
        <v>-15135</v>
      </c>
      <c r="S115" s="5">
        <f t="shared" si="155"/>
        <v>-138181</v>
      </c>
      <c r="T115" s="5">
        <f t="shared" si="155"/>
        <v>-61986</v>
      </c>
      <c r="U115" s="5">
        <f t="shared" ref="U115:W115" si="156">U19</f>
        <v>-228619</v>
      </c>
      <c r="V115" s="5">
        <f t="shared" si="156"/>
        <v>44720</v>
      </c>
      <c r="W115" s="5">
        <f t="shared" si="156"/>
        <v>47690</v>
      </c>
      <c r="AD115" s="5">
        <f t="shared" ref="AD115:AF115" si="157">AD19</f>
        <v>5289</v>
      </c>
      <c r="AE115" s="5">
        <f t="shared" si="157"/>
        <v>-7838</v>
      </c>
      <c r="AF115" s="5">
        <f t="shared" si="157"/>
        <v>-123552</v>
      </c>
      <c r="AG115" s="5">
        <f>AG19</f>
        <v>-111367</v>
      </c>
      <c r="AH115" s="5">
        <f>AH19</f>
        <v>-70657</v>
      </c>
      <c r="AI115" s="5">
        <f>AI19</f>
        <v>-295547</v>
      </c>
    </row>
    <row r="116" spans="2:35" s="5" customFormat="1" x14ac:dyDescent="0.25">
      <c r="B116" s="5" t="s">
        <v>34</v>
      </c>
      <c r="C116" s="5">
        <f t="shared" ref="C116:E116" si="158">C13</f>
        <v>0</v>
      </c>
      <c r="D116" s="5">
        <f t="shared" si="158"/>
        <v>0</v>
      </c>
      <c r="E116" s="5">
        <f t="shared" si="158"/>
        <v>0</v>
      </c>
      <c r="F116" s="5">
        <f t="shared" ref="F116:T116" si="159">F13</f>
        <v>1870</v>
      </c>
      <c r="G116" s="5">
        <f t="shared" si="159"/>
        <v>2183</v>
      </c>
      <c r="H116" s="5">
        <f t="shared" si="159"/>
        <v>0</v>
      </c>
      <c r="I116" s="5">
        <f t="shared" si="159"/>
        <v>0</v>
      </c>
      <c r="J116" s="5">
        <f t="shared" si="159"/>
        <v>3557</v>
      </c>
      <c r="K116" s="5">
        <f t="shared" si="159"/>
        <v>3770</v>
      </c>
      <c r="L116" s="5">
        <f t="shared" si="159"/>
        <v>6084</v>
      </c>
      <c r="M116" s="5">
        <f t="shared" si="159"/>
        <v>6186</v>
      </c>
      <c r="N116" s="5">
        <f t="shared" si="159"/>
        <v>6267</v>
      </c>
      <c r="O116" s="5">
        <f t="shared" si="159"/>
        <v>6340</v>
      </c>
      <c r="P116" s="5">
        <f t="shared" si="159"/>
        <v>6385</v>
      </c>
      <c r="Q116" s="5">
        <f t="shared" si="159"/>
        <v>6452</v>
      </c>
      <c r="R116" s="5">
        <f t="shared" si="159"/>
        <v>6552</v>
      </c>
      <c r="S116" s="5">
        <f t="shared" si="159"/>
        <v>6258</v>
      </c>
      <c r="T116" s="5">
        <f t="shared" si="159"/>
        <v>5116</v>
      </c>
      <c r="U116" s="5">
        <f t="shared" ref="U116:W116" si="160">U13</f>
        <v>4419</v>
      </c>
      <c r="V116" s="5">
        <f t="shared" si="160"/>
        <v>0</v>
      </c>
      <c r="W116" s="5">
        <f t="shared" si="160"/>
        <v>0</v>
      </c>
      <c r="AD116" s="5">
        <f t="shared" ref="AD116:AF116" si="161">AD13</f>
        <v>1</v>
      </c>
      <c r="AE116" s="5">
        <f t="shared" si="161"/>
        <v>616</v>
      </c>
      <c r="AF116" s="5">
        <f t="shared" si="161"/>
        <v>7762</v>
      </c>
      <c r="AG116" s="5">
        <f>AG13</f>
        <v>24092</v>
      </c>
      <c r="AH116" s="5">
        <f>AH13</f>
        <v>24877</v>
      </c>
      <c r="AI116" s="5">
        <f>AI13</f>
        <v>25647</v>
      </c>
    </row>
    <row r="117" spans="2:35" s="5" customFormat="1" x14ac:dyDescent="0.25">
      <c r="B117" s="5" t="s">
        <v>110</v>
      </c>
      <c r="N117" s="5">
        <v>-86</v>
      </c>
      <c r="O117" s="5">
        <v>-306</v>
      </c>
      <c r="P117" s="5">
        <v>-447</v>
      </c>
      <c r="Q117" s="5">
        <v>-725</v>
      </c>
      <c r="R117" s="5">
        <v>-635</v>
      </c>
      <c r="S117" s="5">
        <v>-486</v>
      </c>
      <c r="T117" s="5">
        <v>-556</v>
      </c>
      <c r="U117" s="5">
        <v>-1704</v>
      </c>
      <c r="AH117" s="5">
        <v>-392</v>
      </c>
      <c r="AI117" s="5">
        <v>-2293</v>
      </c>
    </row>
    <row r="118" spans="2:35" s="5" customFormat="1" x14ac:dyDescent="0.25">
      <c r="B118" s="5" t="s">
        <v>111</v>
      </c>
      <c r="C118" s="5">
        <f t="shared" ref="C118:E118" si="162">C18</f>
        <v>0</v>
      </c>
      <c r="D118" s="5">
        <f t="shared" si="162"/>
        <v>0</v>
      </c>
      <c r="E118" s="5">
        <f t="shared" si="162"/>
        <v>0</v>
      </c>
      <c r="F118" s="5">
        <f t="shared" ref="F118:T118" si="163">F18</f>
        <v>-1327</v>
      </c>
      <c r="G118" s="5">
        <f t="shared" si="163"/>
        <v>4378</v>
      </c>
      <c r="H118" s="5">
        <f t="shared" si="163"/>
        <v>0</v>
      </c>
      <c r="I118" s="5">
        <f t="shared" si="163"/>
        <v>0</v>
      </c>
      <c r="J118" s="5">
        <f t="shared" si="163"/>
        <v>252</v>
      </c>
      <c r="K118" s="5">
        <f t="shared" si="163"/>
        <v>-226</v>
      </c>
      <c r="L118" s="5">
        <f t="shared" si="163"/>
        <v>59</v>
      </c>
      <c r="M118" s="5">
        <f t="shared" si="163"/>
        <v>-3</v>
      </c>
      <c r="N118" s="5">
        <f t="shared" si="163"/>
        <v>-5</v>
      </c>
      <c r="O118" s="5">
        <f t="shared" si="163"/>
        <v>-273</v>
      </c>
      <c r="P118" s="5">
        <f t="shared" si="163"/>
        <v>-14</v>
      </c>
      <c r="Q118" s="5">
        <f t="shared" si="163"/>
        <v>15</v>
      </c>
      <c r="R118" s="5">
        <f t="shared" si="163"/>
        <v>21</v>
      </c>
      <c r="S118" s="5">
        <f t="shared" si="163"/>
        <v>-278</v>
      </c>
      <c r="T118" s="5">
        <f t="shared" si="163"/>
        <v>25</v>
      </c>
      <c r="U118" s="5">
        <f t="shared" ref="U118:W118" si="164">U18</f>
        <v>14</v>
      </c>
      <c r="V118" s="5">
        <f t="shared" si="164"/>
        <v>0</v>
      </c>
      <c r="W118" s="5">
        <f t="shared" si="164"/>
        <v>0</v>
      </c>
      <c r="AD118" s="5">
        <f t="shared" ref="AD118:AF118" si="165">AD18</f>
        <v>3</v>
      </c>
      <c r="AE118" s="5">
        <f t="shared" si="165"/>
        <v>-2633</v>
      </c>
      <c r="AF118" s="5">
        <f t="shared" si="165"/>
        <v>1084</v>
      </c>
      <c r="AG118" s="5">
        <f>AG18</f>
        <v>-1884</v>
      </c>
      <c r="AH118" s="5">
        <f>AH18</f>
        <v>-222</v>
      </c>
      <c r="AI118" s="5">
        <f>AI18</f>
        <v>-256</v>
      </c>
    </row>
    <row r="119" spans="2:35" s="5" customFormat="1" x14ac:dyDescent="0.25">
      <c r="B119" s="5" t="s">
        <v>81</v>
      </c>
      <c r="C119" s="5">
        <f t="shared" ref="C119:E119" si="166">C73</f>
        <v>0</v>
      </c>
      <c r="D119" s="5">
        <f t="shared" si="166"/>
        <v>0</v>
      </c>
      <c r="E119" s="5">
        <f t="shared" si="166"/>
        <v>0</v>
      </c>
      <c r="F119" s="5">
        <f t="shared" ref="F119:S119" si="167">F73</f>
        <v>0</v>
      </c>
      <c r="G119" s="5">
        <f t="shared" si="167"/>
        <v>1830</v>
      </c>
      <c r="H119" s="5">
        <f t="shared" si="167"/>
        <v>0</v>
      </c>
      <c r="I119" s="5">
        <f t="shared" si="167"/>
        <v>0</v>
      </c>
      <c r="J119" s="5">
        <f t="shared" si="167"/>
        <v>0</v>
      </c>
      <c r="K119" s="5">
        <f t="shared" si="167"/>
        <v>1994</v>
      </c>
      <c r="L119" s="5">
        <f t="shared" si="167"/>
        <v>1986</v>
      </c>
      <c r="M119" s="5">
        <f t="shared" si="167"/>
        <v>1979</v>
      </c>
      <c r="N119" s="5">
        <f t="shared" si="167"/>
        <v>1971</v>
      </c>
      <c r="O119" s="5">
        <f t="shared" si="167"/>
        <v>1965</v>
      </c>
      <c r="P119" s="5">
        <f t="shared" si="167"/>
        <v>2439</v>
      </c>
      <c r="Q119" s="5">
        <f t="shared" si="167"/>
        <v>2907</v>
      </c>
      <c r="R119" s="5">
        <f t="shared" si="167"/>
        <v>3394</v>
      </c>
      <c r="S119" s="5">
        <f t="shared" si="167"/>
        <v>3133</v>
      </c>
      <c r="T119" s="5">
        <f>T73</f>
        <v>3470</v>
      </c>
      <c r="U119" s="5">
        <f t="shared" ref="U119:W119" si="168">U73</f>
        <v>3451</v>
      </c>
      <c r="V119" s="5">
        <f t="shared" si="168"/>
        <v>0</v>
      </c>
      <c r="W119" s="5">
        <f t="shared" si="168"/>
        <v>0</v>
      </c>
      <c r="AD119" s="5">
        <f t="shared" ref="AD119:AF119" si="169">AD73</f>
        <v>52</v>
      </c>
      <c r="AE119" s="5">
        <f t="shared" si="169"/>
        <v>1028</v>
      </c>
      <c r="AF119" s="5">
        <f t="shared" si="169"/>
        <v>7262</v>
      </c>
      <c r="AG119" s="5">
        <f t="shared" ref="AG119:AI119" si="170">AG73</f>
        <v>7758</v>
      </c>
      <c r="AH119" s="5">
        <f t="shared" si="170"/>
        <v>7901</v>
      </c>
      <c r="AI119" s="5">
        <f t="shared" si="170"/>
        <v>11873</v>
      </c>
    </row>
    <row r="120" spans="2:35" s="7" customFormat="1" x14ac:dyDescent="0.25">
      <c r="B120" s="7" t="s">
        <v>112</v>
      </c>
      <c r="C120" s="7">
        <f t="shared" ref="C120:E120" si="171">SUM(C115:C119)</f>
        <v>0</v>
      </c>
      <c r="D120" s="7">
        <f t="shared" si="171"/>
        <v>0</v>
      </c>
      <c r="E120" s="7">
        <f t="shared" si="171"/>
        <v>0</v>
      </c>
      <c r="F120" s="7">
        <f t="shared" ref="F120:S120" si="172">SUM(F115:F119)</f>
        <v>-2603</v>
      </c>
      <c r="G120" s="7">
        <f t="shared" si="172"/>
        <v>-106403</v>
      </c>
      <c r="H120" s="7">
        <f t="shared" si="172"/>
        <v>0</v>
      </c>
      <c r="I120" s="7">
        <f t="shared" si="172"/>
        <v>0</v>
      </c>
      <c r="J120" s="7">
        <f t="shared" si="172"/>
        <v>-12301</v>
      </c>
      <c r="K120" s="7">
        <f t="shared" si="172"/>
        <v>-24357</v>
      </c>
      <c r="L120" s="7">
        <f t="shared" si="172"/>
        <v>-23058</v>
      </c>
      <c r="M120" s="7">
        <f t="shared" si="172"/>
        <v>-10668</v>
      </c>
      <c r="N120" s="7">
        <f t="shared" si="172"/>
        <v>11029</v>
      </c>
      <c r="O120" s="7">
        <f t="shared" si="172"/>
        <v>-15796</v>
      </c>
      <c r="P120" s="7">
        <f t="shared" si="172"/>
        <v>-119429</v>
      </c>
      <c r="Q120" s="7">
        <f t="shared" si="172"/>
        <v>-5790</v>
      </c>
      <c r="R120" s="7">
        <f t="shared" si="172"/>
        <v>-5803</v>
      </c>
      <c r="S120" s="7">
        <f t="shared" si="172"/>
        <v>-129554</v>
      </c>
      <c r="T120" s="7">
        <f>SUM(T115:T119)</f>
        <v>-53931</v>
      </c>
      <c r="U120" s="7">
        <f t="shared" ref="U120:W120" si="173">SUM(U115:U119)</f>
        <v>-222439</v>
      </c>
      <c r="V120" s="7">
        <f t="shared" si="173"/>
        <v>44720</v>
      </c>
      <c r="W120" s="7">
        <f t="shared" si="173"/>
        <v>47690</v>
      </c>
      <c r="AD120" s="7">
        <f t="shared" ref="AD120:AF120" si="174">SUM(AD115:AD119)</f>
        <v>5345</v>
      </c>
      <c r="AE120" s="7">
        <f t="shared" si="174"/>
        <v>-8827</v>
      </c>
      <c r="AF120" s="7">
        <f t="shared" si="174"/>
        <v>-107444</v>
      </c>
      <c r="AG120" s="7">
        <f t="shared" ref="AG120" si="175">SUM(AG115:AG119)</f>
        <v>-81401</v>
      </c>
      <c r="AH120" s="7">
        <f t="shared" ref="AH120" si="176">SUM(AH115:AH119)</f>
        <v>-38493</v>
      </c>
      <c r="AI120" s="7">
        <f t="shared" ref="AI120" si="177">SUM(AI115:AI119)</f>
        <v>-260576</v>
      </c>
    </row>
    <row r="121" spans="2:35" s="5" customFormat="1" x14ac:dyDescent="0.25">
      <c r="B121" s="5" t="s">
        <v>82</v>
      </c>
      <c r="C121" s="5">
        <f t="shared" ref="C121:E121" si="178">C75</f>
        <v>0</v>
      </c>
      <c r="D121" s="5">
        <f t="shared" si="178"/>
        <v>0</v>
      </c>
      <c r="E121" s="5">
        <f t="shared" si="178"/>
        <v>0</v>
      </c>
      <c r="F121" s="5">
        <f t="shared" ref="F121:S121" si="179">F75</f>
        <v>0</v>
      </c>
      <c r="G121" s="5">
        <f t="shared" si="179"/>
        <v>60529</v>
      </c>
      <c r="H121" s="5">
        <f t="shared" si="179"/>
        <v>0</v>
      </c>
      <c r="I121" s="5">
        <f t="shared" si="179"/>
        <v>0</v>
      </c>
      <c r="J121" s="5">
        <f t="shared" si="179"/>
        <v>0</v>
      </c>
      <c r="K121" s="5">
        <f t="shared" si="179"/>
        <v>-295</v>
      </c>
      <c r="L121" s="5">
        <f t="shared" si="179"/>
        <v>3805</v>
      </c>
      <c r="M121" s="5">
        <f t="shared" si="179"/>
        <v>3994</v>
      </c>
      <c r="N121" s="5">
        <f t="shared" si="179"/>
        <v>4793</v>
      </c>
      <c r="O121" s="5">
        <f t="shared" si="179"/>
        <v>6079</v>
      </c>
      <c r="P121" s="5">
        <f t="shared" si="179"/>
        <v>5157</v>
      </c>
      <c r="Q121" s="5">
        <f t="shared" si="179"/>
        <v>5749</v>
      </c>
      <c r="R121" s="5">
        <f t="shared" si="179"/>
        <v>5168</v>
      </c>
      <c r="S121" s="5">
        <f t="shared" si="179"/>
        <v>5053</v>
      </c>
      <c r="T121" s="5">
        <f>T75</f>
        <v>7400</v>
      </c>
      <c r="U121" s="5">
        <f t="shared" ref="U121:W121" si="180">U75</f>
        <v>4319</v>
      </c>
      <c r="V121" s="5">
        <f t="shared" si="180"/>
        <v>0</v>
      </c>
      <c r="W121" s="5">
        <f t="shared" si="180"/>
        <v>0</v>
      </c>
      <c r="AD121" s="5">
        <f t="shared" ref="AD121:AF121" si="181">AD75</f>
        <v>80</v>
      </c>
      <c r="AE121" s="5">
        <f t="shared" si="181"/>
        <v>0</v>
      </c>
      <c r="AF121" s="5">
        <f t="shared" si="181"/>
        <v>60615</v>
      </c>
      <c r="AG121" s="5">
        <f t="shared" ref="AG121:AI121" si="182">AG75</f>
        <v>10865</v>
      </c>
      <c r="AH121" s="5">
        <f t="shared" si="182"/>
        <v>18671</v>
      </c>
      <c r="AI121" s="5">
        <f t="shared" si="182"/>
        <v>21127</v>
      </c>
    </row>
    <row r="122" spans="2:35" s="5" customFormat="1" x14ac:dyDescent="0.25">
      <c r="B122" s="5" t="s">
        <v>113</v>
      </c>
      <c r="L122" s="5">
        <v>183</v>
      </c>
      <c r="M122" s="5">
        <v>174</v>
      </c>
      <c r="N122" s="5">
        <v>8</v>
      </c>
      <c r="O122" s="5">
        <v>75</v>
      </c>
      <c r="P122" s="5">
        <v>664</v>
      </c>
      <c r="Q122" s="5">
        <v>48</v>
      </c>
      <c r="R122" s="5">
        <v>8</v>
      </c>
      <c r="S122" s="5">
        <v>244</v>
      </c>
      <c r="T122" s="5">
        <v>1015</v>
      </c>
      <c r="U122" s="5">
        <v>611</v>
      </c>
      <c r="AH122" s="5">
        <v>440</v>
      </c>
      <c r="AI122" s="5">
        <v>985</v>
      </c>
    </row>
    <row r="123" spans="2:35" s="5" customFormat="1" x14ac:dyDescent="0.25">
      <c r="B123" s="5" t="s">
        <v>86</v>
      </c>
      <c r="C123" s="5">
        <f t="shared" ref="C123:E123" si="183">C81</f>
        <v>0</v>
      </c>
      <c r="D123" s="5">
        <f t="shared" si="183"/>
        <v>0</v>
      </c>
      <c r="E123" s="5">
        <f t="shared" si="183"/>
        <v>0</v>
      </c>
      <c r="F123" s="5">
        <f t="shared" ref="F123:S123" si="184">F81</f>
        <v>0</v>
      </c>
      <c r="G123" s="5">
        <f t="shared" si="184"/>
        <v>33353</v>
      </c>
      <c r="H123" s="5">
        <f t="shared" si="184"/>
        <v>0</v>
      </c>
      <c r="I123" s="5">
        <f t="shared" si="184"/>
        <v>0</v>
      </c>
      <c r="J123" s="5">
        <f t="shared" si="184"/>
        <v>0</v>
      </c>
      <c r="K123" s="5">
        <f t="shared" si="184"/>
        <v>-19823</v>
      </c>
      <c r="L123" s="5">
        <f t="shared" si="184"/>
        <v>0</v>
      </c>
      <c r="M123" s="5">
        <f t="shared" si="184"/>
        <v>0</v>
      </c>
      <c r="N123" s="5">
        <f t="shared" si="184"/>
        <v>0</v>
      </c>
      <c r="O123" s="5">
        <f t="shared" si="184"/>
        <v>7371</v>
      </c>
      <c r="P123" s="5">
        <f t="shared" si="184"/>
        <v>23807</v>
      </c>
      <c r="Q123" s="5">
        <f t="shared" si="184"/>
        <v>-8081</v>
      </c>
      <c r="R123" s="5">
        <f t="shared" si="184"/>
        <v>-1330</v>
      </c>
      <c r="S123" s="5">
        <f t="shared" si="184"/>
        <v>93262</v>
      </c>
      <c r="T123" s="5">
        <f>T81</f>
        <v>33336</v>
      </c>
      <c r="U123" s="5">
        <f t="shared" ref="U123:W123" si="185">U81</f>
        <v>135751</v>
      </c>
      <c r="V123" s="5">
        <f t="shared" si="185"/>
        <v>0</v>
      </c>
      <c r="W123" s="5">
        <f t="shared" si="185"/>
        <v>0</v>
      </c>
      <c r="AD123" s="5">
        <f t="shared" ref="AD123:AF123" si="186">AD81</f>
        <v>0</v>
      </c>
      <c r="AE123" s="5">
        <f t="shared" si="186"/>
        <v>0</v>
      </c>
      <c r="AF123" s="5">
        <f t="shared" si="186"/>
        <v>33353</v>
      </c>
      <c r="AG123" s="5">
        <f t="shared" ref="AG123:AI123" si="187">AG81</f>
        <v>-21387</v>
      </c>
      <c r="AH123" s="5">
        <v>7361</v>
      </c>
      <c r="AI123" s="5">
        <f t="shared" si="187"/>
        <v>107658</v>
      </c>
    </row>
    <row r="124" spans="2:35" s="5" customFormat="1" x14ac:dyDescent="0.25">
      <c r="B124" s="5" t="s">
        <v>114</v>
      </c>
      <c r="C124" s="5">
        <f t="shared" ref="C124:E124" si="188">C8</f>
        <v>0</v>
      </c>
      <c r="D124" s="5">
        <f t="shared" si="188"/>
        <v>0</v>
      </c>
      <c r="E124" s="5">
        <f t="shared" si="188"/>
        <v>0</v>
      </c>
      <c r="F124" s="5">
        <f t="shared" ref="F124:T124" si="189">F8</f>
        <v>0</v>
      </c>
      <c r="G124" s="5">
        <f t="shared" si="189"/>
        <v>0</v>
      </c>
      <c r="H124" s="5">
        <f t="shared" si="189"/>
        <v>0</v>
      </c>
      <c r="I124" s="5">
        <f t="shared" si="189"/>
        <v>0</v>
      </c>
      <c r="J124" s="5">
        <f t="shared" si="189"/>
        <v>1562</v>
      </c>
      <c r="K124" s="5">
        <f t="shared" si="189"/>
        <v>2641</v>
      </c>
      <c r="L124" s="5">
        <f t="shared" si="189"/>
        <v>755</v>
      </c>
      <c r="M124" s="5">
        <f t="shared" si="189"/>
        <v>25</v>
      </c>
      <c r="N124" s="5">
        <f t="shared" si="189"/>
        <v>0</v>
      </c>
      <c r="O124" s="5">
        <f t="shared" si="189"/>
        <v>42</v>
      </c>
      <c r="P124" s="5">
        <f t="shared" si="189"/>
        <v>860</v>
      </c>
      <c r="Q124" s="5">
        <f t="shared" si="189"/>
        <v>457</v>
      </c>
      <c r="R124" s="5">
        <f t="shared" si="189"/>
        <v>0</v>
      </c>
      <c r="S124" s="5">
        <f t="shared" si="189"/>
        <v>-30</v>
      </c>
      <c r="T124" s="5">
        <f t="shared" si="189"/>
        <v>1698</v>
      </c>
      <c r="U124" s="5">
        <f t="shared" ref="U124:W124" si="190">U8</f>
        <v>1899</v>
      </c>
      <c r="V124" s="5">
        <f t="shared" si="190"/>
        <v>0</v>
      </c>
      <c r="W124" s="5">
        <f t="shared" si="190"/>
        <v>0</v>
      </c>
      <c r="AD124" s="5">
        <f t="shared" ref="AD124:AF124" si="191">AD8</f>
        <v>0</v>
      </c>
      <c r="AE124" s="5">
        <f t="shared" si="191"/>
        <v>0</v>
      </c>
      <c r="AF124" s="5">
        <f t="shared" si="191"/>
        <v>0</v>
      </c>
      <c r="AG124" s="5">
        <f>AG8</f>
        <v>4203</v>
      </c>
      <c r="AH124" s="5">
        <f>AH8</f>
        <v>822</v>
      </c>
      <c r="AI124" s="5">
        <f>AI8</f>
        <v>1287</v>
      </c>
    </row>
    <row r="125" spans="2:35" s="5" customFormat="1" x14ac:dyDescent="0.25">
      <c r="B125" s="5" t="s">
        <v>115</v>
      </c>
      <c r="F125" s="5">
        <v>229</v>
      </c>
      <c r="G125" s="5">
        <f>1089+318</f>
        <v>1407</v>
      </c>
      <c r="L125" s="5">
        <v>1508</v>
      </c>
      <c r="M125" s="5">
        <v>813</v>
      </c>
      <c r="N125" s="5">
        <v>159</v>
      </c>
      <c r="O125" s="5">
        <v>545</v>
      </c>
      <c r="Q125" s="5">
        <v>2040</v>
      </c>
      <c r="R125" s="5">
        <v>1568</v>
      </c>
      <c r="S125" s="5">
        <v>1517</v>
      </c>
      <c r="T125" s="5">
        <v>894</v>
      </c>
      <c r="U125" s="5">
        <v>717</v>
      </c>
      <c r="AE125" s="5">
        <v>414</v>
      </c>
      <c r="AF125" s="5">
        <f>1089+1001</f>
        <v>2090</v>
      </c>
      <c r="AH125" s="5">
        <v>3025</v>
      </c>
      <c r="AI125" s="5">
        <v>6459</v>
      </c>
    </row>
    <row r="126" spans="2:35" s="5" customFormat="1" x14ac:dyDescent="0.25">
      <c r="B126" s="5" t="s">
        <v>116</v>
      </c>
      <c r="F126" s="5">
        <v>1482</v>
      </c>
      <c r="G126" s="5">
        <v>157</v>
      </c>
      <c r="O126" s="5">
        <v>2250</v>
      </c>
      <c r="P126" s="5">
        <v>-121</v>
      </c>
      <c r="Q126" s="5">
        <v>666</v>
      </c>
      <c r="R126" s="5">
        <v>574</v>
      </c>
      <c r="S126" s="5">
        <v>23</v>
      </c>
      <c r="T126" s="5">
        <v>22</v>
      </c>
      <c r="U126" s="5">
        <v>8</v>
      </c>
      <c r="AF126" s="5">
        <v>1639</v>
      </c>
      <c r="AH126" s="5">
        <v>2250</v>
      </c>
      <c r="AI126" s="5">
        <v>1142</v>
      </c>
    </row>
    <row r="127" spans="2:35" s="5" customFormat="1" x14ac:dyDescent="0.25">
      <c r="B127" s="5" t="s">
        <v>30</v>
      </c>
      <c r="C127" s="5">
        <f t="shared" ref="C127:E127" si="192">C9</f>
        <v>0</v>
      </c>
      <c r="D127" s="5">
        <f t="shared" si="192"/>
        <v>0</v>
      </c>
      <c r="E127" s="5">
        <f t="shared" si="192"/>
        <v>0</v>
      </c>
      <c r="F127" s="5">
        <f t="shared" ref="F127:T127" si="193">F9</f>
        <v>0</v>
      </c>
      <c r="G127" s="5">
        <f t="shared" si="193"/>
        <v>0</v>
      </c>
      <c r="H127" s="5">
        <f t="shared" si="193"/>
        <v>0</v>
      </c>
      <c r="I127" s="5">
        <f t="shared" si="193"/>
        <v>0</v>
      </c>
      <c r="J127" s="5">
        <f t="shared" si="193"/>
        <v>566</v>
      </c>
      <c r="K127" s="5">
        <f t="shared" si="193"/>
        <v>454</v>
      </c>
      <c r="L127" s="5">
        <f t="shared" si="193"/>
        <v>0</v>
      </c>
      <c r="M127" s="5">
        <f t="shared" si="193"/>
        <v>0</v>
      </c>
      <c r="N127" s="5">
        <f t="shared" si="193"/>
        <v>1437</v>
      </c>
      <c r="O127" s="5">
        <f t="shared" si="193"/>
        <v>1284</v>
      </c>
      <c r="P127" s="5">
        <f t="shared" si="193"/>
        <v>1103</v>
      </c>
      <c r="Q127" s="5">
        <f t="shared" si="193"/>
        <v>347</v>
      </c>
      <c r="R127" s="5">
        <f t="shared" si="193"/>
        <v>0</v>
      </c>
      <c r="S127" s="5">
        <f t="shared" si="193"/>
        <v>0</v>
      </c>
      <c r="T127" s="5">
        <f t="shared" si="193"/>
        <v>0</v>
      </c>
      <c r="U127" s="5">
        <f t="shared" ref="U127:W127" si="194">U9</f>
        <v>0</v>
      </c>
      <c r="V127" s="5">
        <f t="shared" si="194"/>
        <v>0</v>
      </c>
      <c r="W127" s="5">
        <f t="shared" si="194"/>
        <v>0</v>
      </c>
      <c r="AD127" s="5">
        <f t="shared" ref="AD127:AF127" si="195">AD9</f>
        <v>0</v>
      </c>
      <c r="AE127" s="5">
        <f t="shared" si="195"/>
        <v>10091</v>
      </c>
      <c r="AF127" s="5">
        <f t="shared" si="195"/>
        <v>0</v>
      </c>
      <c r="AG127" s="5">
        <f>AG9</f>
        <v>2605</v>
      </c>
      <c r="AH127" s="5">
        <f>AH9</f>
        <v>2721</v>
      </c>
      <c r="AI127" s="5">
        <f>AI9</f>
        <v>1450</v>
      </c>
    </row>
    <row r="128" spans="2:35" s="5" customFormat="1" x14ac:dyDescent="0.25">
      <c r="B128" s="5" t="s">
        <v>117</v>
      </c>
      <c r="F128" s="5">
        <v>740</v>
      </c>
      <c r="G128" s="5">
        <v>538</v>
      </c>
      <c r="J128" s="5">
        <v>2075</v>
      </c>
      <c r="K128" s="5">
        <v>781</v>
      </c>
      <c r="P128" s="5">
        <v>1334</v>
      </c>
      <c r="Q128" s="5">
        <v>883</v>
      </c>
      <c r="R128" s="5">
        <v>742</v>
      </c>
      <c r="S128" s="5">
        <v>175</v>
      </c>
      <c r="AF128" s="5">
        <v>1783</v>
      </c>
      <c r="AI128" s="5">
        <v>1800</v>
      </c>
    </row>
    <row r="129" spans="2:35" s="5" customFormat="1" x14ac:dyDescent="0.25">
      <c r="B129" s="5" t="s">
        <v>31</v>
      </c>
      <c r="C129" s="5">
        <f t="shared" ref="C129:E129" si="196">C10</f>
        <v>0</v>
      </c>
      <c r="D129" s="5">
        <f t="shared" si="196"/>
        <v>0</v>
      </c>
      <c r="E129" s="5">
        <f t="shared" si="196"/>
        <v>0</v>
      </c>
      <c r="F129" s="5">
        <f t="shared" ref="F129:T129" si="197">F10</f>
        <v>0</v>
      </c>
      <c r="G129" s="5">
        <f t="shared" si="197"/>
        <v>0</v>
      </c>
      <c r="H129" s="5">
        <f t="shared" si="197"/>
        <v>0</v>
      </c>
      <c r="I129" s="5">
        <f t="shared" si="197"/>
        <v>0</v>
      </c>
      <c r="J129" s="5">
        <f t="shared" si="197"/>
        <v>0</v>
      </c>
      <c r="K129" s="5">
        <f t="shared" si="197"/>
        <v>18292</v>
      </c>
      <c r="L129" s="5">
        <f t="shared" si="197"/>
        <v>0</v>
      </c>
      <c r="M129" s="5">
        <f t="shared" si="197"/>
        <v>0</v>
      </c>
      <c r="N129" s="5">
        <f t="shared" si="197"/>
        <v>0</v>
      </c>
      <c r="O129" s="5">
        <f t="shared" si="197"/>
        <v>0</v>
      </c>
      <c r="P129" s="5">
        <f t="shared" si="197"/>
        <v>85000</v>
      </c>
      <c r="Q129" s="5">
        <f t="shared" si="197"/>
        <v>0</v>
      </c>
      <c r="R129" s="5">
        <f t="shared" si="197"/>
        <v>0</v>
      </c>
      <c r="S129" s="5">
        <f t="shared" si="197"/>
        <v>0</v>
      </c>
      <c r="T129" s="5">
        <f t="shared" si="197"/>
        <v>0</v>
      </c>
      <c r="U129" s="5">
        <f t="shared" ref="U129:W129" si="198">U10</f>
        <v>70636</v>
      </c>
      <c r="V129" s="5">
        <f t="shared" si="198"/>
        <v>0</v>
      </c>
      <c r="W129" s="5">
        <f t="shared" si="198"/>
        <v>0</v>
      </c>
      <c r="AD129" s="5">
        <f t="shared" ref="AD129:AF129" si="199">AD10</f>
        <v>0</v>
      </c>
      <c r="AE129" s="5">
        <f t="shared" si="199"/>
        <v>0</v>
      </c>
      <c r="AF129" s="5">
        <f t="shared" si="199"/>
        <v>0</v>
      </c>
      <c r="AG129" s="5">
        <f>AG10</f>
        <v>53544</v>
      </c>
      <c r="AH129" s="5">
        <f>AH10</f>
        <v>0</v>
      </c>
      <c r="AI129" s="5">
        <f>AI10</f>
        <v>85000</v>
      </c>
    </row>
    <row r="130" spans="2:35" s="5" customFormat="1" x14ac:dyDescent="0.25">
      <c r="B130" s="5" t="s">
        <v>118</v>
      </c>
      <c r="C130" s="5">
        <f t="shared" ref="C130:E130" si="200">C80</f>
        <v>0</v>
      </c>
      <c r="D130" s="5">
        <f t="shared" si="200"/>
        <v>0</v>
      </c>
      <c r="E130" s="5">
        <f t="shared" si="200"/>
        <v>0</v>
      </c>
      <c r="F130" s="5">
        <f t="shared" ref="F130:S130" si="201">F80</f>
        <v>0</v>
      </c>
      <c r="G130" s="5">
        <f t="shared" si="201"/>
        <v>2881</v>
      </c>
      <c r="H130" s="5">
        <f t="shared" si="201"/>
        <v>0</v>
      </c>
      <c r="I130" s="5">
        <f t="shared" si="201"/>
        <v>0</v>
      </c>
      <c r="J130" s="5">
        <f t="shared" si="201"/>
        <v>0</v>
      </c>
      <c r="K130" s="5">
        <f t="shared" si="201"/>
        <v>0</v>
      </c>
      <c r="L130" s="5">
        <f t="shared" si="201"/>
        <v>8</v>
      </c>
      <c r="M130" s="5">
        <f t="shared" si="201"/>
        <v>0</v>
      </c>
      <c r="N130" s="5">
        <f t="shared" si="201"/>
        <v>2</v>
      </c>
      <c r="O130" s="5">
        <f t="shared" si="201"/>
        <v>-10</v>
      </c>
      <c r="P130" s="5">
        <f t="shared" si="201"/>
        <v>0</v>
      </c>
      <c r="Q130" s="5">
        <f t="shared" si="201"/>
        <v>0</v>
      </c>
      <c r="R130" s="5">
        <f t="shared" si="201"/>
        <v>0</v>
      </c>
      <c r="S130" s="5">
        <f t="shared" si="201"/>
        <v>31272</v>
      </c>
      <c r="T130" s="5">
        <f>T80</f>
        <v>2577</v>
      </c>
      <c r="U130" s="5">
        <f t="shared" ref="U130:W130" si="202">U80</f>
        <v>0</v>
      </c>
      <c r="V130" s="5">
        <f t="shared" si="202"/>
        <v>0</v>
      </c>
      <c r="W130" s="5">
        <f t="shared" si="202"/>
        <v>0</v>
      </c>
      <c r="AD130" s="5">
        <f t="shared" ref="AD130:AF130" si="203">AD80</f>
        <v>0</v>
      </c>
      <c r="AE130" s="5">
        <f t="shared" si="203"/>
        <v>0</v>
      </c>
      <c r="AF130" s="5">
        <f t="shared" si="203"/>
        <v>2881</v>
      </c>
      <c r="AG130" s="5">
        <f t="shared" ref="AG130:AI130" si="204">AG80</f>
        <v>0</v>
      </c>
      <c r="AH130" s="5">
        <f t="shared" si="204"/>
        <v>0</v>
      </c>
      <c r="AI130" s="5">
        <f t="shared" si="204"/>
        <v>31272</v>
      </c>
    </row>
    <row r="131" spans="2:35" s="5" customFormat="1" x14ac:dyDescent="0.25">
      <c r="B131" s="5" t="s">
        <v>211</v>
      </c>
      <c r="F131" s="5">
        <v>1510</v>
      </c>
      <c r="G131" s="5">
        <v>2961</v>
      </c>
      <c r="AF131" s="5">
        <v>6917</v>
      </c>
      <c r="AG131" s="5">
        <v>741</v>
      </c>
    </row>
    <row r="132" spans="2:35" s="5" customFormat="1" x14ac:dyDescent="0.25">
      <c r="B132" s="5" t="s">
        <v>212</v>
      </c>
      <c r="F132" s="5">
        <v>773</v>
      </c>
      <c r="G132" s="5">
        <v>2245</v>
      </c>
      <c r="AF132" s="5">
        <v>3018</v>
      </c>
      <c r="AG132" s="5">
        <v>6490</v>
      </c>
    </row>
    <row r="133" spans="2:35" s="7" customFormat="1" x14ac:dyDescent="0.25">
      <c r="B133" s="7" t="s">
        <v>119</v>
      </c>
      <c r="C133" s="7">
        <f t="shared" ref="C133:E133" si="205">SUM(C120:C132)</f>
        <v>0</v>
      </c>
      <c r="D133" s="7">
        <f t="shared" si="205"/>
        <v>0</v>
      </c>
      <c r="E133" s="7">
        <f t="shared" si="205"/>
        <v>0</v>
      </c>
      <c r="F133" s="7">
        <f t="shared" ref="F133:S133" si="206">SUM(F120:F132)</f>
        <v>2131</v>
      </c>
      <c r="G133" s="7">
        <f t="shared" si="206"/>
        <v>-2332</v>
      </c>
      <c r="H133" s="7">
        <f t="shared" si="206"/>
        <v>0</v>
      </c>
      <c r="I133" s="7">
        <f t="shared" si="206"/>
        <v>0</v>
      </c>
      <c r="J133" s="7">
        <f t="shared" si="206"/>
        <v>-8098</v>
      </c>
      <c r="K133" s="7">
        <f t="shared" si="206"/>
        <v>-22307</v>
      </c>
      <c r="L133" s="7">
        <f t="shared" si="206"/>
        <v>-16799</v>
      </c>
      <c r="M133" s="7">
        <f t="shared" si="206"/>
        <v>-5662</v>
      </c>
      <c r="N133" s="7">
        <f t="shared" si="206"/>
        <v>17428</v>
      </c>
      <c r="O133" s="7">
        <f t="shared" si="206"/>
        <v>1840</v>
      </c>
      <c r="P133" s="7">
        <f t="shared" si="206"/>
        <v>-1625</v>
      </c>
      <c r="Q133" s="7">
        <f t="shared" si="206"/>
        <v>-3681</v>
      </c>
      <c r="R133" s="7">
        <f t="shared" si="206"/>
        <v>927</v>
      </c>
      <c r="S133" s="7">
        <f t="shared" si="206"/>
        <v>1962</v>
      </c>
      <c r="T133" s="7">
        <f>SUM(T120:T132)</f>
        <v>-6989</v>
      </c>
      <c r="U133" s="7">
        <f t="shared" ref="U133:W133" si="207">SUM(U120:U132)</f>
        <v>-8498</v>
      </c>
      <c r="V133" s="7">
        <f t="shared" si="207"/>
        <v>44720</v>
      </c>
      <c r="W133" s="7">
        <f t="shared" si="207"/>
        <v>47690</v>
      </c>
      <c r="AD133" s="7">
        <f t="shared" ref="AD133:AF133" si="208">SUM(AD120:AD132)</f>
        <v>5425</v>
      </c>
      <c r="AE133" s="7">
        <f t="shared" si="208"/>
        <v>1678</v>
      </c>
      <c r="AF133" s="7">
        <f t="shared" si="208"/>
        <v>4852</v>
      </c>
      <c r="AG133" s="7">
        <f>SUM(AG120:AG132)</f>
        <v>-24340</v>
      </c>
      <c r="AH133" s="7">
        <f t="shared" ref="AH133:AI133" si="209">SUM(AH120:AH132)</f>
        <v>-3203</v>
      </c>
      <c r="AI133" s="7">
        <f t="shared" si="209"/>
        <v>-2396</v>
      </c>
    </row>
    <row r="134" spans="2:35" s="5" customFormat="1" x14ac:dyDescent="0.25"/>
    <row r="135" spans="2:35" s="10" customFormat="1" x14ac:dyDescent="0.25">
      <c r="B135" s="10" t="s">
        <v>120</v>
      </c>
      <c r="L135" s="10">
        <f t="shared" ref="L135:O135" si="210">L120/L3</f>
        <v>-0.54699435403520424</v>
      </c>
      <c r="M135" s="10">
        <f t="shared" si="210"/>
        <v>-0.27738630749629478</v>
      </c>
      <c r="N135" s="10">
        <f t="shared" si="210"/>
        <v>0.32449688125220666</v>
      </c>
      <c r="O135" s="10">
        <f t="shared" si="210"/>
        <v>-0.38941892858023319</v>
      </c>
      <c r="P135" s="10">
        <f>P120/P3</f>
        <v>-3.6058391956764591</v>
      </c>
      <c r="Q135" s="10">
        <f>Q120/Q3</f>
        <v>-0.14553955206997965</v>
      </c>
      <c r="R135" s="10">
        <f>R120/R3</f>
        <v>-0.13981448018311046</v>
      </c>
      <c r="S135" s="10">
        <f>S120/S3</f>
        <v>-2.9560316699751295</v>
      </c>
      <c r="T135" s="10">
        <f>T120/T3</f>
        <v>-1.5516586586874586</v>
      </c>
      <c r="U135" s="10">
        <f t="shared" ref="U135:W135" si="211">U120/U3</f>
        <v>-6.8501786154225179</v>
      </c>
      <c r="V135" s="10">
        <f t="shared" si="211"/>
        <v>1</v>
      </c>
      <c r="W135" s="10">
        <f t="shared" si="211"/>
        <v>1</v>
      </c>
      <c r="AD135" s="10">
        <f t="shared" ref="AD135:AF135" si="212">AD120/AD3</f>
        <v>8.9433614992052199E-2</v>
      </c>
      <c r="AE135" s="10">
        <f t="shared" si="212"/>
        <v>-0.27976039553752535</v>
      </c>
      <c r="AF135" s="10">
        <f t="shared" si="212"/>
        <v>-0.73805107914657431</v>
      </c>
      <c r="AG135" s="10">
        <f>AG120/AG3</f>
        <v>-0.52513047461147921</v>
      </c>
      <c r="AH135" s="10">
        <f>AH120/AH3</f>
        <v>-0.24807945141914362</v>
      </c>
      <c r="AI135" s="10">
        <f>AI120/AI3</f>
        <v>-1.6467554791577137</v>
      </c>
    </row>
    <row r="136" spans="2:35" s="10" customFormat="1" x14ac:dyDescent="0.25">
      <c r="B136" s="10" t="s">
        <v>121</v>
      </c>
      <c r="L136" s="10">
        <f t="shared" ref="L136:O136" si="213">L133/L3</f>
        <v>-0.3985149689234711</v>
      </c>
      <c r="M136" s="10">
        <f t="shared" si="213"/>
        <v>-0.14722171663329781</v>
      </c>
      <c r="N136" s="10">
        <f t="shared" si="213"/>
        <v>0.51276921266329289</v>
      </c>
      <c r="O136" s="10">
        <f t="shared" si="213"/>
        <v>4.5361536375514634E-2</v>
      </c>
      <c r="P136" s="10">
        <f>P133/P3</f>
        <v>-4.9062528305304789E-2</v>
      </c>
      <c r="Q136" s="10">
        <f>Q133/Q3</f>
        <v>-9.2526958751225394E-2</v>
      </c>
      <c r="R136" s="10">
        <f>R133/R3</f>
        <v>2.2334658474882543E-2</v>
      </c>
      <c r="S136" s="10">
        <f>S133/S3</f>
        <v>4.4766924498596754E-2</v>
      </c>
      <c r="T136" s="10">
        <f>T133/T3</f>
        <v>-0.20108179647265298</v>
      </c>
      <c r="U136" s="10">
        <f t="shared" ref="U136:W136" si="214">U133/U3</f>
        <v>-0.26170238975117022</v>
      </c>
      <c r="V136" s="10">
        <f t="shared" si="214"/>
        <v>1</v>
      </c>
      <c r="W136" s="10">
        <f t="shared" si="214"/>
        <v>1</v>
      </c>
      <c r="AD136" s="10">
        <f t="shared" ref="AD136:AF136" si="215">AD133/AD3</f>
        <v>9.07721910817368E-2</v>
      </c>
      <c r="AE136" s="10">
        <f t="shared" si="215"/>
        <v>5.3182048681541583E-2</v>
      </c>
      <c r="AF136" s="10">
        <f t="shared" si="215"/>
        <v>3.3329211831458053E-2</v>
      </c>
      <c r="AG136" s="10">
        <f>AG133/AG3</f>
        <v>-0.15702111463057461</v>
      </c>
      <c r="AH136" s="10">
        <f>AH133/AH3</f>
        <v>-2.0642674847258385E-2</v>
      </c>
      <c r="AI136" s="10">
        <f>AI133/AI3</f>
        <v>-1.5141939887257009E-2</v>
      </c>
    </row>
    <row r="139" spans="2:35" x14ac:dyDescent="0.25">
      <c r="Z139" s="17"/>
      <c r="AA139" s="17"/>
      <c r="AB139" s="17"/>
      <c r="AC139" s="17"/>
    </row>
    <row r="140" spans="2:35" s="5" customFormat="1" ht="14.4" x14ac:dyDescent="0.3">
      <c r="B140" s="12" t="s">
        <v>126</v>
      </c>
      <c r="L140" s="5">
        <v>27159</v>
      </c>
      <c r="M140" s="5">
        <v>21122</v>
      </c>
      <c r="N140" s="5">
        <v>19102</v>
      </c>
      <c r="O140" s="5">
        <v>18351</v>
      </c>
      <c r="P140" s="5">
        <v>17960</v>
      </c>
      <c r="Q140" s="5">
        <v>23377</v>
      </c>
      <c r="R140" s="5">
        <v>23722</v>
      </c>
      <c r="S140" s="5">
        <v>23681</v>
      </c>
      <c r="T140" s="5">
        <v>23232</v>
      </c>
      <c r="U140" s="5">
        <v>20615</v>
      </c>
      <c r="AD140" s="5">
        <v>57549</v>
      </c>
      <c r="AE140" s="5">
        <v>24613</v>
      </c>
      <c r="AF140" s="5">
        <v>98763</v>
      </c>
      <c r="AG140" s="5">
        <v>102255</v>
      </c>
      <c r="AH140" s="5">
        <v>85734</v>
      </c>
      <c r="AI140" s="5">
        <v>88740</v>
      </c>
    </row>
    <row r="141" spans="2:35" s="5" customFormat="1" ht="14.4" x14ac:dyDescent="0.3">
      <c r="B141" s="12" t="s">
        <v>127</v>
      </c>
      <c r="L141" s="5">
        <v>11338</v>
      </c>
      <c r="M141" s="5">
        <v>11639</v>
      </c>
      <c r="N141" s="5">
        <v>10376</v>
      </c>
      <c r="O141" s="5">
        <v>16747</v>
      </c>
      <c r="P141" s="5">
        <v>10046</v>
      </c>
      <c r="Q141" s="5">
        <v>11639</v>
      </c>
      <c r="R141" s="5">
        <v>13154</v>
      </c>
      <c r="S141" s="5">
        <v>11420</v>
      </c>
      <c r="T141" s="5">
        <v>7102</v>
      </c>
      <c r="U141" s="5">
        <v>6685</v>
      </c>
      <c r="AD141" s="5">
        <v>2216</v>
      </c>
      <c r="AE141" s="5">
        <v>6938</v>
      </c>
      <c r="AF141" s="5">
        <v>41231</v>
      </c>
      <c r="AG141" s="5">
        <v>35939</v>
      </c>
      <c r="AH141" s="5">
        <v>50100</v>
      </c>
      <c r="AI141" s="5">
        <v>46259</v>
      </c>
    </row>
    <row r="142" spans="2:35" s="5" customFormat="1" ht="14.4" x14ac:dyDescent="0.3">
      <c r="B142" s="12" t="s">
        <v>128</v>
      </c>
      <c r="L142" s="5">
        <v>4588</v>
      </c>
      <c r="M142" s="5">
        <v>4767</v>
      </c>
      <c r="N142" s="5">
        <v>4510</v>
      </c>
      <c r="O142" s="5">
        <v>5465</v>
      </c>
      <c r="P142" s="5">
        <v>5115</v>
      </c>
      <c r="Q142" s="5">
        <v>4747</v>
      </c>
      <c r="R142" s="5">
        <v>4629</v>
      </c>
      <c r="S142" s="5">
        <v>8726</v>
      </c>
      <c r="T142" s="5">
        <v>4423</v>
      </c>
      <c r="U142" s="5">
        <v>5172</v>
      </c>
      <c r="AE142" s="5">
        <v>1</v>
      </c>
      <c r="AF142" s="5">
        <v>5584</v>
      </c>
      <c r="AG142" s="5">
        <v>16817</v>
      </c>
      <c r="AH142" s="5">
        <v>19330</v>
      </c>
      <c r="AI142" s="5">
        <v>23237</v>
      </c>
    </row>
    <row r="143" spans="2:35" s="7" customFormat="1" ht="14.4" x14ac:dyDescent="0.3">
      <c r="B143" s="19" t="s">
        <v>129</v>
      </c>
      <c r="C143" s="7">
        <f t="shared" ref="C143:E143" si="216">SUM(C140:C142)</f>
        <v>0</v>
      </c>
      <c r="D143" s="7">
        <f t="shared" si="216"/>
        <v>0</v>
      </c>
      <c r="E143" s="7">
        <f t="shared" si="216"/>
        <v>0</v>
      </c>
      <c r="F143" s="7">
        <f t="shared" ref="F143:S143" si="217">SUM(F140:F142)</f>
        <v>0</v>
      </c>
      <c r="G143" s="7">
        <f t="shared" si="217"/>
        <v>0</v>
      </c>
      <c r="H143" s="7">
        <f t="shared" si="217"/>
        <v>0</v>
      </c>
      <c r="I143" s="7">
        <f t="shared" si="217"/>
        <v>0</v>
      </c>
      <c r="J143" s="7">
        <f t="shared" si="217"/>
        <v>0</v>
      </c>
      <c r="K143" s="7">
        <f t="shared" si="217"/>
        <v>0</v>
      </c>
      <c r="L143" s="7">
        <f t="shared" si="217"/>
        <v>43085</v>
      </c>
      <c r="M143" s="7">
        <f t="shared" si="217"/>
        <v>37528</v>
      </c>
      <c r="N143" s="7">
        <f t="shared" si="217"/>
        <v>33988</v>
      </c>
      <c r="O143" s="7">
        <f t="shared" si="217"/>
        <v>40563</v>
      </c>
      <c r="P143" s="7">
        <f t="shared" si="217"/>
        <v>33121</v>
      </c>
      <c r="Q143" s="7">
        <f t="shared" si="217"/>
        <v>39763</v>
      </c>
      <c r="R143" s="7">
        <f t="shared" si="217"/>
        <v>41505</v>
      </c>
      <c r="S143" s="7">
        <f t="shared" si="217"/>
        <v>43827</v>
      </c>
      <c r="T143" s="7">
        <f>SUM(T140:T142)</f>
        <v>34757</v>
      </c>
      <c r="U143" s="7">
        <f>SUM(U140:U142)</f>
        <v>32472</v>
      </c>
      <c r="AD143" s="7">
        <f t="shared" ref="AD143:AF143" si="218">SUM(AD140:AD142)</f>
        <v>59765</v>
      </c>
      <c r="AE143" s="7">
        <f t="shared" si="218"/>
        <v>31552</v>
      </c>
      <c r="AF143" s="7">
        <f t="shared" si="218"/>
        <v>145578</v>
      </c>
      <c r="AG143" s="7">
        <f t="shared" ref="AG143:AI143" si="219">SUM(AG140:AG142)</f>
        <v>155011</v>
      </c>
      <c r="AH143" s="7">
        <f t="shared" si="219"/>
        <v>155164</v>
      </c>
      <c r="AI143" s="7">
        <f t="shared" si="219"/>
        <v>158236</v>
      </c>
    </row>
    <row r="144" spans="2:35" x14ac:dyDescent="0.25">
      <c r="AC144" s="5"/>
    </row>
    <row r="145" spans="2:35" s="5" customFormat="1" x14ac:dyDescent="0.25">
      <c r="B145" s="5" t="s">
        <v>130</v>
      </c>
      <c r="L145" s="5">
        <v>8883</v>
      </c>
      <c r="M145" s="5">
        <v>7360</v>
      </c>
      <c r="N145" s="5">
        <v>8286</v>
      </c>
      <c r="O145" s="5">
        <v>8737</v>
      </c>
      <c r="P145" s="5">
        <v>6350</v>
      </c>
      <c r="Q145" s="5">
        <v>5305</v>
      </c>
      <c r="R145" s="5">
        <v>4717</v>
      </c>
      <c r="S145" s="5">
        <v>4149</v>
      </c>
      <c r="T145" s="5">
        <v>6537</v>
      </c>
      <c r="U145" s="5">
        <v>3562</v>
      </c>
      <c r="AD145" s="5">
        <v>26049</v>
      </c>
      <c r="AE145" s="5">
        <v>8075</v>
      </c>
      <c r="AF145" s="5">
        <v>31732</v>
      </c>
      <c r="AG145" s="5">
        <v>29413</v>
      </c>
      <c r="AH145" s="5">
        <v>33266</v>
      </c>
      <c r="AI145" s="5">
        <v>21284</v>
      </c>
    </row>
    <row r="146" spans="2:35" s="5" customFormat="1" x14ac:dyDescent="0.25">
      <c r="B146" s="5" t="s">
        <v>135</v>
      </c>
      <c r="L146" s="5">
        <v>6763</v>
      </c>
      <c r="M146" s="5">
        <v>5027</v>
      </c>
      <c r="N146" s="5">
        <v>660</v>
      </c>
      <c r="O146" s="2">
        <v>12110</v>
      </c>
      <c r="Q146" s="5">
        <v>5832</v>
      </c>
      <c r="R146" s="5">
        <v>6565</v>
      </c>
      <c r="S146" s="5">
        <v>6934</v>
      </c>
      <c r="T146" s="5">
        <v>4890</v>
      </c>
      <c r="U146" s="5">
        <v>4873</v>
      </c>
      <c r="AB146" s="2"/>
      <c r="AD146" s="5">
        <v>12282</v>
      </c>
      <c r="AE146" s="5">
        <v>3495</v>
      </c>
      <c r="AF146" s="5">
        <v>15032</v>
      </c>
      <c r="AG146" s="5">
        <v>9751</v>
      </c>
      <c r="AH146" s="5">
        <v>24560</v>
      </c>
      <c r="AI146" s="5">
        <v>25681</v>
      </c>
    </row>
    <row r="147" spans="2:35" s="5" customFormat="1" x14ac:dyDescent="0.25">
      <c r="B147" s="5" t="s">
        <v>134</v>
      </c>
      <c r="L147" s="5">
        <v>4668</v>
      </c>
      <c r="M147" s="5">
        <v>5856</v>
      </c>
      <c r="N147" s="5">
        <v>3247</v>
      </c>
      <c r="O147" s="5">
        <v>4372</v>
      </c>
      <c r="P147" s="5">
        <v>4594</v>
      </c>
      <c r="Q147" s="5">
        <v>4877</v>
      </c>
      <c r="R147" s="5">
        <v>4850</v>
      </c>
      <c r="S147" s="5">
        <v>4410</v>
      </c>
      <c r="T147" s="5">
        <v>4341</v>
      </c>
      <c r="AF147" s="5">
        <v>10804</v>
      </c>
      <c r="AG147" s="5">
        <v>17426</v>
      </c>
      <c r="AH147" s="5">
        <v>18143</v>
      </c>
      <c r="AI147" s="5">
        <v>18731</v>
      </c>
    </row>
    <row r="148" spans="2:35" s="5" customFormat="1" x14ac:dyDescent="0.25">
      <c r="B148" s="5" t="s">
        <v>133</v>
      </c>
      <c r="L148" s="5">
        <v>4222</v>
      </c>
      <c r="M148" s="5">
        <v>5004</v>
      </c>
      <c r="N148" s="5">
        <v>8667</v>
      </c>
      <c r="O148" s="5">
        <v>-3696</v>
      </c>
      <c r="S148" s="5">
        <v>0</v>
      </c>
      <c r="T148" s="5">
        <v>3563</v>
      </c>
      <c r="U148" s="5">
        <v>3267</v>
      </c>
      <c r="AE148" s="5">
        <v>5498</v>
      </c>
      <c r="AF148" s="5">
        <v>11538</v>
      </c>
      <c r="AG148" s="5">
        <v>29087</v>
      </c>
      <c r="AH148" s="5">
        <v>14197</v>
      </c>
    </row>
    <row r="149" spans="2:35" s="5" customFormat="1" x14ac:dyDescent="0.25">
      <c r="B149" s="5" t="s">
        <v>132</v>
      </c>
      <c r="L149" s="5">
        <v>0</v>
      </c>
      <c r="O149" s="5">
        <v>0</v>
      </c>
      <c r="P149" s="5">
        <v>7113</v>
      </c>
      <c r="R149" s="5">
        <v>5171</v>
      </c>
      <c r="S149" s="5">
        <v>5107</v>
      </c>
      <c r="U149" s="5">
        <v>3462</v>
      </c>
      <c r="AE149" s="5">
        <v>5494</v>
      </c>
      <c r="AF149" s="5">
        <v>8835</v>
      </c>
      <c r="AI149" s="5">
        <v>16840</v>
      </c>
    </row>
    <row r="150" spans="2:35" s="5" customFormat="1" x14ac:dyDescent="0.25">
      <c r="B150" s="5" t="s">
        <v>131</v>
      </c>
      <c r="L150" s="5">
        <v>17618</v>
      </c>
      <c r="M150" s="5">
        <v>15212</v>
      </c>
      <c r="N150" s="5">
        <v>13128</v>
      </c>
      <c r="O150" s="5">
        <v>19040</v>
      </c>
      <c r="P150" s="5">
        <v>15064</v>
      </c>
      <c r="Q150" s="5">
        <v>23769</v>
      </c>
      <c r="R150" s="5">
        <v>20202</v>
      </c>
      <c r="S150" s="5">
        <v>23227</v>
      </c>
      <c r="T150" s="5">
        <v>15426</v>
      </c>
      <c r="U150" s="5">
        <f>5270+12038</f>
        <v>17308</v>
      </c>
      <c r="AD150" s="5">
        <v>21434</v>
      </c>
      <c r="AE150" s="5">
        <v>8990</v>
      </c>
      <c r="AF150" s="5">
        <v>67637</v>
      </c>
      <c r="AG150" s="5">
        <v>69334</v>
      </c>
      <c r="AH150" s="5">
        <v>64998</v>
      </c>
      <c r="AI150" s="5">
        <v>75700</v>
      </c>
    </row>
    <row r="151" spans="2:35" s="3" customFormat="1" ht="14.4" x14ac:dyDescent="0.3">
      <c r="B151" s="19" t="s">
        <v>129</v>
      </c>
      <c r="C151" s="7">
        <f t="shared" ref="C151:E151" si="220">SUM(C145:C150)</f>
        <v>0</v>
      </c>
      <c r="D151" s="7">
        <f t="shared" si="220"/>
        <v>0</v>
      </c>
      <c r="E151" s="7">
        <f t="shared" si="220"/>
        <v>0</v>
      </c>
      <c r="F151" s="7">
        <f t="shared" ref="F151:S151" si="221">SUM(F145:F150)</f>
        <v>0</v>
      </c>
      <c r="G151" s="7">
        <f t="shared" si="221"/>
        <v>0</v>
      </c>
      <c r="H151" s="7">
        <f t="shared" si="221"/>
        <v>0</v>
      </c>
      <c r="I151" s="7">
        <f t="shared" si="221"/>
        <v>0</v>
      </c>
      <c r="J151" s="7">
        <f t="shared" si="221"/>
        <v>0</v>
      </c>
      <c r="K151" s="7">
        <f t="shared" si="221"/>
        <v>0</v>
      </c>
      <c r="L151" s="7">
        <f t="shared" si="221"/>
        <v>42154</v>
      </c>
      <c r="M151" s="7">
        <f t="shared" si="221"/>
        <v>38459</v>
      </c>
      <c r="N151" s="7">
        <f t="shared" si="221"/>
        <v>33988</v>
      </c>
      <c r="O151" s="7">
        <f t="shared" si="221"/>
        <v>40563</v>
      </c>
      <c r="P151" s="7">
        <f t="shared" si="221"/>
        <v>33121</v>
      </c>
      <c r="Q151" s="7">
        <f t="shared" si="221"/>
        <v>39783</v>
      </c>
      <c r="R151" s="7">
        <f t="shared" si="221"/>
        <v>41505</v>
      </c>
      <c r="S151" s="7">
        <f t="shared" si="221"/>
        <v>43827</v>
      </c>
      <c r="T151" s="7">
        <f>SUM(T145:T150)</f>
        <v>34757</v>
      </c>
      <c r="U151" s="7">
        <f>SUM(U145:U150)</f>
        <v>32472</v>
      </c>
      <c r="Z151" s="7"/>
      <c r="AA151" s="7"/>
      <c r="AB151" s="7"/>
      <c r="AC151" s="7"/>
      <c r="AD151" s="7">
        <f t="shared" ref="AD151:AG151" si="222">SUM(AD145:AD150)</f>
        <v>59765</v>
      </c>
      <c r="AE151" s="7">
        <f t="shared" si="222"/>
        <v>31552</v>
      </c>
      <c r="AF151" s="7">
        <f t="shared" si="222"/>
        <v>145578</v>
      </c>
      <c r="AG151" s="7">
        <f t="shared" si="222"/>
        <v>155011</v>
      </c>
      <c r="AH151" s="7">
        <f t="shared" ref="AH151" si="223">SUM(AH145:AH150)</f>
        <v>155164</v>
      </c>
      <c r="AI151" s="7">
        <f t="shared" ref="AI151" si="224">SUM(AI145:AI150)</f>
        <v>158236</v>
      </c>
    </row>
    <row r="154" spans="2:35" s="5" customFormat="1" ht="14.4" x14ac:dyDescent="0.3">
      <c r="B154" s="14" t="s">
        <v>186</v>
      </c>
      <c r="G154" s="5">
        <v>78258</v>
      </c>
      <c r="I154" s="5">
        <v>68640</v>
      </c>
      <c r="J154" s="5">
        <v>60548</v>
      </c>
      <c r="K154" s="5">
        <v>57234</v>
      </c>
      <c r="L154" s="5">
        <v>52235</v>
      </c>
      <c r="M154" s="5">
        <v>61073</v>
      </c>
      <c r="N154" s="5">
        <v>32894</v>
      </c>
      <c r="O154" s="5">
        <v>30112</v>
      </c>
      <c r="P154" s="5">
        <v>68163</v>
      </c>
      <c r="Q154" s="5">
        <v>62909</v>
      </c>
      <c r="R154" s="5">
        <v>77422</v>
      </c>
      <c r="S154" s="5">
        <v>46552</v>
      </c>
      <c r="T154" s="5">
        <v>19796</v>
      </c>
      <c r="U154" s="5">
        <v>16229</v>
      </c>
    </row>
    <row r="155" spans="2:35" s="5" customFormat="1" ht="14.4" x14ac:dyDescent="0.3">
      <c r="B155" s="14" t="s">
        <v>187</v>
      </c>
      <c r="G155" s="5">
        <v>68203</v>
      </c>
      <c r="I155" s="5">
        <v>60867</v>
      </c>
      <c r="J155" s="5">
        <v>52781</v>
      </c>
      <c r="K155" s="5">
        <v>18220</v>
      </c>
      <c r="L155" s="5">
        <v>19630</v>
      </c>
      <c r="M155" s="5">
        <v>15987</v>
      </c>
      <c r="N155" s="5">
        <v>24553</v>
      </c>
      <c r="O155" s="5">
        <v>49382</v>
      </c>
      <c r="P155" s="5">
        <v>42674</v>
      </c>
      <c r="Q155" s="5">
        <v>25967</v>
      </c>
      <c r="R155" s="5">
        <v>52700</v>
      </c>
      <c r="S155" s="5">
        <v>72474</v>
      </c>
      <c r="T155" s="5">
        <v>70439</v>
      </c>
      <c r="U155" s="5">
        <v>69883</v>
      </c>
    </row>
    <row r="156" spans="2:35" s="5" customFormat="1" ht="14.4" x14ac:dyDescent="0.3">
      <c r="B156" s="14" t="s">
        <v>188</v>
      </c>
      <c r="G156" s="5">
        <v>143969</v>
      </c>
      <c r="I156" s="5">
        <v>150611</v>
      </c>
      <c r="J156" s="5">
        <v>143263</v>
      </c>
      <c r="K156" s="5">
        <v>112119</v>
      </c>
      <c r="L156" s="5">
        <v>80946</v>
      </c>
      <c r="M156" s="5">
        <v>93477</v>
      </c>
      <c r="N156" s="5">
        <v>89795</v>
      </c>
      <c r="O156" s="5">
        <v>63878</v>
      </c>
      <c r="P156" s="5">
        <v>150575</v>
      </c>
      <c r="Q156" s="5">
        <v>141369</v>
      </c>
      <c r="R156" s="5">
        <v>288614</v>
      </c>
      <c r="S156" s="5">
        <v>283258</v>
      </c>
      <c r="T156" s="5">
        <v>278816</v>
      </c>
      <c r="U156" s="5">
        <v>278816</v>
      </c>
    </row>
    <row r="157" spans="2:35" s="5" customFormat="1" ht="14.4" x14ac:dyDescent="0.3">
      <c r="B157" s="14" t="s">
        <v>189</v>
      </c>
      <c r="G157" s="5">
        <v>31680</v>
      </c>
      <c r="I157" s="5">
        <v>44820</v>
      </c>
      <c r="J157" s="5">
        <v>31620</v>
      </c>
      <c r="K157" s="5">
        <v>30900</v>
      </c>
      <c r="L157" s="5">
        <v>43701</v>
      </c>
      <c r="M157" s="5">
        <v>35020</v>
      </c>
      <c r="N157" s="5">
        <v>22970</v>
      </c>
      <c r="O157" s="5">
        <v>24438</v>
      </c>
      <c r="P157" s="5">
        <v>34790</v>
      </c>
      <c r="Q157" s="5">
        <v>36252</v>
      </c>
      <c r="R157" s="5">
        <v>18758</v>
      </c>
      <c r="S157" s="5">
        <v>16021</v>
      </c>
      <c r="T157" s="5">
        <v>15877</v>
      </c>
      <c r="U157" s="5">
        <v>15504</v>
      </c>
    </row>
    <row r="158" spans="2:35" s="7" customFormat="1" x14ac:dyDescent="0.25">
      <c r="B158" s="18" t="s">
        <v>190</v>
      </c>
      <c r="C158" s="7">
        <f t="shared" ref="C158:E158" si="225">SUM(C154:C157)</f>
        <v>0</v>
      </c>
      <c r="D158" s="7">
        <f t="shared" si="225"/>
        <v>0</v>
      </c>
      <c r="E158" s="7">
        <f t="shared" si="225"/>
        <v>0</v>
      </c>
      <c r="F158" s="7">
        <f t="shared" ref="F158:R158" si="226">SUM(F154:F157)</f>
        <v>0</v>
      </c>
      <c r="G158" s="7">
        <f t="shared" si="226"/>
        <v>322110</v>
      </c>
      <c r="H158" s="7">
        <f t="shared" si="226"/>
        <v>0</v>
      </c>
      <c r="I158" s="7">
        <f t="shared" si="226"/>
        <v>324938</v>
      </c>
      <c r="J158" s="7">
        <f t="shared" si="226"/>
        <v>288212</v>
      </c>
      <c r="K158" s="7">
        <f t="shared" si="226"/>
        <v>218473</v>
      </c>
      <c r="L158" s="7">
        <f t="shared" si="226"/>
        <v>196512</v>
      </c>
      <c r="M158" s="7">
        <f t="shared" si="226"/>
        <v>205557</v>
      </c>
      <c r="N158" s="7">
        <f t="shared" si="226"/>
        <v>170212</v>
      </c>
      <c r="O158" s="7">
        <f t="shared" si="226"/>
        <v>167810</v>
      </c>
      <c r="P158" s="7">
        <f>SUM(P154:P157)</f>
        <v>296202</v>
      </c>
      <c r="Q158" s="7">
        <f t="shared" si="226"/>
        <v>266497</v>
      </c>
      <c r="R158" s="7">
        <f t="shared" si="226"/>
        <v>437494</v>
      </c>
      <c r="S158" s="7">
        <f>SUM(S154:S157)</f>
        <v>418305</v>
      </c>
      <c r="T158" s="7">
        <f>SUM(T154:T157)</f>
        <v>384928</v>
      </c>
      <c r="U158" s="7">
        <f>SUM(U154:U157)</f>
        <v>380432</v>
      </c>
      <c r="AG158" s="7">
        <f t="shared" ref="AG158" si="227">SUM(AG154:AG157)</f>
        <v>0</v>
      </c>
      <c r="AH158" s="7">
        <f t="shared" ref="AH158" si="228">SUM(AH154:AH157)</f>
        <v>0</v>
      </c>
      <c r="AI158" s="7">
        <f t="shared" ref="AI158" si="229">SUM(AI154:AI157)</f>
        <v>0</v>
      </c>
    </row>
    <row r="160" spans="2:35" s="9" customFormat="1" x14ac:dyDescent="0.25">
      <c r="B160" s="9" t="s">
        <v>191</v>
      </c>
      <c r="K160" s="9">
        <f t="shared" ref="K160:K164" si="230">K154/G154-1</f>
        <v>-0.26864985049451817</v>
      </c>
      <c r="L160" s="9" t="e">
        <f t="shared" ref="L160:L164" si="231">L154/H154-1</f>
        <v>#DIV/0!</v>
      </c>
      <c r="M160" s="9">
        <f t="shared" ref="M160:M164" si="232">M154/I154-1</f>
        <v>-0.11024184149184146</v>
      </c>
      <c r="N160" s="9">
        <f t="shared" ref="N160:N164" si="233">N154/J154-1</f>
        <v>-0.45672854594701728</v>
      </c>
      <c r="O160" s="9">
        <f t="shared" ref="O160:O164" si="234">O154/K154-1</f>
        <v>-0.47387916273543695</v>
      </c>
      <c r="P160" s="9">
        <f t="shared" ref="P160:P164" si="235">P154/L154-1</f>
        <v>0.30492964487412655</v>
      </c>
      <c r="Q160" s="9">
        <f t="shared" ref="Q160:Q164" si="236">Q154/M154-1</f>
        <v>3.0062384359700767E-2</v>
      </c>
      <c r="R160" s="9">
        <f t="shared" ref="R160:R164" si="237">R154/N154-1</f>
        <v>1.3536815224661032</v>
      </c>
      <c r="S160" s="9">
        <f t="shared" ref="S160:U163" si="238">S154/O154-1</f>
        <v>0.54596174282678001</v>
      </c>
      <c r="T160" s="9">
        <f t="shared" si="238"/>
        <v>-0.70957851033551922</v>
      </c>
      <c r="U160" s="9">
        <f t="shared" si="238"/>
        <v>-0.74202419367658046</v>
      </c>
    </row>
    <row r="161" spans="2:35" s="9" customFormat="1" x14ac:dyDescent="0.25">
      <c r="B161" s="9" t="s">
        <v>192</v>
      </c>
      <c r="K161" s="9">
        <f t="shared" si="230"/>
        <v>-0.73285632596806594</v>
      </c>
      <c r="L161" s="9" t="e">
        <f t="shared" si="231"/>
        <v>#DIV/0!</v>
      </c>
      <c r="M161" s="9">
        <f t="shared" si="232"/>
        <v>-0.73734535955443836</v>
      </c>
      <c r="N161" s="9">
        <f t="shared" si="233"/>
        <v>-0.53481366400788155</v>
      </c>
      <c r="O161" s="9">
        <f t="shared" si="234"/>
        <v>1.7103183315038417</v>
      </c>
      <c r="P161" s="9">
        <f t="shared" si="235"/>
        <v>1.1739174732552216</v>
      </c>
      <c r="Q161" s="9">
        <f t="shared" si="236"/>
        <v>0.6242572089822982</v>
      </c>
      <c r="R161" s="9">
        <f t="shared" si="237"/>
        <v>1.1463772247790494</v>
      </c>
      <c r="S161" s="9">
        <f t="shared" si="238"/>
        <v>0.46761978048681696</v>
      </c>
      <c r="T161" s="9">
        <f t="shared" si="238"/>
        <v>0.65063036040680511</v>
      </c>
      <c r="U161" s="9">
        <f t="shared" si="238"/>
        <v>1.6912234759502445</v>
      </c>
    </row>
    <row r="162" spans="2:35" s="9" customFormat="1" x14ac:dyDescent="0.25">
      <c r="B162" s="9" t="s">
        <v>193</v>
      </c>
      <c r="K162" s="9">
        <f t="shared" si="230"/>
        <v>-0.22122818106675746</v>
      </c>
      <c r="L162" s="9" t="e">
        <f t="shared" si="231"/>
        <v>#DIV/0!</v>
      </c>
      <c r="M162" s="9">
        <f t="shared" si="232"/>
        <v>-0.37934812198312207</v>
      </c>
      <c r="N162" s="9">
        <f t="shared" si="233"/>
        <v>-0.37321569421274159</v>
      </c>
      <c r="O162" s="9">
        <f t="shared" si="234"/>
        <v>-0.43026605660057615</v>
      </c>
      <c r="P162" s="9">
        <f t="shared" si="235"/>
        <v>0.86019074444691523</v>
      </c>
      <c r="Q162" s="9">
        <f t="shared" si="236"/>
        <v>0.51233993388748034</v>
      </c>
      <c r="R162" s="9">
        <f t="shared" si="237"/>
        <v>2.2141433264658388</v>
      </c>
      <c r="S162" s="9">
        <f t="shared" si="238"/>
        <v>3.4343592473151947</v>
      </c>
      <c r="T162" s="9">
        <f t="shared" si="238"/>
        <v>0.8516752448945708</v>
      </c>
      <c r="U162" s="9">
        <f t="shared" si="238"/>
        <v>0.97225700118130565</v>
      </c>
    </row>
    <row r="163" spans="2:35" s="9" customFormat="1" x14ac:dyDescent="0.25">
      <c r="B163" s="9" t="s">
        <v>194</v>
      </c>
      <c r="K163" s="9">
        <f t="shared" si="230"/>
        <v>-2.4621212121212155E-2</v>
      </c>
      <c r="L163" s="9" t="e">
        <f t="shared" si="231"/>
        <v>#DIV/0!</v>
      </c>
      <c r="M163" s="9">
        <f t="shared" si="232"/>
        <v>-0.21865238732708614</v>
      </c>
      <c r="N163" s="9">
        <f t="shared" si="233"/>
        <v>-0.27356103731815307</v>
      </c>
      <c r="O163" s="9">
        <f t="shared" si="234"/>
        <v>-0.20912621359223305</v>
      </c>
      <c r="P163" s="9">
        <f t="shared" si="235"/>
        <v>-0.20390837738266854</v>
      </c>
      <c r="Q163" s="9">
        <f t="shared" si="236"/>
        <v>3.5179897201599086E-2</v>
      </c>
      <c r="R163" s="9">
        <f t="shared" si="237"/>
        <v>-0.18336961253809314</v>
      </c>
      <c r="S163" s="9">
        <f t="shared" si="238"/>
        <v>-0.34442262050904326</v>
      </c>
      <c r="T163" s="9">
        <f t="shared" si="238"/>
        <v>-0.54363322793906299</v>
      </c>
      <c r="U163" s="9">
        <f t="shared" si="238"/>
        <v>-0.57232704402515722</v>
      </c>
    </row>
    <row r="164" spans="2:35" s="9" customFormat="1" x14ac:dyDescent="0.25">
      <c r="B164" s="9" t="s">
        <v>195</v>
      </c>
      <c r="K164" s="9">
        <f t="shared" si="230"/>
        <v>-0.32174412467790503</v>
      </c>
      <c r="L164" s="9" t="e">
        <f t="shared" si="231"/>
        <v>#DIV/0!</v>
      </c>
      <c r="M164" s="9">
        <f t="shared" si="232"/>
        <v>-0.36739624174457897</v>
      </c>
      <c r="N164" s="9">
        <f t="shared" si="233"/>
        <v>-0.40942084299057635</v>
      </c>
      <c r="O164" s="9">
        <f t="shared" si="234"/>
        <v>-0.23189593222045746</v>
      </c>
      <c r="P164" s="9">
        <f t="shared" si="235"/>
        <v>0.50729726428920374</v>
      </c>
      <c r="Q164" s="9">
        <f t="shared" si="236"/>
        <v>0.29646278161288597</v>
      </c>
      <c r="R164" s="9">
        <f t="shared" si="237"/>
        <v>1.5702888162996733</v>
      </c>
      <c r="S164" s="9">
        <f t="shared" ref="S164:U164" si="239">S158/O158-1</f>
        <v>1.4927298730707346</v>
      </c>
      <c r="T164" s="9">
        <f t="shared" si="239"/>
        <v>0.29954558038095613</v>
      </c>
      <c r="U164" s="9">
        <f t="shared" si="239"/>
        <v>0.42752826485851614</v>
      </c>
    </row>
    <row r="165" spans="2:35" s="9" customFormat="1" x14ac:dyDescent="0.25"/>
    <row r="166" spans="2:35" s="9" customFormat="1" x14ac:dyDescent="0.25">
      <c r="B166" s="9" t="s">
        <v>196</v>
      </c>
      <c r="K166" s="9">
        <f t="shared" ref="K166:N166" si="240">K154/J154-1</f>
        <v>-5.4733434630375943E-2</v>
      </c>
      <c r="L166" s="9">
        <f t="shared" si="240"/>
        <v>-8.7343187615752882E-2</v>
      </c>
      <c r="M166" s="9">
        <f t="shared" si="240"/>
        <v>0.16919689863118603</v>
      </c>
      <c r="N166" s="9">
        <f t="shared" si="240"/>
        <v>-0.4613986540697198</v>
      </c>
      <c r="O166" s="9">
        <f t="shared" ref="O166:S166" si="241">O154/N154-1</f>
        <v>-8.4574694473156242E-2</v>
      </c>
      <c r="P166" s="9">
        <f t="shared" si="241"/>
        <v>1.2636490435706693</v>
      </c>
      <c r="Q166" s="9">
        <f t="shared" si="241"/>
        <v>-7.7079940730308216E-2</v>
      </c>
      <c r="R166" s="9">
        <f t="shared" si="241"/>
        <v>0.23069831025767384</v>
      </c>
      <c r="S166" s="9">
        <f t="shared" si="241"/>
        <v>-0.39872387693420475</v>
      </c>
      <c r="T166" s="9">
        <f>T154/S154-1</f>
        <v>-0.57475511256229594</v>
      </c>
      <c r="U166" s="9">
        <f>U154/T154-1</f>
        <v>-0.18018791675085877</v>
      </c>
    </row>
    <row r="167" spans="2:35" s="9" customFormat="1" x14ac:dyDescent="0.25">
      <c r="B167" s="9" t="s">
        <v>197</v>
      </c>
      <c r="K167" s="9">
        <f t="shared" ref="K167:N167" si="242">K155/J155-1</f>
        <v>-0.65480002273545401</v>
      </c>
      <c r="L167" s="9">
        <f t="shared" si="242"/>
        <v>7.7387486278814421E-2</v>
      </c>
      <c r="M167" s="9">
        <f t="shared" si="242"/>
        <v>-0.1855832908813041</v>
      </c>
      <c r="N167" s="9">
        <f t="shared" si="242"/>
        <v>0.53581034590604859</v>
      </c>
      <c r="O167" s="9">
        <f t="shared" ref="O167:S167" si="243">O155/N155-1</f>
        <v>1.011240988881196</v>
      </c>
      <c r="P167" s="9">
        <f t="shared" si="243"/>
        <v>-0.13583896966506015</v>
      </c>
      <c r="Q167" s="9">
        <f t="shared" si="243"/>
        <v>-0.39150302291793593</v>
      </c>
      <c r="R167" s="9">
        <f t="shared" si="243"/>
        <v>1.0294989794739475</v>
      </c>
      <c r="S167" s="9">
        <f t="shared" si="243"/>
        <v>0.3752182163187856</v>
      </c>
      <c r="T167" s="9">
        <f>T155/S155-1</f>
        <v>-2.8079035240224037E-2</v>
      </c>
      <c r="U167" s="9">
        <f>U155/T155-1</f>
        <v>-7.8933545337099842E-3</v>
      </c>
    </row>
    <row r="168" spans="2:35" s="9" customFormat="1" x14ac:dyDescent="0.25">
      <c r="B168" s="9" t="s">
        <v>198</v>
      </c>
      <c r="K168" s="9">
        <f t="shared" ref="K168:N168" si="244">K156/J156-1</f>
        <v>-0.21739039389095582</v>
      </c>
      <c r="L168" s="9">
        <f t="shared" si="244"/>
        <v>-0.27803494501378001</v>
      </c>
      <c r="M168" s="9">
        <f t="shared" si="244"/>
        <v>0.15480690830924315</v>
      </c>
      <c r="N168" s="9">
        <f t="shared" si="244"/>
        <v>-3.9389368507761313E-2</v>
      </c>
      <c r="O168" s="9">
        <f t="shared" ref="O168:S168" si="245">O156/N156-1</f>
        <v>-0.28862408820090202</v>
      </c>
      <c r="P168" s="9">
        <f t="shared" si="245"/>
        <v>1.3572278405710887</v>
      </c>
      <c r="Q168" s="9">
        <f t="shared" si="245"/>
        <v>-6.1138967292047153E-2</v>
      </c>
      <c r="R168" s="9">
        <f t="shared" si="245"/>
        <v>1.0415649824218889</v>
      </c>
      <c r="S168" s="9">
        <f t="shared" si="245"/>
        <v>-1.8557658325652926E-2</v>
      </c>
      <c r="T168" s="9">
        <f>T156/S156-1</f>
        <v>-1.5681816577113428E-2</v>
      </c>
      <c r="U168" s="9">
        <f>U156/T156-1</f>
        <v>0</v>
      </c>
    </row>
    <row r="169" spans="2:35" s="9" customFormat="1" x14ac:dyDescent="0.25">
      <c r="B169" s="9" t="s">
        <v>199</v>
      </c>
      <c r="K169" s="9">
        <f t="shared" ref="K169:N169" si="246">K157/J157-1</f>
        <v>-2.2770398481973486E-2</v>
      </c>
      <c r="L169" s="9">
        <f t="shared" si="246"/>
        <v>0.41427184466019407</v>
      </c>
      <c r="M169" s="9">
        <f t="shared" si="246"/>
        <v>-0.19864533992357158</v>
      </c>
      <c r="N169" s="9">
        <f t="shared" si="246"/>
        <v>-0.34408909194745863</v>
      </c>
      <c r="O169" s="9">
        <f t="shared" ref="O169:S170" si="247">O157/N157-1</f>
        <v>6.3909447104919526E-2</v>
      </c>
      <c r="P169" s="9">
        <f t="shared" si="247"/>
        <v>0.42360258613634505</v>
      </c>
      <c r="Q169" s="9">
        <f t="shared" si="247"/>
        <v>4.2023569991376908E-2</v>
      </c>
      <c r="R169" s="9">
        <f t="shared" si="247"/>
        <v>-0.48256647909080874</v>
      </c>
      <c r="S169" s="9">
        <f t="shared" si="247"/>
        <v>-0.14591107794007885</v>
      </c>
      <c r="T169" s="9">
        <f>T157/S157-1</f>
        <v>-8.9882029835840482E-3</v>
      </c>
      <c r="U169" s="9">
        <f>U157/T157-1</f>
        <v>-2.3493103231088996E-2</v>
      </c>
    </row>
    <row r="170" spans="2:35" s="9" customFormat="1" x14ac:dyDescent="0.25">
      <c r="B170" s="9" t="s">
        <v>200</v>
      </c>
      <c r="K170" s="9">
        <f t="shared" ref="K170:N170" si="248">K158/J158-1</f>
        <v>-0.24197118787559158</v>
      </c>
      <c r="L170" s="9">
        <f t="shared" si="248"/>
        <v>-0.10052043044220571</v>
      </c>
      <c r="M170" s="9">
        <f t="shared" si="248"/>
        <v>4.6027723497801709E-2</v>
      </c>
      <c r="N170" s="9">
        <f t="shared" si="248"/>
        <v>-0.17194744036933796</v>
      </c>
      <c r="O170" s="9">
        <f t="shared" si="247"/>
        <v>-1.4111813503160819E-2</v>
      </c>
      <c r="P170" s="9">
        <f t="shared" si="247"/>
        <v>0.76510339073952682</v>
      </c>
      <c r="Q170" s="9">
        <f t="shared" si="247"/>
        <v>-0.10028629111214649</v>
      </c>
      <c r="R170" s="9">
        <f t="shared" si="247"/>
        <v>0.64164699790241531</v>
      </c>
      <c r="S170" s="9">
        <f t="shared" si="247"/>
        <v>-4.3861172953229111E-2</v>
      </c>
      <c r="T170" s="9">
        <f t="shared" ref="T170:U170" si="249">T158/S158-1</f>
        <v>-7.979106154600113E-2</v>
      </c>
      <c r="U170" s="9">
        <f t="shared" si="249"/>
        <v>-1.1680106409510338E-2</v>
      </c>
    </row>
    <row r="174" spans="2:35" s="5" customFormat="1" x14ac:dyDescent="0.25">
      <c r="B174" s="20" t="s">
        <v>215</v>
      </c>
      <c r="U174" s="5">
        <v>2139040</v>
      </c>
      <c r="AG174" s="5">
        <v>2982268</v>
      </c>
      <c r="AH174" s="5">
        <v>5005889</v>
      </c>
      <c r="AI174" s="5">
        <v>4086187</v>
      </c>
    </row>
    <row r="175" spans="2:35" s="5" customFormat="1" x14ac:dyDescent="0.25">
      <c r="B175" s="20" t="s">
        <v>216</v>
      </c>
      <c r="U175" s="5">
        <v>74166</v>
      </c>
      <c r="AG175" s="5">
        <v>210642</v>
      </c>
      <c r="AH175" s="5">
        <v>174894</v>
      </c>
      <c r="AI175" s="5">
        <v>140726</v>
      </c>
    </row>
    <row r="176" spans="2:35" s="5" customFormat="1" x14ac:dyDescent="0.25">
      <c r="B176" s="20" t="s">
        <v>217</v>
      </c>
      <c r="U176" s="5">
        <v>12251606</v>
      </c>
      <c r="AG176" s="5">
        <v>12115130</v>
      </c>
      <c r="AH176" s="5">
        <v>12150878</v>
      </c>
      <c r="AI176" s="5">
        <v>12185046</v>
      </c>
    </row>
    <row r="177" spans="2:35" s="5" customFormat="1" x14ac:dyDescent="0.25">
      <c r="B177" s="20" t="s">
        <v>218</v>
      </c>
      <c r="AH177" s="5">
        <v>13888889</v>
      </c>
    </row>
    <row r="178" spans="2:35" s="5" customFormat="1" x14ac:dyDescent="0.25">
      <c r="B178" s="20" t="s">
        <v>219</v>
      </c>
      <c r="AI178" s="5">
        <v>9000000</v>
      </c>
    </row>
    <row r="179" spans="2:35" s="5" customFormat="1" x14ac:dyDescent="0.25">
      <c r="B179" s="20" t="s">
        <v>220</v>
      </c>
      <c r="AH179" s="5">
        <v>8886255</v>
      </c>
    </row>
    <row r="180" spans="2:35" s="5" customFormat="1" x14ac:dyDescent="0.25">
      <c r="B180" s="20" t="s">
        <v>221</v>
      </c>
      <c r="AI180" s="5">
        <v>5800000</v>
      </c>
    </row>
    <row r="181" spans="2:35" s="5" customFormat="1" x14ac:dyDescent="0.25">
      <c r="B181" s="24" t="s">
        <v>273</v>
      </c>
      <c r="U181" s="5">
        <v>3770000</v>
      </c>
    </row>
    <row r="182" spans="2:35" s="5" customFormat="1" x14ac:dyDescent="0.25">
      <c r="B182" s="20" t="s">
        <v>222</v>
      </c>
      <c r="U182" s="5">
        <v>1664939</v>
      </c>
      <c r="AG182" s="5">
        <v>18844600</v>
      </c>
      <c r="AH182" s="5">
        <v>18844600</v>
      </c>
      <c r="AI182" s="5">
        <v>99867</v>
      </c>
    </row>
    <row r="183" spans="2:35" s="5" customFormat="1" x14ac:dyDescent="0.25">
      <c r="B183" s="20" t="s">
        <v>223</v>
      </c>
      <c r="U183" s="5">
        <v>35100000</v>
      </c>
      <c r="AI183" s="5">
        <v>51317177</v>
      </c>
    </row>
    <row r="184" spans="2:35" s="5" customFormat="1" x14ac:dyDescent="0.25">
      <c r="B184" s="20" t="s">
        <v>224</v>
      </c>
      <c r="U184" s="5">
        <v>525170</v>
      </c>
      <c r="AG184" s="5">
        <v>287500</v>
      </c>
      <c r="AH184" s="5">
        <v>678552</v>
      </c>
      <c r="AI184" s="5">
        <v>793781</v>
      </c>
    </row>
    <row r="185" spans="2:35" s="5" customFormat="1" x14ac:dyDescent="0.25">
      <c r="B185" s="20" t="s">
        <v>225</v>
      </c>
      <c r="U185" s="5">
        <v>11897674</v>
      </c>
      <c r="AG185" s="5">
        <v>7595185</v>
      </c>
      <c r="AH185" s="5">
        <v>9359923</v>
      </c>
      <c r="AI185" s="5">
        <v>4723239</v>
      </c>
    </row>
    <row r="186" spans="2:35" s="5" customFormat="1" x14ac:dyDescent="0.25">
      <c r="B186" s="20" t="s">
        <v>226</v>
      </c>
      <c r="U186" s="5">
        <v>420465</v>
      </c>
      <c r="AG186" s="5">
        <v>3482791</v>
      </c>
      <c r="AH186" s="5">
        <v>1128675</v>
      </c>
      <c r="AI186" s="5">
        <v>1288536</v>
      </c>
    </row>
    <row r="187" spans="2:35" s="18" customFormat="1" x14ac:dyDescent="0.25">
      <c r="B187" s="18" t="s">
        <v>227</v>
      </c>
      <c r="U187" s="18">
        <f>SUM(U174:U186)</f>
        <v>67843060</v>
      </c>
      <c r="AG187" s="18">
        <f t="shared" ref="AG187:AH187" si="250">SUM(AG174:AG186)</f>
        <v>45518116</v>
      </c>
      <c r="AH187" s="18">
        <f t="shared" si="250"/>
        <v>70118555</v>
      </c>
      <c r="AI187" s="18">
        <f>SUM(AI174:AI186)</f>
        <v>89434559</v>
      </c>
    </row>
    <row r="198" spans="2:37" s="5" customFormat="1" x14ac:dyDescent="0.25">
      <c r="B198" s="20" t="s">
        <v>246</v>
      </c>
      <c r="AE198" s="5">
        <v>778400000</v>
      </c>
      <c r="AF198" s="5">
        <v>806230000</v>
      </c>
      <c r="AG198" s="5">
        <v>860690000</v>
      </c>
      <c r="AH198" s="5">
        <v>916010000</v>
      </c>
      <c r="AK198" s="5">
        <v>1010000000</v>
      </c>
    </row>
    <row r="199" spans="2:37" s="9" customFormat="1" x14ac:dyDescent="0.25">
      <c r="B199" s="22" t="s">
        <v>247</v>
      </c>
      <c r="AF199" s="9">
        <f t="shared" ref="AF199:AG199" si="251">AF198/AE198-1</f>
        <v>3.5752826310380348E-2</v>
      </c>
      <c r="AG199" s="9">
        <f t="shared" si="251"/>
        <v>6.7548962454882622E-2</v>
      </c>
      <c r="AH199" s="9">
        <f>AH198/AG198-1</f>
        <v>6.4274012710732187E-2</v>
      </c>
      <c r="AI199" s="9">
        <f t="shared" ref="AI199" si="252">AI198/AH198-1</f>
        <v>-1</v>
      </c>
    </row>
    <row r="200" spans="2:37" s="5" customFormat="1" x14ac:dyDescent="0.25">
      <c r="B200" s="20" t="s">
        <v>248</v>
      </c>
      <c r="AE200" s="5">
        <v>422440000</v>
      </c>
      <c r="AF200" s="5">
        <v>387000000</v>
      </c>
      <c r="AG200" s="5">
        <v>414440000</v>
      </c>
      <c r="AH200" s="5">
        <v>457210000</v>
      </c>
      <c r="AI200" s="5">
        <v>445520000</v>
      </c>
      <c r="AJ200" s="5">
        <v>240220000</v>
      </c>
    </row>
    <row r="201" spans="2:37" x14ac:dyDescent="0.25">
      <c r="AF201" s="9">
        <f t="shared" ref="AF201" si="253">AF200/AE200-1</f>
        <v>-8.3893570684594243E-2</v>
      </c>
      <c r="AG201" s="9">
        <f t="shared" ref="AG201" si="254">AG200/AF200-1</f>
        <v>7.0904392764857826E-2</v>
      </c>
      <c r="AH201" s="9">
        <f t="shared" ref="AH201" si="255">AH200/AG200-1</f>
        <v>0.10319949811794227</v>
      </c>
      <c r="AI201" s="9">
        <f t="shared" ref="AI201" si="256">AI200/AH200-1</f>
        <v>-2.5568119682421675E-2</v>
      </c>
      <c r="AJ201" s="9">
        <f t="shared" ref="AJ201" si="257">AJ200/AI200-1</f>
        <v>-0.46080984018674809</v>
      </c>
    </row>
  </sheetData>
  <phoneticPr fontId="6" type="noConversion"/>
  <hyperlinks>
    <hyperlink ref="A1" location="Main!A1" display="Main" xr:uid="{AA4120EB-AEC1-42C9-86EA-CDE5E541EA65}"/>
    <hyperlink ref="B154" location="Business!B17" display="Funded" xr:uid="{5CDAC872-C529-4AEE-A422-9F4327A1A808}"/>
    <hyperlink ref="B155" location="Business!B18" display="Unfunded" xr:uid="{9BC77DF0-61E8-488D-96F6-0903EF67C3E7}"/>
    <hyperlink ref="B156" location="Business!B19" display="Priced, unexercised options" xr:uid="{AA17E869-2B4A-4C09-8F04-2851B88CFAD1}"/>
    <hyperlink ref="B157" location="Business!B21" display="Unpriced, unexercised options" xr:uid="{A0470F48-127B-4067-AD7E-49D94678BB2F}"/>
  </hyperlinks>
  <pageMargins left="0.7" right="0.7" top="0.75" bottom="0.75" header="0.3" footer="0.3"/>
  <pageSetup orientation="portrait" r:id="rId1"/>
  <ignoredErrors>
    <ignoredError sqref="G120:T120 L25:U25 AG120:AI120 AH25:AI25 AD25:AG25 AD120:AF120 U120:X1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F5EF-9907-43DE-B97C-943DDC5CF834}">
  <dimension ref="B2:C42"/>
  <sheetViews>
    <sheetView topLeftCell="A7" workbookViewId="0">
      <selection activeCell="F9" sqref="F9"/>
    </sheetView>
  </sheetViews>
  <sheetFormatPr defaultRowHeight="13.2" x14ac:dyDescent="0.25"/>
  <cols>
    <col min="1" max="1" width="8.88671875" style="17"/>
    <col min="2" max="2" width="37" style="17" bestFit="1" customWidth="1"/>
    <col min="3" max="16384" width="8.88671875" style="17"/>
  </cols>
  <sheetData>
    <row r="2" spans="2:3" x14ac:dyDescent="0.25">
      <c r="B2" s="3" t="s">
        <v>150</v>
      </c>
      <c r="C2" s="17" t="s">
        <v>152</v>
      </c>
    </row>
    <row r="3" spans="2:3" x14ac:dyDescent="0.25">
      <c r="B3" s="3" t="s">
        <v>151</v>
      </c>
      <c r="C3" s="17" t="s">
        <v>154</v>
      </c>
    </row>
    <row r="4" spans="2:3" x14ac:dyDescent="0.25">
      <c r="B4" s="3" t="s">
        <v>153</v>
      </c>
      <c r="C4" s="17" t="s">
        <v>168</v>
      </c>
    </row>
    <row r="5" spans="2:3" x14ac:dyDescent="0.25">
      <c r="B5" s="3" t="s">
        <v>155</v>
      </c>
      <c r="C5" s="17" t="s">
        <v>156</v>
      </c>
    </row>
    <row r="6" spans="2:3" x14ac:dyDescent="0.25">
      <c r="B6" s="3" t="s">
        <v>157</v>
      </c>
      <c r="C6" s="17" t="s">
        <v>158</v>
      </c>
    </row>
    <row r="7" spans="2:3" x14ac:dyDescent="0.25">
      <c r="B7" s="3" t="s">
        <v>159</v>
      </c>
      <c r="C7" s="17" t="s">
        <v>160</v>
      </c>
    </row>
    <row r="8" spans="2:3" x14ac:dyDescent="0.25">
      <c r="B8" s="3" t="s">
        <v>161</v>
      </c>
      <c r="C8" s="17" t="s">
        <v>162</v>
      </c>
    </row>
    <row r="9" spans="2:3" x14ac:dyDescent="0.25">
      <c r="B9" s="3" t="s">
        <v>163</v>
      </c>
      <c r="C9" s="17" t="s">
        <v>164</v>
      </c>
    </row>
    <row r="10" spans="2:3" x14ac:dyDescent="0.25">
      <c r="B10" s="3" t="s">
        <v>165</v>
      </c>
      <c r="C10" s="17" t="s">
        <v>169</v>
      </c>
    </row>
    <row r="11" spans="2:3" x14ac:dyDescent="0.25">
      <c r="B11" s="3" t="s">
        <v>166</v>
      </c>
      <c r="C11" s="17" t="s">
        <v>170</v>
      </c>
    </row>
    <row r="12" spans="2:3" x14ac:dyDescent="0.25">
      <c r="B12" s="3" t="s">
        <v>167</v>
      </c>
      <c r="C12" s="17" t="s">
        <v>171</v>
      </c>
    </row>
    <row r="14" spans="2:3" x14ac:dyDescent="0.25">
      <c r="B14" s="3" t="s">
        <v>172</v>
      </c>
      <c r="C14" s="17" t="s">
        <v>173</v>
      </c>
    </row>
    <row r="15" spans="2:3" x14ac:dyDescent="0.25">
      <c r="C15" s="17" t="s">
        <v>174</v>
      </c>
    </row>
    <row r="16" spans="2:3" x14ac:dyDescent="0.25">
      <c r="B16" s="6" t="s">
        <v>175</v>
      </c>
    </row>
    <row r="17" spans="2:3" x14ac:dyDescent="0.25">
      <c r="B17" s="13" t="s">
        <v>176</v>
      </c>
      <c r="C17" s="17" t="s">
        <v>181</v>
      </c>
    </row>
    <row r="18" spans="2:3" x14ac:dyDescent="0.25">
      <c r="B18" s="13" t="s">
        <v>177</v>
      </c>
      <c r="C18" s="17" t="s">
        <v>180</v>
      </c>
    </row>
    <row r="19" spans="2:3" x14ac:dyDescent="0.25">
      <c r="B19" s="13" t="s">
        <v>178</v>
      </c>
      <c r="C19" s="17" t="s">
        <v>182</v>
      </c>
    </row>
    <row r="20" spans="2:3" x14ac:dyDescent="0.25">
      <c r="B20" s="13"/>
      <c r="C20" s="17" t="s">
        <v>183</v>
      </c>
    </row>
    <row r="21" spans="2:3" x14ac:dyDescent="0.25">
      <c r="B21" s="13" t="s">
        <v>179</v>
      </c>
      <c r="C21" s="17" t="s">
        <v>184</v>
      </c>
    </row>
    <row r="22" spans="2:3" x14ac:dyDescent="0.25">
      <c r="C22" s="17" t="s">
        <v>185</v>
      </c>
    </row>
    <row r="25" spans="2:3" x14ac:dyDescent="0.25">
      <c r="B25" s="3" t="s">
        <v>249</v>
      </c>
    </row>
    <row r="26" spans="2:3" x14ac:dyDescent="0.25">
      <c r="B26" s="13" t="s">
        <v>250</v>
      </c>
      <c r="C26" s="17" t="s">
        <v>251</v>
      </c>
    </row>
    <row r="27" spans="2:3" x14ac:dyDescent="0.25">
      <c r="C27" s="17" t="s">
        <v>253</v>
      </c>
    </row>
    <row r="28" spans="2:3" x14ac:dyDescent="0.25">
      <c r="B28" s="13" t="s">
        <v>252</v>
      </c>
      <c r="C28" s="17" t="s">
        <v>254</v>
      </c>
    </row>
    <row r="29" spans="2:3" x14ac:dyDescent="0.25">
      <c r="B29" s="13" t="s">
        <v>255</v>
      </c>
      <c r="C29" s="17" t="s">
        <v>256</v>
      </c>
    </row>
    <row r="32" spans="2:3" x14ac:dyDescent="0.25">
      <c r="B32" s="3" t="s">
        <v>257</v>
      </c>
    </row>
    <row r="33" spans="2:3" x14ac:dyDescent="0.25">
      <c r="B33" s="13" t="s">
        <v>151</v>
      </c>
      <c r="C33" s="17" t="s">
        <v>258</v>
      </c>
    </row>
    <row r="34" spans="2:3" x14ac:dyDescent="0.25">
      <c r="B34" s="23"/>
      <c r="C34" s="17" t="s">
        <v>259</v>
      </c>
    </row>
    <row r="35" spans="2:3" x14ac:dyDescent="0.25">
      <c r="B35" s="13" t="s">
        <v>260</v>
      </c>
      <c r="C35" s="17" t="s">
        <v>267</v>
      </c>
    </row>
    <row r="36" spans="2:3" x14ac:dyDescent="0.25">
      <c r="B36" s="13" t="s">
        <v>261</v>
      </c>
      <c r="C36" s="17" t="s">
        <v>268</v>
      </c>
    </row>
    <row r="37" spans="2:3" x14ac:dyDescent="0.25">
      <c r="B37" s="13" t="s">
        <v>262</v>
      </c>
      <c r="C37" s="17" t="s">
        <v>263</v>
      </c>
    </row>
    <row r="38" spans="2:3" x14ac:dyDescent="0.25">
      <c r="B38" s="13" t="s">
        <v>264</v>
      </c>
      <c r="C38" s="17" t="s">
        <v>265</v>
      </c>
    </row>
    <row r="40" spans="2:3" x14ac:dyDescent="0.25">
      <c r="B40" s="3" t="s">
        <v>266</v>
      </c>
      <c r="C40" s="17" t="s">
        <v>271</v>
      </c>
    </row>
    <row r="41" spans="2:3" x14ac:dyDescent="0.25">
      <c r="C41" s="17" t="s">
        <v>269</v>
      </c>
    </row>
    <row r="42" spans="2:3" x14ac:dyDescent="0.25">
      <c r="C42" s="17" t="s">
        <v>270</v>
      </c>
    </row>
  </sheetData>
  <hyperlinks>
    <hyperlink ref="B16" location="Model!B147" display="Four types of backlog:" xr:uid="{473141F1-B5E0-4ADF-9CF8-FB5BE4CEF1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Model</vt:lpstr>
      <vt:lpstr>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Gega Mukhigulashvili</dc:creator>
  <cp:lastModifiedBy>Gega Mukhigulashvili</cp:lastModifiedBy>
  <dcterms:created xsi:type="dcterms:W3CDTF">2015-06-05T18:17:20Z</dcterms:created>
  <dcterms:modified xsi:type="dcterms:W3CDTF">2025-08-12T09:20:29Z</dcterms:modified>
</cp:coreProperties>
</file>